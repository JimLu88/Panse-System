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name="订单记录" sheetId="1" state="visible" r:id="rId1"/>
    <sheet name="Sheet1" sheetId="2" state="visible" r:id="rId2"/>
  </sheets>
  <definedNames>
    <definedName name="_xlnm._FilterDatabase" localSheetId="0" hidden="1">'订单记录'!$A$42:$BZ$677</definedName>
  </definedNames>
  <calcPr calcId="181029" fullCalcOnLoad="1"/>
  <pivotCaches>
    <pivotCache cacheId="25" r:id="rId3"/>
    <pivotCache cacheId="30" r:id="rId4"/>
  </pivotCaches>
</workbook>
</file>

<file path=xl/styles.xml><?xml version="1.0" encoding="utf-8"?>
<styleSheet xmlns="http://schemas.openxmlformats.org/spreadsheetml/2006/main">
  <numFmts count="11">
    <numFmt numFmtId="164" formatCode="&quot;¥&quot;#,##0.00_);[Red]\(&quot;¥&quot;#,##0.00\)"/>
    <numFmt numFmtId="165" formatCode="m&quot;月&quot;d&quot;日&quot;;@"/>
    <numFmt numFmtId="166" formatCode="\¥#,##0.00;\¥\-#,##0.00"/>
    <numFmt numFmtId="167" formatCode="\¥#,##0.00_);[Red]\(\¥#,##0.00\)"/>
    <numFmt numFmtId="168" formatCode="_ \¥* #,##0.00_ ;_ \¥* \-#,##0.00_ ;_ \¥* &quot;-&quot;??_ ;_ @_ "/>
    <numFmt numFmtId="169" formatCode="\¥#,##0.00;[Red]\¥\-#,##0.00"/>
    <numFmt numFmtId="170" formatCode="0_ "/>
    <numFmt numFmtId="171" formatCode="#,##0_ "/>
    <numFmt numFmtId="172" formatCode="0.00_ "/>
    <numFmt numFmtId="173" formatCode="&quot;￥&quot;#,##0.00_);[Red]\(&quot;￥&quot;#,##0.00\)"/>
    <numFmt numFmtId="174" formatCode="0.00_);[Red]\(0.00\)"/>
  </numFmts>
  <fonts count="18">
    <font>
      <name val="等线"/>
      <charset val="134"/>
      <family val="2"/>
      <color theme="1"/>
      <sz val="11"/>
      <scheme val="minor"/>
    </font>
    <font>
      <name val="等线"/>
      <charset val="134"/>
      <family val="3"/>
      <color theme="1"/>
      <sz val="11"/>
      <scheme val="minor"/>
    </font>
    <font>
      <name val="等线"/>
      <charset val="134"/>
      <family val="3"/>
      <i val="1"/>
      <color theme="1"/>
      <sz val="20"/>
      <scheme val="minor"/>
    </font>
    <font>
      <name val="等线"/>
      <charset val="134"/>
      <family val="2"/>
      <sz val="9"/>
      <scheme val="minor"/>
    </font>
    <font>
      <name val="等线"/>
      <charset val="134"/>
      <family val="3"/>
      <sz val="9"/>
      <scheme val="minor"/>
    </font>
    <font>
      <name val="等线"/>
      <charset val="134"/>
      <family val="3"/>
      <color rgb="FFFF0000"/>
      <sz val="11"/>
      <scheme val="minor"/>
    </font>
    <font>
      <name val="等线"/>
      <charset val="134"/>
      <family val="3"/>
      <b val="1"/>
      <i val="1"/>
      <color theme="1"/>
      <sz val="20"/>
      <scheme val="minor"/>
    </font>
    <font>
      <name val="等线"/>
      <charset val="134"/>
      <family val="3"/>
      <b val="1"/>
      <color theme="1"/>
      <sz val="11"/>
      <scheme val="minor"/>
    </font>
    <font>
      <name val="等线"/>
      <charset val="134"/>
      <family val="3"/>
      <sz val="11"/>
      <scheme val="minor"/>
    </font>
    <font>
      <name val="等线"/>
      <charset val="134"/>
      <family val="3"/>
      <b val="1"/>
      <i val="1"/>
      <color theme="1"/>
      <sz val="11"/>
      <scheme val="minor"/>
    </font>
    <font>
      <name val="等线"/>
      <charset val="134"/>
      <family val="3"/>
      <color rgb="FF000000"/>
      <sz val="11"/>
      <scheme val="minor"/>
    </font>
    <font>
      <name val="等线"/>
      <charset val="134"/>
      <family val="3"/>
      <color rgb="FF006100"/>
      <sz val="11"/>
      <scheme val="minor"/>
    </font>
    <font>
      <name val="等线"/>
      <charset val="134"/>
      <family val="3"/>
      <color rgb="FF9C0006"/>
      <sz val="11"/>
      <scheme val="minor"/>
    </font>
    <font>
      <name val="等线"/>
      <charset val="134"/>
      <family val="3"/>
      <b val="1"/>
      <color rgb="FF000000"/>
      <sz val="11"/>
      <scheme val="minor"/>
    </font>
    <font>
      <name val="等线"/>
      <charset val="134"/>
      <family val="3"/>
      <b val="1"/>
      <color rgb="FF006100"/>
      <sz val="11"/>
      <scheme val="minor"/>
    </font>
    <font>
      <name val="宋体"/>
      <charset val="134"/>
      <family val="3"/>
      <b val="1"/>
      <color indexed="81"/>
      <sz val="9"/>
    </font>
    <font>
      <name val="宋体"/>
      <charset val="134"/>
      <family val="3"/>
      <color indexed="81"/>
      <sz val="9"/>
    </font>
    <font>
      <b val="1"/>
    </font>
  </fonts>
  <fills count="28">
    <fill>
      <patternFill/>
    </fill>
    <fill>
      <patternFill patternType="gray125"/>
    </fill>
    <fill>
      <patternFill patternType="solid">
        <fgColor theme="4" tint="0.3999450666829432"/>
        <bgColor indexed="64"/>
      </patternFill>
    </fill>
    <fill>
      <patternFill patternType="solid">
        <fgColor theme="0" tint="-0.1499679555650502"/>
        <bgColor indexed="64"/>
      </patternFill>
    </fill>
    <fill>
      <patternFill patternType="solid">
        <fgColor theme="8" tint="0.5999938962981048"/>
        <bgColor indexed="64"/>
      </patternFill>
    </fill>
    <fill>
      <patternFill patternType="solid">
        <fgColor theme="0" tint="-0.1499984740745262"/>
        <bgColor indexed="64"/>
      </patternFill>
    </fill>
    <fill>
      <patternFill patternType="solid">
        <fgColor theme="4" tint="0.3999145481734672"/>
        <bgColor indexed="64"/>
      </patternFill>
    </fill>
    <fill>
      <patternFill patternType="solid">
        <fgColor theme="0" tint="-0.1498764000366222"/>
        <bgColor indexed="64"/>
      </patternFill>
    </fill>
    <fill>
      <patternFill patternType="solid">
        <fgColor theme="7" tint="0.3999145481734672"/>
        <bgColor indexed="64"/>
      </patternFill>
    </fill>
    <fill>
      <patternFill patternType="solid">
        <fgColor theme="7" tint="0.3996704000976593"/>
        <bgColor indexed="64"/>
      </patternFill>
    </fill>
    <fill>
      <patternFill patternType="solid">
        <fgColor theme="9" tint="0.5999938962981048"/>
        <bgColor indexed="64"/>
      </patternFill>
    </fill>
    <fill>
      <patternFill patternType="solid">
        <fgColor theme="0" tint="-0.1499374370555742"/>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rgb="FFC6EFCE"/>
        <bgColor indexed="64"/>
      </patternFill>
    </fill>
    <fill>
      <patternFill patternType="solid">
        <fgColor theme="0" tint="-0.249977111117893"/>
        <bgColor indexed="64"/>
      </patternFill>
    </fill>
    <fill>
      <patternFill patternType="solid">
        <fgColor rgb="FFEE000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rgb="FFFFC7CE"/>
        <bgColor indexed="64"/>
      </patternFill>
    </fill>
    <fill>
      <patternFill patternType="solid">
        <fgColor theme="0"/>
        <bgColor indexed="64"/>
      </patternFill>
    </fill>
    <fill>
      <patternFill patternType="solid">
        <fgColor theme="0" tint="-0.3499862666707358"/>
        <bgColor indexed="64"/>
      </patternFill>
    </fill>
    <fill>
      <patternFill patternType="solid">
        <fgColor theme="5" tint="0.7999511703848384"/>
        <bgColor indexed="64"/>
      </patternFill>
    </fill>
    <fill>
      <patternFill patternType="solid">
        <fgColor rgb="00D9E1F2"/>
      </patternFill>
    </fill>
    <fill>
      <patternFill patternType="solid">
        <fgColor rgb="00FFF2CC"/>
      </patternFill>
    </fill>
    <fill>
      <patternFill patternType="solid">
        <fgColor rgb="00E2EFDA"/>
      </patternFill>
    </fill>
    <fill>
      <patternFill patternType="solid">
        <fgColor rgb="00FCE4D6"/>
      </patternFill>
    </fill>
  </fills>
  <borders count="6">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thin">
        <color theme="0" tint="-0.249977111117893"/>
      </top>
      <bottom style="thin">
        <color theme="0" tint="-0.249977111117893"/>
      </bottom>
      <diagonal/>
    </border>
    <border>
      <left style="thin">
        <color auto="1"/>
      </left>
      <right style="thin">
        <color auto="1"/>
      </right>
      <top style="thin">
        <color auto="1"/>
      </top>
      <bottom style="thin">
        <color auto="1"/>
      </bottom>
      <diagonal/>
    </border>
    <border>
      <left style="thin">
        <color theme="0" tint="-0.249977111117893"/>
      </left>
      <right style="thin">
        <color theme="0" tint="-0.249977111117893"/>
      </right>
      <top/>
      <bottom style="thin">
        <color theme="0" tint="-0.249977111117893"/>
      </bottom>
      <diagonal/>
    </border>
  </borders>
  <cellStyleXfs count="4">
    <xf numFmtId="0" fontId="0" fillId="0" borderId="0" applyAlignment="1">
      <alignment vertical="center"/>
    </xf>
    <xf numFmtId="0" fontId="1" fillId="0" borderId="0"/>
    <xf numFmtId="0" fontId="11" fillId="14" borderId="0" applyAlignment="1">
      <alignment vertical="center"/>
    </xf>
    <xf numFmtId="0" fontId="12" fillId="20" borderId="0" applyAlignment="1">
      <alignment vertical="center"/>
    </xf>
  </cellStyleXfs>
  <cellXfs count="250">
    <xf numFmtId="0" fontId="0" fillId="0" borderId="0" applyAlignment="1" pivotButton="0" quotePrefix="0" xfId="0">
      <alignment vertical="center"/>
    </xf>
    <xf numFmtId="14" fontId="2" fillId="0" borderId="1" applyAlignment="1" pivotButton="0" quotePrefix="0" xfId="1">
      <alignment vertical="center"/>
    </xf>
    <xf numFmtId="0" fontId="1" fillId="0" borderId="1" applyAlignment="1" pivotButton="0" quotePrefix="0" xfId="1">
      <alignment vertical="center"/>
    </xf>
    <xf numFmtId="0" fontId="1" fillId="0" borderId="1" applyAlignment="1" pivotButton="0" quotePrefix="0" xfId="1">
      <alignment horizontal="left" vertical="center"/>
    </xf>
    <xf numFmtId="0" fontId="5" fillId="0" borderId="1" applyAlignment="1" pivotButton="0" quotePrefix="0" xfId="1">
      <alignment vertical="center"/>
    </xf>
    <xf numFmtId="164" fontId="1" fillId="0" borderId="1" applyAlignment="1" pivotButton="0" quotePrefix="0" xfId="1">
      <alignment horizontal="left" vertical="center"/>
    </xf>
    <xf numFmtId="40" fontId="1" fillId="0" borderId="1" applyAlignment="1" pivotButton="0" quotePrefix="0" xfId="1">
      <alignment vertical="center"/>
    </xf>
    <xf numFmtId="164" fontId="1" fillId="0" borderId="1" applyAlignment="1" pivotButton="0" quotePrefix="0" xfId="1">
      <alignment vertical="center"/>
    </xf>
    <xf numFmtId="165" fontId="2" fillId="0" borderId="1" applyAlignment="1" pivotButton="0" quotePrefix="0" xfId="1">
      <alignment vertical="center"/>
    </xf>
    <xf numFmtId="166" fontId="1" fillId="0" borderId="1" applyAlignment="1" pivotButton="0" quotePrefix="0" xfId="1">
      <alignment vertical="center"/>
    </xf>
    <xf numFmtId="49" fontId="1" fillId="0" borderId="1" applyAlignment="1" pivotButton="0" quotePrefix="0" xfId="1">
      <alignment vertical="center"/>
    </xf>
    <xf numFmtId="49" fontId="1" fillId="0" borderId="1" applyAlignment="1" pivotButton="0" quotePrefix="0" xfId="1">
      <alignment vertical="center" wrapText="1"/>
    </xf>
    <xf numFmtId="4" fontId="1" fillId="0" borderId="1" applyAlignment="1" pivotButton="0" quotePrefix="0" xfId="1">
      <alignment vertical="center" wrapText="1"/>
    </xf>
    <xf numFmtId="10" fontId="1" fillId="0" borderId="1" applyAlignment="1" pivotButton="0" quotePrefix="0" xfId="1">
      <alignment vertical="center" wrapText="1"/>
    </xf>
    <xf numFmtId="14" fontId="1" fillId="0" borderId="1" applyAlignment="1" pivotButton="0" quotePrefix="0" xfId="1">
      <alignment vertical="center"/>
    </xf>
    <xf numFmtId="0" fontId="6" fillId="0" borderId="1" pivotButton="0" quotePrefix="0" xfId="1"/>
    <xf numFmtId="10" fontId="1" fillId="0" borderId="1" applyAlignment="1" pivotButton="0" quotePrefix="0" xfId="1">
      <alignment vertical="center"/>
    </xf>
    <xf numFmtId="14" fontId="7" fillId="2" borderId="1" pivotButton="0" quotePrefix="0" xfId="1"/>
    <xf numFmtId="165" fontId="7" fillId="3" borderId="1" applyAlignment="1" pivotButton="0" quotePrefix="0" xfId="1">
      <alignment vertical="center"/>
    </xf>
    <xf numFmtId="164" fontId="7" fillId="3" borderId="1" applyAlignment="1" pivotButton="0" quotePrefix="0" xfId="1">
      <alignment horizontal="left" vertical="center"/>
    </xf>
    <xf numFmtId="0" fontId="7" fillId="2" borderId="1" pivotButton="0" quotePrefix="0" xfId="1"/>
    <xf numFmtId="49" fontId="7" fillId="3" borderId="1" pivotButton="0" quotePrefix="0" xfId="1"/>
    <xf numFmtId="164" fontId="1" fillId="0" borderId="1" pivotButton="0" quotePrefix="0" xfId="1"/>
    <xf numFmtId="164" fontId="8" fillId="0" borderId="1" pivotButton="0" quotePrefix="0" xfId="1"/>
    <xf numFmtId="164" fontId="8" fillId="0" borderId="1" applyAlignment="1" pivotButton="0" quotePrefix="0" xfId="1">
      <alignment horizontal="left"/>
    </xf>
    <xf numFmtId="0" fontId="1" fillId="0" borderId="1" pivotButton="0" quotePrefix="0" xfId="1"/>
    <xf numFmtId="0" fontId="1" fillId="0" borderId="0" pivotButton="0" quotePrefix="0" xfId="1"/>
    <xf numFmtId="10" fontId="1" fillId="0" borderId="0" pivotButton="0" quotePrefix="0" xfId="1"/>
    <xf numFmtId="4" fontId="1" fillId="0" borderId="1" applyAlignment="1" pivotButton="0" quotePrefix="0" xfId="1">
      <alignment vertical="center"/>
    </xf>
    <xf numFmtId="49" fontId="7" fillId="4" borderId="1" pivotButton="0" quotePrefix="0" xfId="1"/>
    <xf numFmtId="14" fontId="9" fillId="3" borderId="1" pivotButton="0" quotePrefix="0" xfId="1"/>
    <xf numFmtId="167" fontId="9" fillId="3" borderId="1" applyAlignment="1" pivotButton="0" quotePrefix="0" xfId="1">
      <alignment horizontal="right" vertical="center"/>
    </xf>
    <xf numFmtId="164" fontId="9" fillId="3" borderId="1" applyAlignment="1" pivotButton="0" quotePrefix="0" xfId="1">
      <alignment horizontal="left" vertical="center"/>
    </xf>
    <xf numFmtId="40" fontId="7" fillId="5" borderId="1" applyAlignment="1" pivotButton="0" quotePrefix="0" xfId="1">
      <alignment vertical="center"/>
    </xf>
    <xf numFmtId="10" fontId="7" fillId="5" borderId="1" applyAlignment="1" pivotButton="0" quotePrefix="0" xfId="1">
      <alignment vertical="center"/>
    </xf>
    <xf numFmtId="0" fontId="7" fillId="0" borderId="1" applyAlignment="1" pivotButton="0" quotePrefix="0" xfId="1">
      <alignment vertical="center"/>
    </xf>
    <xf numFmtId="164" fontId="7" fillId="0" borderId="1" applyAlignment="1" pivotButton="0" quotePrefix="0" xfId="1">
      <alignment horizontal="left" vertical="center"/>
    </xf>
    <xf numFmtId="164" fontId="7" fillId="0" borderId="1" applyAlignment="1" pivotButton="0" quotePrefix="0" xfId="1">
      <alignment vertical="center"/>
    </xf>
    <xf numFmtId="49" fontId="7" fillId="0" borderId="1" applyAlignment="1" pivotButton="0" quotePrefix="0" xfId="1">
      <alignment vertical="center" wrapText="1"/>
    </xf>
    <xf numFmtId="40" fontId="1" fillId="0" borderId="1" applyAlignment="1" pivotButton="0" quotePrefix="0" xfId="1">
      <alignment horizontal="left" vertical="center"/>
    </xf>
    <xf numFmtId="14" fontId="7" fillId="6" borderId="1" applyAlignment="1" pivotButton="0" quotePrefix="0" xfId="1">
      <alignment vertical="center"/>
    </xf>
    <xf numFmtId="0" fontId="1" fillId="6" borderId="1" applyAlignment="1" pivotButton="0" quotePrefix="0" xfId="1">
      <alignment vertical="center"/>
    </xf>
    <xf numFmtId="49" fontId="1" fillId="6" borderId="1" applyAlignment="1" pivotButton="0" quotePrefix="0" xfId="1">
      <alignment vertical="center"/>
    </xf>
    <xf numFmtId="49" fontId="1" fillId="6" borderId="1" applyAlignment="1" pivotButton="0" quotePrefix="0" xfId="1">
      <alignment vertical="center" wrapText="1"/>
    </xf>
    <xf numFmtId="167" fontId="1" fillId="0" borderId="1" applyAlignment="1" pivotButton="0" quotePrefix="0" xfId="1">
      <alignment vertical="center"/>
    </xf>
    <xf numFmtId="14" fontId="5" fillId="0" borderId="2" applyAlignment="1" pivotButton="0" quotePrefix="0" xfId="1">
      <alignment vertical="center"/>
    </xf>
    <xf numFmtId="0" fontId="1" fillId="0" borderId="2" applyAlignment="1" pivotButton="0" quotePrefix="0" xfId="1">
      <alignment vertical="center"/>
    </xf>
    <xf numFmtId="49" fontId="1" fillId="0" borderId="2" applyAlignment="1" pivotButton="0" quotePrefix="0" xfId="1">
      <alignment vertical="center"/>
    </xf>
    <xf numFmtId="49" fontId="1" fillId="0" borderId="2" applyAlignment="1" pivotButton="0" quotePrefix="0" xfId="1">
      <alignment vertical="center" wrapText="1"/>
    </xf>
    <xf numFmtId="0" fontId="1" fillId="0" borderId="2" applyAlignment="1" pivotButton="0" quotePrefix="0" xfId="1">
      <alignment horizontal="left" vertical="center"/>
    </xf>
    <xf numFmtId="164" fontId="1" fillId="0" borderId="2" applyAlignment="1" pivotButton="0" quotePrefix="0" xfId="1">
      <alignment vertical="center"/>
    </xf>
    <xf numFmtId="164" fontId="5" fillId="0" borderId="2" applyAlignment="1" pivotButton="0" quotePrefix="0" xfId="1">
      <alignment vertical="center"/>
    </xf>
    <xf numFmtId="40" fontId="1" fillId="0" borderId="2" applyAlignment="1" pivotButton="0" quotePrefix="0" xfId="1">
      <alignment vertical="center"/>
    </xf>
    <xf numFmtId="40" fontId="5" fillId="0" borderId="2" applyAlignment="1" pivotButton="0" quotePrefix="0" xfId="1">
      <alignment vertical="center"/>
    </xf>
    <xf numFmtId="166" fontId="5" fillId="0" borderId="2" applyAlignment="1" pivotButton="0" quotePrefix="0" xfId="1">
      <alignment vertical="center"/>
    </xf>
    <xf numFmtId="49" fontId="5" fillId="0" borderId="2" applyAlignment="1" pivotButton="0" quotePrefix="0" xfId="1">
      <alignment vertical="center"/>
    </xf>
    <xf numFmtId="4" fontId="5" fillId="0" borderId="2" applyAlignment="1" pivotButton="0" quotePrefix="0" xfId="1">
      <alignment vertical="center"/>
    </xf>
    <xf numFmtId="4" fontId="5" fillId="0" borderId="2" applyAlignment="1" pivotButton="0" quotePrefix="0" xfId="1">
      <alignment vertical="center" wrapText="1"/>
    </xf>
    <xf numFmtId="10" fontId="5" fillId="0" borderId="2" applyAlignment="1" pivotButton="0" quotePrefix="0" xfId="1">
      <alignment vertical="center" wrapText="1"/>
    </xf>
    <xf numFmtId="49" fontId="5" fillId="0" borderId="2" applyAlignment="1" pivotButton="0" quotePrefix="0" xfId="1">
      <alignment vertical="center" wrapText="1"/>
    </xf>
    <xf numFmtId="49" fontId="1" fillId="0" borderId="3" applyAlignment="1" pivotButton="0" quotePrefix="0" xfId="1">
      <alignment vertical="center" wrapText="1"/>
    </xf>
    <xf numFmtId="14" fontId="7" fillId="7" borderId="4" applyAlignment="1" pivotButton="0" quotePrefix="0" xfId="1">
      <alignment horizontal="left" vertical="center"/>
    </xf>
    <xf numFmtId="0" fontId="7" fillId="7" borderId="4" applyAlignment="1" pivotButton="0" quotePrefix="0" xfId="1">
      <alignment vertical="center"/>
    </xf>
    <xf numFmtId="49" fontId="7" fillId="7" borderId="4" applyAlignment="1" pivotButton="0" quotePrefix="0" xfId="1">
      <alignment horizontal="left" vertical="center"/>
    </xf>
    <xf numFmtId="49" fontId="7" fillId="7" borderId="4" applyAlignment="1" pivotButton="0" quotePrefix="0" xfId="1">
      <alignment horizontal="left" vertical="center" wrapText="1"/>
    </xf>
    <xf numFmtId="0" fontId="7" fillId="7" borderId="4" applyAlignment="1" pivotButton="0" quotePrefix="0" xfId="1">
      <alignment horizontal="left" vertical="center"/>
    </xf>
    <xf numFmtId="164" fontId="7" fillId="8" borderId="4" applyAlignment="1" pivotButton="0" quotePrefix="0" xfId="1">
      <alignment horizontal="left" vertical="center"/>
    </xf>
    <xf numFmtId="40" fontId="7" fillId="9" borderId="4" applyAlignment="1" pivotButton="0" quotePrefix="0" xfId="1">
      <alignment horizontal="left" vertical="center"/>
    </xf>
    <xf numFmtId="40" fontId="7" fillId="8" borderId="4" applyAlignment="1" pivotButton="0" quotePrefix="0" xfId="1">
      <alignment horizontal="left" vertical="center"/>
    </xf>
    <xf numFmtId="40" fontId="7" fillId="7" borderId="4" applyAlignment="1" pivotButton="0" quotePrefix="0" xfId="1">
      <alignment horizontal="left" vertical="center"/>
    </xf>
    <xf numFmtId="40" fontId="7" fillId="10" borderId="4" applyAlignment="1" pivotButton="0" quotePrefix="0" xfId="1">
      <alignment horizontal="left" vertical="center"/>
    </xf>
    <xf numFmtId="40" fontId="7" fillId="10" borderId="4" applyAlignment="1" pivotButton="0" quotePrefix="0" xfId="1">
      <alignment vertical="center"/>
    </xf>
    <xf numFmtId="40" fontId="7" fillId="7" borderId="4" applyAlignment="1" pivotButton="0" quotePrefix="0" xfId="1">
      <alignment vertical="center"/>
    </xf>
    <xf numFmtId="40" fontId="7" fillId="11" borderId="4" applyAlignment="1" pivotButton="0" quotePrefix="0" xfId="1">
      <alignment horizontal="left" vertical="center"/>
    </xf>
    <xf numFmtId="40" fontId="7" fillId="12" borderId="4" applyAlignment="1" pivotButton="0" quotePrefix="0" xfId="1">
      <alignment vertical="center"/>
    </xf>
    <xf numFmtId="166" fontId="7" fillId="7" borderId="4" applyAlignment="1" pivotButton="0" quotePrefix="0" xfId="1">
      <alignment vertical="center"/>
    </xf>
    <xf numFmtId="49" fontId="7" fillId="7" borderId="4" applyAlignment="1" pivotButton="0" quotePrefix="0" xfId="1">
      <alignment vertical="center"/>
    </xf>
    <xf numFmtId="4" fontId="7" fillId="7" borderId="4" applyAlignment="1" pivotButton="0" quotePrefix="0" xfId="1">
      <alignment vertical="center"/>
    </xf>
    <xf numFmtId="4" fontId="7" fillId="7" borderId="4" applyAlignment="1" pivotButton="0" quotePrefix="0" xfId="1">
      <alignment vertical="center" wrapText="1"/>
    </xf>
    <xf numFmtId="10" fontId="7" fillId="12" borderId="4" applyAlignment="1" pivotButton="0" quotePrefix="0" xfId="1">
      <alignment vertical="center" wrapText="1"/>
    </xf>
    <xf numFmtId="4" fontId="7" fillId="0" borderId="4" applyAlignment="1" pivotButton="0" quotePrefix="0" xfId="1">
      <alignment vertical="center" wrapText="1"/>
    </xf>
    <xf numFmtId="49" fontId="7" fillId="7" borderId="4" applyAlignment="1" pivotButton="0" quotePrefix="0" xfId="1">
      <alignment vertical="center" wrapText="1"/>
    </xf>
    <xf numFmtId="49" fontId="7" fillId="0" borderId="4" applyAlignment="1" pivotButton="0" quotePrefix="0" xfId="1">
      <alignment vertical="center" wrapText="1"/>
    </xf>
    <xf numFmtId="0" fontId="7" fillId="0" borderId="4" applyAlignment="1" pivotButton="0" quotePrefix="0" xfId="1">
      <alignment vertical="center"/>
    </xf>
    <xf numFmtId="14" fontId="10" fillId="13" borderId="4" applyAlignment="1" pivotButton="0" quotePrefix="0" xfId="1">
      <alignment horizontal="left" vertical="center"/>
    </xf>
    <xf numFmtId="168" fontId="11" fillId="14" borderId="4" applyAlignment="1" pivotButton="0" quotePrefix="0" xfId="2">
      <alignment vertical="center"/>
    </xf>
    <xf numFmtId="49" fontId="1" fillId="13" borderId="4" applyAlignment="1" pivotButton="0" quotePrefix="0" xfId="1">
      <alignment vertical="center"/>
    </xf>
    <xf numFmtId="0" fontId="1" fillId="13" borderId="4" applyAlignment="1" pivotButton="0" quotePrefix="0" xfId="1">
      <alignment vertical="center"/>
    </xf>
    <xf numFmtId="169" fontId="1" fillId="13" borderId="4" applyAlignment="1" pivotButton="0" quotePrefix="0" xfId="1">
      <alignment vertical="center"/>
    </xf>
    <xf numFmtId="0" fontId="1" fillId="13" borderId="4" applyAlignment="1" pivotButton="0" quotePrefix="0" xfId="1">
      <alignment horizontal="left" vertical="center"/>
    </xf>
    <xf numFmtId="170" fontId="1" fillId="13" borderId="4" applyAlignment="1" pivotButton="0" quotePrefix="0" xfId="1">
      <alignment vertical="center"/>
    </xf>
    <xf numFmtId="169" fontId="1" fillId="0" borderId="4" applyAlignment="1" pivotButton="0" quotePrefix="0" xfId="1">
      <alignment vertical="center"/>
    </xf>
    <xf numFmtId="166" fontId="1" fillId="13" borderId="4" applyAlignment="1" pivotButton="0" quotePrefix="0" xfId="1">
      <alignment vertical="center"/>
    </xf>
    <xf numFmtId="4" fontId="1" fillId="0" borderId="4" applyAlignment="1" pivotButton="0" quotePrefix="0" xfId="1">
      <alignment vertical="center"/>
    </xf>
    <xf numFmtId="10" fontId="1" fillId="0" borderId="4" applyAlignment="1" pivotButton="0" quotePrefix="0" xfId="1">
      <alignment vertical="center"/>
    </xf>
    <xf numFmtId="4" fontId="1" fillId="0" borderId="4" applyAlignment="1" pivotButton="0" quotePrefix="0" xfId="1">
      <alignment vertical="center" wrapText="1"/>
    </xf>
    <xf numFmtId="49" fontId="1" fillId="0" borderId="4" applyAlignment="1" pivotButton="0" quotePrefix="0" xfId="1">
      <alignment vertical="center" wrapText="1"/>
    </xf>
    <xf numFmtId="0" fontId="1" fillId="0" borderId="4" applyAlignment="1" pivotButton="0" quotePrefix="0" xfId="1">
      <alignment vertical="center"/>
    </xf>
    <xf numFmtId="0" fontId="1" fillId="0" borderId="3" applyAlignment="1" pivotButton="0" quotePrefix="0" xfId="1">
      <alignment vertical="center"/>
    </xf>
    <xf numFmtId="14" fontId="10" fillId="15" borderId="4" applyAlignment="1" pivotButton="0" quotePrefix="0" xfId="1">
      <alignment horizontal="left" vertical="center"/>
    </xf>
    <xf numFmtId="0" fontId="1" fillId="15" borderId="4" applyAlignment="1" pivotButton="0" quotePrefix="0" xfId="1">
      <alignment vertical="center"/>
    </xf>
    <xf numFmtId="49" fontId="1" fillId="15" borderId="4" applyAlignment="1" pivotButton="0" quotePrefix="0" xfId="1">
      <alignment vertical="center"/>
    </xf>
    <xf numFmtId="0" fontId="1" fillId="15" borderId="4" applyAlignment="1" pivotButton="0" quotePrefix="0" xfId="1">
      <alignment horizontal="left" vertical="center"/>
    </xf>
    <xf numFmtId="164" fontId="1" fillId="15" borderId="4" applyAlignment="1" pivotButton="0" quotePrefix="0" xfId="1">
      <alignment vertical="center"/>
    </xf>
    <xf numFmtId="169" fontId="1" fillId="15" borderId="4" applyAlignment="1" pivotButton="0" quotePrefix="0" xfId="1">
      <alignment vertical="center"/>
    </xf>
    <xf numFmtId="170" fontId="1" fillId="15" borderId="4" applyAlignment="1" pivotButton="0" quotePrefix="0" xfId="1">
      <alignment vertical="center"/>
    </xf>
    <xf numFmtId="166" fontId="1" fillId="15" borderId="4" applyAlignment="1" pivotButton="0" quotePrefix="0" xfId="1">
      <alignment vertical="center" wrapText="1"/>
    </xf>
    <xf numFmtId="4" fontId="1" fillId="15" borderId="4" applyAlignment="1" pivotButton="0" quotePrefix="0" xfId="1">
      <alignment vertical="center" wrapText="1"/>
    </xf>
    <xf numFmtId="10" fontId="1" fillId="15" borderId="4" applyAlignment="1" pivotButton="0" quotePrefix="0" xfId="1">
      <alignment vertical="center"/>
    </xf>
    <xf numFmtId="49" fontId="1" fillId="15" borderId="4" applyAlignment="1" pivotButton="0" quotePrefix="0" xfId="1">
      <alignment vertical="center" wrapText="1"/>
    </xf>
    <xf numFmtId="49" fontId="1" fillId="13" borderId="4" applyAlignment="1" pivotButton="0" quotePrefix="0" xfId="1">
      <alignment vertical="center" wrapText="1"/>
    </xf>
    <xf numFmtId="49" fontId="1" fillId="13" borderId="4" applyAlignment="1" pivotButton="0" quotePrefix="0" xfId="1">
      <alignment horizontal="left" vertical="center" wrapText="1"/>
    </xf>
    <xf numFmtId="164" fontId="1" fillId="13" borderId="4" applyAlignment="1" pivotButton="0" quotePrefix="0" xfId="1">
      <alignment vertical="center"/>
    </xf>
    <xf numFmtId="49" fontId="1" fillId="13" borderId="4" applyAlignment="1" pivotButton="0" quotePrefix="0" xfId="1">
      <alignment horizontal="left" vertical="center"/>
    </xf>
    <xf numFmtId="49" fontId="1" fillId="16" borderId="4" applyAlignment="1" pivotButton="0" quotePrefix="0" xfId="1">
      <alignment horizontal="left" vertical="center"/>
    </xf>
    <xf numFmtId="49" fontId="1" fillId="17" borderId="4" applyAlignment="1" pivotButton="0" quotePrefix="0" xfId="1">
      <alignment horizontal="left" vertical="center"/>
    </xf>
    <xf numFmtId="0" fontId="1" fillId="17" borderId="4" applyAlignment="1" pivotButton="0" quotePrefix="0" xfId="1">
      <alignment vertical="center"/>
    </xf>
    <xf numFmtId="169" fontId="1" fillId="17" borderId="4" applyAlignment="1" pivotButton="0" quotePrefix="0" xfId="1">
      <alignment vertical="center"/>
    </xf>
    <xf numFmtId="166" fontId="1" fillId="13" borderId="4" applyAlignment="1" pivotButton="0" quotePrefix="0" xfId="1">
      <alignment horizontal="left" vertical="center" wrapText="1"/>
    </xf>
    <xf numFmtId="0" fontId="1" fillId="16" borderId="4" applyAlignment="1" pivotButton="0" quotePrefix="0" xfId="1">
      <alignment vertical="center"/>
    </xf>
    <xf numFmtId="0" fontId="1" fillId="18" borderId="4" applyAlignment="1" pivotButton="0" quotePrefix="0" xfId="1">
      <alignment vertical="center"/>
    </xf>
    <xf numFmtId="0" fontId="1" fillId="19" borderId="4" applyAlignment="1" pivotButton="0" quotePrefix="0" xfId="1">
      <alignment vertical="center"/>
    </xf>
    <xf numFmtId="166" fontId="1" fillId="15" borderId="4" applyAlignment="1" pivotButton="0" quotePrefix="0" xfId="1">
      <alignment vertical="center"/>
    </xf>
    <xf numFmtId="4" fontId="1" fillId="15" borderId="4" applyAlignment="1" pivotButton="0" quotePrefix="0" xfId="1">
      <alignment vertical="center"/>
    </xf>
    <xf numFmtId="166" fontId="1" fillId="13" borderId="4" applyAlignment="1" pivotButton="0" quotePrefix="0" xfId="1">
      <alignment vertical="center" wrapText="1"/>
    </xf>
    <xf numFmtId="166" fontId="1" fillId="15" borderId="4" applyAlignment="1" pivotButton="0" quotePrefix="0" xfId="1">
      <alignment horizontal="left" vertical="center" wrapText="1"/>
    </xf>
    <xf numFmtId="0" fontId="1" fillId="0" borderId="0" applyAlignment="1" pivotButton="0" quotePrefix="0" xfId="1">
      <alignment vertical="center"/>
    </xf>
    <xf numFmtId="171" fontId="1" fillId="15" borderId="4" applyAlignment="1" pivotButton="0" quotePrefix="0" xfId="1">
      <alignment horizontal="left" vertical="center"/>
    </xf>
    <xf numFmtId="49" fontId="1" fillId="13" borderId="4" applyAlignment="1" pivotButton="0" quotePrefix="1" xfId="1">
      <alignment vertical="center"/>
    </xf>
    <xf numFmtId="168" fontId="12" fillId="15" borderId="4" applyAlignment="1" pivotButton="0" quotePrefix="0" xfId="3">
      <alignment vertical="center"/>
    </xf>
    <xf numFmtId="0" fontId="1" fillId="13" borderId="4" applyAlignment="1" pivotButton="0" quotePrefix="0" xfId="1">
      <alignment vertical="center" wrapText="1"/>
    </xf>
    <xf numFmtId="0" fontId="1" fillId="21" borderId="1" pivotButton="0" quotePrefix="0" xfId="1"/>
    <xf numFmtId="166" fontId="1" fillId="15" borderId="4" applyAlignment="1" pivotButton="0" quotePrefix="0" xfId="1">
      <alignment horizontal="left" vertical="center"/>
    </xf>
    <xf numFmtId="169" fontId="1" fillId="22" borderId="4" applyAlignment="1" pivotButton="0" quotePrefix="0" xfId="1">
      <alignment vertical="center"/>
    </xf>
    <xf numFmtId="168" fontId="12" fillId="20" borderId="4" applyAlignment="1" pivotButton="0" quotePrefix="0" xfId="3">
      <alignment vertical="center"/>
    </xf>
    <xf numFmtId="14" fontId="13" fillId="13" borderId="4" applyAlignment="1" pivotButton="0" quotePrefix="0" xfId="1">
      <alignment horizontal="left" vertical="center"/>
    </xf>
    <xf numFmtId="168" fontId="14" fillId="14" borderId="4" applyAlignment="1" pivotButton="0" quotePrefix="0" xfId="2">
      <alignment vertical="center"/>
    </xf>
    <xf numFmtId="49" fontId="7" fillId="13" borderId="4" applyAlignment="1" pivotButton="0" quotePrefix="0" xfId="1">
      <alignment vertical="center"/>
    </xf>
    <xf numFmtId="0" fontId="7" fillId="13" borderId="4" applyAlignment="1" pivotButton="0" quotePrefix="0" xfId="1">
      <alignment vertical="center"/>
    </xf>
    <xf numFmtId="169" fontId="7" fillId="13" borderId="4" applyAlignment="1" pivotButton="0" quotePrefix="0" xfId="1">
      <alignment vertical="center"/>
    </xf>
    <xf numFmtId="0" fontId="7" fillId="13" borderId="4" applyAlignment="1" pivotButton="0" quotePrefix="0" xfId="1">
      <alignment horizontal="left" vertical="center"/>
    </xf>
    <xf numFmtId="164" fontId="7" fillId="13" borderId="4" applyAlignment="1" pivotButton="0" quotePrefix="0" xfId="1">
      <alignment vertical="center"/>
    </xf>
    <xf numFmtId="170" fontId="7" fillId="13" borderId="4" applyAlignment="1" pivotButton="0" quotePrefix="0" xfId="1">
      <alignment vertical="center"/>
    </xf>
    <xf numFmtId="169" fontId="7" fillId="0" borderId="4" applyAlignment="1" pivotButton="0" quotePrefix="0" xfId="1">
      <alignment vertical="center"/>
    </xf>
    <xf numFmtId="166" fontId="7" fillId="13" borderId="4" applyAlignment="1" pivotButton="0" quotePrefix="0" xfId="1">
      <alignment vertical="center"/>
    </xf>
    <xf numFmtId="4" fontId="7" fillId="0" borderId="4" applyAlignment="1" pivotButton="0" quotePrefix="0" xfId="1">
      <alignment vertical="center"/>
    </xf>
    <xf numFmtId="10" fontId="7" fillId="0" borderId="4" applyAlignment="1" pivotButton="0" quotePrefix="0" xfId="1">
      <alignment vertical="center"/>
    </xf>
    <xf numFmtId="14" fontId="7" fillId="0" borderId="1" applyAlignment="1" pivotButton="0" quotePrefix="0" xfId="1">
      <alignment vertical="center"/>
    </xf>
    <xf numFmtId="0" fontId="7" fillId="0" borderId="1" pivotButton="0" quotePrefix="0" xfId="1"/>
    <xf numFmtId="0" fontId="7" fillId="0" borderId="0" pivotButton="0" quotePrefix="0" xfId="1"/>
    <xf numFmtId="10" fontId="7" fillId="0" borderId="0" pivotButton="0" quotePrefix="0" xfId="1"/>
    <xf numFmtId="169" fontId="1" fillId="19" borderId="4" applyAlignment="1" pivotButton="0" quotePrefix="0" xfId="1">
      <alignment vertical="center"/>
    </xf>
    <xf numFmtId="164" fontId="1" fillId="13" borderId="4" applyAlignment="1" pivotButton="0" quotePrefix="0" xfId="1">
      <alignment vertical="center" wrapText="1"/>
    </xf>
    <xf numFmtId="172" fontId="1" fillId="13" borderId="4" applyAlignment="1" pivotButton="0" quotePrefix="0" xfId="1">
      <alignment vertical="center" wrapText="1"/>
    </xf>
    <xf numFmtId="173" fontId="1" fillId="13" borderId="4" applyAlignment="1" pivotButton="0" quotePrefix="0" xfId="1">
      <alignment vertical="center" wrapText="1"/>
    </xf>
    <xf numFmtId="169" fontId="8" fillId="13" borderId="4" applyAlignment="1" pivotButton="0" quotePrefix="0" xfId="1">
      <alignment vertical="center"/>
    </xf>
    <xf numFmtId="169" fontId="1" fillId="13" borderId="4" applyAlignment="1" pivotButton="0" quotePrefix="0" xfId="1">
      <alignment horizontal="right" vertical="center"/>
    </xf>
    <xf numFmtId="169" fontId="5" fillId="13" borderId="4" applyAlignment="1" pivotButton="0" quotePrefix="0" xfId="1">
      <alignment vertical="center"/>
    </xf>
    <xf numFmtId="40" fontId="1" fillId="13" borderId="4" applyAlignment="1" pivotButton="0" quotePrefix="0" xfId="1">
      <alignment vertical="center"/>
    </xf>
    <xf numFmtId="169" fontId="1" fillId="23" borderId="4" applyAlignment="1" pivotButton="0" quotePrefix="0" xfId="1">
      <alignment vertical="center"/>
    </xf>
    <xf numFmtId="14" fontId="7" fillId="11" borderId="4" applyAlignment="1" pivotButton="0" quotePrefix="0" xfId="1">
      <alignment vertical="center"/>
    </xf>
    <xf numFmtId="0" fontId="7" fillId="11" borderId="4" applyAlignment="1" pivotButton="0" quotePrefix="0" xfId="1">
      <alignment vertical="center"/>
    </xf>
    <xf numFmtId="49" fontId="7" fillId="11" borderId="4" applyAlignment="1" pivotButton="0" quotePrefix="0" xfId="1">
      <alignment vertical="center"/>
    </xf>
    <xf numFmtId="49" fontId="7" fillId="11" borderId="4" applyAlignment="1" pivotButton="0" quotePrefix="0" xfId="1">
      <alignment vertical="center" wrapText="1"/>
    </xf>
    <xf numFmtId="0" fontId="7" fillId="11" borderId="4" applyAlignment="1" pivotButton="0" quotePrefix="0" xfId="1">
      <alignment horizontal="left" vertical="center"/>
    </xf>
    <xf numFmtId="40" fontId="7" fillId="11" borderId="4" applyAlignment="1" pivotButton="0" quotePrefix="0" xfId="1">
      <alignment vertical="center"/>
    </xf>
    <xf numFmtId="164" fontId="7" fillId="11" borderId="4" applyAlignment="1" pivotButton="0" quotePrefix="0" xfId="1">
      <alignment vertical="center"/>
    </xf>
    <xf numFmtId="169" fontId="7" fillId="11" borderId="4" applyAlignment="1" pivotButton="0" quotePrefix="0" xfId="1">
      <alignment vertical="center"/>
    </xf>
    <xf numFmtId="166" fontId="7" fillId="11" borderId="4" applyAlignment="1" pivotButton="0" quotePrefix="0" xfId="1">
      <alignment vertical="center"/>
    </xf>
    <xf numFmtId="4" fontId="7" fillId="11" borderId="4" applyAlignment="1" pivotButton="0" quotePrefix="0" xfId="1">
      <alignment vertical="center" wrapText="1"/>
    </xf>
    <xf numFmtId="10" fontId="7" fillId="11" borderId="4" applyAlignment="1" pivotButton="0" quotePrefix="0" xfId="1">
      <alignment vertical="center" wrapText="1"/>
    </xf>
    <xf numFmtId="4" fontId="7" fillId="5" borderId="4" applyAlignment="1" pivotButton="0" quotePrefix="0" xfId="1">
      <alignment vertical="center" wrapText="1"/>
    </xf>
    <xf numFmtId="49" fontId="7" fillId="5" borderId="4" applyAlignment="1" pivotButton="0" quotePrefix="0" xfId="1">
      <alignment vertical="center" wrapText="1"/>
    </xf>
    <xf numFmtId="49" fontId="1" fillId="5" borderId="4" applyAlignment="1" pivotButton="0" quotePrefix="0" xfId="1">
      <alignment vertical="center" wrapText="1"/>
    </xf>
    <xf numFmtId="14" fontId="1" fillId="0" borderId="5" applyAlignment="1" pivotButton="0" quotePrefix="0" xfId="1">
      <alignment vertical="center"/>
    </xf>
    <xf numFmtId="0" fontId="1" fillId="0" borderId="5" applyAlignment="1" pivotButton="0" quotePrefix="0" xfId="1">
      <alignment vertical="center"/>
    </xf>
    <xf numFmtId="49" fontId="1" fillId="0" borderId="5" applyAlignment="1" pivotButton="0" quotePrefix="0" xfId="1">
      <alignment vertical="center"/>
    </xf>
    <xf numFmtId="49" fontId="1" fillId="0" borderId="5" applyAlignment="1" pivotButton="0" quotePrefix="0" xfId="1">
      <alignment vertical="center" wrapText="1"/>
    </xf>
    <xf numFmtId="0" fontId="1" fillId="0" borderId="5" applyAlignment="1" pivotButton="0" quotePrefix="0" xfId="1">
      <alignment horizontal="left" vertical="center"/>
    </xf>
    <xf numFmtId="40" fontId="1" fillId="0" borderId="5" applyAlignment="1" pivotButton="0" quotePrefix="0" xfId="1">
      <alignment vertical="center"/>
    </xf>
    <xf numFmtId="164" fontId="1" fillId="0" borderId="5" applyAlignment="1" pivotButton="0" quotePrefix="0" xfId="1">
      <alignment vertical="center"/>
    </xf>
    <xf numFmtId="166" fontId="1" fillId="0" borderId="5" applyAlignment="1" pivotButton="0" quotePrefix="0" xfId="1">
      <alignment vertical="center"/>
    </xf>
    <xf numFmtId="4" fontId="1" fillId="0" borderId="5" applyAlignment="1" pivotButton="0" quotePrefix="0" xfId="1">
      <alignment vertical="center" wrapText="1"/>
    </xf>
    <xf numFmtId="10" fontId="1" fillId="0" borderId="5" applyAlignment="1" pivotButton="0" quotePrefix="0" xfId="1">
      <alignment vertical="center" wrapText="1"/>
    </xf>
    <xf numFmtId="174" fontId="1" fillId="0" borderId="1" applyAlignment="1" pivotButton="0" quotePrefix="0" xfId="1">
      <alignment vertical="center"/>
    </xf>
    <xf numFmtId="164" fontId="1" fillId="0" borderId="1" applyAlignment="1" pivotButton="0" quotePrefix="0" xfId="1">
      <alignment vertical="center"/>
    </xf>
    <xf numFmtId="166" fontId="1" fillId="0" borderId="1" applyAlignment="1" pivotButton="0" quotePrefix="0" xfId="1">
      <alignment vertical="center"/>
    </xf>
    <xf numFmtId="0" fontId="0" fillId="0" borderId="0" pivotButton="0" quotePrefix="0" xfId="0"/>
    <xf numFmtId="164" fontId="1" fillId="0" borderId="1" applyAlignment="1" pivotButton="0" quotePrefix="0" xfId="1">
      <alignment horizontal="left" vertical="center"/>
    </xf>
    <xf numFmtId="165" fontId="2" fillId="0" borderId="1" applyAlignment="1" pivotButton="0" quotePrefix="0" xfId="1">
      <alignment vertical="center"/>
    </xf>
    <xf numFmtId="165" fontId="7" fillId="3" borderId="1" applyAlignment="1" pivotButton="0" quotePrefix="0" xfId="1">
      <alignment vertical="center"/>
    </xf>
    <xf numFmtId="164" fontId="7" fillId="3" borderId="1" applyAlignment="1" pivotButton="0" quotePrefix="0" xfId="1">
      <alignment horizontal="left" vertical="center"/>
    </xf>
    <xf numFmtId="164" fontId="1" fillId="0" borderId="1" pivotButton="0" quotePrefix="0" xfId="1"/>
    <xf numFmtId="164" fontId="8" fillId="0" borderId="1" pivotButton="0" quotePrefix="0" xfId="1"/>
    <xf numFmtId="164" fontId="8" fillId="0" borderId="1" applyAlignment="1" pivotButton="0" quotePrefix="0" xfId="1">
      <alignment horizontal="left"/>
    </xf>
    <xf numFmtId="167" fontId="9" fillId="3" borderId="1" applyAlignment="1" pivotButton="0" quotePrefix="0" xfId="1">
      <alignment horizontal="right" vertical="center"/>
    </xf>
    <xf numFmtId="164" fontId="9" fillId="3" borderId="1" applyAlignment="1" pivotButton="0" quotePrefix="0" xfId="1">
      <alignment horizontal="left" vertical="center"/>
    </xf>
    <xf numFmtId="164" fontId="7" fillId="0" borderId="1" applyAlignment="1" pivotButton="0" quotePrefix="0" xfId="1">
      <alignment horizontal="left" vertical="center"/>
    </xf>
    <xf numFmtId="164" fontId="7" fillId="0" borderId="1" applyAlignment="1" pivotButton="0" quotePrefix="0" xfId="1">
      <alignment vertical="center"/>
    </xf>
    <xf numFmtId="167" fontId="1" fillId="0" borderId="1" applyAlignment="1" pivotButton="0" quotePrefix="0" xfId="1">
      <alignment vertical="center"/>
    </xf>
    <xf numFmtId="164" fontId="1" fillId="0" borderId="2" applyAlignment="1" pivotButton="0" quotePrefix="0" xfId="1">
      <alignment vertical="center"/>
    </xf>
    <xf numFmtId="164" fontId="5" fillId="0" borderId="2" applyAlignment="1" pivotButton="0" quotePrefix="0" xfId="1">
      <alignment vertical="center"/>
    </xf>
    <xf numFmtId="166" fontId="5" fillId="0" borderId="2" applyAlignment="1" pivotButton="0" quotePrefix="0" xfId="1">
      <alignment vertical="center"/>
    </xf>
    <xf numFmtId="164" fontId="7" fillId="8" borderId="4" applyAlignment="1" pivotButton="0" quotePrefix="0" xfId="1">
      <alignment horizontal="left" vertical="center"/>
    </xf>
    <xf numFmtId="166" fontId="7" fillId="7" borderId="4" applyAlignment="1" pivotButton="0" quotePrefix="0" xfId="1">
      <alignment vertical="center"/>
    </xf>
    <xf numFmtId="0" fontId="17" fillId="24" borderId="0" pivotButton="0" quotePrefix="0" xfId="0"/>
    <xf numFmtId="168" fontId="11" fillId="14" borderId="4" applyAlignment="1" pivotButton="0" quotePrefix="0" xfId="2">
      <alignment vertical="center"/>
    </xf>
    <xf numFmtId="169" fontId="1" fillId="13" borderId="4" applyAlignment="1" pivotButton="0" quotePrefix="0" xfId="1">
      <alignment vertical="center"/>
    </xf>
    <xf numFmtId="170" fontId="1" fillId="13" borderId="4" applyAlignment="1" pivotButton="0" quotePrefix="0" xfId="1">
      <alignment vertical="center"/>
    </xf>
    <xf numFmtId="169" fontId="1" fillId="0" borderId="4" applyAlignment="1" pivotButton="0" quotePrefix="0" xfId="1">
      <alignment vertical="center"/>
    </xf>
    <xf numFmtId="166" fontId="1" fillId="13" borderId="4" applyAlignment="1" pivotButton="0" quotePrefix="0" xfId="1">
      <alignment vertical="center"/>
    </xf>
    <xf numFmtId="0" fontId="0" fillId="25" borderId="0" pivotButton="0" quotePrefix="0" xfId="0"/>
    <xf numFmtId="164" fontId="1" fillId="15" borderId="4" applyAlignment="1" pivotButton="0" quotePrefix="0" xfId="1">
      <alignment vertical="center"/>
    </xf>
    <xf numFmtId="169" fontId="1" fillId="15" borderId="4" applyAlignment="1" pivotButton="0" quotePrefix="0" xfId="1">
      <alignment vertical="center"/>
    </xf>
    <xf numFmtId="170" fontId="1" fillId="15" borderId="4" applyAlignment="1" pivotButton="0" quotePrefix="0" xfId="1">
      <alignment vertical="center"/>
    </xf>
    <xf numFmtId="166" fontId="1" fillId="15" borderId="4" applyAlignment="1" pivotButton="0" quotePrefix="0" xfId="1">
      <alignment vertical="center" wrapText="1"/>
    </xf>
    <xf numFmtId="164" fontId="1" fillId="13" borderId="4" applyAlignment="1" pivotButton="0" quotePrefix="0" xfId="1">
      <alignment vertical="center"/>
    </xf>
    <xf numFmtId="169" fontId="1" fillId="17" borderId="4" applyAlignment="1" pivotButton="0" quotePrefix="0" xfId="1">
      <alignment vertical="center"/>
    </xf>
    <xf numFmtId="166" fontId="1" fillId="13" borderId="4" applyAlignment="1" pivotButton="0" quotePrefix="0" xfId="1">
      <alignment horizontal="left" vertical="center" wrapText="1"/>
    </xf>
    <xf numFmtId="166" fontId="1" fillId="15" borderId="4" applyAlignment="1" pivotButton="0" quotePrefix="0" xfId="1">
      <alignment vertical="center"/>
    </xf>
    <xf numFmtId="166" fontId="1" fillId="13" borderId="4" applyAlignment="1" pivotButton="0" quotePrefix="0" xfId="1">
      <alignment vertical="center" wrapText="1"/>
    </xf>
    <xf numFmtId="166" fontId="1" fillId="15" borderId="4" applyAlignment="1" pivotButton="0" quotePrefix="0" xfId="1">
      <alignment horizontal="left" vertical="center" wrapText="1"/>
    </xf>
    <xf numFmtId="171" fontId="1" fillId="15" borderId="4" applyAlignment="1" pivotButton="0" quotePrefix="0" xfId="1">
      <alignment horizontal="left" vertical="center"/>
    </xf>
    <xf numFmtId="168" fontId="12" fillId="15" borderId="4" applyAlignment="1" pivotButton="0" quotePrefix="0" xfId="3">
      <alignment vertical="center"/>
    </xf>
    <xf numFmtId="166" fontId="1" fillId="15" borderId="4" applyAlignment="1" pivotButton="0" quotePrefix="0" xfId="1">
      <alignment horizontal="left" vertical="center"/>
    </xf>
    <xf numFmtId="169" fontId="1" fillId="22" borderId="4" applyAlignment="1" pivotButton="0" quotePrefix="0" xfId="1">
      <alignment vertical="center"/>
    </xf>
    <xf numFmtId="168" fontId="12" fillId="20" borderId="4" applyAlignment="1" pivotButton="0" quotePrefix="0" xfId="3">
      <alignment vertical="center"/>
    </xf>
    <xf numFmtId="168" fontId="14" fillId="14" borderId="4" applyAlignment="1" pivotButton="0" quotePrefix="0" xfId="2">
      <alignment vertical="center"/>
    </xf>
    <xf numFmtId="169" fontId="7" fillId="13" borderId="4" applyAlignment="1" pivotButton="0" quotePrefix="0" xfId="1">
      <alignment vertical="center"/>
    </xf>
    <xf numFmtId="164" fontId="7" fillId="13" borderId="4" applyAlignment="1" pivotButton="0" quotePrefix="0" xfId="1">
      <alignment vertical="center"/>
    </xf>
    <xf numFmtId="170" fontId="7" fillId="13" borderId="4" applyAlignment="1" pivotButton="0" quotePrefix="0" xfId="1">
      <alignment vertical="center"/>
    </xf>
    <xf numFmtId="169" fontId="7" fillId="0" borderId="4" applyAlignment="1" pivotButton="0" quotePrefix="0" xfId="1">
      <alignment vertical="center"/>
    </xf>
    <xf numFmtId="166" fontId="7" fillId="13" borderId="4" applyAlignment="1" pivotButton="0" quotePrefix="0" xfId="1">
      <alignment vertical="center"/>
    </xf>
    <xf numFmtId="169" fontId="1" fillId="19" borderId="4" applyAlignment="1" pivotButton="0" quotePrefix="0" xfId="1">
      <alignment vertical="center"/>
    </xf>
    <xf numFmtId="164" fontId="1" fillId="13" borderId="4" applyAlignment="1" pivotButton="0" quotePrefix="0" xfId="1">
      <alignment vertical="center" wrapText="1"/>
    </xf>
    <xf numFmtId="172" fontId="1" fillId="13" borderId="4" applyAlignment="1" pivotButton="0" quotePrefix="0" xfId="1">
      <alignment vertical="center" wrapText="1"/>
    </xf>
    <xf numFmtId="173" fontId="1" fillId="13" borderId="4" applyAlignment="1" pivotButton="0" quotePrefix="0" xfId="1">
      <alignment vertical="center" wrapText="1"/>
    </xf>
    <xf numFmtId="169" fontId="8" fillId="13" borderId="4" applyAlignment="1" pivotButton="0" quotePrefix="0" xfId="1">
      <alignment vertical="center"/>
    </xf>
    <xf numFmtId="0" fontId="0" fillId="26" borderId="0" pivotButton="0" quotePrefix="0" xfId="0"/>
    <xf numFmtId="4" fontId="0" fillId="0" borderId="0" pivotButton="0" quotePrefix="0" xfId="0"/>
    <xf numFmtId="169" fontId="1" fillId="13" borderId="4" applyAlignment="1" pivotButton="0" quotePrefix="0" xfId="1">
      <alignment horizontal="right" vertical="center"/>
    </xf>
    <xf numFmtId="0" fontId="0" fillId="27" borderId="0" pivotButton="0" quotePrefix="0" xfId="0"/>
    <xf numFmtId="169" fontId="5" fillId="13" borderId="4" applyAlignment="1" pivotButton="0" quotePrefix="0" xfId="1">
      <alignment vertical="center"/>
    </xf>
    <xf numFmtId="169" fontId="1" fillId="23" borderId="4" applyAlignment="1" pivotButton="0" quotePrefix="0" xfId="1">
      <alignment vertical="center"/>
    </xf>
    <xf numFmtId="164" fontId="7" fillId="11" borderId="4" applyAlignment="1" pivotButton="0" quotePrefix="0" xfId="1">
      <alignment vertical="center"/>
    </xf>
    <xf numFmtId="169" fontId="7" fillId="11" borderId="4" applyAlignment="1" pivotButton="0" quotePrefix="0" xfId="1">
      <alignment vertical="center"/>
    </xf>
    <xf numFmtId="166" fontId="7" fillId="11" borderId="4" applyAlignment="1" pivotButton="0" quotePrefix="0" xfId="1">
      <alignment vertical="center"/>
    </xf>
    <xf numFmtId="164" fontId="1" fillId="0" borderId="5" applyAlignment="1" pivotButton="0" quotePrefix="0" xfId="1">
      <alignment vertical="center"/>
    </xf>
    <xf numFmtId="166" fontId="1" fillId="0" borderId="5" applyAlignment="1" pivotButton="0" quotePrefix="0" xfId="1">
      <alignment vertical="center"/>
    </xf>
    <xf numFmtId="174" fontId="1" fillId="0" borderId="1" applyAlignment="1" pivotButton="0" quotePrefix="0" xfId="1">
      <alignment vertical="center"/>
    </xf>
  </cellXfs>
  <cellStyles count="4">
    <cellStyle name="常规" xfId="0" builtinId="0"/>
    <cellStyle name="常规 2" xfId="1"/>
    <cellStyle name="好 2" xfId="2"/>
    <cellStyle name="差 2" xfId="3"/>
  </cellStyles>
  <dxfs count="35">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bottom style="thin">
          <color theme="0" tint="-0.249977111117893"/>
        </bottom>
      </border>
    </dxf>
    <dxf>
      <border>
        <left style="thin">
          <color theme="0" tint="-0.249977111117893"/>
        </left>
        <right style="thin">
          <color theme="0" tint="-0.249977111117893"/>
        </right>
        <bottom style="thin">
          <color theme="0" tint="-0.249977111117893"/>
        </bottom>
      </border>
    </dxf>
    <dxf>
      <border>
        <left style="thin">
          <color theme="0" tint="-0.249977111117893"/>
        </left>
        <right style="thin">
          <color theme="0" tint="-0.249977111117893"/>
        </right>
        <bottom style="thin">
          <color theme="0" tint="-0.249977111117893"/>
        </bottom>
      </border>
    </dxf>
    <dxf>
      <border>
        <left style="thin">
          <color theme="0" tint="-0.249977111117893"/>
        </left>
        <right style="thin">
          <color theme="0" tint="-0.249977111117893"/>
        </right>
        <bottom style="thin">
          <color theme="0" tint="-0.249977111117893"/>
        </bottom>
      </border>
    </dxf>
    <dxf>
      <border>
        <left style="thin">
          <color theme="0" tint="-0.249977111117893"/>
        </left>
        <right style="thin">
          <color theme="0" tint="-0.249977111117893"/>
        </right>
        <bottom style="thin">
          <color theme="0" tint="-0.249977111117893"/>
        </bottom>
      </border>
    </dxf>
    <dxf>
      <border>
        <left style="thin">
          <color theme="0" tint="-0.249977111117893"/>
        </left>
        <right style="thin">
          <color theme="0" tint="-0.249977111117893"/>
        </right>
        <bottom style="thin">
          <color theme="0" tint="-0.249977111117893"/>
        </bottom>
      </border>
    </dxf>
    <dxf>
      <border>
        <left style="thin">
          <color theme="0" tint="-0.249977111117893"/>
        </left>
        <right style="thin">
          <color theme="0" tint="-0.249977111117893"/>
        </right>
        <bottom style="thin">
          <color theme="0" tint="-0.249977111117893"/>
        </bottom>
      </border>
    </dxf>
    <dxf>
      <border>
        <left style="thin">
          <color theme="0" tint="-0.249977111117893"/>
        </left>
        <right style="thin">
          <color theme="0" tint="-0.249977111117893"/>
        </right>
        <bottom style="thin">
          <color theme="0" tint="-0.249977111117893"/>
        </bottom>
      </border>
    </dxf>
    <dxf>
      <border>
        <left style="thin">
          <color theme="0" tint="-0.249977111117893"/>
        </left>
        <right style="thin">
          <color theme="0" tint="-0.249977111117893"/>
        </right>
        <bottom style="thin">
          <color theme="0" tint="-0.249977111117893"/>
        </bottom>
      </border>
    </dxf>
    <dxf>
      <border>
        <left style="thin">
          <color theme="0" tint="-0.249977111117893"/>
        </left>
        <right style="thin">
          <color theme="0" tint="-0.249977111117893"/>
        </right>
        <bottom style="thin">
          <color theme="0" tint="-0.249977111117893"/>
        </bottom>
      </border>
    </dxf>
    <dxf>
      <font>
        <color rgb="FFFF0000"/>
      </font>
      <fill>
        <patternFill patternType="solid">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pivotCacheDefinition" Target="/xl/pivotCache/pivotCacheDefinition1.xml" Id="rId3" /><Relationship Type="http://schemas.openxmlformats.org/officeDocument/2006/relationships/pivotCacheDefinition" Target="/xl/pivotCache/pivotCacheDefinition2.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Jane L</author>
    <author>Jim Lu</author>
  </authors>
  <commentList>
    <comment ref="Z41" authorId="0" shapeId="0">
      <text>
        <t xml:space="preserve">Jane L:
挂杆配件+亚克力条
</t>
      </text>
    </comment>
    <comment ref="AZ56" authorId="0" shapeId="0">
      <text>
        <t xml:space="preserve">Jane L:
3个订单合并
</t>
      </text>
    </comment>
    <comment ref="M144" authorId="0" shapeId="0">
      <text>
        <t>Jane L:
120为桌面雕刻费</t>
      </text>
    </comment>
    <comment ref="R233" authorId="0" shapeId="0">
      <text>
        <t xml:space="preserve">Jane L:
岩板破损补发
</t>
      </text>
    </comment>
    <comment ref="R234" authorId="0" shapeId="0">
      <text>
        <t xml:space="preserve">Jane L:
岩板破损补发
</t>
      </text>
    </comment>
    <comment ref="R273" authorId="0" shapeId="0">
      <text>
        <t xml:space="preserve">Jane L:
</t>
      </text>
    </comment>
    <comment ref="L283" authorId="0" shapeId="0">
      <text>
        <t>Jane L:
运到江西</t>
      </text>
    </comment>
    <comment ref="P344" authorId="1" shapeId="0">
      <text>
        <t>Jim Lu:
定了两次洞洞板，第一次师傅说打孔位置不行</t>
      </text>
    </comment>
    <comment ref="R356" authorId="0" shapeId="0">
      <text>
        <t>Jane L:
岩板破损补发</t>
      </text>
    </comment>
    <comment ref="G406" authorId="0" shapeId="0">
      <text>
        <t xml:space="preserve">工厂现货发
</t>
      </text>
    </comment>
    <comment ref="L473" authorId="0" shapeId="0">
      <text>
        <t xml:space="preserve">退货后作为库存
</t>
      </text>
    </comment>
    <comment ref="AL493" authorId="0" shapeId="0">
      <text>
        <t>Jane L:
陶陶开始发货用纸片</t>
      </text>
    </comment>
    <comment ref="L495" authorId="0" shapeId="0">
      <text>
        <t xml:space="preserve">江西维修费100元
</t>
      </text>
    </comment>
    <comment ref="G514" authorId="0" shapeId="0">
      <text>
        <t xml:space="preserve">470钱款已转陆振达微信
</t>
      </text>
    </comment>
  </commentList>
</comment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1" refreshedBy="Jim Lu" refreshedDate="46176.03599953704" createdVersion="8" refreshedVersion="8" minRefreshableVersion="3" recordCount="634" r:id="rId1">
  <cacheSource type="worksheet">
    <worksheetSource ref="A42:BL676" sheet="订单记录"/>
  </cacheSource>
  <cacheFields count="67">
    <cacheField name="下单时间" uniqueList="1" numFmtId="14" sqlType="0" hierarchy="0" level="0" databaseField="1">
      <sharedItems count="469" containsBlank="1" containsDate="1" containsNonDate="0" containsString="0" minDate="2023-05-28T00:00:00" maxDate="2026-04-28T00:00:00">
        <d v="2025-01-02T00:00:00"/>
        <d v="2025-01-03T00:00:00"/>
        <d v="2025-01-07T00:00:00"/>
        <d v="2025-01-08T00:00:00"/>
        <d v="2025-01-10T00:00:00"/>
        <d v="2025-01-11T00:00:00"/>
        <d v="2025-01-12T00:00:00"/>
        <d v="2025-01-13T00:00:00"/>
        <d v="2025-01-15T00:00:00"/>
        <d v="2025-01-18T00:00:00"/>
        <d v="2025-01-21T00:00:00"/>
        <d v="2025-01-22T00:00:00"/>
        <d v="2025-02-02T00:00:00"/>
        <d v="2025-02-04T00:00:00"/>
        <d v="2025-02-05T00:00:00"/>
        <d v="2025-02-06T00:00:00"/>
        <d v="2025-02-07T00:00:00"/>
        <d v="2025-02-12T00:00:00"/>
        <d v="2025-02-13T00:00:00"/>
        <d v="2025-02-15T00:00:00"/>
        <d v="2025-02-17T00:00:00"/>
        <d v="2025-02-19T00:00:00"/>
        <d v="2025-02-22T00:00:00"/>
        <d v="2025-02-23T00:00:00"/>
        <d v="2025-02-24T00:00:00"/>
        <d v="2025-02-25T00:00:00"/>
        <d v="2025-02-28T00:00:00"/>
        <d v="2025-03-04T00:00:00"/>
        <d v="2025-03-05T00:00:00"/>
        <d v="2025-03-06T00:00:00"/>
        <d v="2025-03-07T00:00:00"/>
        <d v="2025-03-08T00:00:00"/>
        <d v="2025-03-09T00:00:00"/>
        <d v="2025-03-11T00:00:00"/>
        <d v="2025-03-12T00:00:00"/>
        <d v="2025-03-15T00:00:00"/>
        <d v="2025-03-16T00:00:00"/>
        <d v="2025-03-18T00:00:00"/>
        <d v="2025-03-19T00:00:00"/>
        <d v="2025-03-22T00:00:00"/>
        <d v="2025-03-23T00:00:00"/>
        <d v="2025-03-24T00:00:00"/>
        <d v="2025-03-25T00:00:00"/>
        <d v="2025-03-26T00:00:00"/>
        <d v="2025-03-27T00:00:00"/>
        <d v="2025-03-28T00:00:00"/>
        <d v="2025-03-30T00:00:00"/>
        <d v="2025-04-01T00:00:00"/>
        <d v="2025-04-03T00:00:00"/>
        <d v="2025-04-04T00:00:00"/>
        <d v="2025-04-06T00:00:00"/>
        <d v="2025-04-07T00:00:00"/>
        <d v="2025-04-09T00:00:00"/>
        <d v="2025-04-14T00:00:00"/>
        <d v="2025-04-15T00:00:00"/>
        <d v="2025-04-16T00:00:00"/>
        <d v="2025-04-17T00:00:00"/>
        <d v="2025-04-19T00:00:00"/>
        <d v="2025-04-21T00:00:00"/>
        <d v="2025-05-03T00:00:00"/>
        <d v="2025-05-01T00:00:00"/>
        <d v="2025-05-07T00:00:00"/>
        <d v="2025-05-13T00:00:00"/>
        <d v="2025-05-16T00:00:00"/>
        <d v="2025-05-18T00:00:00"/>
        <d v="2025-05-21T00:00:00"/>
        <d v="2025-05-23T00:00:00"/>
        <d v="2025-05-27T00:00:00"/>
        <d v="2025-05-28T00:00:00"/>
        <d v="2025-06-01T00:00:00"/>
        <d v="2025-06-04T00:00:00"/>
        <d v="2025-06-09T00:00:00"/>
        <d v="2025-06-13T00:00:00"/>
        <d v="2025-06-14T00:00:00"/>
        <d v="2025-06-15T00:00:00"/>
        <d v="2025-06-16T00:00:00"/>
        <d v="2025-06-17T00:00:00"/>
        <d v="2025-06-18T00:00:00"/>
        <d v="2025-06-19T00:00:00"/>
        <d v="2025-06-20T00:00:00"/>
        <d v="2025-06-21T00:00:00"/>
        <d v="2025-06-24T00:00:00"/>
        <d v="2025-06-30T00:00:00"/>
        <d v="2025-07-08T00:00:00"/>
        <d v="2025-07-10T00:00:00"/>
        <d v="2025-07-11T00:00:00"/>
        <d v="2025-07-12T00:00:00"/>
        <d v="2025-07-17T00:00:00"/>
        <d v="2025-07-18T00:00:00"/>
        <d v="2025-07-19T00:00:00"/>
        <d v="2025-07-22T00:00:00"/>
        <d v="2025-07-23T00:00:00"/>
        <d v="2025-07-24T00:00:00"/>
        <d v="2025-07-26T00:00:00"/>
        <d v="2025-07-27T00:00:00"/>
        <d v="2025-08-01T00:00:00"/>
        <d v="2025-08-02T00:00:00"/>
        <d v="2025-08-03T00:00:00"/>
        <d v="2025-08-04T00:00:00"/>
        <d v="2025-08-05T00:00:00"/>
        <d v="2025-08-07T00:00:00"/>
        <d v="2025-08-09T00:00:00"/>
        <d v="2025-08-10T00:00:00"/>
        <d v="2025-08-12T00:00:00"/>
        <d v="2025-08-13T00:00:00"/>
        <d v="2025-08-15T00:00:00"/>
        <d v="2025-08-16T00:00:00"/>
        <d v="2025-08-18T00:00:00"/>
        <d v="2025-08-19T00:00:00"/>
        <d v="2025-08-21T00:00:00"/>
        <d v="2025-08-22T00:00:00"/>
        <d v="2025-08-24T00:00:00"/>
        <d v="2025-08-25T00:00:00"/>
        <d v="2025-08-27T00:00:00"/>
        <d v="2025-08-28T00:00:00"/>
        <d v="2025-08-29T00:00:00"/>
        <d v="2025-08-31T00:00:00"/>
        <d v="2025-09-05T00:00:00"/>
        <d v="2025-09-07T00:00:00"/>
        <d v="2025-09-08T00:00:00"/>
        <d v="2025-09-12T00:00:00"/>
        <d v="2025-09-13T00:00:00"/>
        <d v="2025-09-14T00:00:00"/>
        <d v="2025-09-16T00:00:00"/>
        <d v="2025-09-17T00:00:00"/>
        <d v="2025-09-18T00:00:00"/>
        <d v="2025-09-20T00:00:00"/>
        <d v="2025-09-21T00:00:00"/>
        <d v="2025-09-22T00:00:00"/>
        <d v="2025-09-23T00:00:00"/>
        <d v="2025-09-25T00:00:00"/>
        <d v="2025-09-26T00:00:00"/>
        <d v="2025-09-28T00:00:00"/>
        <d v="2025-09-30T00:00:00"/>
        <d v="2025-10-02T00:00:00"/>
        <d v="2025-10-08T00:00:00"/>
        <d v="2025-10-09T00:00:00"/>
        <d v="2025-10-12T00:00:00"/>
        <d v="2025-10-16T00:00:00"/>
        <d v="2025-10-17T00:00:00"/>
        <d v="2025-10-19T00:00:00"/>
        <d v="2025-10-20T00:00:00"/>
        <d v="2025-10-21T00:00:00"/>
        <d v="2025-10-22T00:00:00"/>
        <d v="2025-10-23T00:00:00"/>
        <d v="2025-10-24T00:00:00"/>
        <d v="2025-10-25T00:00:00"/>
        <d v="2025-10-26T00:00:00"/>
        <d v="2025-10-27T00:00:00"/>
        <d v="2025-10-28T20:25:37"/>
        <d v="2025-10-28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6T00:00:00"/>
        <d v="2025-11-17T00:00:00"/>
        <d v="2025-11-18T00:00:00"/>
        <d v="2025-11-19T00:00:00"/>
        <d v="2025-11-20T00:00:00"/>
        <d v="2025-11-22T00:00:00"/>
        <d v="2025-11-23T00:00:00"/>
        <d v="2025-11-25T00:00:00"/>
        <d v="2025-11-26T00:00:00"/>
        <d v="2025-11-28T00:00:00"/>
        <d v="2025-11-29T00:00:00"/>
        <d v="2025-11-30T00:00:00"/>
        <d v="2025-12-02T00:00:00"/>
        <d v="2025-12-08T00:00:00"/>
        <d v="2025-12-09T00:00:00"/>
        <d v="2025-12-10T00:00:00"/>
        <d v="2025-12-11T00:00:00"/>
        <d v="2025-12-12T00:00:00"/>
        <d v="2025-12-13T00:00:00"/>
        <d v="2025-12-14T00:00:00"/>
        <d v="2025-12-15T00:00:00"/>
        <d v="2025-12-16T00:00:00"/>
        <d v="2025-12-17T00:00:00"/>
        <d v="2025-12-20T00:00:00"/>
        <d v="2025-12-21T00:00:00"/>
        <d v="2025-12-22T00:00:00"/>
        <d v="2025-12-23T00:00:00"/>
        <d v="2025-12-24T00:00:00"/>
        <d v="2025-12-25T00:00:00"/>
        <d v="2025-12-26T00:00:00"/>
        <d v="2025-12-28T00:00:00"/>
        <d v="2025-12-29T00:00:00"/>
        <d v="2025-12-30T00:00:00"/>
        <d v="2026-01-01T00:00:00"/>
        <d v="2026-01-02T00:00:00"/>
        <d v="2026-01-03T00:00:00"/>
        <d v="2026-01-04T00:00:00"/>
        <d v="2026-01-05T00:00:00"/>
        <d v="2026-01-06T00:00:00"/>
        <d v="2026-01-07T00:00:00"/>
        <d v="2026-01-08T00:00:00"/>
        <d v="2026-01-09T00:00:00"/>
        <d v="2026-01-13T00:00:00"/>
        <d v="2026-01-14T00:00:00"/>
        <d v="2026-01-16T00:00:00"/>
        <d v="2026-01-17T00:00:00"/>
        <d v="2026-01-18T00:00:00"/>
        <d v="2026-01-20T00:00:00"/>
        <d v="2026-01-21T00:00:00"/>
        <d v="2026-01-22T00:00:00"/>
        <d v="2026-01-23T00:00:00"/>
        <d v="2026-01-24T00:00:00"/>
        <d v="2026-01-27T00:00:00"/>
        <d v="2026-01-28T00:00:00"/>
        <d v="2026-01-29T00:00:00"/>
        <d v="2026-01-30T00:00:00"/>
        <d v="2026-02-01T00:00:00"/>
        <d v="2026-02-03T00:00:00"/>
        <d v="2026-02-04T00:00:00"/>
        <d v="2026-02-05T00:00:00"/>
        <d v="2026-02-06T00:00:00"/>
        <d v="2026-02-07T00:00:00"/>
        <d v="2026-02-08T00:00:00"/>
        <d v="2026-02-09T00:00:00"/>
        <d v="2026-02-11T00:00:00"/>
        <d v="2026-02-14T00:00:00"/>
        <d v="2026-02-23T00:00:00"/>
        <d v="2026-02-24T00:00:00"/>
        <d v="2026-02-25T00:00:00"/>
        <d v="2026-02-26T00:00:00"/>
        <d v="2026-02-28T00:00:00"/>
        <d v="2026-03-01T00:00:00"/>
        <d v="2026-03-02T00:00:00"/>
        <d v="2026-03-03T00:00:00"/>
        <d v="2026-03-04T00:00:00"/>
        <d v="2026-03-06T00:00:00"/>
        <d v="2026-03-07T00:00:00"/>
        <d v="2026-03-05T00:00:00"/>
        <d v="2026-03-08T00:00:00"/>
        <m/>
        <d v="2026-03-13T00:00:00"/>
        <d v="2026-03-15T19:06:42"/>
        <d v="2026-03-15T00:00:00"/>
        <d v="2026-03-18T00:00:00"/>
        <d v="2026-03-23T00:00:00"/>
        <d v="2026-03-24T00:00:00"/>
        <d v="2026-03-25T00:00:00"/>
        <d v="2026-03-28T00:00:00"/>
        <d v="2026-03-29T00:00:00"/>
        <d v="2026-03-30T00:00:00"/>
        <d v="2026-03-31T00:00:00"/>
        <d v="2026-04-07T00:00:00"/>
        <d v="2026-04-08T00:00:00"/>
        <d v="2026-04-12T00:00:00"/>
        <d v="2026-04-10T00:00:00"/>
        <d v="2026-04-15T00:00:00"/>
        <d v="2026-04-16T00:00:00"/>
        <d v="2026-04-17T00:00:00"/>
        <d v="2026-04-19T00:00:00"/>
        <d v="2026-04-21T00:00:00"/>
        <d v="2026-04-23T00:00:00"/>
        <d v="2026-04-25T00:00:00"/>
        <d v="2026-04-26T00:00:00"/>
        <d v="2026-04-27T00:00:00"/>
        <d v="2025-07-20T00:00:00" u="1"/>
        <d v="2025-02-18T00:00:00" u="1"/>
        <d v="2025-10-14T00:00:00" u="1"/>
        <d v="2023-05-28T00:00:00" u="1"/>
        <d v="2023-05-29T00:00:00" u="1"/>
        <d v="2023-06-01T00:00:00" u="1"/>
        <d v="2023-06-03T00:00:00" u="1"/>
        <d v="2023-06-14T00:00:00" u="1"/>
        <d v="2023-06-15T00:00:00" u="1"/>
        <d v="2023-06-16T00:00:00" u="1"/>
        <d v="2023-06-17T00:00:00" u="1"/>
        <d v="2023-06-18T00:00:00" u="1"/>
        <d v="2023-06-20T00:00:00" u="1"/>
        <d v="2023-06-21T00:00:00" u="1"/>
        <d v="2023-06-23T00:00:00" u="1"/>
        <d v="2023-06-24T00:00:00" u="1"/>
        <d v="2023-06-26T00:00:00" u="1"/>
        <d v="2023-06-27T00:00:00" u="1"/>
        <d v="2023-06-29T00:00:00" u="1"/>
        <d v="2023-07-02T00:00:00" u="1"/>
        <d v="2023-07-03T00:00:00" u="1"/>
        <d v="2023-07-07T00:00:00" u="1"/>
        <d v="2023-07-18T00:00:00" u="1"/>
        <d v="2023-07-20T00:00:00" u="1"/>
        <d v="2023-07-28T00:00:00" u="1"/>
        <d v="2023-07-29T00:00:00" u="1"/>
        <d v="2023-07-30T00:00:00" u="1"/>
        <d v="2023-08-02T00:00:00" u="1"/>
        <d v="2023-09-08T00:00:00" u="1"/>
        <d v="2023-08-11T00:00:00" u="1"/>
        <d v="2023-08-13T00:00:00" u="1"/>
        <d v="2023-08-15T00:00:00" u="1"/>
        <d v="2023-08-31T00:00:00" u="1"/>
        <d v="2023-09-02T00:00:00" u="1"/>
        <d v="2023-09-11T00:00:00" u="1"/>
        <d v="2023-09-13T00:00:00" u="1"/>
        <d v="2023-09-16T00:00:00" u="1"/>
        <d v="2023-09-17T00:00:00" u="1"/>
        <d v="2023-09-20T00:00:00" u="1"/>
        <d v="2023-09-24T00:00:00" u="1"/>
        <d v="2023-10-03T00:00:00" u="1"/>
        <d v="2023-10-04T00:00:00" u="1"/>
        <d v="2023-10-05T00:00:00" u="1"/>
        <d v="2023-10-06T00:00:00" u="1"/>
        <d v="2023-10-07T00:00:00" u="1"/>
        <d v="2023-10-10T00:00:00" u="1"/>
        <d v="2023-10-12T00:00:00" u="1"/>
        <d v="2023-10-13T00:00:00" u="1"/>
        <d v="2023-10-16T00:00:00" u="1"/>
        <d v="2023-10-18T00:00:00" u="1"/>
        <d v="2023-10-20T00:00:00" u="1"/>
        <d v="2023-10-21T00:00:00" u="1"/>
        <d v="2023-10-31T00:00:00" u="1"/>
        <d v="2023-11-01T00:00:00" u="1"/>
        <d v="2023-11-02T00:00:00" u="1"/>
        <d v="2023-11-03T00:00:00" u="1"/>
        <d v="2023-11-04T00:00:00" u="1"/>
        <d v="2023-11-05T00:00:00" u="1"/>
        <d v="2023-11-08T00:00:00" u="1"/>
        <d v="2023-11-10T00:00:00" u="1"/>
        <d v="2023-11-11T00:00:00" u="1"/>
        <d v="2023-11-28T00:00:00" u="1"/>
        <d v="2023-11-29T00:00:00" u="1"/>
        <d v="2023-11-30T00:00:00" u="1"/>
        <d v="2023-12-02T00:00:00" u="1"/>
        <d v="2023-12-06T00:00:00" u="1"/>
        <d v="2023-12-07T00:00:00" u="1"/>
        <d v="2023-12-09T00:00:00" u="1"/>
        <d v="2023-12-10T00:00:00" u="1"/>
        <d v="2023-12-12T00:00:00" u="1"/>
        <d v="2023-12-13T00:00:00" u="1"/>
        <d v="2023-12-14T00:00:00" u="1"/>
        <d v="2023-12-21T00:00:00" u="1"/>
        <d v="2023-12-22T00:00:00" u="1"/>
        <d v="2023-12-23T00:00:00" u="1"/>
        <d v="2023-12-25T00:00:00" u="1"/>
        <d v="2023-12-30T00:00:00" u="1"/>
        <d v="2024-01-05T00:00:00" u="1"/>
        <d v="2024-01-06T00:00:00" u="1"/>
        <d v="2024-01-09T00:00:00" u="1"/>
        <d v="2024-01-29T00:00:00" u="1"/>
        <d v="2024-02-04T00:00:00" u="1"/>
        <d v="2024-03-04T00:00:00" u="1"/>
        <d v="2024-03-05T00:00:00" u="1"/>
        <d v="2024-03-06T00:00:00" u="1"/>
        <d v="2024-03-07T00:00:00" u="1"/>
        <d v="2024-03-08T00:00:00" u="1"/>
        <d v="2024-03-10T00:00:00" u="1"/>
        <d v="2024-03-11T00:00:00" u="1"/>
        <d v="2024-03-12T00:00:00" u="1"/>
        <d v="2024-03-14T00:00:00" u="1"/>
        <d v="2024-03-15T00:00:00" u="1"/>
        <d v="2024-03-16T00:00:00" u="1"/>
        <d v="2024-03-19T00:00:00" u="1"/>
        <d v="2024-03-21T00:00:00" u="1"/>
        <d v="2024-03-24T00:00:00" u="1"/>
        <d v="2024-03-25T00:00:00" u="1"/>
        <d v="2024-03-26T00:00:00" u="1"/>
        <d v="2024-03-27T00:00:00" u="1"/>
        <d v="2024-04-03T00:00:00" u="1"/>
        <d v="2024-04-14T00:00:00" u="1"/>
        <d v="2024-04-17T00:00:00" u="1"/>
        <d v="2024-04-18T00:00:00" u="1"/>
        <d v="2024-04-27T00:00:00" u="1"/>
        <d v="2024-04-28T00:00:00" u="1"/>
        <d v="2024-05-13T00:00:00" u="1"/>
        <d v="2024-05-21T00:00:00" u="1"/>
        <d v="2024-05-24T00:00:00" u="1"/>
        <d v="2024-05-26T00:00:00" u="1"/>
        <d v="2024-05-27T00:00:00" u="1"/>
        <d v="2024-05-28T00:00:00" u="1"/>
        <d v="2024-05-29T00:00:00" u="1"/>
        <d v="2024-06-01T00:00:00" u="1"/>
        <d v="2024-06-02T00:00:00" u="1"/>
        <d v="2024-06-03T00:00:00" u="1"/>
        <d v="2024-06-04T00:00:00" u="1"/>
        <d v="2024-06-07T00:00:00" u="1"/>
        <d v="2024-06-08T00:00:00" u="1"/>
        <d v="2024-06-09T00:00:00" u="1"/>
        <d v="2024-06-13T00:00:00" u="1"/>
        <d v="2024-06-16T00:00:00" u="1"/>
        <d v="2024-06-18T00:00:00" u="1"/>
        <d v="2024-06-20T00:00:00" u="1"/>
        <d v="2024-07-10T00:00:00" u="1"/>
        <d v="2024-07-19T00:00:00" u="1"/>
        <d v="2024-07-24T00:00:00" u="1"/>
        <d v="2024-07-31T00:00:00" u="1"/>
        <d v="2024-08-12T00:00:00" u="1"/>
        <d v="2024-08-17T00:00:00" u="1"/>
        <d v="2024-08-19T00:00:00" u="1"/>
        <d v="2024-08-25T00:00:00" u="1"/>
        <d v="2024-08-26T00:00:00" u="1"/>
        <d v="2024-09-07T00:00:00" u="1"/>
        <d v="2024-09-08T00:00:00" u="1"/>
        <d v="2024-09-14T00:00:00" u="1"/>
        <d v="2024-09-20T00:00:00" u="1"/>
        <d v="2024-09-21T00:00:00" u="1"/>
        <d v="2024-09-25T00:00:00" u="1"/>
        <d v="2024-09-27T00:00:00" u="1"/>
        <d v="2024-10-01T00:00:00" u="1"/>
        <d v="2024-10-04T00:00:00" u="1"/>
        <d v="2024-10-09T00:00:00" u="1"/>
        <d v="2024-10-10T00:00:00" u="1"/>
        <d v="2024-10-14T00:00:00" u="1"/>
        <d v="2024-10-15T00:00:00" u="1"/>
        <d v="2024-10-16T00:00:00" u="1"/>
        <d v="2024-10-18T00:00:00" u="1"/>
        <d v="2024-10-19T00:00:00" u="1"/>
        <d v="2024-10-20T00:00:00" u="1"/>
        <d v="2024-10-21T00:00:00" u="1"/>
        <d v="2024-10-22T00:00:00" u="1"/>
        <d v="2024-10-23T00:00:00" u="1"/>
        <d v="2024-10-24T00:00:00" u="1"/>
        <d v="2024-10-27T00:00:00" u="1"/>
        <d v="2024-10-30T00:00:00" u="1"/>
        <d v="2024-10-31T00:00:00" u="1"/>
        <d v="2024-11-01T00:00:00" u="1"/>
        <d v="2024-11-02T00:00:00" u="1"/>
        <d v="2024-11-04T00:00:00" u="1"/>
        <d v="2024-11-06T00:00:00" u="1"/>
        <d v="2024-11-07T00:00:00" u="1"/>
        <d v="2024-11-08T00:00:00" u="1"/>
        <d v="2024-11-09T00:00:00" u="1"/>
        <d v="2024-11-10T00:00:00" u="1"/>
        <d v="2024-11-11T00:00:00" u="1"/>
        <d v="2024-11-13T00:00:00" u="1"/>
        <d v="2024-11-15T00:00:00" u="1"/>
        <d v="2024-11-16T00:00:00" u="1"/>
        <d v="2024-11-21T00:00:00" u="1"/>
        <d v="2024-11-23T00:00:00" u="1"/>
        <d v="2024-11-24T00:00:00" u="1"/>
        <d v="2024-11-26T00:00:00" u="1"/>
        <d v="2024-11-27T00:00:00" u="1"/>
        <d v="2024-11-29T00:00:00" u="1"/>
        <d v="2024-11-30T00:00:00" u="1"/>
        <d v="2024-12-01T00:00:00" u="1"/>
        <d v="2024-12-04T00:00:00" u="1"/>
        <d v="2024-12-05T00:00:00" u="1"/>
        <d v="2024-12-06T00:00:00" u="1"/>
        <d v="2024-12-07T00:00:00" u="1"/>
        <d v="2024-12-08T00:00:00" u="1"/>
        <d v="2024-12-09T00:00:00" u="1"/>
        <d v="2024-12-11T00:00:00" u="1"/>
        <d v="2024-12-12T00:00:00" u="1"/>
        <d v="2024-12-13T00:00:00" u="1"/>
        <d v="2024-12-14T00:00:00" u="1"/>
        <d v="2024-12-17T00:00:00" u="1"/>
        <d v="2024-12-19T00:00:00" u="1"/>
        <d v="2024-12-20T00:00:00" u="1"/>
        <d v="2024-12-22T00:00:00" u="1"/>
        <d v="2024-12-23T00:00:00" u="1"/>
        <d v="2024-12-24T00:00:00" u="1"/>
        <d v="2024-12-25T00:00:00" u="1"/>
        <d v="2024-12-26T00:00:00" u="1"/>
        <d v="2024-12-27T00:00:00" u="1"/>
        <d v="2025-04-02T00:00:00" u="1"/>
        <d v="2023-12-03T00:00:00" u="1"/>
        <d v="2024-11-05T00:00:00" u="1"/>
      </sharedItems>
      <fieldGroup par="66"/>
    </cacheField>
    <cacheField name="订单状态" uniqueList="1" numFmtId="0" sqlType="0" hierarchy="0" level="0" databaseField="1">
      <sharedItems count="0" containsBlank="1"/>
    </cacheField>
    <cacheField name="订单编号" uniqueList="1" numFmtId="49" sqlType="0" hierarchy="0" level="0" databaseField="1">
      <sharedItems count="976" containsBlank="1">
        <s v="4188362256822840314"/>
        <s v="4189655378140898211"/>
        <s v="4194464581207703023"/>
        <s v="2434415196469020951"/>
        <s v="2437280294123497978"/>
        <s v="4198524480570660217"/>
        <s v="4199714859843183507"/>
        <s v="4201423670829327439"/>
        <s v="2440984801713865851"/>
        <s v="2443571942606194763"/>
        <s v="2443497960963633060"/>
        <s v="4205908980690127225"/>
        <s v="4212578414312307316"/>
        <s v="2449623471695194272_x000a_2474547890505194272"/>
        <s v="2450664192671194272"/>
        <s v="2455794122232796758"/>
        <s v="4219241761048127225"/>
        <s v="4220756859706036044"/>
        <s v="2457826537019769870"/>
        <s v="4221458319291293932"/>
        <s v="2457947751416389683"/>
        <s v="4224115441455164930"/>
        <s v="2465587707209040275"/>
        <s v="4229536934396727449"/>
        <s v="4237734926263367845"/>
        <s v="2470075035963769870"/>
        <s v="2472268404657361765"/>
        <s v="3836690209026259538"/>
        <s v="2475930109279018364"/>
        <s v="2476406137101431288"/>
        <s v="4242527496528443244"/>
        <s v="2477420222284908495"/>
        <s v="4243799089138297716"/>
        <s v="4248322203263223405"/>
        <s v="4253006991866515844"/>
        <s v="2487616536606006086"/>
        <s v="4254271203977463835"/>
        <s v="2489611802335418055"/>
        <s v="4256408485953503038"/>
        <s v="4256996186507659814"/>
        <s v="2491247784207265250"/>
        <s v="4258795141352759326"/>
        <s v="2491940714754460056"/>
        <s v="4261809278853893135"/>
        <s v="2498039005704365166"/>
        <s v="2498412612251020886"/>
        <s v="4266274177185591234"/>
        <s v="4267294310334579044"/>
        <s v="4267108009842534503"/>
        <s v="2501645484948556694"/>
        <s v="2501750678269683659"/>
        <s v="2502828337751731567"/>
        <s v="4270703076089677809"/>
        <s v="4272738159694403130"/>
        <s v="2507040841116417481"/>
        <s v="2507920933320711398"/>
        <s v="2507242332351111585"/>
        <s v="2507463876424111585"/>
        <s v="4275888336746434127"/>
        <s v="4277572347353875902"/>
        <s v="4278801566206989926"/>
        <s v="4279235833499286423"/>
        <s v="4279515048968286423"/>
        <s v="4279402837029500549"/>
        <s v="2511883848333357899"/>
        <s v="2512708861489474265"/>
        <s v="2513235325476258466"/>
        <s v="2515408356519648755"/>
        <s v="4285807167380220435"/>
        <s v="4288529522838077625"/>
        <s v="4288839625202367737"/>
        <s v="4290836292118972631"/>
        <s v="2522287489024393797"/>
        <s v="4292639571283541410"/>
        <s v="4292124842052179613"/>
        <s v="4294317096636955039"/>
        <s v="4294602252278156045"/>
        <s v="4301246162128646345"/>
        <s v="2531508170164940173"/>
        <s v="2531029731479940173"/>
        <s v="4304030007248935911"/>
        <s v="4304276388107230730"/>
        <s v="4304393712669935911"/>
        <s v="4307999222573347608"/>
        <s v="2538036051332427289"/>
        <s v="2549048773128116570"/>
        <s v="4321637065842596637"/>
        <s v="2555723821784972165"/>
        <s v="4391748864422223405"/>
        <s v="4340705076373951010"/>
        <s v="2567708726466810854"/>
        <s v="2568314533240134565"/>
        <s v="2567842574763215275"/>
        <s v="2567938191344525077"/>
        <s v="2570695827681809986"/>
        <s v="4349166949811358113"/>
        <s v="2576819175877920187"/>
        <s v="2577710930842633079"/>
        <s v="2584800627058853266"/>
        <s v="4360288863946581626"/>
        <s v="2611795440204512190"/>
        <s v="4365977906407605641"/>
        <s v="2590520199862214699"/>
        <s v="2590124953979294357"/>
        <s v="2595896220277631661"/>
        <s v="4397177991629821109"/>
        <s v="4378503493203959116"/>
        <s v="2602167891014881656"/>
        <s v="2608275180604207296"/>
        <s v="4385826938000656000"/>
        <s v="4369733928678123817"/>
        <s v="2612533477684521872"/>
        <s v="2611965686619521872"/>
        <s v="2611918598403512190"/>
        <s v="4388151891512083503  4387728493120083503"/>
        <s v="4387013569762069929   4387086973368069929   2610510927354548573  2610913442416548573"/>
        <s v="2611510862435774457"/>
        <s v="4387258548731296616"/>
        <s v="4389154706062722936"/>
        <s v="4397071320910934938"/>
        <s v="2612946255183028471"/>
        <s v="2613409107778504458"/>
        <s v="2615325745764257399"/>
        <s v="4394280531812125427"/>
        <s v="4393971903227265822"/>
        <s v="4393482805198963549"/>
        <s v="2618001086371603292"/>
        <s v="2617814931937603292"/>
        <s v="2618108367380124264"/>
        <s v="4397620932758818005"/>
        <s v="2620018383473935652"/>
        <s v="4397891655342861633"/>
        <s v="2620643556167471270"/>
        <s v="2621548488649521872"/>
        <s v="2626561669627771776"/>
        <s v="2806684896045714861"/>
        <s v="4606805486162332040"/>
        <s v="2807695777143058273"/>
        <s v="2819964975824127989"/>
        <s v="4623524894183212321"/>
        <s v="2824293072107737468"/>
        <s v="2823699903775617583"/>
        <s v="4625677188195996849"/>
        <s v="2823966552061496360"/>
        <s v="4635418069906417215"/>
        <s v="2836400379682254163"/>
        <s v="2836912334073082291"/>
        <s v="2837909715358786675"/>
        <s v="4640273568695129940"/>
        <s v="4645557648596959014"/>
        <s v="2843111139207648265"/>
        <s v="2844803928414797769"/>
        <s v="4649893093082433503"/>
        <s v="2847008028687462250"/>
        <s v="4653202143004081504"/>
        <s v="2850725424720730171"/>
        <s v="4661931314570857434"/>
        <s v="4663393239167905827"/>
        <s v="2859737161775351486"/>
        <s v="2860926672808521872"/>
        <s v="2861164995604134257"/>
        <s v="2862523020679362582"/>
        <s v="4668641678876832005"/>
        <s v="2866982774920013894"/>
        <s v="2865848916011992459"/>
        <s v="2866821062218193873"/>
        <s v="2867408616966475858"/>
        <s v="4676040003803393217"/>
        <s v="4690353243151865337"/>
        <s v="2874717519082446657"/>
        <s v="4681631559783738238"/>
        <s v="4682100744200873811"/>
        <s v="4684973366467768726"/>
        <s v="4687742703719787021"/>
        <s v="4689677919510774407"/>
        <s v="4690411380523809921"/>
        <s v="2883435168256012988"/>
        <s v="4690590842008053335"/>
        <s v="4690326924289032829"/>
        <s v="4691841195398554023"/>
        <s v="2888009581942895598"/>
        <s v="2888774760040160554"/>
        <s v="2889078780100944455"/>
        <s v="4697347969001018837"/>
        <s v="4700485119752857434"/>
        <s v="2893873155990653178"/>
        <s v="4702682701058982801"/>
        <s v="2898497751980739958"/>
        <s v="4706761863858390237"/>
        <s v="4706978365732600709"/>
        <s v="4708162153774132019"/>
        <s v="2899538401952196265"/>
        <s v="2901628994012391078"/>
        <s v="4709453619093468620"/>
        <s v="4711940535665317940"/>
        <s v="4712981076588727532"/>
        <s v="2912746621955611350"/>
        <s v="4726908468232190938"/>
        <s v="4727104059722016831"/>
        <s v="4728028572979122417"/>
        <s v="4728864602716256925"/>
        <s v="2928133633634161181"/>
        <s v="2930891271508261293"/>
        <s v="2934024243298161467"/>
        <s v="4742081172444903127"/>
        <s v="2936560117108873397"/>
        <s v="2937365835518235075"/>
        <s v="4750362253536193937"/>
        <s v="2940273122944836689"/>
        <s v="4752171000017145848"/>
        <s v="4757824044136352532"/>
        <s v="4759014601776106931"/>
        <s v="4759840226742767536"/>
        <s v="4761220358242320800"/>
        <s v="4763495844238072932"/>
        <s v="2953107878322311190"/>
        <s v="4768093584709324422"/>
        <s v="2957850411929168683"/>
        <s v="2959087729378488377"/>
        <s v="2962715702424031288"/>
        <s v="4778827094251668102"/>
        <s v="4783637738411518816"/>
        <s v="2981858919693314350"/>
        <s v="2984038357052230079"/>
        <s v="2984305584237507393"/>
        <s v="2990417197413801359"/>
        <s v="4811295528968834503"/>
        <s v="4812050163529386607"/>
        <s v="4813574328987483440"/>
        <s v="4813964715909180833"/>
        <s v="3000336098468337182"/>
        <s v="3005208590940284195"/>
        <s v="3006890258636258786"/>
        <s v="3007071554811672280"/>
        <s v="3007103666293230079"/>
        <s v="3007104314255873493"/>
        <s v="4822124187441670649"/>
        <s v="4822397496198976032"/>
        <s v="4822177611954243041"/>
        <s v="4822488324526702834"/>
        <s v="3007597944028761478"/>
        <s v="4822339647161487538"/>
        <s v="3007656048739781876"/>
        <s v="3007668793657479471"/>
        <s v="4822510897910487538"/>
        <s v="3007733089387828787"/>
        <s v="3007866216793091692"/>
        <s v="4822683771552864507"/>
        <s v="4822926120424338015"/>
        <s v="3008084844987357151"/>
        <s v="4822942825566386327"/>
        <s v="4822748354525180833"/>
        <s v="4822871835346129940"/>
        <s v="4823089704225386327"/>
        <s v="4823514036265974044"/>
        <s v="3008617536330005651"/>
        <s v="3007047147919996770"/>
        <s v="4822098229722147525"/>
        <s v="3007612705483994284"/>
        <s v="3007682402226824475"/>
        <s v="4823566632099261921"/>
        <s v="3008435594385114781"/>
        <s v="3009416053164568877"/>
        <s v="3009213338060568877"/>
        <s v="4824310611874202406"/>
        <s v="3009966350563657394"/>
        <s v="3010073919334756580"/>
        <s v="3010645923820003850"/>
        <s v="4825879165598059438"/>
        <s v="4825832546662106931"/>
        <s v="4823779287541123021"/>
        <s v="3011907001330375988"/>
        <s v="3012335652479815057"/>
        <s v="3012328308546815057"/>
        <s v="4827338246936523448"/>
        <s v="4827434762056700229"/>
        <s v="4827688489835700229"/>
        <s v="4828570092557670025"/>
        <s v="4828654584036532836"/>
        <s v="3013504680299507393"/>
        <s v="4828882933195113032"/>
        <s v="4828671614755113032"/>
        <s v="4829348592810492434"/>
        <s v="3014726916568082291"/>
        <s v="3014620575231372667"/>
        <s v="4830191136625573414"/>
        <s v="4830150709166573414"/>
        <s v="4831111585701199506"/>
        <s v="4831288272671492434"/>
        <s v="4828695519583053214"/>
        <s v="4831772869641170608"/>
        <s v="3017278813822624661"/>
        <s v="3016793965259618396"/>
        <s v="3016837633122618396"/>
        <s v="3016879862979415756"/>
        <s v="3017497226906174293"/>
        <s v="4832796711733483440"/>
        <s v="3017742961728999599"/>
        <s v="4833493923177053214"/>
        <s v="4834888779843053214"/>
        <s v="4833755245177634116"/>
        <s v="3018451800024902673"/>
        <s v="4834553619832279641"/>
        <s v="3019456598256279480"/>
        <s v="4835965933674278004"/>
        <s v="4835859591277938329"/>
        <s v="4835882234024582702"/>
        <s v="4836212676540513340"/>
        <s v="3021275858465391972"/>
        <s v="3021648458805031288"/>
        <s v="3022397113920682080"/>
        <s v="3022982508210329895"/>
        <s v="4839508695539599318"/>
        <s v="3022657644421682080"/>
        <s v="3024459373540946191"/>
        <s v="P777183096112160281"/>
        <s v="3026464971311071672"/>
        <s v="3026993845617140768"/>
        <s v="4845898188836554415"/>
        <s v="3029805878318372574"/>
        <s v="3030290688676445374"/>
        <s v="3030330757980445374"/>
        <s v="3031147524813233558"/>
        <s v="4848841044448474218"/>
        <s v="4849737804159331701"/>
        <s v="4849810236087901508"/>
        <s v="3033424093952714150"/>
        <s v="3034365998638154650"/>
        <s v="3034330107239116961"/>
        <s v="4851725186722288310"/>
        <s v="3037282790929005651"/>
        <s v="3037305651665869569"/>
        <s v="4854509355272282730"/>
        <s v="4858105140425490240"/>
        <s v="4858171057146490240"/>
        <s v="3041225907838640891"/>
        <s v="3041775732111467396"/>
        <s v="3041503323909467396"/>
        <s v="3041930605766894682"/>
        <s v="4859235037949885643"/>
        <s v="4859150151134571805"/>
        <s v="4859607745231320800"/>
        <s v="3043347061134373655"/>
        <s v="3043411971580060888"/>
        <s v="3043704615516645288"/>
        <s v="4863126925527946918"/>
        <s v="4863072998235328524"/>
        <s v="3045858711597756378"/>
        <s v="3046828766271933564"/>
        <s v="3047816282307713084"/>
        <s v="3048100465538713084"/>
        <s v="4865301183501483326"/>
        <s v="3048420468952579758"/>
        <s v="4868040528254208729"/>
        <s v="3050781637737483287"/>
        <s v="3050834125964873551"/>
        <s v="3051663063060263596"/>
        <s v="3051660507739263596"/>
        <s v="4870333800158259538"/>
        <s v="3052561226288059455"/>
        <s v="4871737335768941236"/>
        <s v="3054249482602788358"/>
        <s v="4872402183293049141"/>
        <s v="3055037414612092963"/>
        <s v="4873592377128930109"/>
        <s v="3055457355359207296"/>
        <s v="4873599577469930109"/>
        <s v="4874185801635993306"/>
        <s v="4874189943628890528"/>
        <s v="3057139056361511074"/>
        <s v="3057235608330627656"/>
        <s v="4875055094191354028"/>
        <s v="4875433920491354028"/>
        <s v="4875481081000424447"/>
        <s v="3057560472733772170"/>
        <s v="4875168278346424447"/>
        <s v="4875692185702429200"/>
        <s v="3057490310386136577"/>
        <s v="3057973860108645288"/>
        <s v="4875631239075205606"/>
        <s v="4875654027502809205"/>
        <s v="3058037400160928591"/>
        <s v="3058058353165945066"/>
        <s v="3057774135007509266"/>
        <s v="4876802533571938447"/>
        <s v="3059438703883079777"/>
        <s v="3057664227238991077"/>
        <s v="4878166501663034707"/>
        <s v="3061974901843987868"/>
        <s v="3062137944631846472"/>
        <s v="4880763722429255426"/>
        <s v="3063287785186682080"/>
        <s v="4881708936487332847"/>
        <s v="4881569295019687329"/>
        <s v="4882198356154069633"/>
        <s v="3063759674666207296"/>
        <s v="4882138815862109119"/>
        <s v="4882152207004291024"/>
        <s v="3064157977962140768"/>
        <s v="4882565268143375432"/>
        <s v="3066562309660861358"/>
        <s v="3067763271725079777"/>
        <s v="3069341040913750195"/>
        <s v="3071517747432185996"/>
        <s v="4891892079892930109"/>
        <s v="3073448892608208482"/>
        <s v="3072972507984745954"/>
        <s v="3079908265091349078"/>
        <s v="3080384079017473898"/>
        <s v="4901273641321987728"/>
        <s v="4901278969642424447"/>
        <s v="3085052376502040593"/>
        <s v="3086531906650777990"/>
        <s v="4909704156748536725"/>
        <s v="3090117938820214473"/>
        <s v="3092848107311946383"/>
        <s v="3093596364937409865"/>
        <s v="4914242029745081504"/>
        <s v="3093811215968071672"/>
        <s v="3094748186825510397"/>
        <s v="4918528765919893645"/>
        <s v="3108940680843940965"/>
        <s v="4930686182984355515"/>
        <s v="4931373384906685131"/>
        <s v="4931308621633047840"/>
        <s v="3109989973532579758"/>
        <s v="3110497500918285752"/>
        <s v="3108761511707887474"/>
        <s v="3110785250216569668"/>
        <s v="3111874430079426188"/>
        <s v="3111972351242426188"/>
        <s v="4936271943100042707"/>
        <s v="4937277495658382945"/>
        <s v="4937702042084317940"/>
        <s v="4939678728056795307"/>
        <s v="4940160014231786804"/>
        <s v="3118906129158184654"/>
        <s v="4940945821211022100"/>
        <s v="3119188153916165881"/>
        <s v="3120419893540777990"/>
        <s v="3120884257095963388"/>
        <s v="4942839386408156045"/>
        <s v="4943411893833531537"/>
        <s v="3121378502395763582"/>
        <s v="4945380807625846927"/>
        <s v="3123388561504793765"/>
        <s v="3123401881550963388"/>
        <s v="4945830013696219714"/>
        <s v="4947148728233397336"/>
        <s v="4947693589721064411"/>
        <s v="3126563940757467160"/>
        <s v="4949625601525833947"/>
        <s v="3128012292109777990"/>
        <s v="4950625357011307336"/>
        <s v="3128000522271136577"/>
        <s v="4950891614891920524"/>
        <s v="4950934346651262003"/>
        <s v="4956938571030913425"/>
        <s v="4959945288785429200"/>
        <s v="4959807519645068429"/>
        <s v="3136826319636553677"/>
        <s v="4961243594720153845"/>
        <s v="4963154076916866211"/>
        <s v="4964338586285215505"/>
        <s v="4964348379801215505"/>
        <s v="4964669065069438449"/>
        <s v="3141867432329505999"/>
        <s v="3141444291511505999"/>
        <s v="4965587642045735316"/>
        <s v="4965855194589262003"/>
        <s v="4968819505682852141"/>
        <s v="4969851879068428342"/>
        <s v="3149814399247284195"/>
        <s v="3151845624287845760"/>
        <s v="4978716375859757806"/>
        <s v="3157620602485981799"/>
        <s v="4983533066552262003"/>
        <s v="4984000778244567335"/>
        <s v="4985427204183101600"/>
        <s v="4986838191069952344"/>
        <s v="4988088144143486210"/>
        <s v="4987718031735486210"/>
        <s v="3164065860408317861"/>
        <s v="3164150282495397568"/>
        <s v="4990013425203542801"/>
        <s v="4990031641055288812"/>
        <s v="4989824067248652338"/>
        <s v="4989894699795421412"/>
        <s v="4990170637230542801"/>
        <s v="3165874608994317861"/>
        <s v="4991084856872350815"/>
        <s v="3165436383028317861"/>
        <s v="3165893474916067281"/>
        <s v="4991585078567434638"/>
        <s v="4991917070620599318"/>
        <s v="3167716587976018674"/>
        <s v="4993673832187542801"/>
        <s v="4994143959230373921"/>
        <s v="3169278769829196979"/>
        <s v="4995592202924677822"/>
        <s v="3172029097699819070"/>
        <s v="3172166004686819070"/>
        <s v="4997951317507007620"/>
        <s v="3172307955753650759"/>
        <s v="4999357982989757806"/>
        <s v="5006964457246559512"/>
        <s v="5006684883318893645"/>
        <s v="3183374785161228259"/>
        <s v="3183055466322228259"/>
        <s v="5010629978069402623"/>
        <s v="5011051610701893645"/>
        <s v="5014980578413738833"/>
        <s v="3189157969460122797"/>
        <s v="3191241577891136577"/>
        <s v="3191937999081328361"/>
        <s v="3192328453352328361"/>
        <s v="4501892844011032422"/>
        <s v="3197452513852358180"/>
        <s v="5024996031837328524"/>
        <s v="5025466658667930109"/>
        <s v="4501921538004004444"/>
        <s v="3199584147190452461"/>
        <s v="5026632338838185740"/>
        <s v="5027333185397558820"/>
        <s v="3200411607023537598"/>
        <s v="5029369020904827125"/>
        <s v="3202379943842031288"/>
        <s v="5031838945681405710"/>
        <s v="5037298850227109543"/>
        <s v="3210721863514837177"/>
        <s v="4501950915006003129"/>
        <s v="5040340743989871343"/>
        <s v="5042317143656174229"/>
        <s v="5042656586427904820"/>
        <s v="3216580141454373795"/>
        <s v="3216820440209373795"/>
        <s v="3220492980714123160"/>
        <s v="5050714790901666440"/>
        <s v="5052881700882748539"/>
        <s v="3228579588367470981"/>
        <s v="5054605236050522517"/>
        <s v="5055809833074573722"/>
        <s v="3232442641297998281"/>
        <s v="3232689493377181868"/>
        <s v="5057665887396012427"/>
        <s v="3235315081363137151"/>
        <s v="3237283527071219897"/>
        <s v="3237427526674188360"/>
        <s v="3238671434751243175"/>
        <s v="5066556590318232018"/>
        <s v="5067945110722719629"/>
        <s v="3248154662394180074"/>
        <s v="3257202795193869669"/>
        <s v="5081789124695917014"/>
        <s v="5083434002324457345"/>
        <s v="5084240367586752233"/>
        <s v="3266810259621794192"/>
        <s v="3268154210078181868"/>
        <s v="5067510123159336731"/>
        <s v="4502100350037038917"/>
        <s v="3053342172697207296"/>
        <s v="3055054080688207296"/>
        <s v="3272741655326142166"/>
        <s v="3274413278563132798"/>
        <s v="3279834589882916087"/>
        <s v="4502117883011106046"/>
        <s v="4502092320085015720"/>
        <s v="3284205097563943655"/>
        <s v="4502136961008037825"/>
        <s v="2701720670055012279"/>
        <s v="3284279186334888852"/>
        <s v="4502117053076082343"/>
        <s v="2701731578017177085"/>
        <s v="2701765705060014262"/>
        <s v="4502164863031117545"/>
        <s v="2701764732105174571"/>
        <s v="4502194095129027306"/>
        <s v="2701820065192001871"/>
        <s v="2701761996112039168"/>
        <s v="2701763150105115054"/>
        <s v="4502191826181029839"/>
        <s v="4502177316184015146"/>
        <s v="2701791878046047055"/>
        <s v="2701780466041081656"/>
        <s v="4502196684031016909"/>
        <s v="2701782483053020292"/>
        <s v="2701790688076021583"/>
        <s v="3301125783549079861"/>
        <s v="2701794507113038872"/>
        <s v="2701792164107024670"/>
        <s v="2701785972125073392"/>
        <s v="2701796989142000555"/>
        <s v="4502214072127009415"/>
        <s v="备货"/>
        <s v="2701791662157048276"/>
        <s v="4502250111156062835"/>
        <s v="2701817403146008173"/>
        <s v="4502255436167008824"/>
        <s v="4502258100171049431"/>
        <s v="4502252772196043049"/>
        <s v="4502277614107110819"/>
        <s v="2701837345019001767"/>
        <s v="4502300401005030412"/>
        <s v="4502289638016036132"/>
        <s v="4502290357027043141"/>
        <s v="4502295900033001531"/>
        <s v="2701849657028016669"/>
        <s v="4502316817007060327"/>
        <s v="2701852502048050474"/>
        <s v="4502313686095021915"/>
        <s v="4502310771110033538"/>
        <s v="4502307205105103822"/>
        <s v="2701851492140020684"/>
        <s v="2701871510031025482"/>
        <s v="3297759996216072459"/>
        <s v="3297443054244029653"/>
        <s v="5111225679759002307"/>
        <s v="5112223848540017018"/>
        <s v="5115783241340027720"/>
        <s v="5112276194329029734"/>
        <s v="3298648729849018797"/>
        <m/>
        <s v="2701764696097011053" u="1"/>
        <s v="4502219078085063730" u="1"/>
        <s v="2449623471695194272/2450664192671194272/2474547890505194272" u="1"/>
        <s v="2531508170164940173_x000a_2531029731479940173" u="1"/>
        <s v="2612533477684521872   2611965686619521872" u="1"/>
        <s v="4642694354907393217" u="1"/>
        <s v="2958024000608031288" u="1"/>
        <s v="4822923673210982801" u="1"/>
        <s v="2993766819668238851" u="1"/>
        <s v="4819519585922060731" u="1"/>
        <s v="3007544811624409865" u="1"/>
        <s v="4823140142726153845" u="1"/>
        <s v="4824712801398982801" u="1"/>
        <s v="4829794452109803006" u="1"/>
        <s v="4889930544590913425" u="1"/>
        <s v="4932405684369794043" u="1"/>
        <s v="3367686421354151603" u="1"/>
        <s v="3369410787333043553" u="1"/>
        <s v="3374870439519913956" u="1"/>
        <s v="3374461189598242825" u="1"/>
        <s v="1905694575029785676" u="1"/>
        <s v="1911946800057712377" u="1"/>
        <s v="3395716303318825040" u="1"/>
        <s v="3396619548413714116" u="1"/>
        <s v="1916435317615712377" u="1"/>
        <s v="3399660362668870216" u="1"/>
        <s v="1917638223336728898" u="1"/>
        <s v="1916411340867365161" u="1"/>
        <s v="3401193890716021219" u="1"/>
        <s v="3404594090284714116" u="1"/>
        <s v="1919032143010303461" u="1"/>
        <s v="3405291516264416237" u="1"/>
        <s v="3390676056183416237" u="1"/>
        <s v="3408200065039303461" u="1"/>
        <s v="1921095159589789175" u="1"/>
        <s v="1921315729525789175" u="1"/>
        <s v="1912872363733922194" u="1"/>
        <s v="1921675333999922194" u="1"/>
        <s v="1922015280641495673" u="1"/>
        <s v="3412713170661890741" u="1"/>
        <s v="3415913535507914843" u="1"/>
        <s v="3415706317251914843" u="1"/>
        <s v="3415432897042360344" u="1"/>
        <s v="1925501952591495673" u="1"/>
        <s v="1926210938551495673" u="1"/>
        <s v="1926093183771173570" u="1"/>
        <s v="3421275446589029207" u="1"/>
        <s v="3424874616700678639" u="1"/>
        <s v="3440817291961418053" u="1"/>
        <s v="3440047248674418053" u="1"/>
        <s v="1936740650115342692" u="1"/>
        <s v="3453217452547375727" u="1"/>
        <s v="1941597482736168878" u="1"/>
        <s v="3455273880889448753" u="1"/>
        <s v="3459833389126745954" u="1"/>
        <s v="3513043621117745954" u="1"/>
        <s v="3472693670789191838" u="1"/>
        <s v="3475459371167141340" u="1"/>
        <s v="3477381228528360344" u="1"/>
        <s v="1961851191483765389" u="1"/>
        <s v="1965430093643765389" u="1"/>
        <s v="3490920615967435815" u="1"/>
        <s v="3490648705144435815" u="1"/>
        <s v="3503041707411546228" u="1"/>
        <s v="3503175950595574914" u="1"/>
        <s v="1967275452256093670" u="1"/>
        <s v="1969948741528170380" u="1"/>
        <s v="3520199340297192658" u="1"/>
        <s v="3519864974446574914" u="1"/>
        <s v="3524010483557592707" u="1"/>
        <s v="3526238450051592707" u="1"/>
        <s v="3529854757062300748" u="1"/>
        <s v="3536986682933445802" u="1"/>
        <s v="3548522127576863702" u="1"/>
        <s v="3550194542005526229" u="1"/>
        <s v="1985235603473201387" u="1"/>
        <s v="1985092392951920494" u="1"/>
        <s v="3553887206362136106" u="1"/>
        <s v="1987449530486627682" u="1"/>
        <s v="3519864974446574914/3503175950595574914" u="1"/>
        <s v="3561291504063192658" u="1"/>
        <s v="3562208316723462724" u="1"/>
        <s v="3565296936738574914" u="1"/>
        <s v="3571276890279351131" u="1"/>
        <s v="3572927352818134565" u="1"/>
        <s v="3575151038403917656" u="1"/>
        <s v="3591556986487296532" u="1"/>
        <s v="2006069332620714382" u="1"/>
        <s v="3592743006193938434" u="1"/>
        <s v="3592989759980462724" u="1"/>
        <s v="3592755288693589324" u="1"/>
        <s v="2007851702853306854" u="1"/>
        <s v="2007903074807859967" u="1"/>
        <s v="3596167587281806376" u="1"/>
        <s v="3594797534894118760" u="1"/>
        <s v="样品" u="1"/>
        <s v="3599222077326995439" u="1"/>
        <s v="2008990956834919392" u="1"/>
        <s v="2009337024909004197" u="1"/>
        <s v="3599876630340927146" u="1"/>
        <s v="3607261094438080666" u="1"/>
        <s v="3613090934271462724" u="1"/>
        <s v="3613633488908618948" u="1"/>
        <s v="3618988948372077547" u="1"/>
        <s v="3620720235769095985" u="1"/>
        <s v="3622827817770927146" u="1"/>
        <s v="3625222609296649048" u="1"/>
        <s v="3623773752319080666" u="1"/>
        <s v="3650683610664225739" u="1"/>
        <s v="3650156172252225739" u="1"/>
        <s v="3650691350563225739" u="1"/>
        <s v="3657737127511618948/3613633488908618948/3828923246559618948" u="1"/>
        <s v="3664466462305983706" u="1"/>
        <s v="3664578711878983706" u="1"/>
        <s v="2030230164047450093/2030930257042450093/2031401425703450093/2032504069162450093" u="1"/>
        <s v="3670964786284872914" u="1"/>
        <s v="3671298074408539819" u="1"/>
        <s v="3667528261636763247" u="1"/>
        <s v="3670883353705861012" u="1"/>
        <s v="2031103452993045998" u="1"/>
        <s v="3676417490233722080" u="1"/>
        <s v="3677920958008695956" u="1"/>
        <s v="2031888720988294192" u="1"/>
        <s v="3681166898483649538" u="1"/>
        <s v="3681292248577644916" u="1"/>
        <s v="3697765741934938434" u="1"/>
        <s v="2034927519631927389" u="1"/>
        <s v="3700228464823711754" u="1"/>
        <s v="3670058232468591750" u="1"/>
        <s v="2036284898882949188" u="1"/>
        <s v="3712204659244592707" u="1"/>
        <s v="2039206514379845186" u="1"/>
        <s v="2041887432578213688" u="1"/>
        <s v="3722014911302619734" u="1"/>
        <s v="3727153731250061171" u="1"/>
        <s v="3760437927708407527" u="1"/>
        <s v="3769381478654054706" u="1"/>
        <s v="2060759461456118380" u="1"/>
        <s v="3787513265933650738" u="1"/>
        <s v="2060338731637118083" u="1"/>
        <s v="3781081839360880606" u="1"/>
        <s v="3793944925209097714" u="1"/>
        <s v="2074640989026534397" u="1"/>
        <s v="3800609345996899032" u="1"/>
        <s v="3800668098286303843" u="1"/>
        <s v="3801997802042130220" u="1"/>
        <s v="2076177864704553856" u="1"/>
        <s v="3802754197211763247" u="1"/>
        <s v="3802908744939396543" u="1"/>
        <s v="3804360049541763247" u="1"/>
        <s v="3804586347668028029" u="1"/>
        <s v="3805817258042483704" u="1"/>
        <s v="2081320395692714382" u="1"/>
        <s v="3809121984289039235" u="1"/>
        <s v="3809728332096799238" u="1"/>
        <s v="3810475407886816608" u="1"/>
        <s v="2085768553942679153" u="1"/>
        <s v="2031401425703450093/2087050802573450093" u="1"/>
        <s v="2089133222861816884" u="1"/>
        <s v="2090894378616007358" u="1"/>
        <s v="2092990946420814959" u="1"/>
        <s v="3813230412284655945" u="1"/>
        <s v="3824731008406494526" u="1"/>
        <s v="3826544436552070210" u="1"/>
        <s v="2099374466309841391" u="1"/>
        <s v="2099728634055238077" u="1"/>
        <s v="2118466272666505573" u="1"/>
        <s v="3852935031814013712" u="1"/>
        <s v="2123251249089532475" u="1"/>
        <s v="2133399111594505897" u="1"/>
        <s v="3867996170088534029" u="1"/>
        <s v="2149790989461666485" u="1"/>
        <s v="3898666082848058643" u="1"/>
        <s v="3903445191131554523" u="1"/>
        <s v="2168592278654970564" u="1"/>
        <s v="2169243085737148986" u="1"/>
        <s v="3906788005663213415" u="1"/>
        <s v="2171282844754755791" u="1"/>
        <s v="2172190551529805465" u="1"/>
        <s v="3915265177750324806" u="1"/>
        <s v="3915815905891839918" u="1"/>
        <s v="2179834393954866351" u="1"/>
        <s v="3918570051735313817" u="1"/>
        <s v="3922943473369119412" u="1"/>
        <s v="3924393194569142528" u="1"/>
        <s v="3925035973787464146" u="1"/>
        <s v="3930401919358400220" u="1"/>
        <s v="2193433394924785350" u="1"/>
        <s v="3936520299037655945" u="1"/>
        <s v="2198921088573794578" u="1"/>
        <s v="2200180045695748077" u="1"/>
        <s v="3963309914067288110" u="1"/>
        <s v="2230781485154903090" u="1"/>
        <s v="3979098576299560833/3995550543830560833" u="1"/>
        <s v="2242583076029571676" u="1"/>
        <s v="4003143805398208307" u="1"/>
        <s v="4009224782127438622" u="1"/>
        <s v="2262687062960627656" u="1"/>
        <s v="4018914793147434638" u="1"/>
        <s v="4019996846402438622" u="1"/>
        <s v="2284063824279737257" u="1"/>
        <s v="2286802957482091172" u="1"/>
        <s v="4043710981820743134" u="1"/>
        <s v="4051344530537743134" u="1"/>
        <s v="4052637036575944235" u="1"/>
        <s v="2305166557110627656" u="1"/>
        <s v="4059457381431283620" u="1"/>
        <s v="2311033296693176368" u="1"/>
        <s v="2313635486010643562" u="1"/>
        <s v="4072089816988067103" u="1"/>
        <s v="4072422458648817226" u="1"/>
        <s v="2319817291353176575" u="1"/>
        <s v="4079278073864762044" u="1"/>
        <s v="2326517796151307880" u="1"/>
        <s v="2327469998278744992" u="1"/>
        <s v="2329243609436458080" u="1"/>
        <s v="4085694435025438622" u="1"/>
        <s v="2331969492507592556" u="1"/>
        <s v="4087967942008168114" u="1"/>
        <s v="2333241267160339566" u="1"/>
        <s v="2333850207707458080" u="1"/>
        <s v="4091674215729236003" u="1"/>
        <s v="4091597353077298527" u="1"/>
        <s v="4089280133307562540" u="1"/>
        <s v="4090074472569762044" u="1"/>
        <s v="4090013956574456449 " u="1"/>
        <s v="4091348882647984117" u="1"/>
        <s v="4090004175461661400/4089410856276661400" u="1"/>
        <s v="4094228628837795838" u="1"/>
        <s v="2340291001467903778" u="1"/>
        <s v="4095320905738217343" u="1"/>
        <s v="4096217162874616013" u="1"/>
        <s v="4095788797132941236" u="1"/>
        <s v="2341115403901962885" u="1"/>
        <s v="2344444214541379460" u="1"/>
        <s v="4100844377908182438" u="1"/>
        <s v="2345456463824830291" u="1"/>
        <s v="4104445825758558939" u="1"/>
        <s v="4104218845613293932/4221458319291293932" u="1"/>
        <s v="4106473732259164930" u="1"/>
        <s v="2350499124843563482" u="1"/>
        <s v="4107429823577879739" u="1"/>
        <s v="2351192838335018974" u="1"/>
        <s v="2351598024448439494" u="1"/>
        <s v="4107083358701558939" u="1"/>
        <s v="2352684325539786996" u="1"/>
        <s v="2353030644796559692" u="1"/>
        <s v="2353856701423770673" u="1"/>
        <s v="4110699638973217343" u="1"/>
        <s v="4111246119203714116" u="1"/>
        <s v="4110370130133942638" u="1"/>
        <s v="4111082103459200531" u="1"/>
        <s v="2355981531001138779" u="1"/>
        <s v="2356297035499692056" u="1"/>
        <s v="2357195701500186573" u="1"/>
        <s v="4113377714830039804" u="1"/>
        <s v="2357178602181281165" u="1"/>
        <s v="4116131931754792413" u="1"/>
        <s v="4116270204461017723" u="1"/>
        <s v="4117872962403733645" u="1"/>
        <s v="4117187053378200531" u="1"/>
        <s v="2361406333968700394" u="1"/>
        <s v="2362040223211356866" u="1"/>
        <s v="4120313293417629137" u="1"/>
        <s v="4121706242535857617" u="1"/>
        <s v="4121237088732162445" u="1"/>
        <s v="2365056698393637656" u="1"/>
        <s v="4122133743142710807" u="1"/>
        <s v="4127227563029710807" u="1"/>
        <s v="2365348550107156488" u="1"/>
        <s v="4122451335819567335" u="1"/>
        <s v="2364855459156198886" u="1"/>
        <s v="4122725870524113017" u="1"/>
        <s v="4122758486005113017" u="1"/>
        <s v="2366617903204328399" u="1"/>
        <s v="4124096534894686712" u="1"/>
        <s v="2367043243419779186" u="1"/>
        <s v="4201216057382006637" u="1"/>
        <s v="2368400414467051957" u="1"/>
        <s v="4125300483264894710" u="1"/>
        <s v="4125280503466298527" u="1"/>
        <s v="2368712858255460056" u="1"/>
        <s v="4125034728143939041" u="1"/>
        <s v="2368431192956590656" u="1"/>
        <s v="2367388951823755791" u="1"/>
        <s v="2371329949854961467" u="1"/>
        <s v="4129293672236570725" u="1"/>
        <s v="2373194856880474681" u="1"/>
        <s v="2373873782284568451" u="1"/>
        <s v="4136617586978757925" u="1"/>
        <s v="2379267840872605557" u="1"/>
        <s v="2381211842015278196" u="1"/>
        <s v="2382242520452744992" u="1"/>
        <s v="2382497545572474681" u="1"/>
        <s v="2382507157958264084" u="1"/>
        <s v="2384549653813176575" u="1"/>
        <s v="4143438037863584802" u="1"/>
        <s v="4143646046555349126" u="1"/>
        <s v="4146384567516142528" u="1"/>
        <s v="2389140086405189773" u="1"/>
        <s v="2389128855477385280" u="1"/>
        <s v="4148485596645013712" u="1"/>
        <s v="4151839791064166908" u="1"/>
        <s v="2395570578400186573" u="1"/>
        <s v="4154212260059648430" u="1"/>
        <s v="2397547165246559692" u="1"/>
        <s v="4156252346283011538" u="1"/>
        <s v="2397279936209221860" u="1"/>
        <s v="2398164854660319681" u="1"/>
        <s v="4159086444607955730" u="1"/>
        <s v="4159117224004190938" u="1"/>
        <s v="4157933394661182334" u="1"/>
        <s v="4162062816295190938" u="1"/>
        <s v="2403324410182502574" u="1"/>
        <s v="2401799520461502574" u="1"/>
        <s v="2402726880929755791" u="1"/>
        <s v="2403867648695123853" u="1"/>
        <s v="4162787245970661400" u="1"/>
        <s v="4163458212212284102" u="1"/>
        <s v="4163675619297406430" u="1"/>
        <s v="2405739864164319681" u="1"/>
        <s v="2406111098418123853" u="1"/>
        <s v="2406408025092278196" u="1"/>
        <s v="4166453522757249614" u="1"/>
        <s v="2409720171522765999" u="1"/>
        <s v="2412963338376648588" u="1"/>
        <s v="4173352346012861143" u="1"/>
        <s v="2413604930692248586" u="1"/>
        <s v="4173724118949733645" u="1"/>
        <s v="2414606881177912770" u="1"/>
        <s v="4174613895142719017" u="1"/>
        <s v="4175648641353282246" u="1"/>
        <s v="2417575909763474681" u="1"/>
        <s v="2417069643962194763" u="1"/>
        <s v="2418254690129765999" u="1"/>
        <s v="2418087360599924752" u="1"/>
        <s v="2420347945530022797" u="1"/>
        <s v="2419543419117406458" u="1"/>
        <s v="4181135545750955039" u="1"/>
        <s v="2421391440388037054" u="1"/>
        <s v="4676862097303865337" u="1"/>
        <s v="2449623471695194272" u="1"/>
        <s v="4233087181302367845" u="1"/>
        <s v="4261809278853893135_x000a_" u="1"/>
        <s v="2367388951823755791/2402726880929755791" u="1"/>
        <s v="3979098576299560833" u="1"/>
        <s v="4091092166146298527" u="1"/>
        <s v="4090004175461661400" u="1"/>
        <s v="4104218845613293932" u="1"/>
        <s v="4115122454298733645" u="1"/>
        <s v="4124121013388006637" u="1"/>
        <s v="2087050802573450093" u="1"/>
        <s v="3657737127511618948" u="1"/>
        <s v="2030230164047450093" u="1"/>
      </sharedItems>
    </cacheField>
    <cacheField name="收货人姓名" uniqueList="1" numFmtId="0" sqlType="0" hierarchy="0" level="0" databaseField="1">
      <sharedItems count="0" containsBlank="1"/>
    </cacheField>
    <cacheField name="备注" uniqueList="1" numFmtId="0" sqlType="0" hierarchy="0" level="0" databaseField="1">
      <sharedItems count="0" containsBlank="1"/>
    </cacheField>
    <cacheField name="产品SKU" uniqueList="1" numFmtId="0" sqlType="0" hierarchy="0" level="0" databaseField="1">
      <sharedItems count="0" containsBlank="1"/>
    </cacheField>
    <cacheField name="产品名" uniqueList="1" numFmtId="0" sqlType="0" hierarchy="0" level="0" databaseField="1">
      <sharedItems count="0" containsBlank="1"/>
    </cacheField>
    <cacheField name="产品简称" uniqueList="1" numFmtId="0" sqlType="0" hierarchy="0" level="0" databaseField="1">
      <sharedItems count="0" containsBlank="1"/>
    </cacheField>
    <cacheField name="规格" uniqueList="1" numFmtId="0" sqlType="0" hierarchy="0" level="0" databaseField="1">
      <sharedItems count="0" containsBlank="1" containsInteger="1" containsMixedTypes="1" containsNumber="1" minValue="600" maxValue="2400"/>
    </cacheField>
    <cacheField name="结算状态" uniqueList="1" numFmtId="0" sqlType="0" hierarchy="0" level="0" databaseField="1">
      <sharedItems count="0" containsBlank="1"/>
    </cacheField>
    <cacheField name="供应商" uniqueList="1" numFmtId="0" sqlType="0" hierarchy="0" level="0" databaseField="1">
      <sharedItems count="0" containsBlank="1"/>
    </cacheField>
    <cacheField name="产品成本" uniqueList="1" numFmtId="0" sqlType="0" hierarchy="0" level="0" databaseField="1">
      <sharedItems count="0" containsBlank="1" containsNumber="1" containsString="0" minValue="0" maxValue="15300"/>
    </cacheField>
    <cacheField name="木作成本" uniqueList="1" numFmtId="0" sqlType="0" hierarchy="0" level="0" databaseField="1">
      <sharedItems count="0" containsBlank="1" containsNumber="1" containsString="0" minValue="0" maxValue="14200"/>
    </cacheField>
    <cacheField name="电力轨道" uniqueList="1" numFmtId="0" sqlType="0" hierarchy="0" level="0" databaseField="1">
      <sharedItems count="0" containsBlank="1" containsMixedTypes="1" containsNumber="1" minValue="0" maxValue="9800"/>
    </cacheField>
    <cacheField name="洞石背板/鎏金背板" uniqueList="1" numFmtId="0" sqlType="0" hierarchy="0" level="0" databaseField="1">
      <sharedItems count="0" containsBlank="1" containsMixedTypes="1" containsNumber="1" minValue="2.5" maxValue="907"/>
    </cacheField>
    <cacheField name="洞洞板" uniqueList="1" numFmtId="0" sqlType="0" hierarchy="0" level="0" databaseField="1">
      <sharedItems count="0" containsBlank="1" containsMixedTypes="1" containsNumber="1" minValue="1.16" maxValue="28887"/>
    </cacheField>
    <cacheField name="金属轨道" uniqueList="1" numFmtId="0" sqlType="0" hierarchy="0" level="0" databaseField="1">
      <sharedItems count="0" containsBlank="1" containsNumber="1" containsString="0" minValue="14" maxValue="657.08"/>
    </cacheField>
    <cacheField name="岩板" uniqueList="1" numFmtId="0" sqlType="0" hierarchy="0" level="0" databaseField="1">
      <sharedItems count="0" containsBlank="1" containsMixedTypes="1" containsNumber="1" minValue="0" maxValue="2200"/>
    </cacheField>
    <cacheField name="灯带" uniqueList="1" numFmtId="0" sqlType="0" hierarchy="0" level="0" databaseField="1">
      <sharedItems count="0" containsBlank="1" containsMixedTypes="1" containsNumber="1" minValue="1.1" maxValue="655"/>
    </cacheField>
    <cacheField name="玻璃" uniqueList="1" numFmtId="0" sqlType="0" hierarchy="0" level="0" databaseField="1">
      <sharedItems count="0" containsBlank="1" containsMixedTypes="1" containsNumber="1" minValue="1.03" maxValue="27791"/>
    </cacheField>
    <cacheField name="雕刻" uniqueList="1" numFmtId="0" sqlType="0" hierarchy="0" level="0" databaseField="1">
      <sharedItems count="0" containsBlank="1" containsMixedTypes="1" containsNumber="1" minValue="10" maxValue="283.3333333333333"/>
    </cacheField>
    <cacheField name="塑料轨道槽" uniqueList="1" numFmtId="0" sqlType="0" hierarchy="0" level="0" databaseField="1">
      <sharedItems count="0" containsBlank="1" containsInteger="1" containsNumber="1" containsString="0" minValue="4" maxValue="470"/>
    </cacheField>
    <cacheField name="把手" uniqueList="1" numFmtId="0" sqlType="0" hierarchy="0" level="0" databaseField="1">
      <sharedItems count="0" containsBlank="1" containsMixedTypes="1" containsNumber="1" minValue="1.16" maxValue="712.08"/>
    </cacheField>
    <cacheField name="抽屉轨道/翻盖配件" uniqueList="1" numFmtId="0" sqlType="0" hierarchy="0" level="0" databaseField="1">
      <sharedItems count="0" containsBlank="1" containsMixedTypes="1" containsNumber="1" minValue="1.1" maxValue="657.08"/>
    </cacheField>
    <cacheField name="链接片+铁销" uniqueList="1" numFmtId="0" sqlType="0" hierarchy="0" level="0" databaseField="1">
      <sharedItems count="0" containsBlank="1" containsMixedTypes="1" containsNumber="1" minValue="1.03" maxValue="755.08"/>
    </cacheField>
    <cacheField name="隔板配件" uniqueList="1" numFmtId="0" sqlType="0" hierarchy="0" level="0" databaseField="1">
      <sharedItems count="0" containsBlank="1" containsNumber="1" containsString="0" minValue="3.5" maxValue="40"/>
    </cacheField>
    <cacheField name="装饰盖" uniqueList="1" numFmtId="0" sqlType="0" hierarchy="0" level="0" databaseField="1">
      <sharedItems count="0" containsBlank="1" containsInteger="1" containsNumber="1" containsString="0" minValue="2" maxValue="76"/>
    </cacheField>
    <cacheField name="铁销" uniqueList="1" numFmtId="0" sqlType="0" hierarchy="0" level="0" databaseField="1">
      <sharedItems count="0" containsBlank="1" containsNumber="1" containsString="0" minValue="1.1" maxValue="20"/>
    </cacheField>
    <cacheField name="连接片" uniqueList="1" numFmtId="0" sqlType="0" hierarchy="0" level="0" databaseField="1">
      <sharedItems count="0" containsBlank="1" containsNumber="1" containsString="0" minValue="2.5" maxValue="700"/>
    </cacheField>
    <cacheField name="点胶" uniqueList="1" numFmtId="0" sqlType="0" hierarchy="0" level="0" databaseField="1">
      <sharedItems count="0" containsBlank="1" containsMixedTypes="1" containsNumber="1" minValue="2.5" maxValue="657.08"/>
    </cacheField>
    <cacheField name="悬浮五金" uniqueList="1" numFmtId="0" sqlType="0" hierarchy="0" level="0" databaseField="1">
      <sharedItems count="0" containsBlank="1" containsMixedTypes="1" containsNumber="1" minValue="1.03" maxValue="755.08"/>
    </cacheField>
    <cacheField name="外采椅子" uniqueList="1" numFmtId="0" sqlType="0" hierarchy="0" level="0" databaseField="1">
      <sharedItems count="0" containsBlank="1" containsMixedTypes="1" containsNumber="1" minValue="1.1" maxValue="1307.99"/>
    </cacheField>
    <cacheField name="升降机" uniqueList="1" numFmtId="0" sqlType="0" hierarchy="0" level="0" databaseField="1">
      <sharedItems count="0" containsBlank="1" containsInteger="1" containsNumber="1" containsString="0" minValue="18" maxValue="18"/>
    </cacheField>
    <cacheField name="理线架+插排" uniqueList="1" numFmtId="0" sqlType="0" hierarchy="0" level="0" databaseField="1">
      <sharedItems count="0" containsBlank="1" containsInteger="1" containsMixedTypes="1" containsNumber="1" minValue="28" maxValue="152"/>
    </cacheField>
    <cacheField name="桌腿磁吸配件" uniqueList="1" numFmtId="0" sqlType="0" hierarchy="0" level="0" databaseField="1">
      <sharedItems count="0" containsBlank="1" containsNumber="1" containsString="0" minValue="1.16" maxValue="52"/>
    </cacheField>
    <cacheField name="赠品（木蜡油）" uniqueList="1" numFmtId="0" sqlType="0" hierarchy="0" level="0" databaseField="1">
      <sharedItems count="0" containsBlank="1" containsMixedTypes="1" containsNumber="1" minValue="1.03" maxValue="657.08"/>
    </cacheField>
    <cacheField name="装饰盖2" uniqueList="1" numFmtId="0" sqlType="0" hierarchy="0" level="0" databaseField="1">
      <sharedItems count="0" containsBlank="1" containsInteger="1" containsNumber="1" containsString="0" minValue="5" maxValue="700"/>
    </cacheField>
    <cacheField name="打包纸片" uniqueList="1" numFmtId="0" sqlType="0" hierarchy="0" level="0" databaseField="1">
      <sharedItems count="0" containsBlank="1" containsInteger="1" containsNumber="1" containsString="0" minValue="70" maxValue="70"/>
    </cacheField>
    <cacheField name="打包费" uniqueList="1" numFmtId="0" sqlType="0" hierarchy="0" level="0" databaseField="1">
      <sharedItems count="0" containsBlank="1" containsMixedTypes="1" containsNumber="1" minValue="0" maxValue="970"/>
    </cacheField>
    <cacheField name="备用3" uniqueList="1" numFmtId="0" sqlType="0" hierarchy="0" level="0" databaseField="1">
      <sharedItems count="0" containsBlank="1" containsNumber="1" containsString="0" minValue="0" maxValue="470"/>
    </cacheField>
    <cacheField name="备用4" uniqueList="1" numFmtId="0" sqlType="0" hierarchy="0" level="0" databaseField="1">
      <sharedItems count="0" containsBlank="1" containsNumber="1" containsString="0" minValue="0" maxValue="573.99"/>
    </cacheField>
    <cacheField name="实际邮费" uniqueList="1" numFmtId="0" sqlType="0" hierarchy="0" level="0" databaseField="1">
      <sharedItems count="0" containsBlank="1" containsNumber="1" containsString="0" minValue="0" maxValue="2194"/>
    </cacheField>
    <cacheField name="上楼费" uniqueList="1" numFmtId="0" sqlType="0" hierarchy="0" level="0" databaseField="1">
      <sharedItems count="0" containsBlank="1" containsNumber="1" containsString="0" minValue="0" maxValue="360"/>
    </cacheField>
    <cacheField name="实际安装费用" uniqueList="1" numFmtId="0" sqlType="0" hierarchy="0" level="0" databaseField="1">
      <sharedItems count="0" containsBlank="1" containsInteger="1" containsNumber="1" containsString="0" minValue="0" maxValue="765"/>
    </cacheField>
    <cacheField name="订单赔付费用" uniqueList="1" numFmtId="0" sqlType="0" hierarchy="0" level="0" databaseField="1">
      <sharedItems count="0" containsBlank="1" containsNumber="1" containsString="0" minValue="0" maxValue="500"/>
    </cacheField>
    <cacheField name="第二次上门维修费" uniqueList="1" numFmtId="181" sqlType="0" hierarchy="0" level="0" databaseField="1">
      <sharedItems count="0" containsBlank="1" containsInteger="1" containsNumber="1" containsString="0" minValue="0" maxValue="552"/>
    </cacheField>
    <cacheField name="返厂打包运费" uniqueList="1" numFmtId="181" sqlType="0" hierarchy="0" level="0" databaseField="1">
      <sharedItems count="0" containsBlank="1" containsInteger="1" containsNumber="1" containsString="0" minValue="0" maxValue="690"/>
    </cacheField>
    <cacheField name="配件额外支付费用" uniqueList="1" numFmtId="0" sqlType="0" hierarchy="0" level="0" databaseField="1">
      <sharedItems count="0" containsBlank="1" containsNumber="1" containsString="0" minValue="0" maxValue="487.7"/>
    </cacheField>
    <cacheField name="好评/延迟返/差价返" uniqueList="1" numFmtId="181" sqlType="0" hierarchy="0" level="0" databaseField="1">
      <sharedItems count="0" containsBlank="1" containsNumber="1" containsString="0" minValue="0" maxValue="3678"/>
    </cacheField>
    <cacheField name="购买件数" uniqueList="1" numFmtId="182" sqlType="0" hierarchy="0" level="0" databaseField="1">
      <sharedItems count="0" containsBlank="1" containsInteger="1" containsNumber="1" containsString="0" minValue="0" maxValue="2"/>
    </cacheField>
    <cacheField name="采购总额" uniqueList="1" numFmtId="181" sqlType="0" hierarchy="0" level="0" databaseField="1">
      <sharedItems count="0" containsBlank="1" containsNumber="1" containsString="0" minValue="0" maxValue="16300"/>
    </cacheField>
    <cacheField name="买家应付金额" uniqueList="1" numFmtId="181" sqlType="0" hierarchy="0" level="0" databaseField="1">
      <sharedItems count="0" containsBlank="1" containsNumber="1" containsString="0" minValue="0" maxValue="22740"/>
    </cacheField>
    <cacheField name="买家应付邮费" uniqueList="1" numFmtId="181" sqlType="0" hierarchy="0" level="0" databaseField="1">
      <sharedItems count="0" containsBlank="1" containsInteger="1" containsNumber="1" containsString="0" minValue="0" maxValue="0"/>
    </cacheField>
    <cacheField name="平台服务费/花呗信用卡手续费" uniqueList="1" numFmtId="181" sqlType="0" hierarchy="0" level="0" databaseField="1">
      <sharedItems count="0" containsBlank="1" containsNumber="1" containsString="0" minValue="0" maxValue="512.9019999999999"/>
    </cacheField>
    <cacheField name="买家实付金额" uniqueList="1" numFmtId="181" sqlType="0" hierarchy="0" level="0" databaseField="1">
      <sharedItems count="0" containsNumber="1" containsSemiMixedTypes="0" containsString="0" minValue="0" maxValue="22603.56"/>
    </cacheField>
    <cacheField name="工厂生产原因抵扣" uniqueList="1" numFmtId="181" sqlType="0" hierarchy="0" level="0" databaseField="1">
      <sharedItems count="0" containsBlank="1" containsNumber="1" containsString="0" minValue="0" maxValue="1000"/>
    </cacheField>
    <cacheField name="物流原因抵扣" uniqueList="1" numFmtId="181" sqlType="0" hierarchy="0" level="0" databaseField="1">
      <sharedItems count="0" containsBlank="1" containsInteger="1" containsNumber="1" containsString="0" minValue="0" maxValue="730"/>
    </cacheField>
    <cacheField name="补偿总额" uniqueList="1" numFmtId="0" sqlType="0" hierarchy="0" level="0" databaseField="1">
      <sharedItems count="0" containsBlank="1" containsNumber="1" containsString="0" minValue="0" maxValue="1000"/>
    </cacheField>
    <cacheField name="订单利润" uniqueList="1" numFmtId="0" sqlType="0" hierarchy="0" level="0" databaseField="1">
      <sharedItems count="0" containsBlank="1" containsNumber="1" containsString="0" minValue="-4116.2" maxValue="9878.399999999998"/>
    </cacheField>
    <cacheField name="收货人姓名2" uniqueList="1" numFmtId="0" sqlType="0" hierarchy="0" level="0" databaseField="1">
      <sharedItems count="0" containsBlank="1"/>
    </cacheField>
    <cacheField name="收货地址" uniqueList="1" numFmtId="0" sqlType="0" hierarchy="0" level="0" databaseField="1">
      <sharedItems count="0" containsBlank="1"/>
    </cacheField>
    <cacheField name="联系电话 " uniqueList="1" numFmtId="0" sqlType="0" hierarchy="0" level="0" databaseField="1">
      <sharedItems count="0" containsBlank="1" containsInteger="1" containsMixedTypes="1" containsNumber="1" minValue="13304091128" maxValue="19022061397"/>
    </cacheField>
    <cacheField name="物流单号" uniqueList="1" numFmtId="0" sqlType="0" hierarchy="0" level="0" databaseField="1">
      <sharedItems count="0" containsBlank="1"/>
    </cacheField>
    <cacheField name="支付宝实际收款" uniqueList="1" numFmtId="0" sqlType="0" hierarchy="0" level="0" databaseField="1">
      <sharedItems count="0" containsBlank="1" containsNumber="1" containsString="0" minValue="0" maxValue="22603.56"/>
    </cacheField>
    <cacheField name="月(下单时间)" uniqueList="1" numFmtId="0" sqlType="0" hierarchy="0" level="0" databaseField="0">
      <fieldGroup base="0">
        <rangePr autoStart="1" autoEnd="1" groupBy="months" startDate="2025-01-02T00:00:00" endDate="2026-04-28T00:00:00" groupInterval="1"/>
        <groupItems count="14">
          <s v="&lt;2025/1/2"/>
          <s v="1月"/>
          <s v="2月"/>
          <s v="3月"/>
          <s v="4月"/>
          <s v="5月"/>
          <s v="6月"/>
          <s v="7月"/>
          <s v="8月"/>
          <s v="9月"/>
          <s v="10月"/>
          <s v="11月"/>
          <s v="12月"/>
          <s v="&gt;2026/4/28"/>
        </groupItems>
      </fieldGroup>
    </cacheField>
    <cacheField name="季度(下单时间)" uniqueList="1" numFmtId="0" sqlType="0" hierarchy="0" level="0" databaseField="0">
      <fieldGroup base="0">
        <rangePr autoStart="1" autoEnd="1" groupBy="quarters" startDate="2025-01-02T00:00:00" endDate="2026-04-28T00:00:00" groupInterval="1"/>
        <groupItems count="6">
          <s v="&lt;2025/1/2"/>
          <s v="第一季"/>
          <s v="第二季"/>
          <s v="第三季"/>
          <s v="第四季"/>
          <s v="&gt;2026/4/28"/>
        </groupItems>
      </fieldGroup>
    </cacheField>
    <cacheField name="年(下单时间)" uniqueList="1" numFmtId="0" sqlType="0" hierarchy="0" level="0" databaseField="0">
      <fieldGroup base="0">
        <rangePr autoStart="1" autoEnd="1" groupBy="years" startDate="2025-01-02T00:00:00" endDate="2026-04-28T00:00:00" groupInterval="1"/>
        <groupItems count="4">
          <s v="&lt;2025/1/2"/>
          <s v="2025年"/>
          <s v="2026年"/>
          <s v="&gt;2026/4/28"/>
        </groupItems>
      </fieldGroup>
    </cacheField>
  </cacheFields>
</pivotCacheDefinition>
</file>

<file path=xl/pivotCache/pivotCacheDefinition2.xml><?xml version="1.0" encoding="utf-8"?>
<pivotCacheDefinition xmlns:r="http://schemas.openxmlformats.org/officeDocument/2006/relationships" xmlns="http://schemas.openxmlformats.org/spreadsheetml/2006/main" refreshOnLoad="1" refreshedBy="Jim Lu" refreshedDate="46176.03600046296" createdVersion="8" refreshedVersion="8" minRefreshableVersion="3" recordCount="634" r:id="rId1">
  <cacheSource type="worksheet">
    <worksheetSource ref="A42:BN676" sheet="订单记录"/>
  </cacheSource>
  <cacheFields count="69">
    <cacheField name="下单时间" uniqueList="1" numFmtId="14" sqlType="0" hierarchy="0" level="0" databaseField="1">
      <sharedItems count="467" containsBlank="1" containsDate="1" containsNonDate="0" containsString="0" minDate="2023-05-28T00:00:00" maxDate="2026-04-28T00:00:00">
        <d v="2025-01-02T00:00:00"/>
        <d v="2025-01-03T00:00:00"/>
        <d v="2025-01-07T00:00:00"/>
        <d v="2025-01-08T00:00:00"/>
        <d v="2025-01-10T00:00:00"/>
        <d v="2025-01-11T00:00:00"/>
        <d v="2025-01-12T00:00:00"/>
        <d v="2025-01-13T00:00:00"/>
        <d v="2025-01-15T00:00:00"/>
        <d v="2025-01-18T00:00:00"/>
        <d v="2025-01-21T00:00:00"/>
        <d v="2025-01-22T00:00:00"/>
        <d v="2025-02-02T00:00:00"/>
        <d v="2025-02-04T00:00:00"/>
        <d v="2025-02-05T00:00:00"/>
        <d v="2025-02-06T00:00:00"/>
        <d v="2025-02-07T00:00:00"/>
        <d v="2025-02-12T00:00:00"/>
        <d v="2025-02-13T00:00:00"/>
        <d v="2025-02-15T00:00:00"/>
        <d v="2025-02-17T00:00:00"/>
        <d v="2025-02-19T00:00:00"/>
        <d v="2025-02-22T00:00:00"/>
        <d v="2025-02-23T00:00:00"/>
        <d v="2025-02-24T00:00:00"/>
        <d v="2025-02-25T00:00:00"/>
        <d v="2025-02-28T00:00:00"/>
        <d v="2025-03-04T00:00:00"/>
        <d v="2025-03-05T00:00:00"/>
        <d v="2025-03-06T00:00:00"/>
        <d v="2025-03-07T00:00:00"/>
        <d v="2025-03-08T00:00:00"/>
        <d v="2025-03-09T00:00:00"/>
        <d v="2025-03-11T00:00:00"/>
        <d v="2025-03-12T00:00:00"/>
        <d v="2025-03-15T00:00:00"/>
        <d v="2025-03-16T00:00:00"/>
        <d v="2025-03-18T00:00:00"/>
        <d v="2025-03-19T00:00:00"/>
        <d v="2025-03-22T00:00:00"/>
        <d v="2025-03-23T00:00:00"/>
        <d v="2025-03-24T00:00:00"/>
        <d v="2025-03-25T00:00:00"/>
        <d v="2025-03-26T00:00:00"/>
        <d v="2025-03-27T00:00:00"/>
        <d v="2025-03-28T00:00:00"/>
        <d v="2025-03-30T00:00:00"/>
        <d v="2025-04-01T00:00:00"/>
        <d v="2025-04-03T00:00:00"/>
        <d v="2025-04-04T00:00:00"/>
        <d v="2025-04-06T00:00:00"/>
        <d v="2025-04-07T00:00:00"/>
        <d v="2025-04-09T00:00:00"/>
        <d v="2025-04-14T00:00:00"/>
        <d v="2025-04-15T00:00:00"/>
        <d v="2025-04-16T00:00:00"/>
        <d v="2025-04-17T00:00:00"/>
        <d v="2025-04-19T00:00:00"/>
        <d v="2025-04-21T00:00:00"/>
        <d v="2025-05-03T00:00:00"/>
        <d v="2025-05-01T00:00:00"/>
        <d v="2025-05-07T00:00:00"/>
        <d v="2025-05-13T00:00:00"/>
        <d v="2025-05-16T00:00:00"/>
        <d v="2025-05-18T00:00:00"/>
        <d v="2025-05-21T00:00:00"/>
        <d v="2025-05-23T00:00:00"/>
        <d v="2025-05-27T00:00:00"/>
        <d v="2025-05-28T00:00:00"/>
        <d v="2025-06-01T00:00:00"/>
        <d v="2025-06-04T00:00:00"/>
        <d v="2025-06-09T00:00:00"/>
        <d v="2025-06-13T00:00:00"/>
        <d v="2025-06-14T00:00:00"/>
        <d v="2025-06-15T00:00:00"/>
        <d v="2025-06-16T00:00:00"/>
        <d v="2025-06-17T00:00:00"/>
        <d v="2025-06-18T00:00:00"/>
        <d v="2025-06-19T00:00:00"/>
        <d v="2025-06-20T00:00:00"/>
        <d v="2025-06-21T00:00:00"/>
        <d v="2025-06-24T00:00:00"/>
        <d v="2025-06-30T00:00:00"/>
        <d v="2025-07-08T00:00:00"/>
        <d v="2025-07-10T00:00:00"/>
        <d v="2025-07-11T00:00:00"/>
        <d v="2025-07-12T00:00:00"/>
        <d v="2025-07-17T00:00:00"/>
        <d v="2025-07-18T00:00:00"/>
        <d v="2025-07-19T00:00:00"/>
        <d v="2025-07-22T00:00:00"/>
        <d v="2025-07-23T00:00:00"/>
        <d v="2025-07-24T00:00:00"/>
        <d v="2025-07-26T00:00:00"/>
        <d v="2025-07-27T00:00:00"/>
        <d v="2025-08-01T00:00:00"/>
        <d v="2025-08-02T00:00:00"/>
        <d v="2025-08-03T00:00:00"/>
        <d v="2025-08-04T00:00:00"/>
        <d v="2025-08-05T00:00:00"/>
        <d v="2025-08-07T00:00:00"/>
        <d v="2025-08-09T00:00:00"/>
        <d v="2025-08-10T00:00:00"/>
        <d v="2025-08-12T00:00:00"/>
        <d v="2025-08-13T00:00:00"/>
        <d v="2025-08-15T00:00:00"/>
        <d v="2025-08-16T00:00:00"/>
        <d v="2025-08-18T00:00:00"/>
        <d v="2025-08-19T00:00:00"/>
        <d v="2025-08-21T00:00:00"/>
        <d v="2025-08-22T00:00:00"/>
        <d v="2025-08-24T00:00:00"/>
        <d v="2025-08-25T00:00:00"/>
        <d v="2025-08-27T00:00:00"/>
        <d v="2025-08-28T00:00:00"/>
        <d v="2025-08-29T00:00:00"/>
        <d v="2025-08-31T00:00:00"/>
        <d v="2025-09-05T00:00:00"/>
        <d v="2025-09-07T00:00:00"/>
        <d v="2025-09-08T00:00:00"/>
        <d v="2025-09-12T00:00:00"/>
        <d v="2025-09-13T00:00:00"/>
        <d v="2025-09-14T00:00:00"/>
        <d v="2025-09-16T00:00:00"/>
        <d v="2025-09-17T00:00:00"/>
        <d v="2025-09-18T00:00:00"/>
        <d v="2025-09-20T00:00:00"/>
        <d v="2025-09-21T00:00:00"/>
        <d v="2025-09-22T00:00:00"/>
        <d v="2025-09-23T00:00:00"/>
        <d v="2025-09-25T00:00:00"/>
        <d v="2025-09-26T00:00:00"/>
        <d v="2025-09-28T00:00:00"/>
        <d v="2025-09-30T00:00:00"/>
        <d v="2025-10-02T00:00:00"/>
        <d v="2025-10-08T00:00:00"/>
        <d v="2025-10-09T00:00:00"/>
        <d v="2025-10-12T00:00:00"/>
        <d v="2025-10-16T00:00:00"/>
        <d v="2025-10-17T00:00:00"/>
        <d v="2025-10-19T00:00:00"/>
        <d v="2025-10-20T00:00:00"/>
        <d v="2025-10-21T00:00:00"/>
        <d v="2025-10-22T00:00:00"/>
        <d v="2025-10-23T00:00:00"/>
        <d v="2025-10-24T00:00:00"/>
        <d v="2025-10-25T00:00:00"/>
        <d v="2025-10-26T00:00:00"/>
        <d v="2025-10-27T00:00:00"/>
        <d v="2025-10-28T20:25:37"/>
        <d v="2025-10-28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6T00:00:00"/>
        <d v="2025-11-17T00:00:00"/>
        <d v="2025-11-18T00:00:00"/>
        <d v="2025-11-19T00:00:00"/>
        <d v="2025-11-20T00:00:00"/>
        <d v="2025-11-22T00:00:00"/>
        <d v="2025-11-23T00:00:00"/>
        <d v="2025-11-25T00:00:00"/>
        <d v="2025-11-26T00:00:00"/>
        <d v="2025-11-28T00:00:00"/>
        <d v="2025-11-29T00:00:00"/>
        <d v="2025-11-30T00:00:00"/>
        <d v="2025-12-02T00:00:00"/>
        <d v="2025-12-08T00:00:00"/>
        <d v="2025-12-09T00:00:00"/>
        <d v="2025-12-10T00:00:00"/>
        <d v="2025-12-11T00:00:00"/>
        <d v="2025-12-12T00:00:00"/>
        <d v="2025-12-13T00:00:00"/>
        <d v="2025-12-14T00:00:00"/>
        <d v="2025-12-15T00:00:00"/>
        <d v="2025-12-16T00:00:00"/>
        <d v="2025-12-17T00:00:00"/>
        <d v="2025-12-20T00:00:00"/>
        <d v="2025-12-21T00:00:00"/>
        <d v="2025-12-22T00:00:00"/>
        <d v="2025-12-23T00:00:00"/>
        <d v="2025-12-24T00:00:00"/>
        <d v="2025-12-25T00:00:00"/>
        <d v="2025-12-26T00:00:00"/>
        <d v="2025-12-28T00:00:00"/>
        <d v="2025-12-29T00:00:00"/>
        <d v="2025-12-30T00:00:00"/>
        <d v="2026-01-01T00:00:00"/>
        <d v="2026-01-02T00:00:00"/>
        <d v="2026-01-03T00:00:00"/>
        <d v="2026-01-04T00:00:00"/>
        <d v="2026-01-05T00:00:00"/>
        <d v="2026-01-06T00:00:00"/>
        <d v="2026-01-07T00:00:00"/>
        <d v="2026-01-08T00:00:00"/>
        <d v="2026-01-09T00:00:00"/>
        <d v="2026-01-13T00:00:00"/>
        <d v="2026-01-14T00:00:00"/>
        <d v="2026-01-16T00:00:00"/>
        <d v="2026-01-17T00:00:00"/>
        <d v="2026-01-18T00:00:00"/>
        <d v="2026-01-20T00:00:00"/>
        <d v="2026-01-21T00:00:00"/>
        <d v="2026-01-22T00:00:00"/>
        <d v="2026-01-23T00:00:00"/>
        <d v="2026-01-24T00:00:00"/>
        <d v="2026-01-27T00:00:00"/>
        <d v="2026-01-28T00:00:00"/>
        <d v="2026-01-29T00:00:00"/>
        <d v="2026-01-30T00:00:00"/>
        <d v="2026-02-01T00:00:00"/>
        <d v="2026-02-03T00:00:00"/>
        <d v="2026-02-04T00:00:00"/>
        <d v="2026-02-05T00:00:00"/>
        <d v="2026-02-06T00:00:00"/>
        <d v="2026-02-07T00:00:00"/>
        <d v="2026-02-08T00:00:00"/>
        <d v="2026-02-09T00:00:00"/>
        <d v="2026-02-11T00:00:00"/>
        <d v="2026-02-14T00:00:00"/>
        <d v="2026-02-23T00:00:00"/>
        <d v="2026-02-24T00:00:00"/>
        <d v="2026-02-25T00:00:00"/>
        <d v="2026-02-26T00:00:00"/>
        <d v="2026-02-28T00:00:00"/>
        <d v="2026-03-01T00:00:00"/>
        <d v="2026-03-02T00:00:00"/>
        <d v="2026-03-03T00:00:00"/>
        <d v="2026-03-04T00:00:00"/>
        <d v="2026-03-06T00:00:00"/>
        <d v="2026-03-07T00:00:00"/>
        <d v="2026-03-05T00:00:00"/>
        <d v="2026-03-08T00:00:00"/>
        <m/>
        <d v="2026-03-13T00:00:00"/>
        <d v="2026-03-15T19:06:42"/>
        <d v="2026-03-15T00:00:00"/>
        <d v="2026-03-18T00:00:00"/>
        <d v="2026-03-23T00:00:00"/>
        <d v="2026-03-24T00:00:00"/>
        <d v="2026-03-25T00:00:00"/>
        <d v="2026-03-28T00:00:00"/>
        <d v="2026-03-29T00:00:00"/>
        <d v="2026-03-30T00:00:00"/>
        <d v="2026-03-31T00:00:00"/>
        <d v="2026-04-07T00:00:00"/>
        <d v="2026-04-08T00:00:00"/>
        <d v="2026-04-12T00:00:00"/>
        <d v="2026-04-10T00:00:00"/>
        <d v="2026-04-15T00:00:00"/>
        <d v="2026-04-16T00:00:00"/>
        <d v="2026-04-17T00:00:00"/>
        <d v="2026-04-19T00:00:00"/>
        <d v="2026-04-21T00:00:00"/>
        <d v="2026-04-23T00:00:00"/>
        <d v="2026-04-25T00:00:00"/>
        <d v="2026-04-26T00:00:00"/>
        <d v="2026-04-27T00:00:00"/>
        <d v="2025-07-20T00:00:00" u="1"/>
        <d v="2025-02-18T00:00:00" u="1"/>
        <d v="2025-10-14T00:00:00" u="1"/>
        <d v="2023-05-28T00:00:00" u="1"/>
        <d v="2023-05-29T00:00:00" u="1"/>
        <d v="2023-06-01T00:00:00" u="1"/>
        <d v="2023-06-03T00:00:00" u="1"/>
        <d v="2023-06-14T00:00:00" u="1"/>
        <d v="2023-06-15T00:00:00" u="1"/>
        <d v="2023-06-16T00:00:00" u="1"/>
        <d v="2023-06-17T00:00:00" u="1"/>
        <d v="2023-06-18T00:00:00" u="1"/>
        <d v="2023-06-20T00:00:00" u="1"/>
        <d v="2023-06-21T00:00:00" u="1"/>
        <d v="2023-06-23T00:00:00" u="1"/>
        <d v="2023-06-24T00:00:00" u="1"/>
        <d v="2023-06-26T00:00:00" u="1"/>
        <d v="2023-06-27T00:00:00" u="1"/>
        <d v="2023-06-29T00:00:00" u="1"/>
        <d v="2023-07-02T00:00:00" u="1"/>
        <d v="2023-07-03T00:00:00" u="1"/>
        <d v="2023-07-07T00:00:00" u="1"/>
        <d v="2023-07-18T00:00:00" u="1"/>
        <d v="2023-07-20T00:00:00" u="1"/>
        <d v="2023-07-28T00:00:00" u="1"/>
        <d v="2023-07-29T00:00:00" u="1"/>
        <d v="2023-07-30T00:00:00" u="1"/>
        <d v="2023-08-02T00:00:00" u="1"/>
        <d v="2023-09-08T00:00:00" u="1"/>
        <d v="2023-08-11T00:00:00" u="1"/>
        <d v="2023-08-13T00:00:00" u="1"/>
        <d v="2023-08-15T00:00:00" u="1"/>
        <d v="2023-08-31T00:00:00" u="1"/>
        <d v="2023-09-02T00:00:00" u="1"/>
        <d v="2023-09-11T00:00:00" u="1"/>
        <d v="2023-09-13T00:00:00" u="1"/>
        <d v="2023-09-16T00:00:00" u="1"/>
        <d v="2023-09-17T00:00:00" u="1"/>
        <d v="2023-09-20T00:00:00" u="1"/>
        <d v="2023-09-24T00:00:00" u="1"/>
        <d v="2023-10-03T00:00:00" u="1"/>
        <d v="2023-10-04T00:00:00" u="1"/>
        <d v="2023-10-05T00:00:00" u="1"/>
        <d v="2023-10-06T00:00:00" u="1"/>
        <d v="2023-10-07T00:00:00" u="1"/>
        <d v="2023-10-10T00:00:00" u="1"/>
        <d v="2023-10-12T00:00:00" u="1"/>
        <d v="2023-10-13T00:00:00" u="1"/>
        <d v="2023-10-16T00:00:00" u="1"/>
        <d v="2023-10-18T00:00:00" u="1"/>
        <d v="2023-10-20T00:00:00" u="1"/>
        <d v="2023-10-21T00:00:00" u="1"/>
        <d v="2023-10-31T00:00:00" u="1"/>
        <d v="2023-11-01T00:00:00" u="1"/>
        <d v="2023-11-02T00:00:00" u="1"/>
        <d v="2023-11-03T00:00:00" u="1"/>
        <d v="2023-11-04T00:00:00" u="1"/>
        <d v="2023-11-05T00:00:00" u="1"/>
        <d v="2023-11-08T00:00:00" u="1"/>
        <d v="2023-11-10T00:00:00" u="1"/>
        <d v="2023-11-11T00:00:00" u="1"/>
        <d v="2023-11-28T00:00:00" u="1"/>
        <d v="2023-11-29T00:00:00" u="1"/>
        <d v="2023-11-30T00:00:00" u="1"/>
        <d v="2023-12-02T00:00:00" u="1"/>
        <d v="2023-12-06T00:00:00" u="1"/>
        <d v="2023-12-07T00:00:00" u="1"/>
        <d v="2023-12-09T00:00:00" u="1"/>
        <d v="2023-12-10T00:00:00" u="1"/>
        <d v="2023-12-12T00:00:00" u="1"/>
        <d v="2023-12-13T00:00:00" u="1"/>
        <d v="2023-12-14T00:00:00" u="1"/>
        <d v="2023-12-21T00:00:00" u="1"/>
        <d v="2023-12-22T00:00:00" u="1"/>
        <d v="2023-12-23T00:00:00" u="1"/>
        <d v="2023-12-25T00:00:00" u="1"/>
        <d v="2023-12-30T00:00:00" u="1"/>
        <d v="2024-01-05T00:00:00" u="1"/>
        <d v="2024-01-06T00:00:00" u="1"/>
        <d v="2024-01-09T00:00:00" u="1"/>
        <d v="2024-01-29T00:00:00" u="1"/>
        <d v="2024-02-04T00:00:00" u="1"/>
        <d v="2024-03-04T00:00:00" u="1"/>
        <d v="2024-03-05T00:00:00" u="1"/>
        <d v="2024-03-06T00:00:00" u="1"/>
        <d v="2024-03-07T00:00:00" u="1"/>
        <d v="2024-03-08T00:00:00" u="1"/>
        <d v="2024-03-10T00:00:00" u="1"/>
        <d v="2024-03-11T00:00:00" u="1"/>
        <d v="2024-03-12T00:00:00" u="1"/>
        <d v="2024-03-14T00:00:00" u="1"/>
        <d v="2024-03-15T00:00:00" u="1"/>
        <d v="2024-03-16T00:00:00" u="1"/>
        <d v="2024-03-19T00:00:00" u="1"/>
        <d v="2024-03-21T00:00:00" u="1"/>
        <d v="2024-03-24T00:00:00" u="1"/>
        <d v="2024-03-25T00:00:00" u="1"/>
        <d v="2024-03-26T00:00:00" u="1"/>
        <d v="2024-03-27T00:00:00" u="1"/>
        <d v="2024-04-03T00:00:00" u="1"/>
        <d v="2024-04-14T00:00:00" u="1"/>
        <d v="2024-04-17T00:00:00" u="1"/>
        <d v="2024-04-18T00:00:00" u="1"/>
        <d v="2024-04-27T00:00:00" u="1"/>
        <d v="2024-04-28T00:00:00" u="1"/>
        <d v="2024-05-13T00:00:00" u="1"/>
        <d v="2024-05-21T00:00:00" u="1"/>
        <d v="2024-05-24T00:00:00" u="1"/>
        <d v="2024-05-26T00:00:00" u="1"/>
        <d v="2024-05-27T00:00:00" u="1"/>
        <d v="2024-05-28T00:00:00" u="1"/>
        <d v="2024-05-29T00:00:00" u="1"/>
        <d v="2024-06-01T00:00:00" u="1"/>
        <d v="2024-06-02T00:00:00" u="1"/>
        <d v="2024-06-03T00:00:00" u="1"/>
        <d v="2024-06-04T00:00:00" u="1"/>
        <d v="2024-06-07T00:00:00" u="1"/>
        <d v="2024-06-08T00:00:00" u="1"/>
        <d v="2024-06-09T00:00:00" u="1"/>
        <d v="2024-06-13T00:00:00" u="1"/>
        <d v="2024-06-16T00:00:00" u="1"/>
        <d v="2024-06-18T00:00:00" u="1"/>
        <d v="2024-06-20T00:00:00" u="1"/>
        <d v="2024-07-10T00:00:00" u="1"/>
        <d v="2024-07-19T00:00:00" u="1"/>
        <d v="2024-07-24T00:00:00" u="1"/>
        <d v="2024-07-31T00:00:00" u="1"/>
        <d v="2024-08-12T00:00:00" u="1"/>
        <d v="2024-08-17T00:00:00" u="1"/>
        <d v="2024-08-19T00:00:00" u="1"/>
        <d v="2024-08-25T00:00:00" u="1"/>
        <d v="2024-08-26T00:00:00" u="1"/>
        <d v="2024-09-07T00:00:00" u="1"/>
        <d v="2024-09-08T00:00:00" u="1"/>
        <d v="2024-09-14T00:00:00" u="1"/>
        <d v="2024-09-20T00:00:00" u="1"/>
        <d v="2024-09-21T00:00:00" u="1"/>
        <d v="2024-09-25T00:00:00" u="1"/>
        <d v="2024-09-27T00:00:00" u="1"/>
        <d v="2024-10-01T00:00:00" u="1"/>
        <d v="2024-10-04T00:00:00" u="1"/>
        <d v="2024-10-09T00:00:00" u="1"/>
        <d v="2024-10-10T00:00:00" u="1"/>
        <d v="2024-10-14T00:00:00" u="1"/>
        <d v="2024-10-15T00:00:00" u="1"/>
        <d v="2024-10-16T00:00:00" u="1"/>
        <d v="2024-10-18T00:00:00" u="1"/>
        <d v="2024-10-19T00:00:00" u="1"/>
        <d v="2024-10-20T00:00:00" u="1"/>
        <d v="2024-10-21T00:00:00" u="1"/>
        <d v="2024-10-22T00:00:00" u="1"/>
        <d v="2024-10-23T00:00:00" u="1"/>
        <d v="2024-10-24T00:00:00" u="1"/>
        <d v="2024-10-27T00:00:00" u="1"/>
        <d v="2024-10-30T00:00:00" u="1"/>
        <d v="2024-10-31T00:00:00" u="1"/>
        <d v="2024-11-01T00:00:00" u="1"/>
        <d v="2024-11-02T00:00:00" u="1"/>
        <d v="2024-11-04T00:00:00" u="1"/>
        <d v="2024-11-06T00:00:00" u="1"/>
        <d v="2024-11-07T00:00:00" u="1"/>
        <d v="2024-11-08T00:00:00" u="1"/>
        <d v="2024-11-09T00:00:00" u="1"/>
        <d v="2024-11-10T00:00:00" u="1"/>
        <d v="2024-11-11T00:00:00" u="1"/>
        <d v="2024-11-13T00:00:00" u="1"/>
        <d v="2024-11-15T00:00:00" u="1"/>
        <d v="2024-11-16T00:00:00" u="1"/>
        <d v="2024-11-21T00:00:00" u="1"/>
        <d v="2024-11-23T00:00:00" u="1"/>
        <d v="2024-11-24T00:00:00" u="1"/>
        <d v="2024-11-26T00:00:00" u="1"/>
        <d v="2024-11-27T00:00:00" u="1"/>
        <d v="2024-11-29T00:00:00" u="1"/>
        <d v="2024-11-30T00:00:00" u="1"/>
        <d v="2024-12-01T00:00:00" u="1"/>
        <d v="2024-12-04T00:00:00" u="1"/>
        <d v="2024-12-05T00:00:00" u="1"/>
        <d v="2024-12-06T00:00:00" u="1"/>
        <d v="2024-12-07T00:00:00" u="1"/>
        <d v="2024-12-08T00:00:00" u="1"/>
        <d v="2024-12-09T00:00:00" u="1"/>
        <d v="2024-12-11T00:00:00" u="1"/>
        <d v="2024-12-12T00:00:00" u="1"/>
        <d v="2024-12-13T00:00:00" u="1"/>
        <d v="2024-12-14T00:00:00" u="1"/>
        <d v="2024-12-17T00:00:00" u="1"/>
        <d v="2024-12-19T00:00:00" u="1"/>
        <d v="2024-12-20T00:00:00" u="1"/>
        <d v="2024-12-22T00:00:00" u="1"/>
        <d v="2024-12-23T00:00:00" u="1"/>
        <d v="2024-12-24T00:00:00" u="1"/>
        <d v="2024-12-25T00:00:00" u="1"/>
        <d v="2024-12-26T00:00:00" u="1"/>
        <d v="2024-12-27T00:00:00" u="1"/>
        <d v="2025-04-02T00:00:00" u="1"/>
      </sharedItems>
      <fieldGroup par="68"/>
    </cacheField>
    <cacheField name="订单状态" uniqueList="1" numFmtId="0" sqlType="0" hierarchy="0" level="0" databaseField="1">
      <sharedItems count="0" containsBlank="1"/>
    </cacheField>
    <cacheField name="订单编号" uniqueList="1" numFmtId="49" sqlType="0" hierarchy="0" level="0" databaseField="1">
      <sharedItems count="0" containsBlank="1"/>
    </cacheField>
    <cacheField name="收货人姓名" uniqueList="1" numFmtId="0" sqlType="0" hierarchy="0" level="0" databaseField="1">
      <sharedItems count="0" containsBlank="1"/>
    </cacheField>
    <cacheField name="备注" uniqueList="1" numFmtId="0" sqlType="0" hierarchy="0" level="0" databaseField="1">
      <sharedItems count="0" containsBlank="1"/>
    </cacheField>
    <cacheField name="产品SKU" uniqueList="1" numFmtId="0" sqlType="0" hierarchy="0" level="0" databaseField="1">
      <sharedItems count="0" containsBlank="1"/>
    </cacheField>
    <cacheField name="产品名" uniqueList="1" numFmtId="0" sqlType="0" hierarchy="0" level="0" databaseField="1">
      <sharedItems count="0" containsBlank="1"/>
    </cacheField>
    <cacheField name="产品简称" uniqueList="1" numFmtId="0" sqlType="0" hierarchy="0" level="0" databaseField="1">
      <sharedItems count="47" containsBlank="1" containsInteger="1" containsMixedTypes="1" containsNumber="1" minValue="0" maxValue="0">
        <s v="样块"/>
        <s v="榉木餐桌"/>
        <s v="旋转餐边柜"/>
        <s v="洞石餐边柜"/>
        <m/>
        <s v="配件"/>
        <s v="书柜-2024款"/>
        <s v="鞋柜"/>
        <s v="升降桌-2024款"/>
        <s v="榉木餐边柜"/>
        <s v="连柜书桌"/>
        <s v="樱桃木岩板餐桌2024"/>
        <s v="定制书柜"/>
        <s v="樱桃木餐桌2024"/>
        <s v="组合柜"/>
        <s v="椅子"/>
        <s v="岛台"/>
        <s v="定制电视柜"/>
        <s v="樱桃木窄柜"/>
        <s v="曜黑餐边柜"/>
        <s v="床头柜"/>
        <s v="樱桃木岩板桌2025"/>
        <s v="黑胡桃木岩板餐桌"/>
        <s v="樱桃木岩板餐桌2025"/>
        <s v="九斗柜"/>
        <s v="基础餐边柜"/>
        <s v="书柜"/>
        <s v="定制餐桌"/>
        <s v="樱桃木餐桌"/>
        <s v="长凳"/>
        <s v="黑胡桃木餐桌"/>
        <s v="长虹玻璃"/>
        <s v="樱桃木米黄洞石岩板餐桌"/>
        <s v="窄柜"/>
        <s v="升降桌"/>
        <s v="洞石柜"/>
        <s v="黑胡桃岩板餐桌"/>
        <s v="旋转柜"/>
        <s v="榉木大板餐桌"/>
        <s v="榉木大板+岩板餐桌"/>
        <s v="黑胡桃木柜"/>
        <s v="黑胡桃木鎏金柜"/>
        <s v="基础柜"/>
        <s v="地脚"/>
        <s v="插座*2"/>
        <s v="箱体床"/>
        <n v="0" u="1"/>
      </sharedItems>
    </cacheField>
    <cacheField name="规格" uniqueList="1" numFmtId="0" sqlType="0" hierarchy="0" level="0" databaseField="1">
      <sharedItems count="0" containsBlank="1" containsInteger="1" containsMixedTypes="1" containsNumber="1" minValue="600" maxValue="2400"/>
    </cacheField>
    <cacheField name="结算状态" uniqueList="1" numFmtId="0" sqlType="0" hierarchy="0" level="0" databaseField="1">
      <sharedItems count="0" containsBlank="1"/>
    </cacheField>
    <cacheField name="供应商" uniqueList="1" numFmtId="0" sqlType="0" hierarchy="0" level="0" databaseField="1">
      <sharedItems count="0" containsBlank="1"/>
    </cacheField>
    <cacheField name="产品成本" uniqueList="1" numFmtId="0" sqlType="0" hierarchy="0" level="0" databaseField="1">
      <sharedItems count="0" containsBlank="1" containsNumber="1" containsString="0" minValue="0" maxValue="15300"/>
    </cacheField>
    <cacheField name="木作成本" uniqueList="1" numFmtId="0" sqlType="0" hierarchy="0" level="0" databaseField="1">
      <sharedItems count="0" containsBlank="1" containsNumber="1" containsString="0" minValue="0" maxValue="14200"/>
    </cacheField>
    <cacheField name="电力轨道" uniqueList="1" numFmtId="0" sqlType="0" hierarchy="0" level="0" databaseField="1">
      <sharedItems count="0" containsBlank="1" containsMixedTypes="1" containsNumber="1" minValue="0" maxValue="9800"/>
    </cacheField>
    <cacheField name="洞石背板/鎏金背板" uniqueList="1" numFmtId="0" sqlType="0" hierarchy="0" level="0" databaseField="1">
      <sharedItems count="0" containsBlank="1" containsMixedTypes="1" containsNumber="1" minValue="2.5" maxValue="907"/>
    </cacheField>
    <cacheField name="洞洞板" uniqueList="1" numFmtId="0" sqlType="0" hierarchy="0" level="0" databaseField="1">
      <sharedItems count="0" containsBlank="1" containsMixedTypes="1" containsNumber="1" minValue="1.16" maxValue="28887"/>
    </cacheField>
    <cacheField name="金属轨道" uniqueList="1" numFmtId="0" sqlType="0" hierarchy="0" level="0" databaseField="1">
      <sharedItems count="0" containsBlank="1" containsNumber="1" containsString="0" minValue="14" maxValue="657.08"/>
    </cacheField>
    <cacheField name="岩板" uniqueList="1" numFmtId="0" sqlType="0" hierarchy="0" level="0" databaseField="1">
      <sharedItems count="0" containsBlank="1" containsMixedTypes="1" containsNumber="1" minValue="0" maxValue="2200"/>
    </cacheField>
    <cacheField name="灯带" uniqueList="1" numFmtId="0" sqlType="0" hierarchy="0" level="0" databaseField="1">
      <sharedItems count="0" containsBlank="1" containsMixedTypes="1" containsNumber="1" minValue="1.1" maxValue="655"/>
    </cacheField>
    <cacheField name="玻璃" uniqueList="1" numFmtId="0" sqlType="0" hierarchy="0" level="0" databaseField="1">
      <sharedItems count="0" containsBlank="1" containsMixedTypes="1" containsNumber="1" minValue="1.03" maxValue="27791"/>
    </cacheField>
    <cacheField name="雕刻" uniqueList="1" numFmtId="0" sqlType="0" hierarchy="0" level="0" databaseField="1">
      <sharedItems count="0" containsBlank="1" containsMixedTypes="1" containsNumber="1" minValue="10" maxValue="283.3333333333333"/>
    </cacheField>
    <cacheField name="塑料轨道槽" uniqueList="1" numFmtId="0" sqlType="0" hierarchy="0" level="0" databaseField="1">
      <sharedItems count="0" containsBlank="1" containsInteger="1" containsNumber="1" containsString="0" minValue="4" maxValue="470"/>
    </cacheField>
    <cacheField name="把手" uniqueList="1" numFmtId="0" sqlType="0" hierarchy="0" level="0" databaseField="1">
      <sharedItems count="0" containsBlank="1" containsMixedTypes="1" containsNumber="1" minValue="1.16" maxValue="712.08"/>
    </cacheField>
    <cacheField name="抽屉轨道/翻盖配件" uniqueList="1" numFmtId="0" sqlType="0" hierarchy="0" level="0" databaseField="1">
      <sharedItems count="0" containsBlank="1" containsMixedTypes="1" containsNumber="1" minValue="1.1" maxValue="657.08"/>
    </cacheField>
    <cacheField name="链接片+铁销" uniqueList="1" numFmtId="0" sqlType="0" hierarchy="0" level="0" databaseField="1">
      <sharedItems count="0" containsBlank="1" containsMixedTypes="1" containsNumber="1" minValue="1.03" maxValue="755.08"/>
    </cacheField>
    <cacheField name="隔板配件" uniqueList="1" numFmtId="0" sqlType="0" hierarchy="0" level="0" databaseField="1">
      <sharedItems count="0" containsBlank="1" containsNumber="1" containsString="0" minValue="3.5" maxValue="40"/>
    </cacheField>
    <cacheField name="装饰盖" uniqueList="1" numFmtId="0" sqlType="0" hierarchy="0" level="0" databaseField="1">
      <sharedItems count="0" containsBlank="1" containsInteger="1" containsNumber="1" containsString="0" minValue="2" maxValue="76"/>
    </cacheField>
    <cacheField name="铁销" uniqueList="1" numFmtId="0" sqlType="0" hierarchy="0" level="0" databaseField="1">
      <sharedItems count="0" containsBlank="1" containsNumber="1" containsString="0" minValue="1.1" maxValue="20"/>
    </cacheField>
    <cacheField name="连接片" uniqueList="1" numFmtId="0" sqlType="0" hierarchy="0" level="0" databaseField="1">
      <sharedItems count="0" containsBlank="1" containsNumber="1" containsString="0" minValue="2.5" maxValue="700"/>
    </cacheField>
    <cacheField name="点胶" uniqueList="1" numFmtId="0" sqlType="0" hierarchy="0" level="0" databaseField="1">
      <sharedItems count="0" containsBlank="1" containsMixedTypes="1" containsNumber="1" minValue="2.5" maxValue="657.08"/>
    </cacheField>
    <cacheField name="悬浮五金" uniqueList="1" numFmtId="0" sqlType="0" hierarchy="0" level="0" databaseField="1">
      <sharedItems count="0" containsBlank="1" containsMixedTypes="1" containsNumber="1" minValue="1.03" maxValue="755.08"/>
    </cacheField>
    <cacheField name="外采椅子" uniqueList="1" numFmtId="0" sqlType="0" hierarchy="0" level="0" databaseField="1">
      <sharedItems count="0" containsBlank="1" containsMixedTypes="1" containsNumber="1" minValue="1.1" maxValue="1307.99"/>
    </cacheField>
    <cacheField name="升降机" uniqueList="1" numFmtId="0" sqlType="0" hierarchy="0" level="0" databaseField="1">
      <sharedItems count="0" containsBlank="1" containsInteger="1" containsNumber="1" containsString="0" minValue="18" maxValue="18"/>
    </cacheField>
    <cacheField name="理线架+插排" uniqueList="1" numFmtId="0" sqlType="0" hierarchy="0" level="0" databaseField="1">
      <sharedItems count="0" containsBlank="1" containsInteger="1" containsMixedTypes="1" containsNumber="1" minValue="28" maxValue="152"/>
    </cacheField>
    <cacheField name="桌腿磁吸配件" uniqueList="1" numFmtId="0" sqlType="0" hierarchy="0" level="0" databaseField="1">
      <sharedItems count="0" containsBlank="1" containsNumber="1" containsString="0" minValue="1.16" maxValue="52"/>
    </cacheField>
    <cacheField name="赠品（木蜡油）" uniqueList="1" numFmtId="0" sqlType="0" hierarchy="0" level="0" databaseField="1">
      <sharedItems count="0" containsBlank="1" containsMixedTypes="1" containsNumber="1" minValue="1.03" maxValue="657.08"/>
    </cacheField>
    <cacheField name="装饰盖2" uniqueList="1" numFmtId="0" sqlType="0" hierarchy="0" level="0" databaseField="1">
      <sharedItems count="0" containsBlank="1" containsInteger="1" containsNumber="1" containsString="0" minValue="5" maxValue="700"/>
    </cacheField>
    <cacheField name="打包纸片" uniqueList="1" numFmtId="0" sqlType="0" hierarchy="0" level="0" databaseField="1">
      <sharedItems count="0" containsBlank="1" containsInteger="1" containsNumber="1" containsString="0" minValue="70" maxValue="70"/>
    </cacheField>
    <cacheField name="打包费" uniqueList="1" numFmtId="0" sqlType="0" hierarchy="0" level="0" databaseField="1">
      <sharedItems count="0" containsBlank="1" containsMixedTypes="1" containsNumber="1" minValue="0" maxValue="970"/>
    </cacheField>
    <cacheField name="备用3" uniqueList="1" numFmtId="0" sqlType="0" hierarchy="0" level="0" databaseField="1">
      <sharedItems count="0" containsBlank="1" containsNumber="1" containsString="0" minValue="0" maxValue="470"/>
    </cacheField>
    <cacheField name="备用4" uniqueList="1" numFmtId="0" sqlType="0" hierarchy="0" level="0" databaseField="1">
      <sharedItems count="0" containsBlank="1" containsNumber="1" containsString="0" minValue="0" maxValue="573.99"/>
    </cacheField>
    <cacheField name="实际邮费" uniqueList="1" numFmtId="0" sqlType="0" hierarchy="0" level="0" databaseField="1">
      <sharedItems count="0" containsBlank="1" containsNumber="1" containsString="0" minValue="0" maxValue="2194"/>
    </cacheField>
    <cacheField name="上楼费" uniqueList="1" numFmtId="0" sqlType="0" hierarchy="0" level="0" databaseField="1">
      <sharedItems count="0" containsBlank="1" containsNumber="1" containsString="0" minValue="0" maxValue="360"/>
    </cacheField>
    <cacheField name="实际安装费用" uniqueList="1" numFmtId="0" sqlType="0" hierarchy="0" level="0" databaseField="1">
      <sharedItems count="0" containsBlank="1" containsInteger="1" containsNumber="1" containsString="0" minValue="0" maxValue="765"/>
    </cacheField>
    <cacheField name="订单赔付费用" uniqueList="1" numFmtId="0" sqlType="0" hierarchy="0" level="0" databaseField="1">
      <sharedItems count="0" containsBlank="1" containsNumber="1" containsString="0" minValue="0" maxValue="500"/>
    </cacheField>
    <cacheField name="第二次上门维修费" uniqueList="1" numFmtId="181" sqlType="0" hierarchy="0" level="0" databaseField="1">
      <sharedItems count="0" containsBlank="1" containsInteger="1" containsNumber="1" containsString="0" minValue="0" maxValue="552"/>
    </cacheField>
    <cacheField name="返厂打包运费" uniqueList="1" numFmtId="181" sqlType="0" hierarchy="0" level="0" databaseField="1">
      <sharedItems count="0" containsBlank="1" containsInteger="1" containsNumber="1" containsString="0" minValue="0" maxValue="690"/>
    </cacheField>
    <cacheField name="配件额外支付费用" uniqueList="1" numFmtId="0" sqlType="0" hierarchy="0" level="0" databaseField="1">
      <sharedItems count="0" containsBlank="1" containsNumber="1" containsString="0" minValue="0" maxValue="487.7"/>
    </cacheField>
    <cacheField name="好评/延迟返/差价返" uniqueList="1" numFmtId="181" sqlType="0" hierarchy="0" level="0" databaseField="1">
      <sharedItems count="0" containsBlank="1" containsNumber="1" containsString="0" minValue="0" maxValue="3678"/>
    </cacheField>
    <cacheField name="购买件数" uniqueList="1" numFmtId="182" sqlType="0" hierarchy="0" level="0" databaseField="1">
      <sharedItems count="0" containsBlank="1" containsInteger="1" containsNumber="1" containsString="0" minValue="0" maxValue="2"/>
    </cacheField>
    <cacheField name="采购总额" uniqueList="1" numFmtId="181" sqlType="0" hierarchy="0" level="0" databaseField="1">
      <sharedItems count="0" containsBlank="1" containsNumber="1" containsString="0" minValue="0" maxValue="16300"/>
    </cacheField>
    <cacheField name="买家应付金额" uniqueList="1" numFmtId="181" sqlType="0" hierarchy="0" level="0" databaseField="1">
      <sharedItems count="0" containsBlank="1" containsNumber="1" containsString="0" minValue="0" maxValue="22740"/>
    </cacheField>
    <cacheField name="买家应付邮费" uniqueList="1" numFmtId="181" sqlType="0" hierarchy="0" level="0" databaseField="1">
      <sharedItems count="0" containsBlank="1" containsInteger="1" containsNumber="1" containsString="0" minValue="0" maxValue="0"/>
    </cacheField>
    <cacheField name="平台服务费/花呗信用卡手续费" uniqueList="1" numFmtId="181" sqlType="0" hierarchy="0" level="0" databaseField="1">
      <sharedItems count="0" containsBlank="1" containsNumber="1" containsString="0" minValue="0" maxValue="512.9019999999999"/>
    </cacheField>
    <cacheField name="买家实付金额" uniqueList="1" numFmtId="181" sqlType="0" hierarchy="0" level="0" databaseField="1">
      <sharedItems count="0" containsNumber="1" containsSemiMixedTypes="0" containsString="0" minValue="0" maxValue="22603.56"/>
    </cacheField>
    <cacheField name="工厂生产原因抵扣" uniqueList="1" numFmtId="181" sqlType="0" hierarchy="0" level="0" databaseField="1">
      <sharedItems count="0" containsBlank="1" containsNumber="1" containsString="0" minValue="0" maxValue="1000"/>
    </cacheField>
    <cacheField name="物流原因抵扣" uniqueList="1" numFmtId="181" sqlType="0" hierarchy="0" level="0" databaseField="1">
      <sharedItems count="0" containsBlank="1" containsInteger="1" containsNumber="1" containsString="0" minValue="0" maxValue="730"/>
    </cacheField>
    <cacheField name="补偿总额" uniqueList="1" numFmtId="0" sqlType="0" hierarchy="0" level="0" databaseField="1">
      <sharedItems count="0" containsBlank="1" containsNumber="1" containsString="0" minValue="0" maxValue="1000"/>
    </cacheField>
    <cacheField name="订单利润" uniqueList="1" numFmtId="0" sqlType="0" hierarchy="0" level="0" databaseField="1">
      <sharedItems count="0" containsBlank="1" containsNumber="1" containsString="0" minValue="-4116.2" maxValue="9878.399999999998"/>
    </cacheField>
    <cacheField name="收货人姓名2" uniqueList="1" numFmtId="0" sqlType="0" hierarchy="0" level="0" databaseField="1">
      <sharedItems count="0" containsBlank="1"/>
    </cacheField>
    <cacheField name="收货地址" uniqueList="1" numFmtId="0" sqlType="0" hierarchy="0" level="0" databaseField="1">
      <sharedItems count="0" containsBlank="1"/>
    </cacheField>
    <cacheField name="联系电话 " uniqueList="1" numFmtId="0" sqlType="0" hierarchy="0" level="0" databaseField="1">
      <sharedItems count="0" containsBlank="1" containsInteger="1" containsMixedTypes="1" containsNumber="1" minValue="13304091128" maxValue="19022061397"/>
    </cacheField>
    <cacheField name="物流单号" uniqueList="1" numFmtId="0" sqlType="0" hierarchy="0" level="0" databaseField="1">
      <sharedItems count="0" containsBlank="1"/>
    </cacheField>
    <cacheField name="支付宝实际收款" uniqueList="1" numFmtId="0" sqlType="0" hierarchy="0" level="0" databaseField="1">
      <sharedItems count="0" containsBlank="1" containsNumber="1" containsString="0" minValue="0" maxValue="22603.56"/>
    </cacheField>
    <cacheField name="check" uniqueList="1" numFmtId="4" sqlType="0" hierarchy="0" level="0" databaseField="1">
      <sharedItems count="0" containsBlank="1" containsInteger="1" containsNumber="1" containsString="0" minValue="0" maxValue="100"/>
    </cacheField>
    <cacheField name="毛利比" uniqueList="1" numFmtId="0" sqlType="0" hierarchy="0" level="0" databaseField="1">
      <sharedItems count="0" containsBlank="1" containsMixedTypes="1" containsNumber="1" minValue="0.08342755951782004" maxValue="1"/>
    </cacheField>
    <cacheField name="月(下单时间)" uniqueList="1" numFmtId="0" sqlType="0" hierarchy="0" level="0" databaseField="0">
      <fieldGroup base="0">
        <rangePr autoStart="1" autoEnd="1" groupBy="months" startDate="2025-01-02T00:00:00" endDate="2026-04-28T00:00:00" groupInterval="1"/>
        <groupItems count="14">
          <s v="&lt;2025/1/2"/>
          <s v="1月"/>
          <s v="2月"/>
          <s v="3月"/>
          <s v="4月"/>
          <s v="5月"/>
          <s v="6月"/>
          <s v="7月"/>
          <s v="8月"/>
          <s v="9月"/>
          <s v="10月"/>
          <s v="11月"/>
          <s v="12月"/>
          <s v="&gt;2026/4/28"/>
        </groupItems>
      </fieldGroup>
    </cacheField>
    <cacheField name="季度(下单时间)" uniqueList="1" numFmtId="0" sqlType="0" hierarchy="0" level="0" databaseField="0">
      <fieldGroup base="0">
        <rangePr autoStart="1" autoEnd="1" groupBy="quarters" startDate="2025-01-02T00:00:00" endDate="2026-04-28T00:00:00" groupInterval="1"/>
        <groupItems count="6">
          <s v="&lt;2025/1/2"/>
          <s v="第一季"/>
          <s v="第二季"/>
          <s v="第三季"/>
          <s v="第四季"/>
          <s v="&gt;2026/4/28"/>
        </groupItems>
      </fieldGroup>
    </cacheField>
    <cacheField name="年(下单时间)" uniqueList="1" numFmtId="0" sqlType="0" hierarchy="0" level="0" databaseField="0">
      <fieldGroup base="0">
        <rangePr autoStart="1" autoEnd="1" groupBy="years" startDate="2025-01-02T00:00:00" endDate="2026-04-28T00:00:00" groupInterval="1"/>
        <groupItems count="4">
          <s v="&lt;2025/1/2"/>
          <s v="2025年"/>
          <s v="2026年"/>
          <s v="&gt;2026/4/28"/>
        </groupItems>
      </fieldGroup>
    </cacheField>
  </cacheFields>
</pivotCacheDefinition>
</file>

<file path=xl/pivotCache/pivotCacheRecords1.xml><?xml version="1.0" encoding="utf-8"?>
<pivotCacheRecords xmlns="http://schemas.openxmlformats.org/spreadsheetml/2006/main" count="634">
  <r>
    <x v="0"/>
    <s v="已收货"/>
    <x v="0"/>
    <s v="曹女士"/>
    <m/>
    <m/>
    <s v="样块"/>
    <s v="样块"/>
    <m/>
    <s v="已结算"/>
    <s v="杭州"/>
    <n v="7"/>
    <n v="5"/>
    <m/>
    <m/>
    <m/>
    <m/>
    <m/>
    <m/>
    <m/>
    <m/>
    <m/>
    <m/>
    <m/>
    <m/>
    <m/>
    <m/>
    <m/>
    <m/>
    <m/>
    <m/>
    <m/>
    <m/>
    <m/>
    <m/>
    <m/>
    <m/>
    <m/>
    <n v="2"/>
    <m/>
    <m/>
    <n v="5"/>
    <n v="0"/>
    <n v="0"/>
    <n v="0"/>
    <n v="0"/>
    <n v="0"/>
    <n v="0"/>
    <n v="0"/>
    <n v="1"/>
    <n v="12"/>
    <n v="25"/>
    <n v="0"/>
    <n v="0.15"/>
    <n v="24.85"/>
    <n v="0"/>
    <n v="0"/>
    <n v="0"/>
    <n v="12.85"/>
    <s v="曹女士"/>
    <s v="浙江省 杭州市 西湖区 转塘街道德信九溪云庄17栋2单元501"/>
    <s v="18413252692-6918"/>
    <m/>
    <n v="24.85"/>
  </r>
  <r>
    <x v="1"/>
    <s v="已收货"/>
    <x v="1"/>
    <s v="章衍"/>
    <m/>
    <m/>
    <s v="榉木样块"/>
    <s v="样块"/>
    <m/>
    <s v="已结算"/>
    <s v="杭州"/>
    <n v="7"/>
    <n v="5"/>
    <m/>
    <m/>
    <m/>
    <m/>
    <m/>
    <m/>
    <m/>
    <m/>
    <m/>
    <m/>
    <m/>
    <m/>
    <m/>
    <m/>
    <m/>
    <m/>
    <m/>
    <m/>
    <m/>
    <m/>
    <m/>
    <m/>
    <m/>
    <m/>
    <m/>
    <n v="2"/>
    <m/>
    <m/>
    <n v="5"/>
    <n v="0"/>
    <n v="0"/>
    <n v="0"/>
    <n v="0"/>
    <n v="0"/>
    <n v="0"/>
    <n v="0"/>
    <n v="1"/>
    <n v="12"/>
    <n v="20"/>
    <n v="0"/>
    <n v="0.12"/>
    <n v="19.88"/>
    <n v="0"/>
    <n v="0"/>
    <n v="0"/>
    <n v="7.879999999999999"/>
    <s v="章衍"/>
    <s v="江苏省 苏州市 常熟市 琴川街道香山北路9号常熟政务服务中心快递柜"/>
    <s v="15784504530-8308"/>
    <m/>
    <n v="19.88"/>
  </r>
  <r>
    <x v="2"/>
    <s v="已收货"/>
    <x v="2"/>
    <s v="小淘"/>
    <m/>
    <m/>
    <s v="样块"/>
    <s v="样块"/>
    <m/>
    <s v="已结算"/>
    <s v="杭州"/>
    <n v="7"/>
    <n v="5"/>
    <m/>
    <m/>
    <m/>
    <m/>
    <m/>
    <m/>
    <m/>
    <m/>
    <m/>
    <m/>
    <m/>
    <m/>
    <m/>
    <m/>
    <m/>
    <m/>
    <m/>
    <m/>
    <m/>
    <m/>
    <m/>
    <m/>
    <m/>
    <m/>
    <m/>
    <n v="2"/>
    <m/>
    <m/>
    <n v="5"/>
    <n v="0"/>
    <n v="0"/>
    <n v="0"/>
    <n v="0"/>
    <n v="0"/>
    <n v="0"/>
    <n v="0"/>
    <n v="1"/>
    <n v="12"/>
    <n v="20"/>
    <n v="0"/>
    <n v="0.12"/>
    <n v="19.88"/>
    <n v="0"/>
    <n v="0"/>
    <n v="0"/>
    <n v="7.879999999999999"/>
    <s v="小淘"/>
    <s v="上海 上海市 嘉定区 南翔镇德园路955弄星信名邸8号503"/>
    <s v="18466947921-6929"/>
    <m/>
    <n v="19.88"/>
  </r>
  <r>
    <x v="3"/>
    <s v="退单"/>
    <x v="3"/>
    <s v="张浩"/>
    <m/>
    <m/>
    <s v="砂白色1.5米岩板餐桌"/>
    <s v="榉木餐桌"/>
    <s v="150cm*90cm"/>
    <s v="已结算"/>
    <s v="江西"/>
    <n v="0"/>
    <n v="0"/>
    <m/>
    <m/>
    <m/>
    <m/>
    <m/>
    <m/>
    <m/>
    <m/>
    <m/>
    <m/>
    <m/>
    <m/>
    <m/>
    <m/>
    <m/>
    <m/>
    <m/>
    <m/>
    <m/>
    <m/>
    <m/>
    <m/>
    <m/>
    <m/>
    <m/>
    <m/>
    <m/>
    <m/>
    <n v="0"/>
    <n v="0"/>
    <n v="0"/>
    <n v="0"/>
    <n v="0"/>
    <n v="0"/>
    <n v="0"/>
    <n v="0"/>
    <n v="1"/>
    <n v="0"/>
    <n v="0"/>
    <n v="0"/>
    <n v="0"/>
    <n v="0"/>
    <n v="0"/>
    <n v="0"/>
    <n v="0"/>
    <n v="0"/>
    <s v="张浩"/>
    <s v="安徽省 合肥市 蜀山区 小庙镇 西城兰苑B区6栋1501"/>
    <s v="13063482450-9644"/>
    <m/>
    <n v="0"/>
  </r>
  <r>
    <x v="4"/>
    <s v="已收货"/>
    <x v="4"/>
    <s v="雷光秀"/>
    <m/>
    <m/>
    <s v="样块*2"/>
    <s v="样块"/>
    <m/>
    <s v="已结算"/>
    <s v="杭州"/>
    <n v="12"/>
    <n v="10"/>
    <m/>
    <m/>
    <m/>
    <m/>
    <m/>
    <m/>
    <m/>
    <m/>
    <m/>
    <m/>
    <m/>
    <m/>
    <m/>
    <m/>
    <m/>
    <m/>
    <m/>
    <m/>
    <m/>
    <m/>
    <m/>
    <m/>
    <m/>
    <m/>
    <m/>
    <n v="2"/>
    <m/>
    <m/>
    <n v="5"/>
    <n v="0"/>
    <n v="0"/>
    <n v="0"/>
    <n v="0"/>
    <n v="0"/>
    <n v="0"/>
    <n v="50"/>
    <n v="1"/>
    <n v="67"/>
    <n v="50"/>
    <n v="0"/>
    <n v="0.3"/>
    <n v="49.7"/>
    <n v="0"/>
    <n v="0"/>
    <n v="0"/>
    <n v="-17.3"/>
    <s v="雷光秀"/>
    <s v="江苏省淮安市盱眙县黄花塘镇旧铺富康路30号"/>
    <s v="18466653191-8016"/>
    <m/>
    <n v="49.7"/>
  </r>
  <r>
    <x v="4"/>
    <s v="已收货"/>
    <x v="5"/>
    <s v="雷光秀"/>
    <m/>
    <m/>
    <s v="样块*2"/>
    <s v="样块"/>
    <m/>
    <s v="已结算"/>
    <s v="杭州"/>
    <n v="12"/>
    <n v="10"/>
    <m/>
    <m/>
    <m/>
    <m/>
    <m/>
    <m/>
    <m/>
    <m/>
    <m/>
    <m/>
    <m/>
    <m/>
    <m/>
    <m/>
    <m/>
    <m/>
    <m/>
    <m/>
    <m/>
    <m/>
    <m/>
    <m/>
    <m/>
    <m/>
    <m/>
    <n v="2"/>
    <m/>
    <m/>
    <n v="5"/>
    <n v="0"/>
    <n v="0"/>
    <n v="0"/>
    <n v="0"/>
    <n v="0"/>
    <n v="0"/>
    <n v="30"/>
    <n v="1"/>
    <n v="47"/>
    <n v="50"/>
    <n v="0"/>
    <n v="0.3"/>
    <n v="49.7"/>
    <n v="0"/>
    <n v="0"/>
    <n v="0"/>
    <n v="2.700000000000003"/>
    <s v="雷光秀"/>
    <s v="江苏省淮安市盱眙县黄花塘镇旧铺富康路30号"/>
    <s v="18466653191-8016"/>
    <m/>
    <n v="49.7"/>
  </r>
  <r>
    <x v="5"/>
    <s v="已收货"/>
    <x v="6"/>
    <s v="乐婷婷"/>
    <m/>
    <m/>
    <s v="样块"/>
    <s v="样块"/>
    <m/>
    <s v="已结算"/>
    <s v="杭州"/>
    <n v="7"/>
    <n v="5"/>
    <m/>
    <m/>
    <m/>
    <m/>
    <m/>
    <m/>
    <m/>
    <m/>
    <m/>
    <m/>
    <m/>
    <m/>
    <m/>
    <m/>
    <m/>
    <m/>
    <m/>
    <m/>
    <m/>
    <m/>
    <m/>
    <m/>
    <m/>
    <m/>
    <m/>
    <n v="2"/>
    <m/>
    <m/>
    <n v="5"/>
    <n v="0"/>
    <n v="0"/>
    <n v="0"/>
    <n v="0"/>
    <n v="0"/>
    <n v="0"/>
    <n v="0"/>
    <n v="1"/>
    <n v="12"/>
    <n v="21.5"/>
    <n v="0"/>
    <n v="0.129"/>
    <n v="21.371"/>
    <n v="0"/>
    <n v="0"/>
    <n v="0"/>
    <n v="9.370999999999999"/>
    <s v="乐婷婷"/>
    <s v="重庆重庆市石柱土家族自治县黄水镇青岗平鑫芯农家"/>
    <s v="13140366585-2484"/>
    <m/>
    <n v="21.371"/>
  </r>
  <r>
    <x v="6"/>
    <s v="已收货"/>
    <x v="7"/>
    <s v="熊军"/>
    <m/>
    <m/>
    <s v="1.6柜+1.2单腿餐桌旋转餐边柜：黑胡桃木"/>
    <s v="旋转餐边柜"/>
    <n v="1600"/>
    <s v="已结算"/>
    <s v="江西"/>
    <n v="12039"/>
    <n v="8700"/>
    <n v="910"/>
    <n v="476"/>
    <n v="38"/>
    <n v="525"/>
    <n v="22"/>
    <n v="16"/>
    <n v="370"/>
    <m/>
    <m/>
    <n v="36"/>
    <n v="176"/>
    <n v="150"/>
    <m/>
    <m/>
    <m/>
    <m/>
    <m/>
    <n v="100"/>
    <m/>
    <m/>
    <m/>
    <m/>
    <m/>
    <m/>
    <m/>
    <n v="520"/>
    <m/>
    <m/>
    <n v="411"/>
    <n v="132"/>
    <n v="168"/>
    <n v="0"/>
    <n v="0"/>
    <n v="0"/>
    <n v="0"/>
    <n v="100"/>
    <n v="1"/>
    <n v="12850"/>
    <n v="15548"/>
    <n v="0"/>
    <n v="93.288"/>
    <n v="15454.712"/>
    <n v="0"/>
    <n v="0"/>
    <n v="0"/>
    <n v="2604.712"/>
    <s v="熊军"/>
    <s v="广东省 深圳市 福田区 莲花街道彩云路盛世家园一期B座1408"/>
    <s v="15794967140-5573"/>
    <m/>
    <n v="15454.712"/>
  </r>
  <r>
    <x v="7"/>
    <s v="已收货"/>
    <x v="8"/>
    <s v="李小冲"/>
    <m/>
    <m/>
    <s v="样块"/>
    <s v="样块"/>
    <m/>
    <s v="已结算"/>
    <s v="杭州"/>
    <n v="7"/>
    <n v="5"/>
    <m/>
    <m/>
    <m/>
    <m/>
    <m/>
    <m/>
    <m/>
    <m/>
    <m/>
    <m/>
    <m/>
    <m/>
    <m/>
    <m/>
    <m/>
    <m/>
    <m/>
    <m/>
    <m/>
    <m/>
    <m/>
    <m/>
    <m/>
    <m/>
    <m/>
    <n v="2"/>
    <m/>
    <m/>
    <n v="5"/>
    <n v="0"/>
    <n v="0"/>
    <n v="0"/>
    <n v="0"/>
    <n v="0"/>
    <n v="0"/>
    <n v="0"/>
    <n v="1"/>
    <n v="10"/>
    <n v="16.27"/>
    <n v="0"/>
    <n v="0.09762"/>
    <n v="16.17238"/>
    <n v="0"/>
    <n v="0"/>
    <n v="0"/>
    <n v="6.17238"/>
    <s v="李小冲"/>
    <s v="四川省德阳市旌阳区旌东街道西湖街1号旌港花园10栋"/>
    <s v="13140292573-4724"/>
    <m/>
    <n v="16.17238"/>
  </r>
  <r>
    <x v="8"/>
    <s v="已收货"/>
    <x v="9"/>
    <s v="陆聪"/>
    <m/>
    <m/>
    <s v="洞石整柜2.1米-定制（多抽组合）（分类抽屉+玻璃移门+开门）"/>
    <s v="洞石餐边柜"/>
    <n v="2100"/>
    <s v="已结算"/>
    <s v="江西"/>
    <n v="10093.16"/>
    <n v="6600"/>
    <n v="657.0799999999999"/>
    <n v="320"/>
    <n v="690"/>
    <n v="657.08"/>
    <n v="84"/>
    <n v="14"/>
    <n v="8.5"/>
    <n v="20"/>
    <m/>
    <n v="7"/>
    <n v="154"/>
    <s v="52*2"/>
    <n v="17.5"/>
    <m/>
    <m/>
    <n v="10"/>
    <n v="490"/>
    <n v="14"/>
    <n v="20"/>
    <m/>
    <m/>
    <m/>
    <m/>
    <m/>
    <m/>
    <n v="330"/>
    <m/>
    <m/>
    <n v="546"/>
    <n v="100"/>
    <n v="396"/>
    <n v="0"/>
    <n v="0"/>
    <n v="0"/>
    <n v="220"/>
    <n v="0"/>
    <n v="1"/>
    <n v="11355.16"/>
    <n v="13807"/>
    <n v="0"/>
    <n v="82.842"/>
    <n v="13724.158"/>
    <n v="0"/>
    <n v="0"/>
    <n v="0"/>
    <n v="2368.998"/>
    <s v="陆聪"/>
    <s v="广东省 深圳市 龙华区 民治街道 金亨利瑜璟苑B栋2302"/>
    <s v="18466228509-9179"/>
    <m/>
    <n v="13724.158"/>
  </r>
  <r>
    <x v="8"/>
    <s v="已收货"/>
    <x v="10"/>
    <s v="小刘"/>
    <m/>
    <m/>
    <s v="砂白色1.6米岩板餐桌"/>
    <s v="榉木餐桌"/>
    <s v="160cm*85cm"/>
    <s v="已结算"/>
    <s v="江西"/>
    <n v="2032.5"/>
    <n v="1520"/>
    <m/>
    <m/>
    <m/>
    <m/>
    <n v="390"/>
    <m/>
    <m/>
    <m/>
    <m/>
    <m/>
    <m/>
    <m/>
    <m/>
    <m/>
    <m/>
    <m/>
    <n v="2.5"/>
    <m/>
    <m/>
    <m/>
    <m/>
    <m/>
    <m/>
    <m/>
    <m/>
    <n v="120"/>
    <m/>
    <m/>
    <n v="192"/>
    <n v="51"/>
    <n v="80"/>
    <n v="0"/>
    <n v="0"/>
    <n v="0"/>
    <n v="0"/>
    <n v="0"/>
    <n v="1"/>
    <n v="2355.5"/>
    <n v="2931.09"/>
    <n v="0"/>
    <n v="17.58654"/>
    <n v="2913.50346"/>
    <n v="0"/>
    <n v="0"/>
    <n v="0"/>
    <n v="558.0034600000004"/>
    <s v="小刘"/>
    <s v="广东省 广州市 天河区 珠吉街道岐山路183号珠江花城18栋502"/>
    <s v="18620586049-1339"/>
    <m/>
    <n v="2913.50346"/>
  </r>
  <r>
    <x v="9"/>
    <s v="已收货"/>
    <x v="11"/>
    <s v="刘兆"/>
    <m/>
    <m/>
    <s v="样块*4"/>
    <s v="样块"/>
    <m/>
    <s v="已结算"/>
    <s v="杭州"/>
    <n v="22"/>
    <n v="20"/>
    <m/>
    <m/>
    <m/>
    <m/>
    <m/>
    <m/>
    <m/>
    <m/>
    <m/>
    <m/>
    <m/>
    <m/>
    <m/>
    <m/>
    <m/>
    <m/>
    <m/>
    <m/>
    <m/>
    <m/>
    <m/>
    <m/>
    <m/>
    <m/>
    <m/>
    <n v="2"/>
    <m/>
    <m/>
    <n v="5"/>
    <n v="0"/>
    <n v="0"/>
    <n v="0"/>
    <n v="0"/>
    <n v="0"/>
    <n v="0"/>
    <n v="0"/>
    <n v="1"/>
    <n v="27"/>
    <n v="100"/>
    <n v="0"/>
    <n v="0.6"/>
    <n v="99.40000000000001"/>
    <n v="0"/>
    <n v="0"/>
    <n v="0"/>
    <n v="72.40000000000001"/>
    <s v="刘兆"/>
    <s v="北京北京市朝阳区建外街道大望路阳光100 a3303"/>
    <s v="13141380749-8729"/>
    <m/>
    <n v="99.40000000000001"/>
  </r>
  <r>
    <x v="10"/>
    <s v="退单"/>
    <x v="12"/>
    <s v="郭"/>
    <m/>
    <m/>
    <s v="砂白色1.6米岩板餐桌"/>
    <s v="榉木餐桌"/>
    <s v="160cm*85cm"/>
    <s v="已结算"/>
    <s v="江西"/>
    <n v="0"/>
    <n v="0"/>
    <m/>
    <m/>
    <m/>
    <m/>
    <m/>
    <m/>
    <m/>
    <m/>
    <m/>
    <m/>
    <m/>
    <m/>
    <m/>
    <m/>
    <m/>
    <m/>
    <m/>
    <m/>
    <m/>
    <m/>
    <m/>
    <m/>
    <m/>
    <m/>
    <m/>
    <m/>
    <m/>
    <m/>
    <n v="0"/>
    <n v="0"/>
    <n v="0"/>
    <n v="0"/>
    <n v="0"/>
    <n v="0"/>
    <n v="0"/>
    <n v="0"/>
    <n v="1"/>
    <n v="0"/>
    <n v="0"/>
    <n v="0"/>
    <n v="0"/>
    <n v="0"/>
    <n v="0"/>
    <n v="0"/>
    <n v="0"/>
    <n v="0"/>
    <s v="郭"/>
    <s v="浙江省 杭州市 余杭区 仁和街道余杭区仁和街道余山花苑10-2701"/>
    <s v="18413283813-1269"/>
    <m/>
    <n v="0"/>
  </r>
  <r>
    <x v="10"/>
    <s v="已收货"/>
    <x v="13"/>
    <s v="纪淘淘"/>
    <m/>
    <m/>
    <s v="1.5洞石+1.2单腿桌旋转餐边柜：樱桃木，白色岩板，洞石背板，左旋"/>
    <s v="旋转餐边柜"/>
    <n v="1500"/>
    <s v="已结算"/>
    <s v="江西"/>
    <n v="7694.5"/>
    <n v="5800"/>
    <n v="320"/>
    <n v="238"/>
    <m/>
    <m/>
    <n v="84"/>
    <n v="14"/>
    <n v="8.5"/>
    <m/>
    <m/>
    <n v="7"/>
    <n v="154"/>
    <n v="501"/>
    <m/>
    <m/>
    <m/>
    <m/>
    <n v="450"/>
    <n v="14"/>
    <s v="52*2"/>
    <m/>
    <m/>
    <m/>
    <m/>
    <m/>
    <m/>
    <n v="450"/>
    <m/>
    <m/>
    <n v="623"/>
    <n v="0"/>
    <n v="180"/>
    <n v="0"/>
    <n v="0"/>
    <n v="0"/>
    <n v="218"/>
    <n v="0"/>
    <n v="1"/>
    <n v="8715.5"/>
    <n v="11781"/>
    <n v="0"/>
    <n v="70.68600000000001"/>
    <n v="11710.314"/>
    <n v="0"/>
    <n v="180"/>
    <n v="180"/>
    <n v="3174.814"/>
    <s v="纪淘淘"/>
    <s v="北京 北京市 海淀区 上地街道 农大南路33号院4号楼108（一楼）"/>
    <s v="18400870124-5918"/>
    <m/>
    <n v="11710.314"/>
  </r>
  <r>
    <x v="11"/>
    <s v="已收货"/>
    <x v="14"/>
    <s v="纪淘淘"/>
    <m/>
    <m/>
    <s v="补差价"/>
    <m/>
    <m/>
    <s v="已结算"/>
    <s v="江西"/>
    <n v="0"/>
    <n v="0"/>
    <m/>
    <m/>
    <m/>
    <m/>
    <m/>
    <m/>
    <m/>
    <m/>
    <m/>
    <m/>
    <m/>
    <m/>
    <m/>
    <m/>
    <m/>
    <m/>
    <m/>
    <m/>
    <m/>
    <m/>
    <m/>
    <m/>
    <m/>
    <m/>
    <m/>
    <m/>
    <m/>
    <m/>
    <m/>
    <m/>
    <m/>
    <m/>
    <m/>
    <m/>
    <m/>
    <m/>
    <n v="1"/>
    <n v="0"/>
    <n v="621"/>
    <n v="0"/>
    <n v="3.726"/>
    <n v="617.274"/>
    <n v="0"/>
    <n v="0"/>
    <n v="0"/>
    <n v="617.274"/>
    <s v="纪淘淘"/>
    <s v="北京 北京市 海淀区 上地街道 农大南路33号院4号楼108（一楼）"/>
    <s v="18400870124-5918"/>
    <m/>
    <m/>
  </r>
  <r>
    <x v="12"/>
    <s v="已收货"/>
    <x v="15"/>
    <s v="张嘉诚"/>
    <m/>
    <m/>
    <s v="洞石整柜2.1米（全景组合）（全景抽屉+玻璃移门+开门）"/>
    <s v="洞石餐边柜"/>
    <n v="2100"/>
    <s v="已结算"/>
    <s v="江西"/>
    <n v="8832.58"/>
    <n v="6300"/>
    <n v="680"/>
    <n v="320"/>
    <m/>
    <n v="657.08"/>
    <n v="84"/>
    <n v="14"/>
    <n v="8.5"/>
    <m/>
    <m/>
    <n v="7"/>
    <n v="154"/>
    <s v="52*2"/>
    <n v="17.5"/>
    <m/>
    <m/>
    <m/>
    <n v="490"/>
    <n v="14"/>
    <m/>
    <m/>
    <m/>
    <m/>
    <m/>
    <m/>
    <m/>
    <n v="490"/>
    <m/>
    <m/>
    <n v="731"/>
    <n v="0"/>
    <n v="150"/>
    <n v="0"/>
    <n v="100"/>
    <n v="0"/>
    <n v="100"/>
    <n v="0"/>
    <n v="1"/>
    <n v="9913.58"/>
    <n v="13701.47"/>
    <n v="0"/>
    <n v="82.20882"/>
    <n v="13619.26118"/>
    <n v="0"/>
    <n v="0"/>
    <n v="0"/>
    <n v="3705.68118"/>
    <s v="张嘉诚"/>
    <s v="山东省 青岛市 市北区 海伦路街道重庆南路128号，海尔玫瑰兰亭4号楼102户"/>
    <s v="15165424810-2674"/>
    <m/>
    <n v="13619.26118"/>
  </r>
  <r>
    <x v="12"/>
    <s v="已收货"/>
    <x v="16"/>
    <s v="刘兆"/>
    <m/>
    <m/>
    <s v="砂白色1.4米岩板餐桌"/>
    <s v="榉木餐桌"/>
    <s v="140cm*75cm"/>
    <s v="已结算"/>
    <s v="江西"/>
    <n v="2227.5"/>
    <n v="1450"/>
    <m/>
    <m/>
    <m/>
    <m/>
    <n v="655"/>
    <m/>
    <m/>
    <m/>
    <m/>
    <m/>
    <m/>
    <m/>
    <m/>
    <m/>
    <m/>
    <m/>
    <n v="2.5"/>
    <m/>
    <m/>
    <m/>
    <m/>
    <m/>
    <m/>
    <m/>
    <m/>
    <n v="120"/>
    <m/>
    <m/>
    <n v="127"/>
    <n v="46"/>
    <n v="90"/>
    <n v="0"/>
    <n v="0"/>
    <n v="0"/>
    <n v="0"/>
    <n v="0"/>
    <n v="1"/>
    <n v="2490.5"/>
    <n v="3896"/>
    <n v="0"/>
    <n v="23.376"/>
    <n v="3872.624"/>
    <n v="0"/>
    <n v="0"/>
    <n v="0"/>
    <n v="1382.124"/>
    <s v="刘兆"/>
    <s v="北京 北京市 朝阳区 建外街道大望路阳光100 a3303"/>
    <s v="18400848396-1175"/>
    <m/>
    <n v="3872.624"/>
  </r>
  <r>
    <x v="13"/>
    <s v="已收货"/>
    <x v="17"/>
    <s v="李剑"/>
    <m/>
    <m/>
    <s v="砂白色1.6米岩板餐桌"/>
    <s v="榉木餐桌"/>
    <s v="160cm*85cm"/>
    <s v="已结算"/>
    <s v="江西"/>
    <n v="2032.5"/>
    <n v="1520"/>
    <m/>
    <m/>
    <m/>
    <m/>
    <n v="390"/>
    <m/>
    <m/>
    <m/>
    <m/>
    <m/>
    <m/>
    <m/>
    <m/>
    <m/>
    <m/>
    <m/>
    <n v="2.5"/>
    <m/>
    <m/>
    <m/>
    <m/>
    <m/>
    <m/>
    <m/>
    <m/>
    <n v="120"/>
    <m/>
    <m/>
    <n v="140"/>
    <n v="60"/>
    <n v="77"/>
    <n v="0"/>
    <n v="0"/>
    <n v="0"/>
    <n v="0"/>
    <n v="0"/>
    <n v="1"/>
    <n v="2309.5"/>
    <n v="2763"/>
    <n v="0"/>
    <n v="16.578"/>
    <n v="2746.422"/>
    <n v="0"/>
    <n v="0"/>
    <n v="0"/>
    <n v="436.922"/>
    <s v="李剑"/>
    <s v="安徽省 黄山市 黄山区 甘棠镇浦园大道天都浦溪苑13栋404"/>
    <s v="13167642634-2686"/>
    <m/>
    <n v="2746.422"/>
  </r>
  <r>
    <x v="13"/>
    <s v="已收货"/>
    <x v="18"/>
    <s v="莱莱"/>
    <m/>
    <m/>
    <s v="砂白色1.8米岩板餐桌"/>
    <s v="榉木餐桌"/>
    <s v="180cm*85cm"/>
    <s v="已结算"/>
    <s v="江西"/>
    <n v="2132.5"/>
    <n v="1560"/>
    <m/>
    <m/>
    <m/>
    <m/>
    <n v="450"/>
    <m/>
    <m/>
    <m/>
    <m/>
    <m/>
    <m/>
    <m/>
    <m/>
    <m/>
    <m/>
    <m/>
    <n v="2.5"/>
    <m/>
    <m/>
    <m/>
    <m/>
    <m/>
    <m/>
    <m/>
    <m/>
    <n v="120"/>
    <m/>
    <m/>
    <n v="162"/>
    <n v="51"/>
    <n v="60"/>
    <n v="0"/>
    <n v="99"/>
    <n v="0"/>
    <n v="0"/>
    <n v="0"/>
    <n v="1"/>
    <n v="2504.5"/>
    <n v="3150.92"/>
    <n v="0"/>
    <n v="18.90552"/>
    <n v="3132.01448"/>
    <n v="0"/>
    <n v="0"/>
    <n v="0"/>
    <n v="627.5144800000003"/>
    <s v="莱莱"/>
    <s v="四川省 成都市 双流区 兴隆街道保水逸苑e区"/>
    <s v="18418974728-7191"/>
    <m/>
    <n v="3132.01448"/>
  </r>
  <r>
    <x v="14"/>
    <s v="已收货"/>
    <x v="19"/>
    <s v="小明"/>
    <m/>
    <m/>
    <s v="2个插座"/>
    <s v="配件"/>
    <m/>
    <s v="已结算"/>
    <s v="其他"/>
    <n v="110"/>
    <n v="110"/>
    <m/>
    <m/>
    <m/>
    <m/>
    <m/>
    <m/>
    <m/>
    <m/>
    <m/>
    <m/>
    <m/>
    <m/>
    <m/>
    <m/>
    <m/>
    <m/>
    <m/>
    <m/>
    <m/>
    <m/>
    <m/>
    <m/>
    <m/>
    <m/>
    <m/>
    <m/>
    <m/>
    <m/>
    <n v="8"/>
    <n v="0"/>
    <n v="0"/>
    <n v="0"/>
    <n v="0"/>
    <n v="0"/>
    <n v="0"/>
    <n v="0"/>
    <n v="1"/>
    <n v="118"/>
    <n v="200"/>
    <n v="0"/>
    <n v="1.2"/>
    <n v="198.8"/>
    <n v="0"/>
    <n v="0"/>
    <n v="0"/>
    <n v="80.80000000000001"/>
    <s v="小明"/>
    <s v="广东省 广州市 海珠区 南石头街道 保利海棠花园海棠2街6号802"/>
    <s v="17896419607-6815"/>
    <m/>
    <n v="198.8"/>
  </r>
  <r>
    <x v="15"/>
    <s v="已收货"/>
    <x v="20"/>
    <s v="黄先森"/>
    <m/>
    <m/>
    <s v="樱桃木旋转餐边柜：1.6米整柜+1.2双腿餐桌 _x000a_送木蜡油+洞洞板挂篮"/>
    <s v="旋转餐边柜"/>
    <n v="1600"/>
    <s v="已结算"/>
    <s v="江西"/>
    <n v="8357.799999999999"/>
    <n v="5700"/>
    <m/>
    <m/>
    <m/>
    <m/>
    <m/>
    <n v="9.800000000000001"/>
    <n v="289"/>
    <m/>
    <m/>
    <n v="52"/>
    <n v="198"/>
    <n v="20"/>
    <m/>
    <m/>
    <m/>
    <m/>
    <n v="36"/>
    <n v="20"/>
    <n v="440"/>
    <m/>
    <m/>
    <m/>
    <n v="70"/>
    <m/>
    <m/>
    <n v="510"/>
    <m/>
    <m/>
    <n v="464"/>
    <n v="110"/>
    <n v="95"/>
    <n v="0"/>
    <n v="0"/>
    <n v="0"/>
    <n v="37.8"/>
    <n v="0"/>
    <n v="1"/>
    <n v="9064.599999999999"/>
    <n v="11396.69"/>
    <n v="0"/>
    <n v="68.38014000000001"/>
    <n v="11328.30986"/>
    <n v="0"/>
    <n v="0"/>
    <n v="0"/>
    <n v="2263.709860000003"/>
    <s v="黄先森"/>
    <s v="福建省 福州市 晋安区 鼓山镇 目鱼山路3号中海晋安湖三号院B区11栋2楼西"/>
    <s v="18480118448-9551"/>
    <m/>
    <n v="11328.30986"/>
  </r>
  <r>
    <x v="16"/>
    <s v="已收货"/>
    <x v="21"/>
    <s v="陈康"/>
    <m/>
    <m/>
    <s v="樱桃木单腿追加"/>
    <s v="配件"/>
    <m/>
    <m/>
    <s v="江西"/>
    <n v="300"/>
    <n v="300"/>
    <m/>
    <m/>
    <m/>
    <m/>
    <m/>
    <m/>
    <m/>
    <m/>
    <m/>
    <m/>
    <m/>
    <m/>
    <m/>
    <m/>
    <m/>
    <m/>
    <m/>
    <m/>
    <m/>
    <m/>
    <m/>
    <m/>
    <m/>
    <m/>
    <m/>
    <m/>
    <m/>
    <m/>
    <n v="55"/>
    <n v="0"/>
    <n v="0"/>
    <n v="0"/>
    <n v="0"/>
    <n v="0"/>
    <n v="0"/>
    <n v="0"/>
    <n v="1"/>
    <n v="355"/>
    <n v="400"/>
    <n v="0"/>
    <n v="2.4"/>
    <n v="397.6"/>
    <n v="0"/>
    <n v="0"/>
    <n v="0"/>
    <n v="42.60000000000002"/>
    <s v="陈康"/>
    <s v="湖南省 长沙市 天心区 裕南街街道天心区江山云著13栋2502"/>
    <s v="14737698886-5404"/>
    <m/>
    <n v="397.6"/>
  </r>
  <r>
    <x v="17"/>
    <s v="退货"/>
    <x v="22"/>
    <s v="哞哞崽"/>
    <s v="退货，需要厂里赔付退回运费，打包费用240"/>
    <m/>
    <s v="书柜：60cm+90cm定制带瓷白玻璃"/>
    <s v="书柜-2024款"/>
    <m/>
    <s v="已结算"/>
    <s v="江西"/>
    <n v="260"/>
    <n v="260"/>
    <m/>
    <m/>
    <m/>
    <m/>
    <m/>
    <m/>
    <m/>
    <m/>
    <m/>
    <m/>
    <m/>
    <m/>
    <m/>
    <m/>
    <m/>
    <m/>
    <m/>
    <m/>
    <m/>
    <m/>
    <m/>
    <m/>
    <m/>
    <m/>
    <m/>
    <m/>
    <m/>
    <m/>
    <n v="0"/>
    <n v="0"/>
    <n v="0"/>
    <n v="0"/>
    <n v="0"/>
    <n v="690"/>
    <n v="0"/>
    <n v="0"/>
    <n v="1"/>
    <n v="950"/>
    <n v="0"/>
    <n v="0"/>
    <n v="0"/>
    <n v="0"/>
    <n v="690"/>
    <n v="0"/>
    <n v="690"/>
    <n v="-260"/>
    <s v="哞哞崽"/>
    <s v="北京 北京市 朝阳区 奥运村街道 林萃路10号院2-14-301 "/>
    <s v="18400986216-4176"/>
    <m/>
    <m/>
  </r>
  <r>
    <x v="18"/>
    <s v="已收货"/>
    <x v="23"/>
    <s v="邵先生"/>
    <m/>
    <m/>
    <s v="软木板上柜+带抽屉隐藏把手下柜+4条透气孔"/>
    <s v="鞋柜"/>
    <m/>
    <s v="已结算"/>
    <s v="江西"/>
    <n v="2580"/>
    <n v="2220"/>
    <m/>
    <n v="30"/>
    <m/>
    <m/>
    <n v="120"/>
    <m/>
    <m/>
    <m/>
    <m/>
    <m/>
    <n v="60"/>
    <m/>
    <m/>
    <m/>
    <m/>
    <m/>
    <m/>
    <m/>
    <m/>
    <m/>
    <m/>
    <m/>
    <m/>
    <m/>
    <m/>
    <n v="150"/>
    <m/>
    <m/>
    <n v="148"/>
    <n v="51"/>
    <n v="0"/>
    <n v="0"/>
    <n v="0"/>
    <n v="0"/>
    <n v="0"/>
    <n v="0"/>
    <n v="1"/>
    <n v="2779"/>
    <n v="3700"/>
    <n v="0"/>
    <n v="22.2"/>
    <n v="3677.8"/>
    <n v="0"/>
    <n v="0"/>
    <n v="0"/>
    <n v="898.8000000000002"/>
    <s v="邵先生"/>
    <s v="北京 北京市 朝阳区 劲松街道南磨房路禧福汇小区3号楼1902"/>
    <s v="18400941348-5336"/>
    <m/>
    <n v="3677.8"/>
  </r>
  <r>
    <x v="19"/>
    <s v="已收货"/>
    <x v="24"/>
    <s v="元子"/>
    <m/>
    <m/>
    <s v="1.5洞石柜：樱桃木，洞石下挂岩板，洞石背板"/>
    <s v="洞石餐边柜"/>
    <n v="1500"/>
    <s v="已结算"/>
    <s v="江西"/>
    <n v="7946.18"/>
    <n v="5400"/>
    <n v="549.6"/>
    <n v="320"/>
    <s v="22*7"/>
    <n v="501.08"/>
    <n v="84"/>
    <n v="104"/>
    <n v="8.5"/>
    <m/>
    <m/>
    <m/>
    <n v="501.08"/>
    <m/>
    <n v="17.5"/>
    <m/>
    <m/>
    <n v="7"/>
    <n v="450"/>
    <m/>
    <m/>
    <m/>
    <m/>
    <m/>
    <m/>
    <m/>
    <m/>
    <n v="340"/>
    <m/>
    <m/>
    <n v="633"/>
    <n v="95"/>
    <n v="100"/>
    <n v="0"/>
    <n v="0"/>
    <n v="0"/>
    <n v="100"/>
    <n v="0"/>
    <n v="1"/>
    <n v="8874.18"/>
    <n v="11384"/>
    <n v="0"/>
    <n v="68.304"/>
    <n v="11315.696"/>
    <n v="0"/>
    <n v="0"/>
    <n v="0"/>
    <n v="2441.516"/>
    <s v="元子"/>
    <s v="北京 北京市 朝阳区 酒仙桥街道万红西街9号银河湾6号楼2单元903"/>
    <s v="18401156869-5251"/>
    <m/>
    <n v="11315.696"/>
  </r>
  <r>
    <x v="20"/>
    <s v="已收货"/>
    <x v="25"/>
    <s v="李"/>
    <m/>
    <m/>
    <s v="升降桌：樱桃木，1.5米（抽屉+腿+置物架+插排+底部+E361+E360）"/>
    <s v="升降桌-2024款"/>
    <n v="1500"/>
    <s v="已结算"/>
    <s v="江西"/>
    <n v="2773.9"/>
    <n v="1250"/>
    <n v="115"/>
    <n v="32"/>
    <n v="990"/>
    <m/>
    <n v="94"/>
    <n v="70"/>
    <m/>
    <m/>
    <m/>
    <m/>
    <m/>
    <m/>
    <m/>
    <m/>
    <m/>
    <m/>
    <m/>
    <m/>
    <m/>
    <m/>
    <n v="63"/>
    <m/>
    <m/>
    <m/>
    <m/>
    <n v="160"/>
    <m/>
    <m/>
    <n v="64"/>
    <n v="46"/>
    <n v="89"/>
    <n v="0"/>
    <n v="0"/>
    <n v="0"/>
    <n v="0"/>
    <n v="0"/>
    <n v="1"/>
    <n v="2972.9"/>
    <n v="4590"/>
    <n v="0"/>
    <n v="27.54"/>
    <n v="4562.46"/>
    <n v="0"/>
    <n v="0"/>
    <n v="0"/>
    <n v="1589.56"/>
    <s v="李"/>
    <s v="上海 上海市 松江区 九里亭街道九亭中心北区7号楼214"/>
    <s v="18466704899-8626"/>
    <m/>
    <n v="4562.46"/>
  </r>
  <r>
    <x v="21"/>
    <s v="已收货"/>
    <x v="26"/>
    <s v="李铭仪"/>
    <m/>
    <m/>
    <s v="榉木餐边柜：白色岩板 120cm*45*192cm"/>
    <s v="榉木餐边柜"/>
    <n v="1200"/>
    <s v="已结算，灰色玻璃"/>
    <s v="江西"/>
    <n v="5202.5"/>
    <n v="3500"/>
    <n v="160"/>
    <n v="828"/>
    <n v="15"/>
    <m/>
    <n v="8.5"/>
    <n v="330"/>
    <n v="40"/>
    <m/>
    <m/>
    <n v="181"/>
    <s v="22*4"/>
    <n v="52"/>
    <m/>
    <m/>
    <m/>
    <m/>
    <m/>
    <m/>
    <m/>
    <m/>
    <m/>
    <m/>
    <m/>
    <m/>
    <m/>
    <n v="330"/>
    <m/>
    <m/>
    <n v="230"/>
    <n v="71"/>
    <n v="168"/>
    <n v="0"/>
    <n v="0"/>
    <n v="0"/>
    <n v="100"/>
    <n v="0"/>
    <n v="1"/>
    <n v="5771.5"/>
    <n v="7371"/>
    <n v="0"/>
    <n v="44.226"/>
    <n v="7326.774"/>
    <n v="0"/>
    <n v="0"/>
    <n v="0"/>
    <n v="1555.274"/>
    <s v="李铭仪"/>
    <s v="广东省 中山市  小榄镇维港湾19栋1203"/>
    <s v="18466424112-8126"/>
    <m/>
    <n v="7326.774"/>
  </r>
  <r>
    <x v="21"/>
    <s v="已收货"/>
    <x v="27"/>
    <s v="大王"/>
    <m/>
    <m/>
    <s v="售后单：腿重做"/>
    <s v="配件"/>
    <m/>
    <s v="已结算"/>
    <s v="江西"/>
    <n v="30"/>
    <n v="31"/>
    <m/>
    <m/>
    <m/>
    <m/>
    <m/>
    <m/>
    <m/>
    <m/>
    <m/>
    <m/>
    <m/>
    <m/>
    <m/>
    <m/>
    <m/>
    <m/>
    <m/>
    <m/>
    <m/>
    <m/>
    <m/>
    <m/>
    <m/>
    <m/>
    <m/>
    <n v="30"/>
    <m/>
    <m/>
    <n v="55"/>
    <n v="0"/>
    <n v="0"/>
    <n v="0"/>
    <n v="0"/>
    <n v="0"/>
    <n v="0"/>
    <n v="0"/>
    <n v="1"/>
    <n v="85"/>
    <n v="0"/>
    <n v="0"/>
    <n v="0"/>
    <n v="0"/>
    <n v="0"/>
    <n v="0"/>
    <n v="0"/>
    <n v="-85"/>
    <s v="大王"/>
    <s v="江苏省 无锡市 锡山区 东北塘街道无锡旭辉城5-9-301"/>
    <s v="17200913776-6535"/>
    <m/>
    <n v="0"/>
  </r>
  <r>
    <x v="22"/>
    <s v="已收货"/>
    <x v="28"/>
    <s v="发仔"/>
    <s v="赔付了客户3000，线上2500，线下500，物流抵扣500"/>
    <m/>
    <s v="香港洞石餐边柜：樱桃木 上柜1800*420*1120  下柜1800*460*880"/>
    <s v="洞石餐边柜"/>
    <n v="1800"/>
    <s v="已结算，灰色玻璃"/>
    <s v="江西"/>
    <n v="7960.2"/>
    <n v="5700"/>
    <n v="560"/>
    <n v="320"/>
    <n v="577"/>
    <m/>
    <n v="5.2"/>
    <n v="84"/>
    <n v="10"/>
    <m/>
    <m/>
    <n v="30"/>
    <n v="66"/>
    <n v="20"/>
    <m/>
    <m/>
    <m/>
    <m/>
    <n v="14"/>
    <s v="52*2"/>
    <m/>
    <m/>
    <m/>
    <m/>
    <m/>
    <m/>
    <m/>
    <n v="470"/>
    <m/>
    <m/>
    <n v="555"/>
    <n v="0"/>
    <n v="0"/>
    <n v="0"/>
    <n v="0"/>
    <n v="0"/>
    <n v="100"/>
    <n v="3000"/>
    <n v="1"/>
    <n v="11615.2"/>
    <n v="12200.12"/>
    <n v="0"/>
    <n v="73.20072"/>
    <n v="12126.91928"/>
    <n v="0"/>
    <n v="500"/>
    <n v="500"/>
    <n v="1011.719279999999"/>
    <s v="发仔"/>
    <s v="广东省 东莞市  虎门镇怀德社区大茂高新工业园2号1栋（轉loyinyan23)"/>
    <s v="18825744679-4644"/>
    <m/>
    <n v="12126.91928"/>
  </r>
  <r>
    <x v="22"/>
    <s v="已收货"/>
    <x v="29"/>
    <s v="尹燕青"/>
    <s v="第一次发过来的岩板貌似少了一块，重新定的，还在跟岩板厂售后"/>
    <m/>
    <s v="旋转柜立柱：1.55米白色岩板整柜+1.2白色岩板双腿餐桌"/>
    <s v="旋转餐边柜"/>
    <n v="1550"/>
    <s v="已结算，茶色玻璃"/>
    <s v="江西"/>
    <n v="7820.400000000001"/>
    <n v="5600"/>
    <m/>
    <m/>
    <m/>
    <m/>
    <m/>
    <n v="512"/>
    <n v="9.800000000000001"/>
    <m/>
    <m/>
    <n v="52"/>
    <n v="198"/>
    <n v="31"/>
    <m/>
    <m/>
    <m/>
    <m/>
    <m/>
    <n v="18.6"/>
    <n v="490"/>
    <m/>
    <m/>
    <m/>
    <n v="20"/>
    <m/>
    <m/>
    <n v="490"/>
    <m/>
    <m/>
    <n v="621"/>
    <n v="132"/>
    <n v="168"/>
    <n v="0"/>
    <n v="0"/>
    <n v="0"/>
    <n v="63"/>
    <n v="0"/>
    <n v="1"/>
    <n v="8804.400000000001"/>
    <n v="11609"/>
    <n v="0"/>
    <n v="69.654"/>
    <n v="11539.346"/>
    <n v="0"/>
    <n v="0"/>
    <n v="0"/>
    <n v="2734.945999999998"/>
    <s v="尹燕青"/>
    <s v="四川省 成都市 青羊区 苏坡街道龙欣苑"/>
    <s v="18400754574-1678"/>
    <m/>
    <n v="11539.346"/>
  </r>
  <r>
    <x v="23"/>
    <s v="已收货"/>
    <x v="30"/>
    <s v="李小毛"/>
    <s v="第一次发过来的岩板破损，重新定了，还在跟岩板厂售后"/>
    <m/>
    <s v="旋转柜：1.6米黑色岩板整柜+1.2黑色岩板双腿餐桌"/>
    <s v="旋转餐边柜"/>
    <n v="1600"/>
    <s v="已结算，茶色玻璃"/>
    <s v="江西"/>
    <n v="8199.799999999999"/>
    <n v="5700"/>
    <m/>
    <m/>
    <m/>
    <m/>
    <m/>
    <n v="229"/>
    <n v="9.800000000000001"/>
    <m/>
    <m/>
    <n v="52"/>
    <n v="198"/>
    <m/>
    <m/>
    <m/>
    <m/>
    <m/>
    <n v="490"/>
    <n v="36"/>
    <n v="20"/>
    <m/>
    <m/>
    <m/>
    <m/>
    <m/>
    <m/>
    <n v="490"/>
    <m/>
    <m/>
    <n v="612"/>
    <n v="295"/>
    <n v="133"/>
    <n v="0"/>
    <n v="0"/>
    <n v="0"/>
    <n v="0"/>
    <n v="0"/>
    <n v="1"/>
    <n v="9239.799999999999"/>
    <n v="11848"/>
    <n v="0"/>
    <n v="71.08800000000001"/>
    <n v="11776.912"/>
    <n v="0"/>
    <n v="0"/>
    <n v="0"/>
    <n v="2537.112000000001"/>
    <s v="李小毛"/>
    <s v="陕西省 西安市 灞桥区 洪庆街道同心路2号东苑小区"/>
    <s v="18400692449-1118"/>
    <m/>
    <n v="11776.912"/>
  </r>
  <r>
    <x v="24"/>
    <s v="已收货"/>
    <x v="31"/>
    <s v="侯世伟"/>
    <s v="给客户划伤大门500+破损，修复+2次上门230（30元包含在了105安装里面）_x000a_退差价94"/>
    <m/>
    <s v="砂白色1.6米岩板餐桌"/>
    <s v="榉木餐桌"/>
    <s v="160cm*75cm"/>
    <s v="已结算"/>
    <s v="江西"/>
    <n v="1982.5"/>
    <n v="1500"/>
    <m/>
    <m/>
    <m/>
    <m/>
    <n v="300"/>
    <m/>
    <m/>
    <m/>
    <m/>
    <m/>
    <m/>
    <m/>
    <m/>
    <m/>
    <m/>
    <m/>
    <n v="2.5"/>
    <m/>
    <m/>
    <m/>
    <m/>
    <m/>
    <m/>
    <m/>
    <m/>
    <n v="180"/>
    <m/>
    <m/>
    <n v="56"/>
    <n v="46"/>
    <n v="105"/>
    <n v="500"/>
    <n v="200"/>
    <n v="0"/>
    <n v="0"/>
    <n v="94"/>
    <n v="1"/>
    <n v="2983.5"/>
    <n v="2953.37"/>
    <n v="0"/>
    <n v="17.72022"/>
    <n v="2935.64978"/>
    <n v="0"/>
    <n v="730"/>
    <n v="730"/>
    <n v="682.1497799999997"/>
    <s v="侯世伟"/>
    <s v="浙江省 杭州市 临安区 青山湖街道如沐清晖城72-2-804"/>
    <s v="18413298717-2178"/>
    <m/>
    <n v="2935.64978"/>
  </r>
  <r>
    <x v="25"/>
    <s v="已收货"/>
    <x v="32"/>
    <s v="王爱婷"/>
    <m/>
    <m/>
    <s v="旋转柜：樱桃1.75米整柜+1.4单腿餐桌"/>
    <s v="旋转餐边柜"/>
    <n v="1750"/>
    <s v="已结算，茶色玻璃"/>
    <s v="江西"/>
    <n v="7728.5"/>
    <n v="5700"/>
    <m/>
    <m/>
    <m/>
    <m/>
    <m/>
    <n v="22"/>
    <n v="42.5"/>
    <m/>
    <m/>
    <n v="240"/>
    <n v="198"/>
    <n v="36"/>
    <m/>
    <m/>
    <m/>
    <m/>
    <m/>
    <m/>
    <m/>
    <m/>
    <m/>
    <m/>
    <m/>
    <m/>
    <m/>
    <n v="470"/>
    <m/>
    <m/>
    <n v="395"/>
    <n v="97"/>
    <n v="139"/>
    <n v="0"/>
    <n v="0"/>
    <n v="0"/>
    <n v="0"/>
    <n v="0"/>
    <n v="1"/>
    <n v="8359.5"/>
    <n v="12112"/>
    <n v="0"/>
    <n v="72.672"/>
    <n v="12039.328"/>
    <n v="0"/>
    <n v="0"/>
    <n v="0"/>
    <n v="3679.828"/>
    <s v="王爱婷"/>
    <s v="浙江省 温州市 瓯海区 娄桥街道 今汇路奥体华府3栋104室"/>
    <s v="18413514738-9198"/>
    <m/>
    <n v="12039.328"/>
  </r>
  <r>
    <x v="26"/>
    <s v="已收货"/>
    <x v="33"/>
    <s v="林叶"/>
    <m/>
    <m/>
    <s v="榉木样块"/>
    <s v="样块"/>
    <m/>
    <s v="已结算"/>
    <s v="杭州"/>
    <n v="7"/>
    <n v="5"/>
    <m/>
    <m/>
    <m/>
    <m/>
    <m/>
    <m/>
    <m/>
    <m/>
    <m/>
    <m/>
    <m/>
    <m/>
    <m/>
    <m/>
    <m/>
    <m/>
    <m/>
    <m/>
    <m/>
    <m/>
    <m/>
    <m/>
    <m/>
    <m/>
    <m/>
    <n v="2"/>
    <m/>
    <m/>
    <n v="5"/>
    <n v="0"/>
    <n v="0"/>
    <n v="0"/>
    <n v="0"/>
    <n v="0"/>
    <n v="0"/>
    <n v="0"/>
    <n v="1"/>
    <n v="12"/>
    <n v="25"/>
    <n v="0"/>
    <n v="0.15"/>
    <n v="24.85"/>
    <n v="0"/>
    <n v="0"/>
    <n v="0"/>
    <n v="12.85"/>
    <s v="林叶"/>
    <m/>
    <m/>
    <m/>
    <n v="24.85"/>
  </r>
  <r>
    <x v="27"/>
    <s v="已收货"/>
    <x v="34"/>
    <s v="邓先生"/>
    <s v="破损修复280，物流承担100"/>
    <m/>
    <s v="玻璃上柜900*220+隐藏把手抽屉下柜900*341+洞石背板"/>
    <s v="鞋柜"/>
    <m/>
    <s v="已结算"/>
    <s v="江西"/>
    <n v="3070"/>
    <n v="2500"/>
    <m/>
    <m/>
    <m/>
    <m/>
    <n v="350"/>
    <m/>
    <m/>
    <m/>
    <m/>
    <m/>
    <n v="60"/>
    <m/>
    <m/>
    <m/>
    <m/>
    <m/>
    <m/>
    <m/>
    <m/>
    <m/>
    <m/>
    <m/>
    <m/>
    <m/>
    <m/>
    <n v="160"/>
    <m/>
    <m/>
    <n v="357"/>
    <n v="61"/>
    <n v="197"/>
    <n v="0"/>
    <n v="280"/>
    <n v="0"/>
    <n v="0"/>
    <n v="0"/>
    <n v="1"/>
    <n v="3965"/>
    <n v="5226.66"/>
    <n v="0"/>
    <n v="31.35996"/>
    <n v="5195.30004"/>
    <n v="0"/>
    <n v="100"/>
    <n v="100"/>
    <n v="1330.30004"/>
    <s v="邓先生"/>
    <s v="海南省 三亚市 天涯区 天涯镇中粮红塘悦海18号楼401"/>
    <s v="13034964114-8878"/>
    <m/>
    <n v="5195.30004"/>
  </r>
  <r>
    <x v="28"/>
    <s v="已收货"/>
    <x v="35"/>
    <s v="魏仁江"/>
    <s v="打包费130"/>
    <m/>
    <s v="砂白色2.0米岩板餐桌"/>
    <s v="榉木餐桌"/>
    <s v="200cm*85cm"/>
    <s v="已结算"/>
    <s v="江西"/>
    <n v="2292.5"/>
    <n v="1650"/>
    <m/>
    <m/>
    <m/>
    <m/>
    <n v="510"/>
    <m/>
    <m/>
    <m/>
    <m/>
    <m/>
    <m/>
    <m/>
    <m/>
    <m/>
    <m/>
    <m/>
    <n v="2.5"/>
    <m/>
    <m/>
    <m/>
    <m/>
    <m/>
    <m/>
    <m/>
    <m/>
    <n v="130"/>
    <m/>
    <m/>
    <n v="363"/>
    <n v="0"/>
    <n v="68"/>
    <n v="0"/>
    <n v="0"/>
    <n v="0"/>
    <n v="0"/>
    <n v="0"/>
    <n v="1"/>
    <n v="2723.5"/>
    <n v="3689.67"/>
    <n v="0"/>
    <n v="22.13802"/>
    <n v="3667.53198"/>
    <n v="0"/>
    <n v="0"/>
    <n v="0"/>
    <n v="944.0319800000002"/>
    <s v="魏仁江"/>
    <s v="广东省 惠州市 惠城区 河南岸街道广东华宁装饰集团·全案设计中心"/>
    <s v="17806517350-5849"/>
    <m/>
    <n v="3667.53198"/>
  </r>
  <r>
    <x v="28"/>
    <s v="已收货"/>
    <x v="36"/>
    <s v="草莓"/>
    <m/>
    <m/>
    <s v="榉木  樱桃  白橡木  白蜡木  黑胡桃木"/>
    <s v="样块"/>
    <m/>
    <s v="已结算"/>
    <s v="杭州"/>
    <n v="22"/>
    <n v="20"/>
    <m/>
    <m/>
    <m/>
    <m/>
    <m/>
    <m/>
    <m/>
    <m/>
    <m/>
    <m/>
    <m/>
    <m/>
    <m/>
    <m/>
    <m/>
    <m/>
    <m/>
    <m/>
    <m/>
    <m/>
    <m/>
    <m/>
    <m/>
    <m/>
    <m/>
    <n v="2"/>
    <m/>
    <m/>
    <n v="5"/>
    <n v="0"/>
    <n v="0"/>
    <n v="0"/>
    <n v="0"/>
    <n v="0"/>
    <n v="0"/>
    <n v="0"/>
    <n v="1"/>
    <n v="27"/>
    <n v="75"/>
    <n v="0"/>
    <n v="0.45"/>
    <n v="74.55"/>
    <n v="0"/>
    <n v="0"/>
    <n v="0"/>
    <n v="47.55"/>
    <s v="草莓"/>
    <s v="江苏省 盐城市 东台市 东台镇范公中路176号蓝色港湾彩票店"/>
    <s v="18468482930-6355"/>
    <m/>
    <n v="74.55"/>
  </r>
  <r>
    <x v="29"/>
    <s v="已收货"/>
    <x v="37"/>
    <s v="许小风"/>
    <s v="已发，侧板磕碰，不修复，赔付150扣物流100"/>
    <m/>
    <s v="2.1洞石整柜：左边改多抽"/>
    <s v="洞石餐边柜"/>
    <n v="2100"/>
    <s v="已结算"/>
    <s v="江西"/>
    <n v="9232.58"/>
    <n v="6700"/>
    <n v="660"/>
    <n v="320"/>
    <s v="22*7"/>
    <m/>
    <n v="84"/>
    <n v="14"/>
    <n v="8.5"/>
    <n v="20"/>
    <m/>
    <n v="7"/>
    <n v="657.08"/>
    <s v="52*2"/>
    <n v="17.5"/>
    <m/>
    <m/>
    <m/>
    <m/>
    <n v="14"/>
    <n v="20"/>
    <m/>
    <m/>
    <m/>
    <m/>
    <m/>
    <m/>
    <n v="490"/>
    <m/>
    <m/>
    <n v="583"/>
    <n v="100"/>
    <n v="0"/>
    <n v="0"/>
    <n v="0"/>
    <n v="0"/>
    <n v="100"/>
    <n v="0"/>
    <n v="1"/>
    <n v="10015.58"/>
    <n v="12900"/>
    <n v="0"/>
    <n v="77.40000000000001"/>
    <n v="12822.6"/>
    <n v="0"/>
    <n v="100"/>
    <n v="100"/>
    <n v="2907.02"/>
    <s v="许小风"/>
    <s v="广东省 东莞市  高埗镇华侨城天鹅堡15栋2202"/>
    <s v="18824528469-7662"/>
    <m/>
    <n v="12822.6"/>
  </r>
  <r>
    <x v="30"/>
    <s v="已收货"/>
    <x v="38"/>
    <s v="李浩"/>
    <m/>
    <m/>
    <s v="樱桃木洞石柜：1.5米整柜"/>
    <s v="洞石餐边柜"/>
    <n v="1500"/>
    <s v="已结算"/>
    <s v="江西"/>
    <n v="7390.58"/>
    <n v="5400"/>
    <n v="510"/>
    <n v="320"/>
    <s v="22*4"/>
    <m/>
    <n v="84"/>
    <n v="104"/>
    <n v="8.5"/>
    <m/>
    <m/>
    <m/>
    <n v="501.08"/>
    <m/>
    <n v="17.5"/>
    <m/>
    <m/>
    <n v="7"/>
    <m/>
    <n v="20"/>
    <m/>
    <m/>
    <m/>
    <m/>
    <m/>
    <m/>
    <m/>
    <n v="320"/>
    <m/>
    <m/>
    <n v="635"/>
    <n v="95"/>
    <n v="158"/>
    <n v="0"/>
    <n v="0"/>
    <n v="0"/>
    <n v="178"/>
    <n v="0"/>
    <n v="1"/>
    <n v="8456.58"/>
    <n v="10764"/>
    <n v="0"/>
    <n v="64.584"/>
    <n v="10699.416"/>
    <n v="0"/>
    <n v="0"/>
    <n v="0"/>
    <n v="2242.835999999999"/>
    <s v="李浩"/>
    <s v="四川省 成都市 武侯区 桂溪街道高新区天环街719号1-2-1703"/>
    <s v="18418944710-6262"/>
    <m/>
    <n v="10699.416"/>
  </r>
  <r>
    <x v="30"/>
    <s v="已收货"/>
    <x v="39"/>
    <s v="王先生"/>
    <m/>
    <m/>
    <s v="白橡木洞石旋转柜：1.5柜+1.2桌洞石背板+洞石平板岩板。高度2.03米"/>
    <s v="旋转餐边柜"/>
    <n v="1500"/>
    <s v="已结算"/>
    <s v="江西"/>
    <n v="8278.25"/>
    <n v="6300"/>
    <n v="320"/>
    <n v="501"/>
    <s v="22*9"/>
    <m/>
    <n v="14"/>
    <n v="84"/>
    <n v="14"/>
    <m/>
    <m/>
    <n v="84"/>
    <n v="325"/>
    <n v="340"/>
    <m/>
    <m/>
    <m/>
    <m/>
    <n v="40.5"/>
    <n v="42.2"/>
    <n v="7.22"/>
    <m/>
    <m/>
    <m/>
    <n v="8.33"/>
    <m/>
    <m/>
    <n v="340"/>
    <m/>
    <m/>
    <n v="780"/>
    <n v="0"/>
    <n v="150"/>
    <n v="0"/>
    <n v="0"/>
    <n v="0"/>
    <n v="0"/>
    <n v="125"/>
    <n v="1"/>
    <n v="9333.25"/>
    <n v="12000"/>
    <n v="0"/>
    <n v="72"/>
    <n v="11928"/>
    <n v="300"/>
    <n v="0"/>
    <n v="300"/>
    <n v="2894.75"/>
    <s v="王先生"/>
    <s v="浙江省 杭州市 余杭区 良渚街道未来之光7幢1502"/>
    <s v="18413280402-1391"/>
    <m/>
    <n v="11928"/>
  </r>
  <r>
    <x v="31"/>
    <s v="已收货"/>
    <x v="40"/>
    <s v="p35725kj"/>
    <m/>
    <m/>
    <s v="2.1米榉木旋转柜+1.6米双腿餐桌：白色岩板+白色洞洞板"/>
    <s v="旋转餐边柜"/>
    <n v="2100"/>
    <s v="已结算，茶色玻璃"/>
    <s v="江西"/>
    <n v="7817.4"/>
    <n v="5220"/>
    <m/>
    <m/>
    <m/>
    <m/>
    <m/>
    <n v="655"/>
    <n v="385.44"/>
    <m/>
    <m/>
    <m/>
    <n v="198"/>
    <n v="77.09999999999999"/>
    <m/>
    <m/>
    <m/>
    <m/>
    <n v="350"/>
    <n v="24.86"/>
    <m/>
    <m/>
    <m/>
    <m/>
    <m/>
    <m/>
    <m/>
    <n v="570"/>
    <m/>
    <m/>
    <n v="524"/>
    <n v="0"/>
    <n v="0"/>
    <n v="0"/>
    <n v="0"/>
    <n v="0"/>
    <n v="0"/>
    <n v="0"/>
    <n v="1"/>
    <n v="8341.4"/>
    <n v="9450.950000000001"/>
    <n v="0"/>
    <n v="56.70570000000001"/>
    <n v="9394.2443"/>
    <n v="0"/>
    <n v="0"/>
    <n v="0"/>
    <n v="1052.844300000001"/>
    <s v="p35725kj"/>
    <s v="福建省 福州市 平潭县 海坛街道台集运(111793)\n18319011167\n350499\n福建省福州市平潭县海坛街道澳前镇澳前西路邮政大厅B区808仓台集运(111793)"/>
    <s v="18319011167"/>
    <m/>
    <n v="9394.2443"/>
  </r>
  <r>
    <x v="32"/>
    <s v="已收货"/>
    <x v="41"/>
    <s v="彤子彤"/>
    <m/>
    <m/>
    <s v="连柜书桌1.09上柜-定制"/>
    <s v="连柜书桌"/>
    <n v="1090"/>
    <s v="已结算"/>
    <s v="庄毅"/>
    <n v="1180"/>
    <n v="1180"/>
    <m/>
    <m/>
    <m/>
    <m/>
    <m/>
    <m/>
    <m/>
    <m/>
    <m/>
    <m/>
    <m/>
    <m/>
    <m/>
    <m/>
    <m/>
    <m/>
    <m/>
    <m/>
    <m/>
    <m/>
    <m/>
    <m/>
    <m/>
    <m/>
    <m/>
    <m/>
    <m/>
    <m/>
    <n v="166"/>
    <n v="50"/>
    <n v="0"/>
    <n v="0"/>
    <n v="0"/>
    <n v="0"/>
    <n v="0"/>
    <n v="0"/>
    <n v="1"/>
    <n v="1396"/>
    <n v="1855"/>
    <n v="0"/>
    <n v="11.13"/>
    <n v="1843.87"/>
    <n v="0"/>
    <n v="0"/>
    <n v="0"/>
    <n v="447.8699999999999"/>
    <s v="彤子彤"/>
    <s v="河南省 平顶山市 新华区 湖滨路街道新城区 水岸豪庭（祥云路北150米）西门快递柜"/>
    <s v="16696108134-8557"/>
    <m/>
    <n v="1843.87"/>
  </r>
  <r>
    <x v="32"/>
    <s v="已收货"/>
    <x v="42"/>
    <s v="胡"/>
    <m/>
    <m/>
    <s v="1.5米榉木餐边柜"/>
    <s v="榉木餐边柜"/>
    <m/>
    <s v="已结算，茶色玻璃"/>
    <s v="江西"/>
    <n v="6076.5"/>
    <n v="4200"/>
    <n v="229"/>
    <n v="907"/>
    <n v="15"/>
    <m/>
    <n v="8.5"/>
    <n v="360"/>
    <s v="22*8"/>
    <m/>
    <m/>
    <n v="181"/>
    <m/>
    <m/>
    <m/>
    <m/>
    <m/>
    <m/>
    <m/>
    <m/>
    <m/>
    <m/>
    <m/>
    <m/>
    <m/>
    <m/>
    <m/>
    <n v="360"/>
    <m/>
    <m/>
    <n v="224"/>
    <n v="71"/>
    <n v="79"/>
    <n v="0"/>
    <n v="0"/>
    <n v="0"/>
    <n v="320.4"/>
    <n v="0"/>
    <n v="1"/>
    <n v="6770.9"/>
    <n v="8267"/>
    <n v="0"/>
    <n v="49.602"/>
    <n v="8217.397999999999"/>
    <n v="0"/>
    <n v="0"/>
    <n v="0"/>
    <n v="1446.498"/>
    <s v="胡"/>
    <s v="江西省 景德镇市 珠山区 竟成镇陶阳北路166号碧桂园昌南府3栋2102室"/>
    <s v="17507980645-1980"/>
    <m/>
    <n v="8217.397999999999"/>
  </r>
  <r>
    <x v="33"/>
    <s v="已收货"/>
    <x v="43"/>
    <s v="向女士"/>
    <m/>
    <m/>
    <s v="原木色1.6米餐桌"/>
    <s v="榉木餐桌"/>
    <s v="160cm*85cm"/>
    <s v="已结算"/>
    <s v="江西"/>
    <n v="1930"/>
    <n v="1800"/>
    <m/>
    <m/>
    <m/>
    <m/>
    <m/>
    <m/>
    <m/>
    <m/>
    <m/>
    <m/>
    <m/>
    <m/>
    <m/>
    <m/>
    <m/>
    <m/>
    <m/>
    <m/>
    <m/>
    <m/>
    <m/>
    <m/>
    <m/>
    <m/>
    <m/>
    <n v="130"/>
    <m/>
    <m/>
    <n v="89"/>
    <n v="51"/>
    <n v="70"/>
    <n v="0"/>
    <n v="0"/>
    <n v="0"/>
    <n v="0"/>
    <n v="0"/>
    <n v="1"/>
    <n v="2140"/>
    <n v="3000"/>
    <n v="0"/>
    <n v="18"/>
    <n v="2982"/>
    <n v="0"/>
    <n v="0"/>
    <n v="0"/>
    <n v="842"/>
    <s v="向女士"/>
    <s v="湖北省 宜昌市 西陵区 西陵街道东山大道99号万佳幸福花园A座1503室"/>
    <s v="18472175596-9424"/>
    <m/>
    <n v="2982"/>
  </r>
  <r>
    <x v="34"/>
    <s v="已收货"/>
    <x v="44"/>
    <s v="坤-李锦坤(陈雨恒)"/>
    <m/>
    <m/>
    <s v="砂白色1.3米岩板餐桌，定制"/>
    <s v="榉木餐桌"/>
    <s v="130cm*80cm"/>
    <s v="已结算"/>
    <s v="江西"/>
    <n v="1827.5"/>
    <n v="1450"/>
    <m/>
    <m/>
    <m/>
    <m/>
    <n v="255"/>
    <m/>
    <m/>
    <m/>
    <m/>
    <m/>
    <m/>
    <m/>
    <m/>
    <m/>
    <m/>
    <m/>
    <n v="2.5"/>
    <m/>
    <m/>
    <m/>
    <m/>
    <m/>
    <m/>
    <m/>
    <m/>
    <n v="120"/>
    <m/>
    <m/>
    <n v="93"/>
    <n v="0"/>
    <n v="0"/>
    <n v="0"/>
    <n v="0"/>
    <n v="0"/>
    <n v="0"/>
    <n v="0"/>
    <n v="1"/>
    <n v="1920.5"/>
    <n v="2730"/>
    <n v="0"/>
    <n v="16.38"/>
    <n v="2713.62"/>
    <n v="0"/>
    <n v="0"/>
    <n v="0"/>
    <n v="793.1199999999999"/>
    <s v="坤-李锦坤(陈雨恒)"/>
    <s v="广东省 广州市 白云区 大源街道石湖村镇东路148号+KA250208E,陈雨恒"/>
    <s v="18466101944-8682"/>
    <m/>
    <n v="2713.62"/>
  </r>
  <r>
    <x v="35"/>
    <s v="已收货"/>
    <x v="45"/>
    <s v="孙先生"/>
    <m/>
    <m/>
    <s v="1.5榉木旋转柜：1.5米+1.2米单腿岩板餐桌"/>
    <s v="旋转餐边柜"/>
    <n v="1500"/>
    <s v="已结算，茶色玻璃"/>
    <s v="江西"/>
    <n v="6672"/>
    <n v="4600"/>
    <m/>
    <m/>
    <m/>
    <m/>
    <m/>
    <n v="50"/>
    <n v="38"/>
    <m/>
    <m/>
    <n v="499"/>
    <n v="198"/>
    <n v="36"/>
    <m/>
    <m/>
    <m/>
    <m/>
    <n v="490"/>
    <n v="20"/>
    <m/>
    <m/>
    <m/>
    <m/>
    <m/>
    <m/>
    <m/>
    <n v="490"/>
    <m/>
    <m/>
    <n v="399"/>
    <n v="90"/>
    <n v="158"/>
    <n v="0"/>
    <n v="0"/>
    <n v="0"/>
    <n v="0"/>
    <n v="0"/>
    <n v="1"/>
    <n v="7319"/>
    <n v="8500"/>
    <n v="0"/>
    <n v="51"/>
    <n v="8449"/>
    <n v="0"/>
    <n v="0"/>
    <n v="0"/>
    <n v="1130"/>
    <s v="孙先生"/>
    <s v="上海 上海市 闵行区 七宝镇紫琅路 188号 天安1号 C区 5号楼 302室"/>
    <s v="18466655154-6826"/>
    <m/>
    <n v="8449"/>
  </r>
  <r>
    <x v="36"/>
    <s v="已收货"/>
    <x v="46"/>
    <s v="夏两"/>
    <m/>
    <m/>
    <s v="1.34米洞石整柜 "/>
    <s v="洞石餐边柜"/>
    <n v="1340"/>
    <s v="已结算，灰色玻璃"/>
    <s v="江西"/>
    <n v="7790.48"/>
    <n v="5450"/>
    <n v="460"/>
    <n v="320"/>
    <s v="22*9"/>
    <m/>
    <n v="84"/>
    <n v="14"/>
    <n v="7"/>
    <m/>
    <m/>
    <n v="459.48"/>
    <s v="52*2"/>
    <n v="14"/>
    <m/>
    <m/>
    <m/>
    <m/>
    <n v="280"/>
    <n v="340"/>
    <n v="60"/>
    <m/>
    <m/>
    <m/>
    <m/>
    <m/>
    <m/>
    <n v="340"/>
    <m/>
    <m/>
    <n v="611"/>
    <n v="88"/>
    <n v="136"/>
    <n v="0"/>
    <n v="0"/>
    <n v="0"/>
    <n v="100"/>
    <n v="0"/>
    <n v="1"/>
    <n v="8725.48"/>
    <n v="10480"/>
    <n v="0"/>
    <n v="62.88"/>
    <n v="10417.12"/>
    <n v="0"/>
    <n v="0"/>
    <n v="0"/>
    <n v="1691.640000000001"/>
    <s v="夏两"/>
    <s v="北京 北京市 海淀区 上地街道朱房路上地南路6号院小区 2号楼10单元602"/>
    <s v="18400847404-3162"/>
    <m/>
    <n v="10417.12"/>
  </r>
  <r>
    <x v="36"/>
    <s v="已收货"/>
    <x v="47"/>
    <s v="李媛媛"/>
    <s v="已发  7.8是赠送的木蜡油"/>
    <m/>
    <s v="樱桃木黑色岩板餐桌"/>
    <s v="樱桃木岩板餐桌2024"/>
    <s v="180cm*85cm"/>
    <s v="已结算"/>
    <s v="江西"/>
    <n v="1414.32"/>
    <n v="1000"/>
    <m/>
    <m/>
    <m/>
    <m/>
    <n v="224.02"/>
    <m/>
    <m/>
    <m/>
    <m/>
    <m/>
    <m/>
    <m/>
    <m/>
    <m/>
    <m/>
    <m/>
    <n v="2.5"/>
    <m/>
    <m/>
    <m/>
    <m/>
    <m/>
    <n v="7.8"/>
    <m/>
    <m/>
    <n v="180"/>
    <m/>
    <m/>
    <n v="105"/>
    <n v="0"/>
    <n v="75"/>
    <n v="0"/>
    <n v="0"/>
    <n v="0"/>
    <n v="0"/>
    <n v="495"/>
    <n v="1"/>
    <n v="2089.32"/>
    <n v="2478.5"/>
    <n v="0"/>
    <n v="14.871"/>
    <n v="2463.629"/>
    <n v="0"/>
    <n v="0"/>
    <n v="0"/>
    <n v="374.3090000000002"/>
    <s v="李媛媛"/>
    <s v="贵州省 贵阳市 观山湖区 长岭街道阅山湖越麓E组团7栋2单元25层4号房"/>
    <s v="18400306338-829"/>
    <m/>
    <n v="2463.629"/>
  </r>
  <r>
    <x v="37"/>
    <s v="已收货"/>
    <x v="48"/>
    <s v="卓子越"/>
    <m/>
    <m/>
    <s v="旋转柜右旋：1.8米+1.4米单腿餐桌，樱桃木，黑色洞洞板，黑色岩板台面"/>
    <s v="旋转餐边柜"/>
    <n v="1800"/>
    <s v="已结算，茶色玻璃"/>
    <s v="江西"/>
    <n v="8057.5"/>
    <n v="5700"/>
    <m/>
    <m/>
    <m/>
    <m/>
    <m/>
    <n v="22"/>
    <n v="42.5"/>
    <m/>
    <m/>
    <n v="229"/>
    <n v="198"/>
    <n v="36"/>
    <m/>
    <m/>
    <m/>
    <m/>
    <n v="400"/>
    <n v="52"/>
    <m/>
    <m/>
    <m/>
    <m/>
    <m/>
    <m/>
    <m/>
    <n v="400"/>
    <m/>
    <m/>
    <n v="537"/>
    <n v="100"/>
    <n v="128"/>
    <n v="0"/>
    <n v="0"/>
    <n v="0"/>
    <n v="487.7"/>
    <n v="0"/>
    <n v="1"/>
    <n v="9310.200000000001"/>
    <n v="11265.46"/>
    <n v="0"/>
    <n v="67.59276"/>
    <n v="11197.86724"/>
    <n v="0"/>
    <n v="0"/>
    <n v="0"/>
    <n v="1887.667239999999"/>
    <s v="卓子越"/>
    <s v="广东省 广州市 增城区 中新镇御溪世家二期24栋1505室(已交楼 送上门)"/>
    <s v="15821368355"/>
    <m/>
    <n v="11197.86724"/>
  </r>
  <r>
    <x v="37"/>
    <s v="已收货"/>
    <x v="49"/>
    <s v="07569海外客户"/>
    <m/>
    <m/>
    <s v="旋转柜左旋：欧标电源+2国际通用插座，1.6 洞洞板餐边柜+1.2单腿餐桌，樱桃木"/>
    <s v="旋转餐边柜"/>
    <n v="1600"/>
    <s v="已结算，茶色玻璃"/>
    <s v="江西"/>
    <n v="7625.86"/>
    <n v="5600"/>
    <m/>
    <m/>
    <m/>
    <m/>
    <m/>
    <n v="24.86"/>
    <n v="630"/>
    <m/>
    <m/>
    <n v="22"/>
    <n v="198"/>
    <n v="45"/>
    <m/>
    <m/>
    <m/>
    <m/>
    <m/>
    <m/>
    <m/>
    <m/>
    <m/>
    <m/>
    <m/>
    <m/>
    <m/>
    <n v="630"/>
    <m/>
    <m/>
    <n v="405"/>
    <n v="100"/>
    <n v="0"/>
    <n v="0"/>
    <n v="0"/>
    <n v="0"/>
    <n v="118"/>
    <n v="0"/>
    <n v="1"/>
    <n v="8248.860000000001"/>
    <n v="10388"/>
    <n v="0"/>
    <n v="62.328"/>
    <n v="10325.672"/>
    <n v="0"/>
    <n v="0"/>
    <n v="0"/>
    <n v="2076.812"/>
    <s v="07569海外客户"/>
    <s v="广东省 深圳市 宝安区 福海街道安讯海通电商产业园9号楼D单元403（07569）"/>
    <s v="15794934808-7446"/>
    <m/>
    <n v="10325.672"/>
  </r>
  <r>
    <x v="37"/>
    <s v="已收货"/>
    <x v="50"/>
    <s v="李"/>
    <m/>
    <m/>
    <s v="旋转柜左旋：3个插座，1.6 洞石背板餐边柜+1.2洞石岩板餐桌（9mm薄板），樱桃木"/>
    <s v="旋转餐边柜"/>
    <n v="1600"/>
    <s v="已结算，茶色玻璃"/>
    <s v="江西"/>
    <n v="8074.08"/>
    <n v="5700"/>
    <m/>
    <m/>
    <m/>
    <m/>
    <m/>
    <s v="50*2"/>
    <m/>
    <m/>
    <m/>
    <n v="36"/>
    <n v="198"/>
    <n v="270"/>
    <m/>
    <m/>
    <m/>
    <m/>
    <n v="360"/>
    <n v="410"/>
    <m/>
    <m/>
    <m/>
    <m/>
    <m/>
    <m/>
    <m/>
    <n v="410"/>
    <m/>
    <m/>
    <n v="649"/>
    <n v="96"/>
    <n v="128"/>
    <n v="0"/>
    <n v="0"/>
    <n v="0"/>
    <n v="0"/>
    <n v="0"/>
    <n v="1"/>
    <n v="8947.08"/>
    <n v="11450"/>
    <n v="0"/>
    <n v="68.7"/>
    <n v="11381.3"/>
    <n v="0"/>
    <n v="0"/>
    <n v="0"/>
    <n v="2434.219999999999"/>
    <s v="李"/>
    <s v="北京 北京市 昌平区 东小口镇建材城东路奥海明月南区B6号楼3单元902室"/>
    <s v="13164247864-9866"/>
    <m/>
    <n v="11381.3"/>
  </r>
  <r>
    <x v="38"/>
    <s v="已收货"/>
    <x v="51"/>
    <s v="好傢裝46337"/>
    <m/>
    <m/>
    <s v="1.2榉木白色岩板餐边柜+62cm白色岩板鞋柜"/>
    <s v="榉木餐边柜"/>
    <m/>
    <s v="已结算，茶色玻璃"/>
    <s v="江西"/>
    <n v="6474"/>
    <n v="4750"/>
    <n v="140"/>
    <n v="60"/>
    <n v="300"/>
    <m/>
    <n v="421"/>
    <s v="60*2"/>
    <n v="330"/>
    <m/>
    <m/>
    <n v="140"/>
    <n v="59"/>
    <s v="22*7"/>
    <m/>
    <m/>
    <m/>
    <m/>
    <m/>
    <m/>
    <m/>
    <m/>
    <m/>
    <m/>
    <m/>
    <m/>
    <m/>
    <n v="470"/>
    <m/>
    <m/>
    <n v="299"/>
    <n v="92"/>
    <n v="0"/>
    <n v="0"/>
    <n v="0"/>
    <n v="0"/>
    <n v="0"/>
    <n v="0"/>
    <n v="1"/>
    <n v="6865"/>
    <n v="11350"/>
    <n v="0"/>
    <n v="68.09999999999999"/>
    <n v="11281.9"/>
    <n v="0"/>
    <n v="0"/>
    <n v="0"/>
    <n v="4416.9"/>
    <s v="好傢裝46337"/>
    <s v="广东省深圳市龙岗区布吉街道金运路储巷138号云储大厦好家装集运+#     46337(須提供包裝圖、件數、子單號(如有)及在包裝上寫好傢裝#46337)"/>
    <s v="13823547788"/>
    <m/>
    <n v="11281.9"/>
  </r>
  <r>
    <x v="38"/>
    <s v="已收货"/>
    <x v="52"/>
    <s v="梁先生"/>
    <s v="材料费2200已经抵扣，打包费用没出"/>
    <m/>
    <s v="樱桃木，5行3列加厚书柜"/>
    <s v="定制书柜"/>
    <m/>
    <s v="已结算"/>
    <s v="江西"/>
    <n v="7708.2"/>
    <n v="5000"/>
    <n v="178.2"/>
    <n v="30"/>
    <n v="300"/>
    <m/>
    <n v="2200"/>
    <m/>
    <m/>
    <m/>
    <m/>
    <m/>
    <m/>
    <m/>
    <m/>
    <m/>
    <m/>
    <m/>
    <m/>
    <m/>
    <m/>
    <m/>
    <m/>
    <m/>
    <m/>
    <m/>
    <m/>
    <n v="110"/>
    <m/>
    <m/>
    <n v="323"/>
    <n v="92"/>
    <n v="328"/>
    <n v="0"/>
    <n v="0"/>
    <n v="0"/>
    <n v="20"/>
    <n v="0"/>
    <n v="1"/>
    <n v="8471.200000000001"/>
    <n v="18400"/>
    <n v="0"/>
    <n v="110.4"/>
    <n v="18289.6"/>
    <n v="60"/>
    <n v="0"/>
    <n v="60"/>
    <n v="9878.399999999998"/>
    <s v="梁先生"/>
    <s v="山东省 济宁市 任城区许庄街道济宁大道与火炬南路交汇处青建·白鹭洲 C8-3 "/>
    <s v="17895472356-2776"/>
    <m/>
    <n v="18289.6"/>
  </r>
  <r>
    <x v="38"/>
    <s v="已收货"/>
    <x v="52"/>
    <s v="梁先生"/>
    <s v="已发，发新桌面，手控，打包费用没出"/>
    <m/>
    <s v="升降桌：樱桃木，1.9带高台版"/>
    <s v="升降桌-2024款"/>
    <n v="1900"/>
    <s v="已结算"/>
    <s v="江西"/>
    <n v="3647.4"/>
    <n v="1900"/>
    <n v="90"/>
    <n v="68.59999999999999"/>
    <n v="32"/>
    <m/>
    <n v="990"/>
    <n v="110"/>
    <n v="66.90000000000001"/>
    <m/>
    <m/>
    <n v="79.90000000000001"/>
    <n v="10"/>
    <n v="300"/>
    <m/>
    <m/>
    <m/>
    <m/>
    <m/>
    <m/>
    <m/>
    <m/>
    <n v="152"/>
    <m/>
    <m/>
    <m/>
    <m/>
    <n v="30"/>
    <m/>
    <m/>
    <n v="0"/>
    <n v="0"/>
    <n v="0"/>
    <n v="0"/>
    <n v="0"/>
    <n v="0"/>
    <n v="61.9"/>
    <n v="0"/>
    <n v="1"/>
    <n v="3709.3"/>
    <n v="0"/>
    <n v="0"/>
    <n v="0"/>
    <n v="0"/>
    <n v="0"/>
    <n v="0"/>
    <n v="0"/>
    <n v="-3709.3"/>
    <s v="梁先生"/>
    <s v="山东省 济宁市 任城区许庄街道济宁大道与火炬南路交汇处青建·白鹭洲 C8-3 "/>
    <s v="17895472356-2776"/>
    <m/>
    <n v="0"/>
  </r>
  <r>
    <x v="38"/>
    <s v="已收货"/>
    <x v="53"/>
    <s v="田先生"/>
    <m/>
    <m/>
    <s v="旋转柜左旋，1.55 洞石背板上柜+1.35双腿白色岩板餐桌"/>
    <s v="旋转餐边柜"/>
    <n v="1550"/>
    <s v="已结算，灰色玻璃"/>
    <s v="江西"/>
    <n v="8414.58"/>
    <n v="6150"/>
    <m/>
    <m/>
    <m/>
    <m/>
    <m/>
    <n v="14"/>
    <n v="8.5"/>
    <m/>
    <m/>
    <n v="7"/>
    <n v="132"/>
    <s v="52*2"/>
    <m/>
    <m/>
    <m/>
    <m/>
    <n v="490"/>
    <n v="14"/>
    <n v="42"/>
    <m/>
    <m/>
    <m/>
    <m/>
    <m/>
    <m/>
    <n v="490"/>
    <m/>
    <m/>
    <n v="478"/>
    <n v="152"/>
    <n v="238"/>
    <n v="0"/>
    <n v="0"/>
    <n v="0"/>
    <n v="100"/>
    <n v="0"/>
    <n v="1"/>
    <n v="9382.58"/>
    <n v="12000"/>
    <n v="0"/>
    <n v="72"/>
    <n v="11928"/>
    <n v="0"/>
    <n v="0"/>
    <n v="0"/>
    <n v="2545.42"/>
    <s v="田先生"/>
    <s v="广东省 珠海市 香洲区 湾仔街道琴澳新城6期3栋703"/>
    <s v="18466384163-8432"/>
    <m/>
    <n v="11928"/>
  </r>
  <r>
    <x v="39"/>
    <s v="退单"/>
    <x v="54"/>
    <s v="陈柳"/>
    <m/>
    <m/>
    <s v="黑色岩板榉木餐桌：180*85"/>
    <m/>
    <s v="180cm*85cm"/>
    <m/>
    <s v="江西"/>
    <n v="0"/>
    <n v="0"/>
    <m/>
    <m/>
    <m/>
    <m/>
    <m/>
    <m/>
    <m/>
    <m/>
    <m/>
    <m/>
    <m/>
    <m/>
    <m/>
    <m/>
    <m/>
    <m/>
    <m/>
    <m/>
    <m/>
    <m/>
    <m/>
    <m/>
    <m/>
    <m/>
    <m/>
    <m/>
    <m/>
    <m/>
    <m/>
    <m/>
    <m/>
    <n v="0"/>
    <n v="0"/>
    <n v="0"/>
    <n v="0"/>
    <n v="0"/>
    <n v="1"/>
    <n v="0"/>
    <n v="0"/>
    <n v="0"/>
    <n v="0"/>
    <n v="0"/>
    <n v="0"/>
    <n v="0"/>
    <n v="0"/>
    <n v="0"/>
    <s v="陈柳"/>
    <s v="浙江省 湖州市 德清县 新市镇新市振兴路120号"/>
    <s v="15785482755-1425"/>
    <m/>
    <m/>
  </r>
  <r>
    <x v="40"/>
    <s v="已收货"/>
    <x v="55"/>
    <s v="小王"/>
    <m/>
    <m/>
    <s v="1.5榉木餐边柜"/>
    <s v="榉木餐边柜"/>
    <n v="1500"/>
    <s v="已结算"/>
    <s v="江西"/>
    <n v="5869.5"/>
    <n v="3900"/>
    <n v="229"/>
    <n v="907"/>
    <n v="50"/>
    <m/>
    <n v="370"/>
    <n v="15"/>
    <n v="8.5"/>
    <m/>
    <m/>
    <s v="22*5"/>
    <n v="280"/>
    <m/>
    <m/>
    <m/>
    <m/>
    <m/>
    <m/>
    <m/>
    <m/>
    <m/>
    <m/>
    <m/>
    <m/>
    <m/>
    <m/>
    <n v="280"/>
    <m/>
    <m/>
    <n v="521"/>
    <n v="71"/>
    <n v="128"/>
    <n v="0"/>
    <n v="240"/>
    <n v="0"/>
    <n v="8.33"/>
    <n v="215"/>
    <n v="1"/>
    <n v="7052.83"/>
    <n v="7443.97"/>
    <n v="0"/>
    <n v="44.66382"/>
    <n v="7399.30618"/>
    <n v="0"/>
    <n v="100"/>
    <n v="100"/>
    <n v="446.4761800000006"/>
    <s v="小王"/>
    <s v="吉林省 长春市 南关区 幸福乡国信中央新城峯境1期3-1-701"/>
    <s v="17896111870-2708"/>
    <m/>
    <n v="7399.30618"/>
  </r>
  <r>
    <x v="40"/>
    <s v="已收货"/>
    <x v="56"/>
    <s v="王晴宇"/>
    <m/>
    <m/>
    <s v="榉木洞石下柜：2100*500*880"/>
    <s v="洞石餐边柜"/>
    <n v="2100"/>
    <s v="已结算，灰色玻璃"/>
    <s v="江西"/>
    <n v="5454.4"/>
    <n v="3800"/>
    <s v="22*7"/>
    <n v="8.5"/>
    <n v="665.4"/>
    <m/>
    <n v="427"/>
    <m/>
    <n v="250"/>
    <m/>
    <m/>
    <n v="90"/>
    <n v="20"/>
    <m/>
    <m/>
    <m/>
    <m/>
    <m/>
    <m/>
    <m/>
    <m/>
    <m/>
    <m/>
    <m/>
    <m/>
    <m/>
    <m/>
    <n v="250"/>
    <m/>
    <m/>
    <n v="664"/>
    <n v="0"/>
    <n v="268"/>
    <n v="0"/>
    <n v="0"/>
    <n v="0"/>
    <n v="112.06"/>
    <n v="0"/>
    <n v="1"/>
    <n v="6498.46"/>
    <n v="8689"/>
    <n v="0"/>
    <n v="52.134"/>
    <n v="8636.866"/>
    <n v="0"/>
    <n v="0"/>
    <n v="0"/>
    <n v="2138.406"/>
    <s v="王晴宇"/>
    <s v="北京 北京市 昌平区 龙泽园街道科星西路90号院国风美唐二期19号楼13层3单元1303"/>
    <s v="18400985984-6930"/>
    <m/>
    <n v="8636.866"/>
  </r>
  <r>
    <x v="40"/>
    <s v="已收货"/>
    <x v="57"/>
    <s v="王晴宇"/>
    <s v="已发，189磕碰需要抵扣给物流"/>
    <m/>
    <s v="砂白色2.0米岩板餐桌"/>
    <s v="榉木餐桌"/>
    <s v="200cm*85cm"/>
    <s v="已结算"/>
    <s v="江西"/>
    <n v="2272.5"/>
    <n v="1630"/>
    <m/>
    <m/>
    <m/>
    <m/>
    <n v="510"/>
    <m/>
    <m/>
    <m/>
    <m/>
    <m/>
    <m/>
    <m/>
    <m/>
    <m/>
    <m/>
    <m/>
    <n v="2.5"/>
    <m/>
    <m/>
    <m/>
    <m/>
    <m/>
    <m/>
    <m/>
    <m/>
    <n v="130"/>
    <m/>
    <m/>
    <n v="250"/>
    <n v="50"/>
    <n v="0"/>
    <n v="0"/>
    <n v="189"/>
    <n v="0"/>
    <n v="0"/>
    <n v="0"/>
    <n v="1"/>
    <n v="2761.5"/>
    <n v="3688.92"/>
    <n v="0"/>
    <n v="22.13352"/>
    <n v="3666.78648"/>
    <n v="0"/>
    <n v="0"/>
    <n v="0"/>
    <n v="905.2864800000002"/>
    <s v="王晴宇"/>
    <s v="北京 北京市 昌平区 龙泽园街道科星西路90号院国风美唐二期19号楼13层3单元1303"/>
    <s v="18400985984-6930"/>
    <m/>
    <n v="3666.78648"/>
  </r>
  <r>
    <x v="41"/>
    <s v="退单"/>
    <x v="58"/>
    <s v="杨女士"/>
    <m/>
    <m/>
    <s v="樱桃木实木餐桌：120cm*85cm*75cm"/>
    <s v="樱桃木餐桌2024"/>
    <s v="120cm*85cm"/>
    <s v="已结算"/>
    <s v="江西"/>
    <n v="0"/>
    <n v="0"/>
    <m/>
    <m/>
    <m/>
    <m/>
    <m/>
    <m/>
    <m/>
    <m/>
    <m/>
    <m/>
    <m/>
    <m/>
    <m/>
    <m/>
    <m/>
    <m/>
    <m/>
    <m/>
    <m/>
    <m/>
    <m/>
    <m/>
    <m/>
    <m/>
    <m/>
    <m/>
    <m/>
    <m/>
    <m/>
    <m/>
    <m/>
    <m/>
    <m/>
    <m/>
    <m/>
    <m/>
    <n v="1"/>
    <n v="0"/>
    <m/>
    <n v="0"/>
    <n v="0"/>
    <n v="0"/>
    <n v="0"/>
    <n v="0"/>
    <n v="0"/>
    <m/>
    <s v="杨女士"/>
    <s v="上海 上海市 闵行区 莘庄镇景和茗苑1号301室"/>
    <s v="18466705746-2776"/>
    <m/>
    <m/>
  </r>
  <r>
    <x v="42"/>
    <s v="已收货"/>
    <x v="59"/>
    <s v="歐陽泳逸"/>
    <m/>
    <m/>
    <s v="樱桃木旋转柜：洞洞板1.6 黑色岩板台面整柜+1.1单腿白色岩板餐桌"/>
    <s v="旋转餐边柜"/>
    <n v="1600"/>
    <s v="已结算，茶色玻璃"/>
    <s v="江西"/>
    <n v="7547"/>
    <n v="5600"/>
    <m/>
    <m/>
    <m/>
    <m/>
    <m/>
    <n v="229"/>
    <n v="160"/>
    <m/>
    <m/>
    <n v="22"/>
    <n v="132"/>
    <n v="280"/>
    <m/>
    <m/>
    <m/>
    <m/>
    <m/>
    <n v="52"/>
    <m/>
    <m/>
    <m/>
    <m/>
    <m/>
    <m/>
    <m/>
    <n v="450"/>
    <m/>
    <m/>
    <n v="370"/>
    <n v="0"/>
    <n v="139"/>
    <n v="0"/>
    <n v="0"/>
    <n v="0"/>
    <n v="0"/>
    <n v="0"/>
    <n v="1"/>
    <n v="8056"/>
    <n v="10707.05"/>
    <n v="0"/>
    <n v="64.2423"/>
    <n v="10642.8077"/>
    <n v="0"/>
    <n v="0"/>
    <n v="0"/>
    <n v="2586.807699999999"/>
    <s v="歐陽泳逸"/>
    <s v="广东省 深圳市 龙岗区 宝龙街道龍新社區大圍二區13號和興公司"/>
    <s v="13143970527"/>
    <m/>
    <n v="10642.8077"/>
  </r>
  <r>
    <x v="43"/>
    <s v="已收货"/>
    <x v="60"/>
    <s v="陈宇星"/>
    <m/>
    <m/>
    <s v="樱桃木旋转柜：洞洞板1.8 白色岩板台面整柜+1.5单腿白色岩板餐桌"/>
    <s v="旋转餐边柜"/>
    <n v="1800"/>
    <s v="已结算，茶色玻璃"/>
    <s v="江西"/>
    <n v="7969"/>
    <n v="5800"/>
    <m/>
    <m/>
    <m/>
    <m/>
    <m/>
    <n v="229"/>
    <n v="229"/>
    <m/>
    <m/>
    <n v="52"/>
    <n v="198"/>
    <n v="22"/>
    <m/>
    <m/>
    <m/>
    <m/>
    <m/>
    <n v="300"/>
    <m/>
    <m/>
    <m/>
    <m/>
    <m/>
    <m/>
    <m/>
    <n v="410"/>
    <m/>
    <m/>
    <n v="613"/>
    <n v="100"/>
    <n v="179"/>
    <n v="0"/>
    <n v="0"/>
    <n v="0"/>
    <n v="0"/>
    <n v="0"/>
    <n v="1"/>
    <n v="8861"/>
    <n v="11905"/>
    <n v="0"/>
    <n v="71.43000000000001"/>
    <n v="11833.57"/>
    <n v="0"/>
    <n v="0"/>
    <n v="0"/>
    <n v="2972.57"/>
    <s v="陈宇星"/>
    <s v="河北省 石家庄市 长安区 跃进街道安馨佳苑(建设中)5-2-2603"/>
    <s v="15511683474-8547"/>
    <m/>
    <n v="11833.57"/>
  </r>
  <r>
    <x v="43"/>
    <s v="已收货"/>
    <x v="61"/>
    <s v="马妍"/>
    <m/>
    <m/>
    <s v="洞石色1.8米岩板餐桌，蜜蜡色"/>
    <s v="榉木餐桌"/>
    <m/>
    <s v="已结算"/>
    <s v="江西"/>
    <n v="2172"/>
    <n v="1580"/>
    <m/>
    <m/>
    <m/>
    <m/>
    <n v="459.5"/>
    <m/>
    <m/>
    <m/>
    <m/>
    <m/>
    <m/>
    <m/>
    <m/>
    <m/>
    <m/>
    <m/>
    <n v="2.5"/>
    <m/>
    <m/>
    <m/>
    <m/>
    <m/>
    <m/>
    <m/>
    <m/>
    <n v="130"/>
    <m/>
    <m/>
    <n v="106"/>
    <n v="56"/>
    <n v="60"/>
    <n v="0"/>
    <n v="0"/>
    <n v="0"/>
    <n v="0"/>
    <n v="0"/>
    <n v="1"/>
    <n v="2394"/>
    <n v="3110.79"/>
    <n v="0"/>
    <n v="18.66474"/>
    <n v="3092.12526"/>
    <n v="0"/>
    <n v="0"/>
    <n v="0"/>
    <n v="698.1252599999998"/>
    <s v="马妍"/>
    <s v="江苏省 镇江市 句容市 华阳街道高骊山路旭辉宸品1-401"/>
    <s v="18466821279-6194"/>
    <m/>
    <n v="3092.12526"/>
  </r>
  <r>
    <x v="43"/>
    <s v="已收货"/>
    <x v="62"/>
    <s v="马妍"/>
    <m/>
    <m/>
    <s v="蜜蜡色样块"/>
    <s v="样块"/>
    <m/>
    <s v="已结算"/>
    <s v="杭州"/>
    <n v="7"/>
    <n v="5"/>
    <m/>
    <m/>
    <m/>
    <m/>
    <m/>
    <m/>
    <m/>
    <m/>
    <m/>
    <m/>
    <m/>
    <m/>
    <m/>
    <m/>
    <m/>
    <m/>
    <m/>
    <m/>
    <m/>
    <m/>
    <m/>
    <m/>
    <m/>
    <m/>
    <m/>
    <n v="2"/>
    <m/>
    <m/>
    <n v="5"/>
    <n v="0"/>
    <n v="0"/>
    <n v="0"/>
    <n v="0"/>
    <n v="0"/>
    <n v="0"/>
    <n v="0"/>
    <n v="1"/>
    <n v="12"/>
    <n v="25"/>
    <n v="0"/>
    <n v="0.15"/>
    <n v="24.85"/>
    <n v="0"/>
    <n v="0"/>
    <n v="0"/>
    <n v="12.85"/>
    <s v="马妍"/>
    <s v="江苏省 镇江市 句容市 华阳街道高骊山路旭辉宸品1-401"/>
    <s v="18466821279-6194"/>
    <m/>
    <n v="24.85"/>
  </r>
  <r>
    <x v="44"/>
    <s v="已收货"/>
    <x v="63"/>
    <s v=" Jenny Li"/>
    <m/>
    <m/>
    <s v="樱桃木样块"/>
    <s v="样块"/>
    <m/>
    <s v="已结算"/>
    <s v="杭州"/>
    <n v="7"/>
    <n v="5"/>
    <m/>
    <m/>
    <m/>
    <m/>
    <m/>
    <m/>
    <m/>
    <m/>
    <m/>
    <m/>
    <m/>
    <m/>
    <m/>
    <m/>
    <m/>
    <m/>
    <m/>
    <m/>
    <m/>
    <m/>
    <m/>
    <m/>
    <m/>
    <m/>
    <m/>
    <n v="2"/>
    <m/>
    <m/>
    <n v="5"/>
    <n v="0"/>
    <n v="0"/>
    <n v="0"/>
    <n v="0"/>
    <n v="0"/>
    <n v="0"/>
    <n v="0"/>
    <n v="1"/>
    <n v="12"/>
    <n v="25"/>
    <n v="0"/>
    <n v="0.15"/>
    <n v="24.85"/>
    <n v="0"/>
    <n v="0"/>
    <n v="0"/>
    <n v="12.85"/>
    <s v=" Jenny Li"/>
    <s v="江苏省苏州市昆山市花桥镇悦城b座103菜鸟驿站"/>
    <s v="17895040260-2562"/>
    <m/>
    <n v="24.85"/>
  </r>
  <r>
    <x v="44"/>
    <s v="已收货"/>
    <x v="64"/>
    <s v="张s"/>
    <s v="已发，岩板破损补发240"/>
    <m/>
    <s v="砂白色1.6米岩板餐桌"/>
    <s v="榉木餐桌"/>
    <s v="160cm*85cm"/>
    <s v="已结算"/>
    <s v="江西"/>
    <n v="2182.5"/>
    <n v="1520"/>
    <m/>
    <m/>
    <m/>
    <m/>
    <n v="480"/>
    <m/>
    <m/>
    <m/>
    <m/>
    <m/>
    <m/>
    <m/>
    <m/>
    <m/>
    <m/>
    <m/>
    <n v="2.5"/>
    <m/>
    <m/>
    <m/>
    <m/>
    <m/>
    <m/>
    <m/>
    <m/>
    <n v="180"/>
    <m/>
    <m/>
    <n v="138"/>
    <n v="61"/>
    <n v="96"/>
    <n v="0"/>
    <n v="0"/>
    <n v="0"/>
    <n v="0"/>
    <n v="163"/>
    <n v="1"/>
    <n v="2640.5"/>
    <n v="2940"/>
    <n v="0"/>
    <n v="17.64"/>
    <n v="2922.36"/>
    <n v="0"/>
    <n v="0"/>
    <n v="0"/>
    <n v="281.8600000000001"/>
    <s v="张s"/>
    <s v="江苏省 苏州市 虎丘区 狮山街道君地风华1幢801"/>
    <s v="17851499129-1856"/>
    <m/>
    <n v="2922.36"/>
  </r>
  <r>
    <x v="44"/>
    <s v="已收货"/>
    <x v="65"/>
    <s v="刘斌"/>
    <s v="已发，搬运125"/>
    <m/>
    <s v="2.1米整柜不带桌?2插座"/>
    <s v="旋转餐边柜"/>
    <n v="2100"/>
    <s v="已结算"/>
    <s v="江西"/>
    <n v="8249"/>
    <n v="5600"/>
    <m/>
    <m/>
    <m/>
    <m/>
    <m/>
    <n v="22"/>
    <n v="52"/>
    <m/>
    <m/>
    <n v="300"/>
    <n v="198"/>
    <n v="440"/>
    <m/>
    <m/>
    <m/>
    <m/>
    <m/>
    <n v="42"/>
    <m/>
    <m/>
    <m/>
    <m/>
    <m/>
    <m/>
    <m/>
    <n v="440"/>
    <m/>
    <m/>
    <n v="389"/>
    <n v="225"/>
    <n v="258"/>
    <n v="0"/>
    <n v="0"/>
    <n v="0"/>
    <n v="0"/>
    <n v="0"/>
    <n v="1"/>
    <n v="9121"/>
    <n v="11195"/>
    <n v="0"/>
    <n v="67.17"/>
    <n v="11127.83"/>
    <n v="0"/>
    <n v="0"/>
    <n v="0"/>
    <n v="2006.83"/>
    <s v="刘斌"/>
    <s v="浙江省 湖州市 安吉县 孝丰镇 苕源路88号五峰山运动村松月半岛31-2"/>
    <s v="15785477594-8634"/>
    <m/>
    <n v="11127.83"/>
  </r>
  <r>
    <x v="45"/>
    <s v="已收货"/>
    <x v="66"/>
    <s v="张悦"/>
    <m/>
    <m/>
    <s v="洞石色1.4米岩板餐桌"/>
    <s v="榉木餐桌"/>
    <s v="140cm*85cm"/>
    <s v="已结算"/>
    <s v="江西"/>
    <n v="2112.5"/>
    <n v="1480"/>
    <m/>
    <m/>
    <m/>
    <m/>
    <n v="460"/>
    <m/>
    <m/>
    <m/>
    <m/>
    <m/>
    <m/>
    <m/>
    <m/>
    <m/>
    <m/>
    <m/>
    <n v="2.5"/>
    <m/>
    <m/>
    <m/>
    <m/>
    <m/>
    <m/>
    <m/>
    <m/>
    <n v="170"/>
    <m/>
    <m/>
    <n v="86"/>
    <n v="72"/>
    <n v="78"/>
    <n v="0"/>
    <n v="0"/>
    <n v="0"/>
    <n v="0"/>
    <n v="0"/>
    <n v="1"/>
    <n v="2348.5"/>
    <n v="2775"/>
    <n v="0"/>
    <n v="16.65"/>
    <n v="2758.35"/>
    <n v="0"/>
    <n v="0"/>
    <n v="0"/>
    <n v="409.8499999999999"/>
    <s v="张悦"/>
    <s v="上海上海市 静安区 彭浦镇大华阳城花园22号楼401室"/>
    <s v="18466652930-9645"/>
    <m/>
    <n v="2758.35"/>
  </r>
  <r>
    <x v="46"/>
    <s v="已收货"/>
    <x v="67"/>
    <s v="大陈"/>
    <m/>
    <m/>
    <s v="樱桃木样块"/>
    <s v="样块"/>
    <m/>
    <s v="已结算"/>
    <s v="杭州"/>
    <n v="7"/>
    <n v="5"/>
    <m/>
    <m/>
    <m/>
    <m/>
    <m/>
    <m/>
    <m/>
    <m/>
    <m/>
    <m/>
    <m/>
    <m/>
    <m/>
    <m/>
    <m/>
    <m/>
    <m/>
    <m/>
    <m/>
    <m/>
    <m/>
    <m/>
    <m/>
    <m/>
    <m/>
    <n v="2"/>
    <m/>
    <m/>
    <n v="5"/>
    <n v="0"/>
    <n v="0"/>
    <n v="0"/>
    <n v="0"/>
    <n v="0"/>
    <n v="0"/>
    <n v="0"/>
    <n v="1"/>
    <n v="12"/>
    <n v="25"/>
    <n v="0"/>
    <n v="0.15"/>
    <n v="24.85"/>
    <n v="0"/>
    <n v="0"/>
    <n v="0"/>
    <n v="12.85"/>
    <s v="大陈"/>
    <s v="湖南省 长沙市 长沙县 湘龙街道荣盛·锦绣学府3栋"/>
    <s v="18448200100-2139"/>
    <m/>
    <n v="24.85"/>
  </r>
  <r>
    <x v="47"/>
    <s v="已收货"/>
    <x v="68"/>
    <s v="陈先生"/>
    <s v="已发，岩板黑色客户不满意换了新的，旧的后面可以用480"/>
    <m/>
    <s v="榉木旋转：210柜子+150餐桌，多层板隔板背板"/>
    <s v="旋转餐边柜"/>
    <n v="2100"/>
    <s v="已结算"/>
    <s v="江西"/>
    <n v="8520.08"/>
    <n v="6080"/>
    <m/>
    <m/>
    <m/>
    <m/>
    <m/>
    <s v="52*2"/>
    <n v="84"/>
    <m/>
    <m/>
    <n v="14"/>
    <n v="52"/>
    <n v="480"/>
    <m/>
    <m/>
    <m/>
    <m/>
    <n v="55"/>
    <n v="755.08"/>
    <n v="42"/>
    <m/>
    <m/>
    <m/>
    <m/>
    <m/>
    <m/>
    <n v="480"/>
    <m/>
    <m/>
    <n v="474"/>
    <n v="0"/>
    <n v="288"/>
    <n v="0"/>
    <n v="0"/>
    <n v="0"/>
    <n v="100"/>
    <n v="21.75"/>
    <n v="1"/>
    <n v="9403.83"/>
    <n v="11452"/>
    <n v="0"/>
    <n v="68.712"/>
    <n v="11383.288"/>
    <n v="0"/>
    <n v="0"/>
    <n v="0"/>
    <n v="1979.458000000001"/>
    <s v="陈先生"/>
    <s v="广东省 深圳市 龙华区 观湖街道龙馨家园三单元3116"/>
    <s v="18466249853-3919"/>
    <m/>
    <n v="11383.288"/>
  </r>
  <r>
    <x v="48"/>
    <s v="已收货"/>
    <x v="69"/>
    <s v="王婷"/>
    <m/>
    <m/>
    <s v="榉木餐边柜：1450（长）*350（宽）*1560（高），下柜高度900"/>
    <s v="榉木餐边柜"/>
    <n v="1450"/>
    <s v="已结算"/>
    <s v="江西"/>
    <n v="3782.5"/>
    <n v="2850"/>
    <n v="130"/>
    <n v="337"/>
    <n v="28887"/>
    <m/>
    <s v="22*2"/>
    <n v="52"/>
    <n v="330"/>
    <m/>
    <m/>
    <m/>
    <m/>
    <m/>
    <m/>
    <m/>
    <m/>
    <m/>
    <m/>
    <m/>
    <m/>
    <m/>
    <m/>
    <m/>
    <m/>
    <m/>
    <m/>
    <n v="330"/>
    <m/>
    <m/>
    <n v="292"/>
    <n v="71"/>
    <n v="65"/>
    <n v="0"/>
    <n v="0"/>
    <n v="0"/>
    <n v="80"/>
    <n v="0"/>
    <n v="1"/>
    <n v="4290.5"/>
    <n v="5888"/>
    <n v="0"/>
    <n v="35.328"/>
    <n v="5852.672"/>
    <n v="0"/>
    <n v="0"/>
    <n v="0"/>
    <n v="1562.172"/>
    <s v="王婷"/>
    <s v="四川省 成都市 龙泉驿区 龙泉街道北泉路1068号艺锦湾"/>
    <s v="18418974196-9478"/>
    <m/>
    <n v="5852.672"/>
  </r>
  <r>
    <x v="49"/>
    <s v="已收货"/>
    <x v="70"/>
    <s v="呼先生"/>
    <m/>
    <m/>
    <s v="旋转柜：左旋樱桃木茶色玻璃常规1.6柜+1.2单腿餐桌"/>
    <s v="旋转餐边柜"/>
    <n v="1600"/>
    <s v="已结算"/>
    <s v="江西"/>
    <n v="7329"/>
    <n v="5600"/>
    <m/>
    <m/>
    <m/>
    <m/>
    <m/>
    <m/>
    <n v="52"/>
    <m/>
    <m/>
    <n v="22"/>
    <n v="198"/>
    <m/>
    <m/>
    <m/>
    <m/>
    <m/>
    <m/>
    <m/>
    <m/>
    <m/>
    <m/>
    <m/>
    <m/>
    <m/>
    <m/>
    <n v="370"/>
    <m/>
    <m/>
    <n v="631"/>
    <n v="86"/>
    <n v="200"/>
    <n v="0"/>
    <n v="0"/>
    <n v="0"/>
    <n v="0"/>
    <n v="219.64"/>
    <n v="1"/>
    <n v="8465.639999999999"/>
    <n v="10386.52"/>
    <n v="0"/>
    <n v="62.31912000000001"/>
    <n v="10324.20088"/>
    <n v="0"/>
    <n v="0"/>
    <n v="0"/>
    <n v="1858.560880000001"/>
    <s v="呼先生"/>
    <s v="北京 北京市 丰台区 看丹街道富丰园东路1号院泽信公馆北门1号楼2单元1304"/>
    <s v="18401165286-4966"/>
    <m/>
    <n v="10324.20088"/>
  </r>
  <r>
    <x v="50"/>
    <s v="已收货"/>
    <x v="71"/>
    <s v="李晓云"/>
    <m/>
    <m/>
    <s v="洞石餐边柜：樱桃木1.6 +1.2洞石岩板餐桌+4个插座"/>
    <s v="洞石餐边柜"/>
    <n v="1600"/>
    <s v="已结算"/>
    <s v="江西"/>
    <n v="8355.08"/>
    <n v="5800"/>
    <n v="50"/>
    <s v="22*9"/>
    <s v="52*2"/>
    <m/>
    <n v="84"/>
    <n v="14"/>
    <n v="625.08"/>
    <m/>
    <m/>
    <n v="450"/>
    <n v="350"/>
    <n v="360"/>
    <m/>
    <m/>
    <m/>
    <m/>
    <m/>
    <n v="320"/>
    <m/>
    <m/>
    <m/>
    <m/>
    <m/>
    <m/>
    <m/>
    <n v="450"/>
    <m/>
    <m/>
    <n v="642"/>
    <n v="110"/>
    <n v="150"/>
    <n v="0"/>
    <n v="0"/>
    <n v="0"/>
    <n v="100"/>
    <n v="0"/>
    <n v="1"/>
    <n v="9357.08"/>
    <n v="12678"/>
    <n v="0"/>
    <n v="76.068"/>
    <n v="12601.932"/>
    <n v="0"/>
    <n v="0"/>
    <n v="0"/>
    <n v="3244.852000000001"/>
    <s v="李晓云"/>
    <s v="辽宁省 大连市 甘井子区 凌水街道 清恬园6号楼四单元302"/>
    <s v="13074167454-5578"/>
    <m/>
    <n v="12601.932"/>
  </r>
  <r>
    <x v="50"/>
    <s v="已收货"/>
    <x v="72"/>
    <s v="张先生"/>
    <m/>
    <m/>
    <s v="2.1旋转柜：黑胡桃材质，右，2.1洞洞板餐边柜+1.6单腿餐桌"/>
    <s v="旋转餐边柜"/>
    <n v="2100"/>
    <s v="已结算"/>
    <s v="江西"/>
    <n v="12093.93"/>
    <n v="10300"/>
    <m/>
    <m/>
    <m/>
    <m/>
    <m/>
    <n v="340"/>
    <n v="42"/>
    <m/>
    <m/>
    <n v="655"/>
    <n v="198"/>
    <m/>
    <m/>
    <m/>
    <m/>
    <m/>
    <m/>
    <m/>
    <m/>
    <m/>
    <m/>
    <m/>
    <m/>
    <m/>
    <m/>
    <n v="480"/>
    <m/>
    <m/>
    <n v="461"/>
    <n v="80"/>
    <n v="389"/>
    <n v="0"/>
    <n v="0"/>
    <n v="0"/>
    <n v="163"/>
    <n v="0"/>
    <n v="1"/>
    <n v="13186.93"/>
    <n v="17150"/>
    <n v="0"/>
    <n v="102.9"/>
    <n v="17047.1"/>
    <n v="0"/>
    <n v="0"/>
    <n v="0"/>
    <n v="3860.169999999998"/>
    <s v="张先生"/>
    <s v="江苏省 苏州市 吴江区 松陵街道松陵大道188号朗诗太湖绿郡15栋604"/>
    <s v="18468588334-8172"/>
    <m/>
    <n v="17047.1"/>
  </r>
  <r>
    <x v="51"/>
    <s v="已收货"/>
    <x v="73"/>
    <s v="倪先生"/>
    <m/>
    <m/>
    <s v="原木色1.8米餐桌"/>
    <s v="榉木餐桌"/>
    <s v="180cm*85cm"/>
    <s v="已结算"/>
    <s v="江西"/>
    <n v="2052.5"/>
    <n v="1540"/>
    <m/>
    <m/>
    <m/>
    <m/>
    <n v="380"/>
    <m/>
    <m/>
    <m/>
    <m/>
    <m/>
    <m/>
    <m/>
    <m/>
    <m/>
    <m/>
    <m/>
    <n v="2.5"/>
    <m/>
    <m/>
    <m/>
    <m/>
    <m/>
    <m/>
    <m/>
    <m/>
    <n v="130"/>
    <m/>
    <m/>
    <n v="93"/>
    <n v="51"/>
    <n v="69"/>
    <n v="0"/>
    <n v="0"/>
    <n v="0"/>
    <n v="20"/>
    <n v="0"/>
    <n v="1"/>
    <n v="2285.5"/>
    <n v="3145.25"/>
    <n v="0"/>
    <n v="18.8715"/>
    <n v="3126.3785"/>
    <n v="0"/>
    <n v="0"/>
    <n v="0"/>
    <n v="840.8784999999998"/>
    <s v="倪先生"/>
    <s v="江苏省 苏州市 昆山市 锦溪镇同周公路99号尚滨花园10-403"/>
    <s v="18468587701-5445"/>
    <m/>
    <n v="3126.3785"/>
  </r>
  <r>
    <x v="50"/>
    <s v="已收货"/>
    <x v="74"/>
    <s v="李娜"/>
    <m/>
    <m/>
    <s v="连柜书桌-定制（榉木，长度1100*深度650*高度1700）"/>
    <s v="连柜书桌"/>
    <n v="1100"/>
    <s v="已结算"/>
    <s v="江西"/>
    <n v="2936"/>
    <n v="2600"/>
    <m/>
    <m/>
    <m/>
    <m/>
    <m/>
    <m/>
    <n v="52"/>
    <m/>
    <m/>
    <m/>
    <n v="44"/>
    <m/>
    <m/>
    <m/>
    <m/>
    <m/>
    <m/>
    <m/>
    <m/>
    <m/>
    <m/>
    <m/>
    <m/>
    <m/>
    <m/>
    <n v="240"/>
    <m/>
    <m/>
    <n v="124"/>
    <n v="61"/>
    <n v="69"/>
    <n v="0"/>
    <n v="0"/>
    <n v="0"/>
    <n v="100"/>
    <n v="0"/>
    <n v="1"/>
    <n v="3290"/>
    <n v="3475"/>
    <n v="0"/>
    <n v="20.85"/>
    <n v="3454.15"/>
    <n v="0"/>
    <n v="0"/>
    <n v="0"/>
    <n v="164.1500000000001"/>
    <s v="李娜"/>
    <s v="江苏省 南京市 江宁区 秣陵街道 日新路8号百家臻园1栋2单元404"/>
    <s v="15784255126-6277"/>
    <m/>
    <n v="3454.15"/>
  </r>
  <r>
    <x v="52"/>
    <s v="已收货"/>
    <x v="75"/>
    <s v="顾立锋"/>
    <m/>
    <m/>
    <s v="樱桃木材质，6个组合柜+2个木脚"/>
    <s v="组合柜"/>
    <m/>
    <s v="已结算"/>
    <s v="江西"/>
    <n v="5933.691000000001"/>
    <n v="5600"/>
    <s v="6.97/20*6"/>
    <s v="22*4"/>
    <s v="18/20*4"/>
    <m/>
    <n v="240"/>
    <m/>
    <m/>
    <m/>
    <m/>
    <m/>
    <m/>
    <m/>
    <m/>
    <m/>
    <m/>
    <m/>
    <m/>
    <m/>
    <m/>
    <m/>
    <m/>
    <m/>
    <m/>
    <m/>
    <m/>
    <n v="240"/>
    <m/>
    <m/>
    <n v="152"/>
    <n v="115"/>
    <n v="178"/>
    <n v="0"/>
    <n v="0"/>
    <n v="0"/>
    <n v="100"/>
    <n v="0"/>
    <n v="1"/>
    <n v="6478.691000000001"/>
    <n v="8132"/>
    <n v="0"/>
    <n v="48.792"/>
    <n v="8083.208"/>
    <n v="0"/>
    <n v="0"/>
    <n v="0"/>
    <n v="1604.516999999999"/>
    <s v="顾立锋"/>
    <s v="江苏省 无锡市 锡山区 安镇街道无锡市锡山区安镇街道豪景东苑62幢502"/>
    <s v="18468321452-2048"/>
    <m/>
    <n v="8083.208"/>
  </r>
  <r>
    <x v="52"/>
    <s v="已收货"/>
    <x v="76"/>
    <s v="胡月月"/>
    <m/>
    <m/>
    <s v="1.8洞石岩板柜"/>
    <s v="洞石餐边柜"/>
    <n v="1800"/>
    <s v="已结算，灰色玻璃"/>
    <s v="江西"/>
    <n v="8386.08"/>
    <n v="6080"/>
    <s v="22*9"/>
    <s v="52*2"/>
    <n v="84"/>
    <m/>
    <n v="14"/>
    <n v="20"/>
    <n v="14"/>
    <m/>
    <m/>
    <n v="14"/>
    <n v="320"/>
    <n v="320"/>
    <m/>
    <m/>
    <m/>
    <m/>
    <n v="567.08"/>
    <n v="580"/>
    <n v="71"/>
    <m/>
    <m/>
    <m/>
    <m/>
    <m/>
    <m/>
    <n v="320"/>
    <m/>
    <m/>
    <n v="430"/>
    <n v="360"/>
    <n v="258"/>
    <n v="0"/>
    <n v="0"/>
    <n v="0"/>
    <n v="180"/>
    <n v="0"/>
    <n v="1"/>
    <n v="9614.08"/>
    <n v="12000"/>
    <n v="0"/>
    <n v="72"/>
    <n v="11928"/>
    <n v="0"/>
    <n v="0"/>
    <n v="0"/>
    <n v="2313.92"/>
    <s v="胡月月"/>
    <s v="浙江省 台州市 椒江区 洪家街道 海城路荣安棠樾5幢1501 室"/>
    <s v="15786479215-6378"/>
    <m/>
    <n v="11928"/>
  </r>
  <r>
    <x v="53"/>
    <s v="已收货"/>
    <x v="77"/>
    <s v="陈生"/>
    <m/>
    <m/>
    <s v="砂白色1.6米岩板餐桌"/>
    <s v="榉木餐桌"/>
    <s v="160cm*85cm"/>
    <s v="已结算"/>
    <s v="江西"/>
    <n v="1912.5"/>
    <n v="1540"/>
    <m/>
    <m/>
    <m/>
    <m/>
    <n v="240"/>
    <m/>
    <m/>
    <m/>
    <m/>
    <m/>
    <m/>
    <m/>
    <m/>
    <m/>
    <m/>
    <m/>
    <n v="2.5"/>
    <m/>
    <m/>
    <m/>
    <m/>
    <m/>
    <m/>
    <m/>
    <m/>
    <n v="130"/>
    <m/>
    <m/>
    <n v="95"/>
    <n v="51"/>
    <n v="85"/>
    <n v="0"/>
    <n v="0"/>
    <n v="0"/>
    <n v="20"/>
    <n v="191.67"/>
    <n v="1"/>
    <n v="2355.17"/>
    <n v="2944.04"/>
    <n v="0"/>
    <n v="17.66424"/>
    <n v="2926.37576"/>
    <n v="0"/>
    <n v="0"/>
    <n v="0"/>
    <n v="571.2057599999998"/>
    <s v="陈生"/>
    <s v="广东省 佛山市 禅城区 祖庙街道福贤路81号(猫咖左边)"/>
    <s v="18466322929-6711"/>
    <m/>
    <n v="2926.37576"/>
  </r>
  <r>
    <x v="54"/>
    <s v="已收货"/>
    <x v="78"/>
    <s v="Poppy"/>
    <m/>
    <m/>
    <s v="砂白色2.4米岩板餐桌，定制+6把椅子"/>
    <s v="榉木餐桌"/>
    <s v="240cm*85cm"/>
    <s v="已结算"/>
    <s v="江西"/>
    <n v="3401.06"/>
    <n v="1720"/>
    <m/>
    <m/>
    <m/>
    <m/>
    <n v="775"/>
    <m/>
    <m/>
    <m/>
    <m/>
    <m/>
    <m/>
    <m/>
    <m/>
    <m/>
    <m/>
    <m/>
    <n v="2.5"/>
    <m/>
    <n v="763.5599999999999"/>
    <m/>
    <m/>
    <m/>
    <m/>
    <m/>
    <m/>
    <n v="140"/>
    <m/>
    <m/>
    <n v="94"/>
    <n v="51"/>
    <n v="0"/>
    <n v="0"/>
    <n v="0"/>
    <n v="0"/>
    <n v="50"/>
    <n v="0"/>
    <n v="1"/>
    <n v="3596.06"/>
    <n v="6559"/>
    <n v="0"/>
    <n v="39.354"/>
    <n v="6519.646"/>
    <n v="0"/>
    <n v="0"/>
    <n v="0"/>
    <n v="2923.586"/>
    <s v="Poppy"/>
    <s v="浙江省 杭州市 上城区 九堡街道 宣田巷1号得力中心E幢11楼杭州丁于服饰有限公司"/>
    <s v="18413213042-3083"/>
    <m/>
    <n v="6519.646"/>
  </r>
  <r>
    <x v="54"/>
    <s v="已收货"/>
    <x v="79"/>
    <s v="Poppy"/>
    <m/>
    <m/>
    <s v="6把椅子"/>
    <s v="椅子"/>
    <m/>
    <s v="已结算"/>
    <s v="其他"/>
    <n v="763.5599999999999"/>
    <n v="764.5599999999999"/>
    <m/>
    <m/>
    <m/>
    <m/>
    <m/>
    <m/>
    <m/>
    <m/>
    <m/>
    <m/>
    <m/>
    <m/>
    <m/>
    <m/>
    <m/>
    <m/>
    <m/>
    <m/>
    <m/>
    <m/>
    <m/>
    <m/>
    <m/>
    <m/>
    <m/>
    <m/>
    <m/>
    <m/>
    <n v="0"/>
    <n v="0"/>
    <n v="0"/>
    <n v="0"/>
    <n v="0"/>
    <n v="0"/>
    <n v="0"/>
    <n v="0"/>
    <n v="1"/>
    <n v="763.5599999999999"/>
    <n v="1083.5"/>
    <n v="0"/>
    <n v="6.501"/>
    <n v="1076.999"/>
    <n v="0"/>
    <n v="0"/>
    <n v="0"/>
    <n v="313.4390000000001"/>
    <s v="Poppy"/>
    <s v="浙江省 杭州市 上城区 九堡街道 宣田巷1号得力中心E幢11楼杭州丁于服饰有限公司"/>
    <s v="18413213042-3083"/>
    <m/>
    <n v="1076.999"/>
  </r>
  <r>
    <x v="55"/>
    <s v="已收货"/>
    <x v="80"/>
    <s v="吴徐安"/>
    <s v="已发，板子不好赔偿"/>
    <m/>
    <s v="组合柜带五金地脚：双移门+竖隔板"/>
    <s v="组合柜"/>
    <m/>
    <s v="已结算"/>
    <s v="江西"/>
    <n v="2312"/>
    <n v="1780"/>
    <s v="260/2"/>
    <n v="80"/>
    <n v="121"/>
    <m/>
    <n v="201"/>
    <m/>
    <m/>
    <m/>
    <m/>
    <m/>
    <m/>
    <m/>
    <m/>
    <m/>
    <m/>
    <m/>
    <m/>
    <m/>
    <m/>
    <m/>
    <m/>
    <m/>
    <m/>
    <m/>
    <m/>
    <n v="201"/>
    <m/>
    <m/>
    <n v="151"/>
    <n v="50"/>
    <n v="0"/>
    <n v="0"/>
    <n v="0"/>
    <n v="0"/>
    <n v="0"/>
    <n v="120.99"/>
    <n v="1"/>
    <n v="2633.99"/>
    <n v="1606.5"/>
    <n v="0"/>
    <n v="9.638999999999999"/>
    <n v="1596.861"/>
    <n v="0"/>
    <n v="0"/>
    <n v="0"/>
    <n v="-1037.129"/>
    <s v="吴徐安"/>
    <s v="四川省 成都市 武侯区 石羊街道南城都汇四期9幢702（放门口）"/>
    <s v="17882967480-4027"/>
    <m/>
    <n v="1596.861"/>
  </r>
  <r>
    <x v="55"/>
    <s v="已收货"/>
    <x v="81"/>
    <s v="孔翎"/>
    <m/>
    <m/>
    <s v="1.5洞石餐边柜：复古色，1.5洞石岩板柜，茶色玻璃"/>
    <s v="洞石餐边柜"/>
    <n v="1500"/>
    <s v="已结算"/>
    <s v="江西"/>
    <n v="7183.05"/>
    <n v="5200"/>
    <n v="489.08"/>
    <n v="320"/>
    <n v="240"/>
    <m/>
    <n v="42"/>
    <n v="52"/>
    <n v="22"/>
    <m/>
    <m/>
    <n v="300"/>
    <n v="198"/>
    <m/>
    <n v="17.5"/>
    <m/>
    <m/>
    <n v="7"/>
    <m/>
    <m/>
    <m/>
    <m/>
    <m/>
    <m/>
    <m/>
    <m/>
    <m/>
    <n v="320"/>
    <m/>
    <m/>
    <n v="380"/>
    <n v="119"/>
    <n v="85"/>
    <n v="0"/>
    <n v="0"/>
    <n v="0"/>
    <n v="80"/>
    <n v="0"/>
    <n v="1"/>
    <n v="7847.05"/>
    <n v="10750"/>
    <n v="0"/>
    <n v="64.5"/>
    <n v="10685.5"/>
    <n v="0"/>
    <n v="0"/>
    <n v="0"/>
    <n v="2838.45"/>
    <s v="孔翎"/>
    <s v="江苏省 南京市 江宁区 东山街道天柱座2幢2单元301"/>
    <s v="15784015894-3237"/>
    <m/>
    <n v="10685.5"/>
  </r>
  <r>
    <x v="56"/>
    <s v="已收货"/>
    <x v="82"/>
    <s v="吴徐安"/>
    <s v="已发，板子不好赔偿"/>
    <m/>
    <s v="组合柜带五金地脚：双移门+竖隔板"/>
    <s v="组合柜"/>
    <m/>
    <s v="已结算"/>
    <s v="江西"/>
    <n v="0"/>
    <n v="1"/>
    <m/>
    <m/>
    <m/>
    <m/>
    <m/>
    <m/>
    <m/>
    <m/>
    <m/>
    <m/>
    <m/>
    <m/>
    <m/>
    <m/>
    <m/>
    <m/>
    <m/>
    <m/>
    <m/>
    <m/>
    <m/>
    <m/>
    <m/>
    <m/>
    <m/>
    <m/>
    <m/>
    <m/>
    <n v="0"/>
    <n v="0"/>
    <n v="0"/>
    <n v="0"/>
    <n v="0"/>
    <n v="0"/>
    <n v="0"/>
    <n v="0"/>
    <n v="1"/>
    <n v="0"/>
    <n v="1218.25"/>
    <n v="0"/>
    <n v="7.3095"/>
    <n v="1210.9405"/>
    <n v="0"/>
    <n v="0"/>
    <n v="0"/>
    <n v="1210.9405"/>
    <s v="吴徐安"/>
    <s v="四川省 成都市 武侯区 石羊街道南城都汇四期9幢702（放门口）"/>
    <s v="17882967480-4027"/>
    <m/>
    <n v="1210.9405"/>
  </r>
  <r>
    <x v="57"/>
    <s v="已收货"/>
    <x v="83"/>
    <s v="蜥蜴"/>
    <m/>
    <m/>
    <s v="1.4榉木餐边柜：上柜1400*312*1040   下柜1400*450*880"/>
    <s v="榉木餐边柜"/>
    <n v="1400"/>
    <s v="已结算，灰色玻璃"/>
    <s v="江西"/>
    <n v="5204"/>
    <n v="3800"/>
    <n v="240"/>
    <n v="350"/>
    <n v="392"/>
    <m/>
    <s v="22*5"/>
    <n v="52"/>
    <n v="260"/>
    <m/>
    <m/>
    <m/>
    <m/>
    <m/>
    <m/>
    <m/>
    <m/>
    <m/>
    <m/>
    <m/>
    <m/>
    <m/>
    <m/>
    <m/>
    <m/>
    <m/>
    <m/>
    <n v="350"/>
    <m/>
    <m/>
    <n v="355"/>
    <n v="81"/>
    <n v="83"/>
    <n v="0"/>
    <n v="0"/>
    <n v="0"/>
    <n v="180"/>
    <n v="0"/>
    <n v="1"/>
    <n v="5903"/>
    <n v="6650"/>
    <n v="0"/>
    <n v="39.9"/>
    <n v="6610.1"/>
    <n v="0"/>
    <n v="0"/>
    <n v="0"/>
    <n v="707.1000000000004"/>
    <s v="蜥蜴"/>
    <s v="山东省 东营市 东营区 东城街道东三路69号安和南区46-2-101"/>
    <s v="15784503685-6057"/>
    <m/>
    <n v="6610.1"/>
  </r>
  <r>
    <x v="58"/>
    <s v="已收货"/>
    <x v="84"/>
    <s v="朱珂瑶"/>
    <s v="已发，物流磕碰承担100"/>
    <m/>
    <s v="组合柜：3个柜+2个脚"/>
    <s v="组合柜"/>
    <m/>
    <s v="已结算"/>
    <s v="江西"/>
    <n v="2999.4"/>
    <n v="2830"/>
    <s v="22*2"/>
    <s v="18/20*6"/>
    <n v="120"/>
    <m/>
    <m/>
    <m/>
    <m/>
    <m/>
    <m/>
    <m/>
    <m/>
    <m/>
    <m/>
    <m/>
    <m/>
    <m/>
    <m/>
    <m/>
    <m/>
    <m/>
    <m/>
    <m/>
    <m/>
    <m/>
    <m/>
    <n v="120"/>
    <m/>
    <m/>
    <n v="78"/>
    <n v="87"/>
    <n v="0"/>
    <n v="0"/>
    <n v="263"/>
    <n v="0"/>
    <n v="0"/>
    <n v="100"/>
    <n v="1"/>
    <n v="3527.4"/>
    <n v="3900"/>
    <n v="0"/>
    <n v="23.4"/>
    <n v="3876.6"/>
    <n v="0"/>
    <n v="100"/>
    <n v="100"/>
    <n v="449.1999999999998"/>
    <s v="朱珂瑶"/>
    <s v="浙江省 杭州市 临平区 临平街道临平区金都夏宫排屋3-1"/>
    <s v="18413283892-2854"/>
    <m/>
    <n v="3876.6"/>
  </r>
  <r>
    <x v="59"/>
    <s v="已收货"/>
    <x v="85"/>
    <s v="大民"/>
    <m/>
    <m/>
    <s v="榉木旋转柜：1.8米+1.4米双腿餐桌,4个插座左旋"/>
    <s v="旋转餐边柜"/>
    <n v="1800"/>
    <s v="已结算，茶色玻璃"/>
    <s v="江西"/>
    <n v="6451"/>
    <n v="5000"/>
    <m/>
    <m/>
    <m/>
    <m/>
    <m/>
    <n v="260"/>
    <n v="300"/>
    <m/>
    <m/>
    <n v="577"/>
    <n v="198"/>
    <m/>
    <m/>
    <m/>
    <m/>
    <m/>
    <m/>
    <m/>
    <m/>
    <m/>
    <m/>
    <m/>
    <m/>
    <m/>
    <m/>
    <m/>
    <m/>
    <m/>
    <n v="657"/>
    <n v="274"/>
    <n v="160"/>
    <n v="0"/>
    <n v="0"/>
    <n v="0"/>
    <n v="100"/>
    <n v="0"/>
    <n v="1"/>
    <n v="7642"/>
    <n v="9716"/>
    <n v="0"/>
    <n v="58.296"/>
    <n v="9657.704"/>
    <n v="0"/>
    <n v="0"/>
    <n v="0"/>
    <n v="2015.704"/>
    <s v="大民"/>
    <s v="北京 北京市 朝阳区 管庄乡塔营东路城志畅悦园5-1-501"/>
    <s v="18400738127-4051"/>
    <m/>
    <n v="9657.704"/>
  </r>
  <r>
    <x v="60"/>
    <s v="已收货"/>
    <x v="86"/>
    <s v="荣夏"/>
    <m/>
    <m/>
    <s v="砂白色1.4米岩板餐桌，r20圆角"/>
    <s v="榉木餐桌"/>
    <s v="140cm*85cm"/>
    <s v="已结算"/>
    <s v="江西"/>
    <n v="1892.5"/>
    <n v="1480"/>
    <m/>
    <m/>
    <m/>
    <m/>
    <n v="240"/>
    <m/>
    <m/>
    <m/>
    <m/>
    <m/>
    <m/>
    <m/>
    <m/>
    <m/>
    <m/>
    <m/>
    <n v="2.5"/>
    <m/>
    <m/>
    <m/>
    <m/>
    <m/>
    <m/>
    <m/>
    <m/>
    <n v="170"/>
    <m/>
    <m/>
    <n v="148"/>
    <n v="51"/>
    <n v="68"/>
    <n v="0"/>
    <n v="0"/>
    <n v="0"/>
    <n v="0"/>
    <n v="0"/>
    <n v="1"/>
    <n v="2159.5"/>
    <n v="2750"/>
    <n v="0"/>
    <n v="16.5"/>
    <n v="2733.5"/>
    <n v="0"/>
    <n v="0"/>
    <n v="0"/>
    <n v="574"/>
    <s v="荣夏"/>
    <s v="四川省 眉山市 东坡区 大石桥街道双凤街锦绣滨江华府"/>
    <s v="18418945135-3158"/>
    <m/>
    <n v="2733.5"/>
  </r>
  <r>
    <x v="61"/>
    <s v="已收货"/>
    <x v="87"/>
    <s v="王君良"/>
    <m/>
    <m/>
    <s v="洞石色1.6米岩板餐桌"/>
    <s v="榉木餐桌"/>
    <s v="160cm*85cm"/>
    <s v="已结算"/>
    <s v="江西"/>
    <n v="2172.5"/>
    <n v="1520"/>
    <m/>
    <m/>
    <m/>
    <m/>
    <n v="520"/>
    <m/>
    <m/>
    <m/>
    <m/>
    <m/>
    <m/>
    <m/>
    <m/>
    <m/>
    <m/>
    <m/>
    <n v="2.5"/>
    <m/>
    <m/>
    <m/>
    <m/>
    <m/>
    <m/>
    <m/>
    <m/>
    <n v="130"/>
    <m/>
    <m/>
    <n v="70"/>
    <n v="46"/>
    <n v="95"/>
    <n v="0"/>
    <n v="0"/>
    <n v="0"/>
    <n v="20"/>
    <n v="0"/>
    <n v="1"/>
    <n v="2403.5"/>
    <n v="3105"/>
    <n v="0"/>
    <n v="18.63"/>
    <n v="3086.37"/>
    <n v="0"/>
    <n v="0"/>
    <n v="0"/>
    <n v="682.8699999999999"/>
    <s v="王君良"/>
    <s v="江苏省 苏州市 吴中区 苏州工业园区直属镇汀兰巷199号联创时代（凤里街门卫处）"/>
    <s v="18468547492-2419"/>
    <m/>
    <n v="3086.37"/>
  </r>
  <r>
    <x v="62"/>
    <s v="已收货"/>
    <x v="88"/>
    <s v="林叶"/>
    <m/>
    <m/>
    <s v="1.5榉木餐边柜"/>
    <s v="榉木餐边柜"/>
    <n v="1500"/>
    <s v="已结算，灰色玻璃"/>
    <s v="江西"/>
    <n v="5226"/>
    <n v="5226"/>
    <m/>
    <m/>
    <m/>
    <m/>
    <m/>
    <m/>
    <m/>
    <m/>
    <m/>
    <m/>
    <m/>
    <m/>
    <m/>
    <m/>
    <m/>
    <m/>
    <m/>
    <m/>
    <m/>
    <m/>
    <m/>
    <m/>
    <m/>
    <m/>
    <m/>
    <m/>
    <m/>
    <m/>
    <n v="275"/>
    <n v="86"/>
    <n v="168"/>
    <n v="0"/>
    <n v="0"/>
    <n v="0"/>
    <n v="180"/>
    <n v="0"/>
    <n v="1"/>
    <n v="5935"/>
    <n v="7208.69"/>
    <n v="0"/>
    <n v="43.25214"/>
    <n v="7165.43786"/>
    <n v="0"/>
    <n v="0"/>
    <n v="0"/>
    <n v="1230.43786"/>
    <s v="林叶"/>
    <s v="浙江省 杭州市 萧山区 新街街道 黎端路山澜桂语轩2幢1801室"/>
    <s v="13063491894-4806"/>
    <m/>
    <n v="7165.43786"/>
  </r>
  <r>
    <x v="63"/>
    <s v="已收货"/>
    <x v="89"/>
    <s v="郑先生"/>
    <s v="已发，打包费没出，补发玻璃20"/>
    <m/>
    <s v="1.727米+1.4米单腿餐桌樱桃木，下柜45cm"/>
    <s v="旋转餐边柜"/>
    <n v="1727"/>
    <s v="已结算，茶色玻璃"/>
    <s v="江西"/>
    <n v="7595"/>
    <n v="5700"/>
    <m/>
    <m/>
    <m/>
    <m/>
    <m/>
    <n v="52"/>
    <n v="42"/>
    <m/>
    <m/>
    <n v="22"/>
    <n v="470"/>
    <n v="551"/>
    <m/>
    <m/>
    <m/>
    <m/>
    <m/>
    <m/>
    <m/>
    <m/>
    <m/>
    <m/>
    <m/>
    <m/>
    <m/>
    <m/>
    <m/>
    <m/>
    <n v="465"/>
    <n v="111"/>
    <n v="158"/>
    <n v="0"/>
    <n v="0"/>
    <n v="0"/>
    <n v="100"/>
    <n v="0"/>
    <n v="1"/>
    <n v="8429"/>
    <n v="10800"/>
    <n v="0"/>
    <n v="64.8"/>
    <n v="10735.2"/>
    <n v="0"/>
    <n v="0"/>
    <n v="0"/>
    <n v="2306.200000000001"/>
    <s v="郑先生"/>
    <s v="福建省 厦门市 思明区 梧村街道厦禾路1120之二 1002"/>
    <s v="13030847760-1482"/>
    <m/>
    <n v="10735.2"/>
  </r>
  <r>
    <x v="63"/>
    <s v="退货退款"/>
    <x v="90"/>
    <s v="橙咬金"/>
    <s v="修改安装换底脚，底脚打包60"/>
    <m/>
    <s v="组合柜：3个木底脚+单移门柜+双抽屉柜+横竖隔板柜"/>
    <m/>
    <m/>
    <m/>
    <s v="江西"/>
    <n v="60"/>
    <n v="60"/>
    <m/>
    <m/>
    <m/>
    <m/>
    <m/>
    <m/>
    <m/>
    <m/>
    <m/>
    <m/>
    <m/>
    <m/>
    <m/>
    <m/>
    <m/>
    <m/>
    <m/>
    <m/>
    <m/>
    <m/>
    <m/>
    <m/>
    <m/>
    <m/>
    <m/>
    <n v="60"/>
    <m/>
    <m/>
    <n v="123"/>
    <n v="55"/>
    <n v="100"/>
    <n v="0"/>
    <n v="0"/>
    <n v="0"/>
    <n v="0"/>
    <n v="0"/>
    <n v="1"/>
    <n v="338"/>
    <m/>
    <m/>
    <m/>
    <n v="0"/>
    <m/>
    <m/>
    <n v="0"/>
    <n v="-338"/>
    <s v="橙咬金"/>
    <s v="江苏省 苏州市 吴江区 松陵街道悦欣华庭5号楼1101"/>
    <s v="17895043562-7657"/>
    <m/>
    <m/>
  </r>
  <r>
    <x v="63"/>
    <s v="已收货"/>
    <x v="91"/>
    <s v="徐婷婷"/>
    <m/>
    <m/>
    <s v="藤编椅子：樱桃木色"/>
    <s v="椅子"/>
    <m/>
    <s v="已结算"/>
    <s v="其他"/>
    <n v="310"/>
    <n v="310"/>
    <m/>
    <m/>
    <m/>
    <m/>
    <m/>
    <m/>
    <m/>
    <m/>
    <m/>
    <m/>
    <m/>
    <m/>
    <m/>
    <m/>
    <m/>
    <m/>
    <m/>
    <m/>
    <m/>
    <m/>
    <m/>
    <m/>
    <m/>
    <m/>
    <m/>
    <m/>
    <m/>
    <m/>
    <n v="0"/>
    <n v="0"/>
    <n v="0"/>
    <n v="0"/>
    <n v="0"/>
    <n v="0"/>
    <n v="0"/>
    <n v="0"/>
    <n v="1"/>
    <n v="310"/>
    <n v="386.57"/>
    <n v="0"/>
    <n v="2.31942"/>
    <n v="384.25058"/>
    <n v="0"/>
    <n v="0"/>
    <n v="0"/>
    <n v="74.25058000000001"/>
    <s v="徐婷婷"/>
    <s v="浙江省 金华市 金东区 多湖街道 阅云台2-1-1401 "/>
    <s v="15787420103-1877"/>
    <m/>
    <n v="384.25058"/>
  </r>
  <r>
    <x v="63"/>
    <s v="已收货"/>
    <x v="92"/>
    <s v="清水镜"/>
    <m/>
    <m/>
    <s v="1.8榉木白色岩板下柜+1.4岩板单腿餐桌，左旋"/>
    <s v="旋转餐边柜"/>
    <n v="1800"/>
    <s v="已结算，茶色玻璃"/>
    <s v="江西"/>
    <n v="5185"/>
    <n v="3700"/>
    <m/>
    <m/>
    <m/>
    <m/>
    <m/>
    <n v="355"/>
    <n v="410"/>
    <m/>
    <m/>
    <m/>
    <n v="198"/>
    <m/>
    <m/>
    <m/>
    <m/>
    <m/>
    <m/>
    <m/>
    <m/>
    <m/>
    <m/>
    <m/>
    <m/>
    <m/>
    <m/>
    <n v="410"/>
    <m/>
    <m/>
    <n v="537"/>
    <n v="87"/>
    <n v="84"/>
    <n v="0"/>
    <n v="0"/>
    <n v="0"/>
    <n v="100"/>
    <n v="150"/>
    <n v="1"/>
    <n v="6143"/>
    <n v="6625"/>
    <n v="0"/>
    <n v="39.75"/>
    <n v="6585.25"/>
    <n v="0"/>
    <n v="0"/>
    <n v="0"/>
    <n v="442.25"/>
    <s v="清水镜"/>
    <s v="辽宁省 大连市 旅顺口区 龙王塘街道高新园区国宝星月湾2期"/>
    <s v="13019130363-5313"/>
    <m/>
    <n v="6585.25"/>
  </r>
  <r>
    <x v="64"/>
    <s v="已收货"/>
    <x v="93"/>
    <s v="苗妈"/>
    <m/>
    <m/>
    <s v="2.1樱桃木旋转柜：2.1米+1.6米双腿餐桌"/>
    <s v="旋转餐边柜"/>
    <n v="2100"/>
    <s v="已结算，茶色玻璃"/>
    <s v="江西"/>
    <n v="8361"/>
    <n v="6200"/>
    <m/>
    <m/>
    <m/>
    <m/>
    <m/>
    <n v="42"/>
    <m/>
    <m/>
    <m/>
    <n v="52"/>
    <n v="198"/>
    <n v="42"/>
    <m/>
    <m/>
    <m/>
    <m/>
    <m/>
    <n v="22"/>
    <m/>
    <m/>
    <m/>
    <m/>
    <m/>
    <m/>
    <m/>
    <n v="220"/>
    <m/>
    <m/>
    <n v="350"/>
    <n v="0"/>
    <n v="400"/>
    <n v="0"/>
    <n v="0"/>
    <n v="0"/>
    <n v="100"/>
    <n v="0"/>
    <n v="1"/>
    <n v="9211"/>
    <n v="12849.78"/>
    <n v="0"/>
    <n v="77.09868"/>
    <n v="12772.68132"/>
    <n v="0"/>
    <n v="0"/>
    <n v="0"/>
    <n v="3561.681320000002"/>
    <s v="苗妈"/>
    <s v="上海 上海市 黄浦区 小东门街道中华路185号东业大厦科普楼1202室"/>
    <s v="18466666238-7733"/>
    <m/>
    <n v="12772.68132"/>
  </r>
  <r>
    <x v="64"/>
    <s v="已收货"/>
    <x v="94"/>
    <s v="橙子"/>
    <m/>
    <m/>
    <s v="砂白色1.4米岩板餐桌"/>
    <s v="榉木餐桌"/>
    <s v="140cm*85cm"/>
    <s v="已结算"/>
    <s v="江西"/>
    <n v="1902.5"/>
    <n v="1480"/>
    <m/>
    <m/>
    <m/>
    <m/>
    <n v="240"/>
    <m/>
    <m/>
    <m/>
    <m/>
    <m/>
    <m/>
    <m/>
    <m/>
    <m/>
    <m/>
    <m/>
    <n v="2.5"/>
    <m/>
    <m/>
    <m/>
    <m/>
    <m/>
    <m/>
    <m/>
    <m/>
    <n v="180"/>
    <m/>
    <m/>
    <n v="143"/>
    <n v="51"/>
    <n v="88"/>
    <n v="0"/>
    <n v="160"/>
    <n v="0"/>
    <n v="0"/>
    <n v="0"/>
    <n v="1"/>
    <n v="2344.5"/>
    <n v="2650"/>
    <n v="0"/>
    <n v="15.9"/>
    <n v="2634.1"/>
    <n v="0"/>
    <n v="0"/>
    <n v="0"/>
    <n v="289.5999999999999"/>
    <s v="橙子"/>
    <s v="四川省 成都市 双流区 怡心街道天府新区祥鹤一街299号川发·天府上城A区4栋1单元1407"/>
    <s v="18425131458-9355"/>
    <m/>
    <n v="2634.1"/>
  </r>
  <r>
    <x v="65"/>
    <s v="已收货"/>
    <x v="95"/>
    <s v="胡洁"/>
    <m/>
    <m/>
    <s v="1.8米整柜+1.4米单腿餐桌"/>
    <s v="旋转餐边柜"/>
    <n v="1800"/>
    <s v="已结算，茶色玻璃"/>
    <s v="江西"/>
    <n v="7044"/>
    <n v="5700"/>
    <m/>
    <m/>
    <m/>
    <m/>
    <m/>
    <n v="42"/>
    <n v="22"/>
    <m/>
    <m/>
    <n v="300"/>
    <n v="198"/>
    <m/>
    <m/>
    <m/>
    <m/>
    <m/>
    <m/>
    <m/>
    <m/>
    <m/>
    <m/>
    <m/>
    <m/>
    <m/>
    <m/>
    <n v="470"/>
    <m/>
    <m/>
    <n v="575"/>
    <n v="325.2"/>
    <n v="88"/>
    <n v="0"/>
    <n v="0"/>
    <n v="0"/>
    <n v="100"/>
    <n v="0"/>
    <n v="1"/>
    <n v="8132.2"/>
    <n v="11326.08"/>
    <n v="0"/>
    <n v="67.95648"/>
    <n v="11258.12352"/>
    <n v="0"/>
    <n v="0"/>
    <n v="0"/>
    <n v="3125.923519999999"/>
    <s v="胡洁"/>
    <s v="山东省 东营市 东营区 辛店街道山东东营聚龙亨天池嘉园4号楼1单元202"/>
    <s v="18466665757-8827"/>
    <m/>
    <n v="11258.12352"/>
  </r>
  <r>
    <x v="66"/>
    <s v="已收货"/>
    <x v="96"/>
    <s v="王宇"/>
    <m/>
    <m/>
    <s v="砂白色1.8米岩板餐桌"/>
    <s v="榉木餐桌"/>
    <s v="180cm*85cm"/>
    <s v="已结算"/>
    <s v="江西"/>
    <n v="1972.5"/>
    <n v="1540"/>
    <m/>
    <m/>
    <m/>
    <m/>
    <n v="240"/>
    <m/>
    <m/>
    <m/>
    <m/>
    <m/>
    <m/>
    <m/>
    <m/>
    <m/>
    <m/>
    <m/>
    <n v="2.5"/>
    <m/>
    <m/>
    <m/>
    <m/>
    <m/>
    <m/>
    <m/>
    <m/>
    <n v="190"/>
    <m/>
    <m/>
    <n v="151"/>
    <n v="51"/>
    <n v="0"/>
    <n v="0"/>
    <n v="0"/>
    <n v="0"/>
    <n v="0"/>
    <n v="374.79"/>
    <n v="1"/>
    <n v="2549.29"/>
    <n v="3146.01"/>
    <n v="0"/>
    <n v="18.87606"/>
    <n v="3127.13394"/>
    <n v="0"/>
    <n v="0"/>
    <n v="0"/>
    <n v="577.8439400000002"/>
    <s v="王宇"/>
    <s v="河北省 保定市 莲池区 五尧乡 爱情万象 5号楼2单元702 "/>
    <s v="18433965774-6722"/>
    <m/>
    <n v="3127.13394"/>
  </r>
  <r>
    <x v="67"/>
    <s v="已收货"/>
    <x v="97"/>
    <s v="黄大大"/>
    <s v="已发货，洞石岩板309.8_x000a_产品成本+洞石岩板+纯白岩板+电力轨道+轨道运费+抽屉轨道+玻璃"/>
    <m/>
    <s v="0.9米洞石岩板岛台+1.8米白色岩板餐桌-定制"/>
    <s v="岛台"/>
    <n v="900"/>
    <s v="已结算"/>
    <s v="江西"/>
    <n v="4811.8"/>
    <n v="3700"/>
    <n v="212"/>
    <n v="240"/>
    <m/>
    <m/>
    <n v="309.8"/>
    <m/>
    <n v="350"/>
    <m/>
    <m/>
    <m/>
    <m/>
    <m/>
    <m/>
    <m/>
    <m/>
    <m/>
    <m/>
    <m/>
    <m/>
    <m/>
    <m/>
    <m/>
    <m/>
    <m/>
    <m/>
    <n v="970"/>
    <m/>
    <n v="309.8"/>
    <n v="400"/>
    <n v="100"/>
    <n v="150"/>
    <n v="0"/>
    <n v="0"/>
    <n v="0"/>
    <n v="100"/>
    <n v="0"/>
    <n v="1"/>
    <n v="5561.8"/>
    <n v="7719"/>
    <n v="0"/>
    <n v="46.314"/>
    <n v="7672.686"/>
    <n v="0"/>
    <n v="0"/>
    <n v="0"/>
    <n v="2110.886"/>
    <s v="黄大大"/>
    <s v="江苏省 常州市 钟楼区 北港街道星港路88号  钟楼区政府东门"/>
    <s v="18425149598-2481"/>
    <m/>
    <n v="7672.686"/>
  </r>
  <r>
    <x v="67"/>
    <s v="已收货"/>
    <x v="97"/>
    <s v="黄大大"/>
    <s v="已发货，小黑板_x000a_成本+灯带+无线开关+磁吸小黑板+打包+玻璃"/>
    <m/>
    <s v="樱桃木，带底座书架 ：上柜3570*310*1950  底座：3570*550*350  总高度2300"/>
    <s v="定制书柜"/>
    <m/>
    <s v="已结算"/>
    <s v="江西"/>
    <n v="15300"/>
    <n v="14200"/>
    <m/>
    <n v="108"/>
    <n v="500"/>
    <m/>
    <n v="180"/>
    <n v="312"/>
    <m/>
    <m/>
    <m/>
    <m/>
    <m/>
    <m/>
    <m/>
    <m/>
    <m/>
    <m/>
    <m/>
    <m/>
    <m/>
    <m/>
    <m/>
    <m/>
    <m/>
    <m/>
    <m/>
    <n v="0"/>
    <m/>
    <m/>
    <n v="300"/>
    <n v="200"/>
    <n v="350"/>
    <n v="0"/>
    <n v="0"/>
    <n v="0"/>
    <n v="150"/>
    <n v="0"/>
    <n v="1"/>
    <n v="16300"/>
    <n v="22740"/>
    <n v="0"/>
    <n v="136.44"/>
    <n v="22603.56"/>
    <n v="0"/>
    <n v="0"/>
    <n v="0"/>
    <n v="6303.560000000001"/>
    <s v="黄大大"/>
    <s v="江苏省 常州市 钟楼区 北港街道星港路88号  钟楼区政府东门"/>
    <s v="18425149598-2481"/>
    <m/>
    <n v="22603.56"/>
  </r>
  <r>
    <x v="67"/>
    <s v="已收货"/>
    <x v="97"/>
    <s v="黄大大"/>
    <s v="已发货，定把手，黄铜棒_x000a_成本+铝合金把手定制+铝合金把手定制+黄铜棒+玻璃+抽屉轨道"/>
    <m/>
    <s v="樱桃木，2.04长电视柜+0.6电视柜边台"/>
    <s v="定制电视柜"/>
    <n v="2040"/>
    <s v="已结算"/>
    <s v="江西"/>
    <n v="3346.8"/>
    <n v="3200"/>
    <n v="20"/>
    <n v="40"/>
    <n v="48"/>
    <m/>
    <n v="38.8"/>
    <m/>
    <m/>
    <m/>
    <m/>
    <m/>
    <m/>
    <m/>
    <m/>
    <m/>
    <m/>
    <m/>
    <m/>
    <m/>
    <m/>
    <m/>
    <m/>
    <m/>
    <m/>
    <m/>
    <m/>
    <n v="0"/>
    <m/>
    <m/>
    <n v="200"/>
    <n v="200"/>
    <n v="100"/>
    <n v="0"/>
    <n v="0"/>
    <n v="0"/>
    <n v="150"/>
    <n v="0"/>
    <n v="1"/>
    <n v="3996.8"/>
    <n v="5541"/>
    <n v="0"/>
    <n v="33.246"/>
    <n v="5507.754"/>
    <n v="0"/>
    <n v="0"/>
    <n v="0"/>
    <n v="1510.954"/>
    <s v="黄大大"/>
    <s v="江苏省 常州市 钟楼区 北港街道星港路88号  钟楼区政府东门"/>
    <s v="18425149598-2481"/>
    <m/>
    <n v="5507.754"/>
  </r>
  <r>
    <x v="68"/>
    <s v="已收货"/>
    <x v="98"/>
    <s v="王佳曦"/>
    <s v="已发，客户自己安装，雕刻费用单独算120"/>
    <m/>
    <s v="樱桃木实木餐桌"/>
    <s v="樱桃木餐桌2024"/>
    <s v="180cm*85cm"/>
    <s v="已结算"/>
    <s v="江西"/>
    <n v="2200"/>
    <n v="2070"/>
    <m/>
    <m/>
    <m/>
    <m/>
    <m/>
    <m/>
    <m/>
    <m/>
    <m/>
    <m/>
    <m/>
    <m/>
    <m/>
    <m/>
    <m/>
    <m/>
    <m/>
    <m/>
    <m/>
    <m/>
    <m/>
    <m/>
    <m/>
    <m/>
    <m/>
    <n v="130"/>
    <m/>
    <m/>
    <n v="111"/>
    <n v="0"/>
    <n v="0"/>
    <n v="0"/>
    <n v="0"/>
    <n v="0"/>
    <n v="20"/>
    <n v="0"/>
    <n v="1"/>
    <n v="2331"/>
    <n v="2602.77"/>
    <n v="0"/>
    <n v="15.61662"/>
    <n v="2587.15338"/>
    <n v="0"/>
    <n v="0"/>
    <n v="0"/>
    <n v="256.1533800000002"/>
    <s v="王佳曦"/>
    <s v="北京 北京市 海淀区 马连洼街道 肖家河燕秀园3区14号楼4单元101"/>
    <s v="18400998382-1997"/>
    <m/>
    <n v="2587.15338"/>
  </r>
  <r>
    <x v="68"/>
    <s v="已收货"/>
    <x v="99"/>
    <s v="冯刚"/>
    <m/>
    <m/>
    <s v="砂白色1.4米岩板餐桌"/>
    <s v="榉木餐桌"/>
    <s v="140cm*85cm"/>
    <s v="已结算"/>
    <s v="江西"/>
    <n v="1892.5"/>
    <n v="1480"/>
    <m/>
    <m/>
    <m/>
    <m/>
    <n v="240"/>
    <m/>
    <m/>
    <m/>
    <m/>
    <m/>
    <m/>
    <m/>
    <m/>
    <m/>
    <m/>
    <m/>
    <n v="2.5"/>
    <m/>
    <m/>
    <m/>
    <m/>
    <m/>
    <m/>
    <m/>
    <m/>
    <n v="170"/>
    <m/>
    <m/>
    <n v="195"/>
    <n v="30"/>
    <n v="0"/>
    <n v="0"/>
    <n v="0"/>
    <n v="0"/>
    <n v="16"/>
    <n v="0"/>
    <n v="1"/>
    <n v="2133.5"/>
    <n v="2445"/>
    <n v="0"/>
    <n v="14.67"/>
    <n v="2430.33"/>
    <n v="0"/>
    <n v="0"/>
    <n v="0"/>
    <n v="296.8299999999999"/>
    <s v="冯刚"/>
    <s v="四川省 南充市 顺庆区 华凤街道 潆华北路二段科华北辰天璞订单"/>
    <s v="18418948775-5818"/>
    <m/>
    <n v="2430.33"/>
  </r>
  <r>
    <x v="68"/>
    <s v="已收货"/>
    <x v="100"/>
    <s v="肖清真"/>
    <m/>
    <m/>
    <s v="窄柜-整柜洞石背板-1.2米"/>
    <s v="樱桃木窄柜"/>
    <n v="1200"/>
    <s v="已结算"/>
    <s v="庄毅"/>
    <n v="4605.216666666667"/>
    <n v="3600"/>
    <n v="411.08"/>
    <n v="125"/>
    <m/>
    <n v="76"/>
    <n v="316.6666666666667"/>
    <n v="62.4"/>
    <m/>
    <m/>
    <m/>
    <n v="8"/>
    <m/>
    <m/>
    <m/>
    <m/>
    <m/>
    <n v="3.37"/>
    <m/>
    <m/>
    <m/>
    <m/>
    <m/>
    <n v="1.6"/>
    <n v="1.1"/>
    <m/>
    <m/>
    <m/>
    <m/>
    <m/>
    <n v="246"/>
    <n v="0"/>
    <n v="198"/>
    <n v="0"/>
    <n v="0"/>
    <n v="0"/>
    <n v="0"/>
    <n v="0"/>
    <n v="1"/>
    <n v="5049.216666666667"/>
    <n v="5180.54"/>
    <n v="0"/>
    <n v="31.08324"/>
    <n v="5149.45676"/>
    <n v="0"/>
    <n v="0"/>
    <n v="0"/>
    <n v="100.2400933333329"/>
    <s v="肖清真"/>
    <s v="福建省 福州市 鼓楼区 南街街道 灵响小区5座102"/>
    <s v="18480100105-9795"/>
    <m/>
    <n v="5149.45676"/>
  </r>
  <r>
    <x v="69"/>
    <s v="已收货"/>
    <x v="101"/>
    <s v="金俊"/>
    <m/>
    <m/>
    <s v="砂白色1.4米岩板餐桌"/>
    <s v="榉木餐桌"/>
    <s v="140cm*85cm"/>
    <s v="已结算"/>
    <s v="江西"/>
    <n v="1892.5"/>
    <n v="1480"/>
    <m/>
    <m/>
    <m/>
    <m/>
    <n v="240"/>
    <m/>
    <m/>
    <m/>
    <m/>
    <m/>
    <m/>
    <m/>
    <m/>
    <m/>
    <m/>
    <m/>
    <n v="2.5"/>
    <m/>
    <m/>
    <m/>
    <m/>
    <m/>
    <m/>
    <m/>
    <m/>
    <n v="170"/>
    <m/>
    <m/>
    <n v="99"/>
    <n v="30"/>
    <n v="100"/>
    <n v="0"/>
    <n v="0"/>
    <n v="0"/>
    <n v="16"/>
    <n v="0"/>
    <n v="1"/>
    <n v="2137.5"/>
    <n v="2445"/>
    <n v="0"/>
    <n v="14.67"/>
    <n v="2430.33"/>
    <n v="0"/>
    <n v="0"/>
    <n v="0"/>
    <n v="292.8299999999999"/>
    <s v="金俊"/>
    <s v="上海 上海市 青浦区 徐泾镇象屿招商蟠龙府2期17栋43-801"/>
    <s v="18466822540-3486"/>
    <m/>
    <n v="2430.33"/>
  </r>
  <r>
    <x v="69"/>
    <s v="已收货"/>
    <x v="102"/>
    <s v="丁先生"/>
    <m/>
    <m/>
    <s v="定制鞋柜1000*350*1620   500*350*1620"/>
    <s v="鞋柜"/>
    <m/>
    <s v="已结算"/>
    <s v="江西"/>
    <n v="4670"/>
    <n v="4300"/>
    <m/>
    <m/>
    <m/>
    <m/>
    <n v="130"/>
    <m/>
    <m/>
    <m/>
    <m/>
    <m/>
    <n v="60"/>
    <m/>
    <m/>
    <m/>
    <m/>
    <m/>
    <m/>
    <m/>
    <m/>
    <m/>
    <m/>
    <m/>
    <m/>
    <m/>
    <m/>
    <n v="180"/>
    <m/>
    <m/>
    <n v="371"/>
    <n v="70"/>
    <n v="0"/>
    <n v="0"/>
    <n v="0"/>
    <n v="0"/>
    <n v="0"/>
    <n v="0"/>
    <n v="1"/>
    <n v="5111"/>
    <n v="8600"/>
    <n v="0"/>
    <n v="51.6"/>
    <n v="8548.4"/>
    <n v="0"/>
    <n v="0"/>
    <n v="0"/>
    <n v="3437.4"/>
    <s v="丁先生"/>
    <s v="北京 北京市 朝阳区 金盏乡金盏北路8号晴翠园185号"/>
    <s v="18400828302-4451"/>
    <m/>
    <n v="8548.4"/>
  </r>
  <r>
    <x v="69"/>
    <s v="已收货"/>
    <x v="103"/>
    <s v="瑞媚"/>
    <m/>
    <m/>
    <s v="榫卯书架：柜1：800*425*550    柜2：615*280*780   柜3：880*230*780"/>
    <s v="书柜-2024款"/>
    <m/>
    <s v="已结算"/>
    <s v="江西"/>
    <n v="2351"/>
    <n v="2670"/>
    <s v="160-479"/>
    <m/>
    <m/>
    <m/>
    <m/>
    <m/>
    <m/>
    <m/>
    <m/>
    <m/>
    <m/>
    <m/>
    <m/>
    <m/>
    <m/>
    <m/>
    <m/>
    <m/>
    <m/>
    <m/>
    <m/>
    <m/>
    <m/>
    <m/>
    <m/>
    <n v="160"/>
    <m/>
    <m/>
    <n v="140"/>
    <n v="40"/>
    <n v="0"/>
    <n v="0"/>
    <n v="359"/>
    <n v="0"/>
    <n v="0"/>
    <n v="0"/>
    <n v="1"/>
    <n v="2890"/>
    <n v="3615"/>
    <n v="0"/>
    <n v="21.69"/>
    <n v="3593.31"/>
    <n v="0"/>
    <n v="0"/>
    <n v="0"/>
    <n v="703.3099999999999"/>
    <s v="瑞媚"/>
    <s v="广东省 深圳市 龙岗区 吉华街道松源路1号茵悦之生花园14a栋3F"/>
    <s v="15728352403-3074"/>
    <m/>
    <n v="3593.31"/>
  </r>
  <r>
    <x v="70"/>
    <s v="已收货"/>
    <x v="104"/>
    <s v="陈婉玲"/>
    <m/>
    <m/>
    <s v="砂白色2.0米岩板餐桌，定制"/>
    <s v="榉木餐桌"/>
    <s v="200cm*78cm"/>
    <s v="已结算"/>
    <s v="江西"/>
    <n v="2272.5"/>
    <n v="1630"/>
    <m/>
    <m/>
    <m/>
    <m/>
    <n v="510"/>
    <m/>
    <m/>
    <m/>
    <m/>
    <m/>
    <m/>
    <m/>
    <m/>
    <m/>
    <m/>
    <m/>
    <n v="2.5"/>
    <m/>
    <m/>
    <m/>
    <m/>
    <m/>
    <m/>
    <m/>
    <m/>
    <n v="130"/>
    <m/>
    <m/>
    <n v="143"/>
    <n v="35"/>
    <n v="68"/>
    <n v="0"/>
    <n v="139"/>
    <n v="0"/>
    <n v="28"/>
    <n v="64.8"/>
    <n v="1"/>
    <n v="2750.3"/>
    <n v="3210"/>
    <n v="0"/>
    <n v="19.26"/>
    <n v="3190.74"/>
    <n v="0"/>
    <n v="0"/>
    <n v="0"/>
    <n v="440.4399999999996"/>
    <s v="陈婉玲"/>
    <s v="河南省 洛阳市 涧西区 南昌路街道吉安南街恒顺幸福堡小区一号楼2单元301"/>
    <s v="18238844560-4998"/>
    <m/>
    <n v="3190.74"/>
  </r>
  <r>
    <x v="70"/>
    <s v="已收货"/>
    <x v="105"/>
    <s v="陈晨"/>
    <m/>
    <m/>
    <s v="窄柜-整柜洞石背板-0.8米-定制"/>
    <s v="樱桃木窄柜"/>
    <n v="800"/>
    <s v="已结算"/>
    <s v="江西"/>
    <n v="4422.74"/>
    <n v="3600"/>
    <n v="307.08"/>
    <n v="115"/>
    <m/>
    <n v="30"/>
    <n v="240"/>
    <m/>
    <m/>
    <m/>
    <m/>
    <m/>
    <m/>
    <m/>
    <m/>
    <m/>
    <m/>
    <m/>
    <m/>
    <m/>
    <m/>
    <m/>
    <m/>
    <m/>
    <m/>
    <m/>
    <m/>
    <n v="120"/>
    <m/>
    <m/>
    <n v="130"/>
    <n v="0"/>
    <n v="300"/>
    <n v="0"/>
    <n v="0"/>
    <n v="0"/>
    <n v="133"/>
    <n v="0"/>
    <n v="1"/>
    <n v="4985.74"/>
    <n v="4756.44"/>
    <n v="0"/>
    <n v="28.53864"/>
    <n v="4727.90136"/>
    <n v="0"/>
    <n v="0"/>
    <n v="0"/>
    <n v="-257.8386399999999"/>
    <s v="陈晨"/>
    <s v="上海 上海市 嘉定区 南翔镇 栖林路265弄高尔夫公馆5号202室"/>
    <s v="18466657871-7230"/>
    <m/>
    <n v="4727.90136"/>
  </r>
  <r>
    <x v="71"/>
    <s v="已收货"/>
    <x v="106"/>
    <s v="小鱼干"/>
    <m/>
    <m/>
    <s v="1.95餐边柜带1.5餐桌"/>
    <s v="旋转餐边柜"/>
    <n v="1950"/>
    <s v="已结算"/>
    <s v="江西"/>
    <n v="8623.299999999999"/>
    <n v="6300"/>
    <m/>
    <m/>
    <m/>
    <m/>
    <m/>
    <n v="52"/>
    <n v="22"/>
    <m/>
    <m/>
    <n v="240"/>
    <n v="198"/>
    <n v="14.5"/>
    <m/>
    <m/>
    <m/>
    <m/>
    <m/>
    <n v="150"/>
    <m/>
    <m/>
    <m/>
    <m/>
    <m/>
    <m/>
    <m/>
    <n v="240"/>
    <m/>
    <n v="379.8"/>
    <n v="340"/>
    <n v="0"/>
    <n v="500"/>
    <n v="0"/>
    <n v="0"/>
    <n v="0"/>
    <n v="153"/>
    <n v="0"/>
    <n v="1"/>
    <n v="9616.299999999999"/>
    <n v="12035"/>
    <n v="0"/>
    <n v="72.21000000000001"/>
    <n v="11962.79"/>
    <n v="0"/>
    <n v="0"/>
    <n v="0"/>
    <n v="2346.490000000002"/>
    <s v="小鱼干"/>
    <s v="上海 上海市 浦东新区 三林镇钟萃苑3号2704"/>
    <s v="18466835686-4460"/>
    <m/>
    <n v="11962.79"/>
  </r>
  <r>
    <x v="71"/>
    <s v="已收货"/>
    <x v="107"/>
    <s v="仇宁"/>
    <m/>
    <m/>
    <s v="砂白色1.8米岩板餐桌"/>
    <s v="榉木餐桌"/>
    <s v="180cm*85cm"/>
    <s v="已结算"/>
    <s v="江西"/>
    <n v="1972.5"/>
    <n v="1540"/>
    <m/>
    <m/>
    <m/>
    <m/>
    <n v="240"/>
    <m/>
    <m/>
    <m/>
    <m/>
    <m/>
    <m/>
    <m/>
    <m/>
    <m/>
    <m/>
    <m/>
    <n v="2.5"/>
    <m/>
    <m/>
    <m/>
    <m/>
    <m/>
    <m/>
    <m/>
    <m/>
    <n v="190"/>
    <m/>
    <m/>
    <n v="124"/>
    <n v="30"/>
    <n v="85"/>
    <n v="0"/>
    <n v="0"/>
    <n v="0"/>
    <n v="24"/>
    <n v="0"/>
    <n v="1"/>
    <n v="2235.5"/>
    <n v="2766.22"/>
    <n v="0"/>
    <n v="16.59732"/>
    <n v="2749.62268"/>
    <n v="0"/>
    <n v="0"/>
    <n v="0"/>
    <n v="514.1226799999999"/>
    <s v="仇宁"/>
    <s v="山东省 济南市 市中区十六里河街道漫山香墅宸麓5号楼一单元1001室"/>
    <s v="15664702043-6521"/>
    <m/>
    <n v="2749.62268"/>
  </r>
  <r>
    <x v="72"/>
    <s v="已收货"/>
    <x v="108"/>
    <s v="舟舟"/>
    <m/>
    <m/>
    <s v="样块"/>
    <s v="样块"/>
    <m/>
    <s v="已结算"/>
    <s v="杭州"/>
    <n v="7"/>
    <n v="5"/>
    <m/>
    <m/>
    <m/>
    <m/>
    <m/>
    <m/>
    <m/>
    <m/>
    <m/>
    <m/>
    <m/>
    <m/>
    <m/>
    <m/>
    <m/>
    <m/>
    <m/>
    <m/>
    <m/>
    <m/>
    <m/>
    <m/>
    <m/>
    <m/>
    <m/>
    <n v="2"/>
    <m/>
    <m/>
    <n v="5"/>
    <n v="0"/>
    <n v="0"/>
    <n v="0"/>
    <n v="0"/>
    <n v="0"/>
    <n v="0"/>
    <n v="0"/>
    <n v="1"/>
    <n v="12"/>
    <n v="21.2"/>
    <n v="0"/>
    <n v="0.1272"/>
    <n v="21.0728"/>
    <n v="0"/>
    <n v="0"/>
    <n v="0"/>
    <n v="9.072800000000001"/>
    <s v="舟舟"/>
    <s v="上海 上海市 长宁区 新华路街道法华镇路751弄西镇小区18号楼601室(000000)"/>
    <s v="18466658942-6583"/>
    <m/>
    <m/>
  </r>
  <r>
    <x v="73"/>
    <s v="已收货"/>
    <x v="109"/>
    <s v="邵光鹏"/>
    <m/>
    <m/>
    <s v="曜黑柜-整柜-1.96米-定制"/>
    <s v="曜黑餐边柜"/>
    <n v="1960"/>
    <s v="已结算"/>
    <s v="江西"/>
    <n v="11522.16"/>
    <n v="220"/>
    <n v="9800"/>
    <n v="285"/>
    <n v="638"/>
    <m/>
    <n v="92"/>
    <n v="14.5"/>
    <n v="1.16"/>
    <m/>
    <m/>
    <n v="3.37"/>
    <n v="1.1"/>
    <n v="1.03"/>
    <m/>
    <m/>
    <m/>
    <m/>
    <s v="22*3"/>
    <n v="30"/>
    <n v="370"/>
    <m/>
    <m/>
    <m/>
    <m/>
    <m/>
    <m/>
    <n v="370"/>
    <m/>
    <m/>
    <n v="295"/>
    <n v="67.5"/>
    <n v="765"/>
    <n v="0"/>
    <n v="168"/>
    <n v="0"/>
    <n v="250"/>
    <n v="0"/>
    <n v="1"/>
    <n v="13067.66"/>
    <n v="14367"/>
    <n v="0"/>
    <n v="373.542"/>
    <n v="13993.458"/>
    <n v="0"/>
    <n v="0"/>
    <n v="0"/>
    <n v="925.7979999999989"/>
    <s v="邵光鹏"/>
    <s v="山东省 青岛市 李沧区 浮山路街道 君一云谷金茂府5-2-302"/>
    <s v="18416727884-6350"/>
    <m/>
    <n v="13993.458"/>
  </r>
  <r>
    <x v="74"/>
    <s v="已收货"/>
    <x v="110"/>
    <s v="赖炜钦"/>
    <m/>
    <m/>
    <s v="组合柜，常规2cm板材"/>
    <s v="组合柜"/>
    <m/>
    <s v="已结算"/>
    <s v="江西"/>
    <n v="5250"/>
    <n v="4900"/>
    <n v="350"/>
    <m/>
    <m/>
    <m/>
    <m/>
    <m/>
    <m/>
    <m/>
    <m/>
    <m/>
    <m/>
    <m/>
    <m/>
    <m/>
    <m/>
    <m/>
    <m/>
    <m/>
    <m/>
    <m/>
    <m/>
    <m/>
    <m/>
    <m/>
    <m/>
    <n v="350"/>
    <m/>
    <m/>
    <n v="268"/>
    <n v="75"/>
    <n v="88"/>
    <n v="0"/>
    <n v="0"/>
    <n v="0"/>
    <n v="80"/>
    <n v="500"/>
    <n v="1"/>
    <n v="6261"/>
    <n v="9300"/>
    <n v="0"/>
    <n v="241.8"/>
    <n v="9058.200000000001"/>
    <n v="0"/>
    <n v="0"/>
    <n v="0"/>
    <n v="2797.200000000001"/>
    <s v="赖炜钦"/>
    <s v="广东省 广州市 白云区 永平街道白云大道北1689号岭南新世界c10栋404"/>
    <s v="13242778146-6012"/>
    <m/>
    <n v="9058.200000000001"/>
  </r>
  <r>
    <x v="74"/>
    <s v="已收货"/>
    <x v="111"/>
    <s v="戚玲佩"/>
    <s v="2个五孔插座+1个USB插座+下柜微波炉内嵌插座"/>
    <m/>
    <s v="曜黑柜-整柜-2.2米-定制"/>
    <s v="曜黑餐边柜"/>
    <n v="2200"/>
    <s v="已结算"/>
    <s v="江西"/>
    <n v="12723.24"/>
    <n v="10500"/>
    <n v="430"/>
    <n v="739.08"/>
    <n v="285"/>
    <m/>
    <n v="92"/>
    <n v="14.5"/>
    <n v="1.16"/>
    <m/>
    <m/>
    <n v="3.37"/>
    <n v="1.1"/>
    <n v="1.03"/>
    <m/>
    <m/>
    <m/>
    <m/>
    <s v="22*3"/>
    <n v="30"/>
    <n v="560"/>
    <m/>
    <m/>
    <m/>
    <m/>
    <m/>
    <m/>
    <n v="560"/>
    <m/>
    <m/>
    <n v="453.2"/>
    <n v="77.8"/>
    <n v="188"/>
    <n v="0"/>
    <n v="199"/>
    <n v="0"/>
    <n v="189"/>
    <n v="0"/>
    <n v="1"/>
    <n v="13830.24"/>
    <n v="14919.19"/>
    <n v="0"/>
    <n v="387.89894"/>
    <n v="14531.29106"/>
    <n v="0"/>
    <n v="0"/>
    <n v="0"/>
    <n v="701.0510599999998"/>
    <s v="戚玲佩"/>
    <s v="浙江省 温州市 鹿城区 五马街道江滨西路东江锦园10栋2401室"/>
    <s v="18413500443-6429"/>
    <m/>
    <n v="14531.29106"/>
  </r>
  <r>
    <x v="74"/>
    <s v="已收货"/>
    <x v="112"/>
    <s v="戚玲佩"/>
    <m/>
    <m/>
    <s v="补差价"/>
    <m/>
    <m/>
    <s v="已结算"/>
    <s v="江西"/>
    <n v="0"/>
    <n v="0"/>
    <m/>
    <m/>
    <m/>
    <m/>
    <m/>
    <m/>
    <m/>
    <m/>
    <m/>
    <m/>
    <m/>
    <m/>
    <m/>
    <m/>
    <m/>
    <m/>
    <m/>
    <m/>
    <m/>
    <m/>
    <m/>
    <m/>
    <m/>
    <m/>
    <m/>
    <m/>
    <m/>
    <m/>
    <m/>
    <m/>
    <m/>
    <m/>
    <m/>
    <m/>
    <m/>
    <m/>
    <n v="1"/>
    <n v="0"/>
    <n v="981"/>
    <n v="0"/>
    <n v="25.506"/>
    <n v="955.494"/>
    <n v="0"/>
    <n v="0"/>
    <n v="0"/>
    <n v="955.494"/>
    <s v="戚玲佩"/>
    <s v="浙江省 温州市 鹿城区 五马街道江滨西路东江锦园10栋2401室"/>
    <s v="18413500443-6429"/>
    <m/>
    <n v="955.494"/>
  </r>
  <r>
    <x v="74"/>
    <s v="已收货"/>
    <x v="113"/>
    <s v="肖清真"/>
    <m/>
    <m/>
    <s v="床头柜*2"/>
    <s v="床头柜"/>
    <m/>
    <s v="已结算"/>
    <s v="江西"/>
    <n v="1618"/>
    <n v="1450"/>
    <m/>
    <m/>
    <m/>
    <m/>
    <m/>
    <m/>
    <m/>
    <m/>
    <m/>
    <m/>
    <n v="68"/>
    <m/>
    <m/>
    <m/>
    <m/>
    <m/>
    <m/>
    <m/>
    <m/>
    <m/>
    <m/>
    <m/>
    <m/>
    <m/>
    <m/>
    <n v="100"/>
    <m/>
    <m/>
    <n v="55"/>
    <n v="35"/>
    <n v="0"/>
    <n v="0"/>
    <n v="0"/>
    <n v="0"/>
    <n v="0"/>
    <n v="0"/>
    <n v="1"/>
    <n v="1708"/>
    <n v="1548.81"/>
    <n v="0"/>
    <n v="40.26906"/>
    <n v="1508.54094"/>
    <n v="0"/>
    <n v="0"/>
    <n v="0"/>
    <n v="-199.4590600000001"/>
    <s v="肖清真"/>
    <s v="福建省 福州市 鼓楼区 南街街道灵响小区5座102"/>
    <s v="18480123078-8105"/>
    <m/>
    <n v="1508.54094"/>
  </r>
  <r>
    <x v="74"/>
    <s v="已收货"/>
    <x v="114"/>
    <s v="水太"/>
    <m/>
    <m/>
    <s v="1米玻璃门柜"/>
    <m/>
    <n v="1000"/>
    <s v="已结算,超透玻璃+瓷白玻璃"/>
    <s v="江西"/>
    <n v="2748.6"/>
    <n v="2180"/>
    <n v="200"/>
    <n v="180"/>
    <s v="23.55*2"/>
    <m/>
    <n v="30"/>
    <n v="2.5"/>
    <n v="25"/>
    <m/>
    <m/>
    <n v="84"/>
    <m/>
    <m/>
    <m/>
    <m/>
    <m/>
    <m/>
    <m/>
    <m/>
    <m/>
    <m/>
    <m/>
    <m/>
    <m/>
    <m/>
    <m/>
    <n v="180"/>
    <m/>
    <m/>
    <n v="224.6"/>
    <n v="33.4"/>
    <n v="118"/>
    <n v="0"/>
    <n v="0"/>
    <n v="0"/>
    <n v="100"/>
    <n v="0"/>
    <n v="1"/>
    <n v="3224.6"/>
    <n v="4128.45"/>
    <n v="0"/>
    <n v="107.3397"/>
    <n v="4021.1103"/>
    <n v="0"/>
    <n v="0"/>
    <n v="0"/>
    <n v="796.5102999999999"/>
    <s v="水太"/>
    <s v="广东省 深圳市 龙华区 民治街道卓越皇后道1栋B单元3D"/>
    <s v="14704489771-3895"/>
    <m/>
    <n v="4021.1103"/>
  </r>
  <r>
    <x v="74"/>
    <s v="已收货"/>
    <x v="115"/>
    <s v="邓靓"/>
    <m/>
    <m/>
    <s v="2.4洞石平板下柜"/>
    <s v="洞石餐边柜"/>
    <n v="2400"/>
    <s v="已结算"/>
    <s v="江西"/>
    <n v="5682.5"/>
    <n v="4670"/>
    <m/>
    <m/>
    <m/>
    <m/>
    <n v="540"/>
    <m/>
    <n v="50"/>
    <m/>
    <m/>
    <n v="5"/>
    <n v="110"/>
    <m/>
    <n v="17.5"/>
    <m/>
    <m/>
    <m/>
    <m/>
    <m/>
    <m/>
    <m/>
    <m/>
    <m/>
    <m/>
    <m/>
    <m/>
    <n v="290"/>
    <m/>
    <m/>
    <n v="504.8"/>
    <n v="43.2"/>
    <n v="0"/>
    <n v="0"/>
    <n v="0"/>
    <n v="0"/>
    <n v="50"/>
    <n v="260"/>
    <n v="1"/>
    <n v="6540.5"/>
    <n v="9681.26"/>
    <n v="0"/>
    <n v="251.71276"/>
    <n v="9429.54724"/>
    <n v="0"/>
    <n v="0"/>
    <n v="0"/>
    <n v="2889.04724"/>
    <s v="邓靓"/>
    <s v="四川省 成都市 金牛区 西华街道兴城人居鎏林语 6 栋 2 单元 202"/>
    <s v="17897685895-8685"/>
    <m/>
    <n v="9429.54724"/>
  </r>
  <r>
    <x v="74"/>
    <s v="已收货"/>
    <x v="116"/>
    <s v="汤冰清"/>
    <s v="上楼，说是返40，_x000a_已调整：产品成本+背板+岩板+岩板打孔+电力轨道+隔板轨道+灯带+其他五金"/>
    <m/>
    <s v="窄柜-整柜洞石背板-0.8米"/>
    <s v="樱桃木窄柜"/>
    <n v="800"/>
    <s v="已结算"/>
    <s v="庄毅"/>
    <n v="3855.346666666666"/>
    <n v="3100"/>
    <n v="307.08"/>
    <n v="115"/>
    <m/>
    <n v="30"/>
    <n v="236.6666666666667"/>
    <n v="54.9"/>
    <m/>
    <m/>
    <n v="4"/>
    <m/>
    <m/>
    <m/>
    <m/>
    <m/>
    <m/>
    <n v="3.5"/>
    <m/>
    <n v="3"/>
    <m/>
    <m/>
    <m/>
    <m/>
    <n v="1.2"/>
    <m/>
    <m/>
    <m/>
    <m/>
    <m/>
    <n v="200"/>
    <n v="0"/>
    <n v="120"/>
    <n v="0"/>
    <n v="0"/>
    <n v="0"/>
    <n v="0"/>
    <n v="0"/>
    <n v="1"/>
    <n v="4175.346666666666"/>
    <n v="4761.44"/>
    <n v="0"/>
    <n v="123.79744"/>
    <n v="4637.642559999999"/>
    <n v="0"/>
    <n v="0"/>
    <n v="0"/>
    <n v="462.295893333333"/>
    <s v="汤冰清"/>
    <s v="上海 上海市 浦东新区 洋泾街道沈家弄路900弄7号502室"/>
    <s v="18466954105-8816"/>
    <m/>
    <n v="4637.642559999999"/>
  </r>
  <r>
    <x v="74"/>
    <s v="已收货"/>
    <x v="117"/>
    <s v="韩劲松"/>
    <m/>
    <m/>
    <s v="窄柜-整柜洞石背板-1.2米"/>
    <s v="樱桃木窄柜"/>
    <n v="1200"/>
    <s v="已结算"/>
    <s v="庄毅"/>
    <n v="4410.71"/>
    <n v="3600"/>
    <n v="411.08"/>
    <n v="125"/>
    <m/>
    <n v="76"/>
    <n v="122.16"/>
    <n v="62.4"/>
    <m/>
    <m/>
    <m/>
    <n v="8"/>
    <m/>
    <m/>
    <m/>
    <m/>
    <m/>
    <n v="3.37"/>
    <m/>
    <m/>
    <m/>
    <m/>
    <m/>
    <n v="1.6"/>
    <n v="1.1"/>
    <m/>
    <m/>
    <m/>
    <m/>
    <m/>
    <n v="315"/>
    <n v="0"/>
    <n v="130"/>
    <n v="0"/>
    <n v="0"/>
    <n v="0"/>
    <n v="0"/>
    <n v="100.78"/>
    <n v="1"/>
    <n v="4956.49"/>
    <n v="5175.54"/>
    <n v="0"/>
    <n v="134.56404"/>
    <n v="5040.97596"/>
    <n v="0"/>
    <n v="0"/>
    <n v="0"/>
    <n v="84.48595999999998"/>
    <s v="韩劲松"/>
    <s v="上海 上海市 浦东新区 洋泾街道张杨路1515弄16号2702室"/>
    <s v="18466612586-6483"/>
    <m/>
    <n v="5040.97596"/>
  </r>
  <r>
    <x v="75"/>
    <s v="已收货"/>
    <x v="118"/>
    <s v="小张老师"/>
    <s v="已调整，追加上了椅子价格，去掉了180"/>
    <m/>
    <s v="砂白色1.6米岩板餐桌+餐椅"/>
    <s v="榉木餐桌"/>
    <s v="160cm*85cm"/>
    <s v="已结算"/>
    <s v="江西"/>
    <n v="2584.5"/>
    <n v="1520"/>
    <m/>
    <m/>
    <m/>
    <m/>
    <n v="240"/>
    <m/>
    <m/>
    <m/>
    <m/>
    <m/>
    <m/>
    <m/>
    <m/>
    <m/>
    <m/>
    <m/>
    <n v="2.5"/>
    <m/>
    <n v="632"/>
    <m/>
    <m/>
    <m/>
    <m/>
    <m/>
    <m/>
    <n v="190"/>
    <m/>
    <m/>
    <n v="163"/>
    <n v="30"/>
    <n v="88"/>
    <n v="0"/>
    <n v="0"/>
    <n v="0"/>
    <n v="20"/>
    <n v="0"/>
    <n v="1"/>
    <n v="2885.5"/>
    <n v="4033.03"/>
    <n v="0"/>
    <n v="104.85878"/>
    <n v="3928.17122"/>
    <n v="0"/>
    <n v="0"/>
    <n v="0"/>
    <n v="1042.67122"/>
    <s v="小张老师"/>
    <s v="河北省 廊坊市 大厂回族自治县 祁各庄镇厂通路孔雀城紫涵园2-2-402"/>
    <s v="17897564039-8019"/>
    <m/>
    <n v="3928.17122"/>
  </r>
  <r>
    <x v="75"/>
    <s v="已收货"/>
    <x v="119"/>
    <s v="黎生"/>
    <m/>
    <m/>
    <s v="砂白色1.8米岩板餐桌"/>
    <s v="榉木餐桌"/>
    <s v="180cm*85cm"/>
    <s v="已结算"/>
    <s v="江西"/>
    <n v="1962.5"/>
    <n v="1540"/>
    <m/>
    <m/>
    <m/>
    <m/>
    <n v="240"/>
    <m/>
    <m/>
    <m/>
    <m/>
    <m/>
    <m/>
    <m/>
    <m/>
    <m/>
    <m/>
    <m/>
    <n v="2.5"/>
    <m/>
    <m/>
    <m/>
    <m/>
    <m/>
    <m/>
    <m/>
    <m/>
    <n v="180"/>
    <m/>
    <m/>
    <n v="107"/>
    <n v="30"/>
    <n v="75"/>
    <n v="0"/>
    <n v="100"/>
    <n v="0"/>
    <n v="0"/>
    <n v="0"/>
    <n v="1"/>
    <n v="2274.5"/>
    <n v="2766.22"/>
    <n v="0"/>
    <n v="71.92171999999999"/>
    <n v="2694.29828"/>
    <n v="0"/>
    <n v="0"/>
    <n v="0"/>
    <n v="419.79828"/>
    <s v="黎生"/>
    <s v="广东省 江门市 新会区 会城街道新会碧桂园盛世名门二街七座1402"/>
    <s v="18466449590-3787"/>
    <m/>
    <n v="2694.29828"/>
  </r>
  <r>
    <x v="75"/>
    <s v="退单"/>
    <x v="120"/>
    <s v="小洛"/>
    <m/>
    <m/>
    <s v="1.2洞石窄柜 48cm"/>
    <m/>
    <m/>
    <m/>
    <s v="庄毅"/>
    <n v="0"/>
    <n v="0"/>
    <m/>
    <m/>
    <m/>
    <m/>
    <m/>
    <m/>
    <m/>
    <m/>
    <m/>
    <m/>
    <m/>
    <m/>
    <m/>
    <m/>
    <m/>
    <m/>
    <m/>
    <m/>
    <m/>
    <m/>
    <m/>
    <m/>
    <m/>
    <m/>
    <m/>
    <m/>
    <m/>
    <m/>
    <n v="0"/>
    <n v="0"/>
    <n v="0"/>
    <n v="0"/>
    <n v="0"/>
    <n v="0"/>
    <n v="0"/>
    <n v="0"/>
    <n v="0"/>
    <n v="0"/>
    <n v="0"/>
    <n v="0"/>
    <n v="0"/>
    <n v="0"/>
    <n v="0"/>
    <n v="0"/>
    <n v="0"/>
    <n v="0"/>
    <s v="小洛"/>
    <s v="山西省 阳泉市 城区 北大街街道 洪城北路大通御景3-1-903 "/>
    <s v="14735147651-4070"/>
    <m/>
    <m/>
  </r>
  <r>
    <x v="75"/>
    <s v="已收货"/>
    <x v="121"/>
    <s v="刘颖"/>
    <m/>
    <m/>
    <s v="1.4旋转柜+1.1单腿左旋"/>
    <s v="旋转餐边柜"/>
    <n v="1400"/>
    <s v="已结算,茶色玻璃"/>
    <s v="江西"/>
    <n v="5857.51"/>
    <n v="4500"/>
    <m/>
    <m/>
    <m/>
    <m/>
    <m/>
    <m/>
    <n v="22"/>
    <m/>
    <m/>
    <n v="55"/>
    <n v="198"/>
    <n v="37"/>
    <m/>
    <m/>
    <m/>
    <m/>
    <m/>
    <n v="469"/>
    <m/>
    <m/>
    <m/>
    <m/>
    <m/>
    <m/>
    <m/>
    <n v="400"/>
    <m/>
    <n v="260"/>
    <n v="490"/>
    <n v="90"/>
    <n v="118"/>
    <n v="0"/>
    <n v="0"/>
    <n v="0"/>
    <n v="107"/>
    <n v="0"/>
    <n v="1"/>
    <n v="6662.51"/>
    <n v="8383"/>
    <n v="0"/>
    <n v="217.958"/>
    <n v="8165.042"/>
    <n v="0"/>
    <n v="0"/>
    <n v="0"/>
    <n v="1502.532"/>
    <s v="刘颖"/>
    <s v="北京 北京市 昌平区 城北街道彩璟玉宸小区2号楼1单元1702"/>
    <s v="13241706946-2222"/>
    <m/>
    <n v="8165.042"/>
  </r>
  <r>
    <x v="76"/>
    <s v="已收货"/>
    <x v="122"/>
    <s v="李铮"/>
    <m/>
    <m/>
    <s v="窄柜-整柜洞石背板-1.0米"/>
    <s v="樱桃木窄柜"/>
    <n v="1000"/>
    <s v="已结算"/>
    <s v="庄毅"/>
    <n v="4064.576666666666"/>
    <n v="3200"/>
    <n v="359.08"/>
    <n v="120"/>
    <m/>
    <n v="38"/>
    <n v="276.6666666666667"/>
    <n v="59.23"/>
    <m/>
    <m/>
    <n v="5"/>
    <m/>
    <m/>
    <m/>
    <m/>
    <n v="2"/>
    <n v="1.1"/>
    <n v="3.5"/>
    <m/>
    <m/>
    <m/>
    <m/>
    <m/>
    <m/>
    <m/>
    <m/>
    <m/>
    <m/>
    <m/>
    <m/>
    <n v="382"/>
    <n v="0"/>
    <n v="100"/>
    <n v="0"/>
    <n v="80"/>
    <n v="0"/>
    <n v="0"/>
    <n v="0"/>
    <n v="1"/>
    <n v="4626.576666666666"/>
    <n v="4976.26"/>
    <n v="0"/>
    <n v="129.38276"/>
    <n v="4846.87724"/>
    <n v="80"/>
    <n v="0"/>
    <n v="80"/>
    <n v="300.3005733333339"/>
    <s v="李铮"/>
    <s v="北京 北京市 通州区 永顺镇北京通州区物资学院路3号院22号楼2单元102"/>
    <s v="18400946285-8237"/>
    <m/>
    <n v="4846.87724"/>
  </r>
  <r>
    <x v="77"/>
    <s v="已收货"/>
    <x v="123"/>
    <s v="美少女"/>
    <m/>
    <m/>
    <s v="砂白色1.6米岩板餐桌"/>
    <s v="榉木餐桌"/>
    <s v="160cm*85cm"/>
    <s v="已结算"/>
    <s v="江西"/>
    <n v="1942.5"/>
    <n v="1520"/>
    <m/>
    <m/>
    <m/>
    <m/>
    <n v="240"/>
    <m/>
    <m/>
    <m/>
    <m/>
    <m/>
    <m/>
    <m/>
    <m/>
    <m/>
    <m/>
    <m/>
    <n v="2.5"/>
    <m/>
    <m/>
    <m/>
    <m/>
    <m/>
    <m/>
    <m/>
    <m/>
    <n v="180"/>
    <m/>
    <m/>
    <n v="128"/>
    <n v="0"/>
    <n v="85"/>
    <n v="0"/>
    <n v="199"/>
    <n v="0"/>
    <n v="19"/>
    <n v="0"/>
    <n v="1"/>
    <n v="2373.5"/>
    <n v="2595.03"/>
    <n v="0"/>
    <n v="67.47078"/>
    <n v="2527.55922"/>
    <n v="0"/>
    <n v="0"/>
    <n v="0"/>
    <n v="154.0592200000001"/>
    <s v="美少女"/>
    <s v="广东省 广州市 天河区 五山街道华南农业大学嵩山区56栋102房"/>
    <s v="18466115819-5615"/>
    <m/>
    <n v="2527.55922"/>
  </r>
  <r>
    <x v="77"/>
    <s v="已收货"/>
    <x v="124"/>
    <s v="叶子"/>
    <s v="已发，对灯带62.4，已调整"/>
    <m/>
    <s v="窄柜-整柜洞石背板-1.2米"/>
    <s v="樱桃木窄柜"/>
    <n v="1200"/>
    <s v="已结算"/>
    <s v="庄毅"/>
    <n v="4605.216666666667"/>
    <n v="3600"/>
    <n v="411.08"/>
    <n v="125"/>
    <m/>
    <n v="76"/>
    <n v="316.6666666666667"/>
    <n v="62.4"/>
    <m/>
    <m/>
    <m/>
    <n v="8"/>
    <m/>
    <m/>
    <m/>
    <m/>
    <m/>
    <n v="3.37"/>
    <m/>
    <m/>
    <m/>
    <m/>
    <m/>
    <n v="1.6"/>
    <n v="1.1"/>
    <m/>
    <m/>
    <m/>
    <m/>
    <m/>
    <n v="290"/>
    <n v="0"/>
    <n v="98"/>
    <n v="0"/>
    <n v="0"/>
    <n v="0"/>
    <n v="0"/>
    <n v="0"/>
    <n v="1"/>
    <n v="4993.216666666667"/>
    <n v="5175.54"/>
    <n v="0"/>
    <n v="134.56404"/>
    <n v="5040.97596"/>
    <n v="0"/>
    <n v="0"/>
    <n v="0"/>
    <n v="47.75929333333261"/>
    <s v="叶子"/>
    <s v="上海 上海市 静安区 南京西路街道石门一路333弄7号1703室"/>
    <s v="18466788891-4516"/>
    <m/>
    <n v="5040.97596"/>
  </r>
  <r>
    <x v="77"/>
    <s v="已收货"/>
    <x v="125"/>
    <s v="何妍"/>
    <m/>
    <m/>
    <s v="洞石色1.5米岩板餐桌，定制"/>
    <s v="榉木餐桌"/>
    <s v="150cm*85cm"/>
    <s v="已结算"/>
    <s v="江西"/>
    <n v="2112.5"/>
    <n v="1500"/>
    <m/>
    <m/>
    <m/>
    <m/>
    <n v="490"/>
    <m/>
    <m/>
    <m/>
    <m/>
    <m/>
    <m/>
    <m/>
    <m/>
    <m/>
    <m/>
    <m/>
    <n v="2.5"/>
    <m/>
    <m/>
    <m/>
    <m/>
    <m/>
    <m/>
    <m/>
    <m/>
    <n v="120"/>
    <m/>
    <m/>
    <n v="90"/>
    <n v="30"/>
    <n v="0"/>
    <n v="0"/>
    <n v="0"/>
    <n v="0"/>
    <n v="19"/>
    <n v="0"/>
    <n v="1"/>
    <n v="2251.5"/>
    <n v="2460"/>
    <n v="0"/>
    <n v="63.95999999999999"/>
    <n v="2396.04"/>
    <n v="0"/>
    <n v="0"/>
    <n v="0"/>
    <n v="144.54"/>
    <s v="何妍"/>
    <s v="浙江省 宁波市 江北区 洪塘街道江来上府4-1102"/>
    <s v="18413321272-6390"/>
    <m/>
    <n v="2396.04"/>
  </r>
  <r>
    <x v="78"/>
    <s v="已收货"/>
    <x v="126"/>
    <s v="花好月圆"/>
    <m/>
    <m/>
    <s v="窄柜-整柜洞石背板-1.0米"/>
    <s v="樱桃木窄柜"/>
    <n v="1000"/>
    <s v="已结算"/>
    <s v="庄毅"/>
    <n v="4064.576666666666"/>
    <n v="3200"/>
    <n v="359.08"/>
    <n v="120"/>
    <m/>
    <n v="38"/>
    <n v="276.6666666666667"/>
    <n v="59.23"/>
    <m/>
    <m/>
    <n v="5"/>
    <m/>
    <m/>
    <m/>
    <m/>
    <n v="2"/>
    <n v="1.1"/>
    <n v="3.5"/>
    <m/>
    <m/>
    <m/>
    <m/>
    <m/>
    <m/>
    <m/>
    <m/>
    <m/>
    <m/>
    <m/>
    <m/>
    <n v="353"/>
    <n v="0"/>
    <n v="150"/>
    <n v="0"/>
    <n v="0"/>
    <n v="0"/>
    <n v="0"/>
    <n v="0"/>
    <n v="1"/>
    <n v="4567.576666666666"/>
    <n v="4976.26"/>
    <n v="0"/>
    <n v="129.38276"/>
    <n v="4846.87724"/>
    <n v="0"/>
    <n v="0"/>
    <n v="0"/>
    <n v="279.3005733333339"/>
    <s v="花好月圆"/>
    <s v="北京 北京市 丰台区 马家堡街道马家堡东路七克拉小区7号楼222"/>
    <s v="18400812384-1683"/>
    <m/>
    <n v="4846.87724"/>
  </r>
  <r>
    <x v="78"/>
    <s v="已收货"/>
    <x v="127"/>
    <s v="谷芳芳"/>
    <m/>
    <m/>
    <s v="1.6樱桃木洞石岩板桌"/>
    <s v="樱桃木岩板桌2025"/>
    <s v="160cm*85cm"/>
    <s v="已结算"/>
    <s v="江西"/>
    <n v="1962.5"/>
    <n v="1260"/>
    <m/>
    <m/>
    <m/>
    <m/>
    <n v="520"/>
    <m/>
    <m/>
    <m/>
    <m/>
    <m/>
    <m/>
    <m/>
    <m/>
    <m/>
    <m/>
    <m/>
    <n v="2.5"/>
    <m/>
    <m/>
    <m/>
    <m/>
    <m/>
    <m/>
    <m/>
    <m/>
    <n v="180"/>
    <m/>
    <m/>
    <n v="114"/>
    <n v="10"/>
    <n v="0"/>
    <n v="0"/>
    <n v="0"/>
    <n v="0"/>
    <n v="19"/>
    <n v="0"/>
    <n v="1"/>
    <n v="2105.5"/>
    <n v="2192.1"/>
    <n v="0"/>
    <n v="56.9946"/>
    <n v="2135.1054"/>
    <n v="0"/>
    <n v="0"/>
    <n v="0"/>
    <n v="29.60539999999992"/>
    <s v="谷芳芳"/>
    <s v="北京 北京市 丰台区 花乡街道郭公庄蓝沁家园4单元1号楼1502室"/>
    <s v="18400997105-7193"/>
    <m/>
    <n v="2135.1054"/>
  </r>
  <r>
    <x v="78"/>
    <s v="已收货"/>
    <x v="128"/>
    <s v="熊遇全"/>
    <m/>
    <m/>
    <s v="砂白色1.8米岩板餐桌"/>
    <s v="榉木餐桌"/>
    <s v="180cm*85cm"/>
    <s v="已结算"/>
    <s v="江西"/>
    <n v="1972.5"/>
    <n v="1540"/>
    <m/>
    <m/>
    <m/>
    <m/>
    <n v="240"/>
    <m/>
    <m/>
    <m/>
    <m/>
    <m/>
    <m/>
    <m/>
    <m/>
    <m/>
    <m/>
    <m/>
    <n v="2.5"/>
    <m/>
    <m/>
    <m/>
    <m/>
    <m/>
    <m/>
    <m/>
    <m/>
    <n v="190"/>
    <m/>
    <m/>
    <n v="109"/>
    <n v="30"/>
    <n v="100"/>
    <n v="0"/>
    <n v="0"/>
    <n v="0"/>
    <n v="24"/>
    <n v="0"/>
    <n v="1"/>
    <n v="2235.5"/>
    <n v="2766.22"/>
    <n v="0"/>
    <n v="71.92171999999999"/>
    <n v="2694.29828"/>
    <n v="0"/>
    <n v="0"/>
    <n v="0"/>
    <n v="458.79828"/>
    <s v="熊遇全"/>
    <s v="湖南省 湘潭市 雨湖区 城正街街道 观湘门路58号城发潭州壹号院A6栋1502"/>
    <s v="18472629383-8705"/>
    <m/>
    <n v="2694.29828"/>
  </r>
  <r>
    <x v="79"/>
    <s v="已收货"/>
    <x v="129"/>
    <s v="台集运(932463)"/>
    <m/>
    <m/>
    <s v="1.5榉木旋转柜： 1.5整柜+1.1单腿岩板餐桌"/>
    <s v="旋转餐边柜"/>
    <n v="1500"/>
    <s v="已结算,长虹玻璃"/>
    <s v="江西"/>
    <n v="6442.08"/>
    <n v="4600"/>
    <m/>
    <m/>
    <m/>
    <m/>
    <m/>
    <m/>
    <n v="38"/>
    <m/>
    <m/>
    <n v="22"/>
    <n v="198"/>
    <n v="52"/>
    <m/>
    <m/>
    <m/>
    <m/>
    <n v="61"/>
    <n v="22"/>
    <m/>
    <m/>
    <m/>
    <m/>
    <m/>
    <m/>
    <m/>
    <n v="450"/>
    <m/>
    <n v="260"/>
    <n v="366"/>
    <n v="40"/>
    <n v="0"/>
    <n v="0"/>
    <n v="0"/>
    <n v="0"/>
    <n v="107"/>
    <n v="457.55"/>
    <n v="1"/>
    <n v="7412.63"/>
    <n v="9398.549999999999"/>
    <n v="0"/>
    <n v="244.3623"/>
    <n v="9154.187699999999"/>
    <n v="0"/>
    <n v="0"/>
    <n v="0"/>
    <n v="1741.557699999998"/>
    <s v="台集运(932463)"/>
    <s v="福建省 漳州市 龙海区 东园镇 仓里路888号龙海普洛斯物流园A2库二层台集运"/>
    <s v="886-18319011167"/>
    <m/>
    <n v="9154.187699999999"/>
  </r>
  <r>
    <x v="79"/>
    <s v="已收货"/>
    <x v="130"/>
    <s v="HohengG3935"/>
    <m/>
    <m/>
    <s v="1.5樱桃木洞石餐边柜"/>
    <s v="洞石餐边柜"/>
    <n v="1500"/>
    <s v="已结算,灰色玻璃"/>
    <s v="江西"/>
    <n v="7697.21"/>
    <n v="5400"/>
    <n v="501.08"/>
    <m/>
    <n v="540"/>
    <m/>
    <n v="38"/>
    <n v="104"/>
    <n v="14.5"/>
    <m/>
    <m/>
    <n v="300"/>
    <n v="88"/>
    <n v="280"/>
    <n v="17.5"/>
    <m/>
    <m/>
    <n v="7"/>
    <n v="3.37"/>
    <n v="1.16"/>
    <n v="1.1"/>
    <m/>
    <m/>
    <m/>
    <n v="1.03"/>
    <m/>
    <m/>
    <n v="300"/>
    <m/>
    <m/>
    <n v="403"/>
    <n v="115"/>
    <n v="0"/>
    <n v="0"/>
    <n v="0"/>
    <n v="0"/>
    <n v="107"/>
    <n v="0"/>
    <n v="1"/>
    <n v="8322.209999999999"/>
    <n v="10080.01"/>
    <n v="0"/>
    <n v="262.08026"/>
    <n v="9817.92974"/>
    <n v="0"/>
    <n v="0"/>
    <n v="0"/>
    <n v="1495.71974"/>
    <s v="HohengG3935"/>
    <s v="广东省 佛山市 南海区 狮山镇广东省 佛山市 南海区 狮山镇 塘新三路12号C区 G3935单元"/>
    <s v="13202484957-9910，"/>
    <m/>
    <n v="9817.92974"/>
  </r>
  <r>
    <x v="79"/>
    <s v="已收货"/>
    <x v="131"/>
    <s v="刘鑫"/>
    <m/>
    <m/>
    <s v="1.5樱桃木背板餐边柜*2"/>
    <s v="洞石餐边柜"/>
    <m/>
    <s v="已结算,灰色玻璃"/>
    <s v="江西"/>
    <n v="13363.42"/>
    <n v="10400"/>
    <s v="(499.05"/>
    <n v="240"/>
    <n v="38"/>
    <m/>
    <s v="52*2"/>
    <s v="14.5*2"/>
    <s v="22*4"/>
    <m/>
    <m/>
    <n v="1.16"/>
    <n v="3.37"/>
    <n v="1.1"/>
    <m/>
    <m/>
    <m/>
    <n v="700"/>
    <n v="5"/>
    <n v="1.03"/>
    <n v="22"/>
    <m/>
    <m/>
    <m/>
    <s v="100)*2"/>
    <m/>
    <m/>
    <n v="700"/>
    <m/>
    <m/>
    <n v="1237.7"/>
    <n v="107.3"/>
    <n v="188"/>
    <n v="0"/>
    <n v="0"/>
    <n v="0"/>
    <n v="214"/>
    <n v="0"/>
    <n v="1"/>
    <n v="15110.42"/>
    <n v="19727"/>
    <n v="0"/>
    <n v="512.9019999999999"/>
    <n v="19214.098"/>
    <n v="0"/>
    <n v="0"/>
    <n v="0"/>
    <n v="4103.678000000002"/>
    <s v="刘鑫"/>
    <s v="陕西省 西安市 长安区 郭杜街道 星虹路与启创路交叉口云熙港东区3栋"/>
    <s v="15623546008-6701"/>
    <m/>
    <n v="19214.098"/>
  </r>
  <r>
    <x v="79"/>
    <s v="已收货"/>
    <x v="132"/>
    <s v="郑先生"/>
    <m/>
    <m/>
    <s v="窄柜-整柜洞石背板-0.8米"/>
    <s v="樱桃木窄柜"/>
    <n v="800"/>
    <s v="已结算"/>
    <s v="庄毅"/>
    <n v="3855.346666666666"/>
    <n v="3100"/>
    <n v="307.08"/>
    <n v="115"/>
    <m/>
    <n v="30"/>
    <n v="236.6666666666667"/>
    <n v="54.9"/>
    <m/>
    <m/>
    <n v="4"/>
    <m/>
    <m/>
    <m/>
    <m/>
    <m/>
    <m/>
    <n v="3.5"/>
    <m/>
    <n v="3"/>
    <m/>
    <m/>
    <m/>
    <m/>
    <n v="1.2"/>
    <m/>
    <m/>
    <m/>
    <m/>
    <m/>
    <n v="274"/>
    <n v="0"/>
    <n v="80"/>
    <n v="0"/>
    <n v="260"/>
    <n v="0"/>
    <n v="0"/>
    <n v="0"/>
    <n v="1"/>
    <n v="4469.346666666666"/>
    <n v="4756.44"/>
    <n v="0"/>
    <n v="123.66744"/>
    <n v="4632.772559999999"/>
    <n v="260"/>
    <n v="0"/>
    <n v="260"/>
    <n v="423.4258933333331"/>
    <s v="郑先生"/>
    <s v="江苏省 南京市 浦口区 江浦街道 横江大道中海左岸澜庭7栋2402"/>
    <s v="15780620259-3880"/>
    <m/>
    <n v="4632.772559999999"/>
  </r>
  <r>
    <x v="80"/>
    <s v="已收货"/>
    <x v="133"/>
    <s v="戚玲佩"/>
    <m/>
    <m/>
    <s v="补拼柜差价"/>
    <m/>
    <m/>
    <s v="已结算"/>
    <s v="江西"/>
    <n v="0"/>
    <n v="0"/>
    <m/>
    <m/>
    <m/>
    <m/>
    <m/>
    <m/>
    <m/>
    <m/>
    <m/>
    <m/>
    <m/>
    <m/>
    <m/>
    <m/>
    <m/>
    <m/>
    <m/>
    <m/>
    <m/>
    <m/>
    <m/>
    <m/>
    <m/>
    <m/>
    <m/>
    <m/>
    <m/>
    <m/>
    <m/>
    <m/>
    <m/>
    <m/>
    <m/>
    <m/>
    <m/>
    <m/>
    <n v="1"/>
    <n v="0"/>
    <n v="355"/>
    <n v="0"/>
    <n v="9.23"/>
    <n v="345.77"/>
    <n v="0"/>
    <n v="0"/>
    <n v="0"/>
    <n v="345.77"/>
    <s v="戚玲佩"/>
    <s v="浙江省 温州市 鹿城区 五马街道江滨西路东江锦园10栋2401室"/>
    <s v="18413500443-6429"/>
    <m/>
    <n v="345.77"/>
  </r>
  <r>
    <x v="81"/>
    <s v="已收货"/>
    <x v="134"/>
    <s v="谭小姐"/>
    <m/>
    <m/>
    <s v="曜黑柜-整柜-2.065米-定制"/>
    <s v="曜黑餐边柜"/>
    <n v="2065"/>
    <s v="已结算,超透玻璃"/>
    <s v="江西"/>
    <n v="11477.60833333333"/>
    <n v="9800"/>
    <n v="360"/>
    <s v="22*3"/>
    <n v="652.4"/>
    <m/>
    <n v="44"/>
    <n v="46"/>
    <n v="20"/>
    <m/>
    <m/>
    <s v="2550/6/1.5"/>
    <s v="2.025*15"/>
    <n v="30"/>
    <m/>
    <m/>
    <m/>
    <n v="52"/>
    <m/>
    <n v="25"/>
    <n v="30"/>
    <m/>
    <m/>
    <m/>
    <s v="12*3"/>
    <m/>
    <m/>
    <n v="370"/>
    <m/>
    <m/>
    <n v="210.2"/>
    <n v="68.40000000000001"/>
    <n v="168"/>
    <n v="0"/>
    <n v="552"/>
    <n v="0"/>
    <n v="132"/>
    <n v="100"/>
    <n v="1"/>
    <n v="12708.20833333333"/>
    <n v="14700"/>
    <n v="0"/>
    <n v="382.2"/>
    <n v="14317.8"/>
    <n v="0"/>
    <n v="0"/>
    <n v="0"/>
    <n v="1609.591666666665"/>
    <s v="谭小姐"/>
    <s v="广东省 湛江市 赤坎区 经济技术开发区人民大道北2号大中城市花园1号楼2单元304房"/>
    <s v="13249637062-8184"/>
    <m/>
    <n v="14317.8"/>
  </r>
  <r>
    <x v="82"/>
    <s v="已收货"/>
    <x v="135"/>
    <s v="高丽"/>
    <m/>
    <m/>
    <s v="洞石樱桃木柜：2100*500"/>
    <s v="洞石餐边柜"/>
    <n v="2100"/>
    <s v="已结算,灰色玻璃"/>
    <s v="江西"/>
    <n v="7965.066666666667"/>
    <n v="6300"/>
    <n v="40"/>
    <n v="115"/>
    <n v="320"/>
    <m/>
    <s v="22*7"/>
    <n v="14"/>
    <n v="8.5"/>
    <m/>
    <m/>
    <n v="7"/>
    <n v="657.08"/>
    <s v="52*2"/>
    <n v="17.5"/>
    <m/>
    <m/>
    <m/>
    <s v="2040/6/1.5"/>
    <n v="14"/>
    <n v="4.82"/>
    <m/>
    <m/>
    <m/>
    <m/>
    <m/>
    <m/>
    <n v="320"/>
    <m/>
    <m/>
    <n v="0"/>
    <n v="0"/>
    <n v="498"/>
    <n v="0"/>
    <n v="0"/>
    <n v="0"/>
    <n v="132"/>
    <n v="250"/>
    <n v="1"/>
    <n v="8845.066666666666"/>
    <n v="11896"/>
    <n v="0"/>
    <n v="71.376"/>
    <n v="11824.624"/>
    <n v="0"/>
    <n v="0"/>
    <n v="0"/>
    <n v="2979.557333333334"/>
    <s v="高丽"/>
    <s v="湖南省 长沙市 岳麓区 洋湖街道六亩丘路国宸府小区5栋一单元1002房"/>
    <s v="18472625695-4631"/>
    <m/>
    <n v="11824.624"/>
  </r>
  <r>
    <x v="82"/>
    <s v="已收货"/>
    <x v="136"/>
    <s v="洪先生"/>
    <m/>
    <m/>
    <s v="榉木洞石柜子+餐桌：上柜1560*400*1070  下柜：1560*400*850"/>
    <s v="洞石餐边柜"/>
    <n v="1560"/>
    <s v="已结算,灰色玻璃"/>
    <s v="江西"/>
    <n v="6590.246666666667"/>
    <n v="4800"/>
    <s v="22*5"/>
    <n v="8.5"/>
    <s v="2040/6/1.5"/>
    <m/>
    <n v="38"/>
    <n v="14"/>
    <n v="509.08"/>
    <m/>
    <m/>
    <s v="52*3"/>
    <n v="38"/>
    <n v="220"/>
    <m/>
    <m/>
    <m/>
    <m/>
    <n v="25"/>
    <n v="220"/>
    <n v="190"/>
    <m/>
    <m/>
    <m/>
    <n v="35"/>
    <m/>
    <m/>
    <n v="190"/>
    <m/>
    <m/>
    <n v="260"/>
    <n v="0"/>
    <n v="500"/>
    <n v="0"/>
    <n v="0"/>
    <n v="0"/>
    <n v="107"/>
    <n v="0"/>
    <n v="1"/>
    <n v="7457.246666666667"/>
    <n v="9076"/>
    <n v="0"/>
    <n v="54.456"/>
    <n v="9021.544"/>
    <n v="0"/>
    <n v="0"/>
    <n v="0"/>
    <n v="1564.297333333333"/>
    <s v="洪先生"/>
    <s v="上海 上海市 普陀区 宜川路街道交通路1517弄和丰苑1号楼402"/>
    <s v="18466965930-8588"/>
    <m/>
    <n v="9021.544"/>
  </r>
  <r>
    <x v="82"/>
    <s v="已收货"/>
    <x v="137"/>
    <s v="小王"/>
    <m/>
    <m/>
    <s v="砂白色2.0米岩板餐桌"/>
    <s v="榉木餐桌"/>
    <s v="200cm*85cm"/>
    <s v="已结算"/>
    <s v="江西"/>
    <n v="2402.5"/>
    <n v="1630"/>
    <m/>
    <m/>
    <m/>
    <m/>
    <n v="640"/>
    <m/>
    <m/>
    <m/>
    <m/>
    <m/>
    <m/>
    <m/>
    <m/>
    <m/>
    <m/>
    <m/>
    <n v="2.5"/>
    <m/>
    <m/>
    <m/>
    <m/>
    <m/>
    <m/>
    <m/>
    <m/>
    <n v="130"/>
    <m/>
    <m/>
    <n v="163"/>
    <n v="35"/>
    <n v="79"/>
    <n v="0"/>
    <n v="0"/>
    <n v="0"/>
    <n v="28"/>
    <n v="50"/>
    <n v="1"/>
    <n v="2757.5"/>
    <n v="3417.85"/>
    <n v="0"/>
    <n v="20.5071"/>
    <n v="3397.3429"/>
    <n v="0"/>
    <n v="0"/>
    <n v="0"/>
    <n v="639.8429000000001"/>
    <s v="小王"/>
    <s v="山东省 烟台市 莱山区 马山街道马山寨·海景豪庭13号楼402"/>
    <s v="18454590832-8163"/>
    <m/>
    <m/>
  </r>
  <r>
    <x v="83"/>
    <s v="退单"/>
    <x v="138"/>
    <s v="杨洁"/>
    <s v="已发货"/>
    <m/>
    <s v="0.8洞石窄柜 48cm"/>
    <s v="樱桃木窄柜"/>
    <n v="800"/>
    <m/>
    <s v="庄毅"/>
    <n v="0"/>
    <n v="0"/>
    <m/>
    <m/>
    <m/>
    <m/>
    <m/>
    <m/>
    <m/>
    <m/>
    <m/>
    <m/>
    <m/>
    <m/>
    <m/>
    <m/>
    <m/>
    <m/>
    <m/>
    <m/>
    <m/>
    <m/>
    <m/>
    <m/>
    <m/>
    <m/>
    <m/>
    <m/>
    <m/>
    <m/>
    <n v="0"/>
    <n v="0"/>
    <n v="0"/>
    <n v="0"/>
    <n v="0"/>
    <n v="0"/>
    <n v="0"/>
    <n v="0"/>
    <n v="1"/>
    <n v="0"/>
    <n v="0"/>
    <n v="0"/>
    <n v="0"/>
    <n v="0"/>
    <n v="0"/>
    <n v="0"/>
    <n v="0"/>
    <n v="0"/>
    <s v="杨洁"/>
    <s v="贵州省 遵义市 红花岗区 新蒲街道贵州省遵义市新蒲新区金科集美天宸18栋2单元701"/>
    <s v="18400328953-7541"/>
    <m/>
    <n v="0"/>
  </r>
  <r>
    <x v="84"/>
    <s v="已收货"/>
    <x v="139"/>
    <s v="孙女士"/>
    <s v="已发货"/>
    <m/>
    <s v="原木色1.8米餐桌，定制"/>
    <s v="榉木餐桌"/>
    <s v="180cm*90cm"/>
    <s v="已结算"/>
    <s v="江西"/>
    <n v="2180"/>
    <n v="2050"/>
    <m/>
    <m/>
    <m/>
    <m/>
    <m/>
    <m/>
    <m/>
    <m/>
    <m/>
    <m/>
    <m/>
    <m/>
    <m/>
    <m/>
    <m/>
    <m/>
    <m/>
    <m/>
    <m/>
    <m/>
    <m/>
    <m/>
    <m/>
    <m/>
    <m/>
    <n v="130"/>
    <m/>
    <m/>
    <n v="171"/>
    <n v="10"/>
    <n v="69"/>
    <n v="0"/>
    <n v="0"/>
    <n v="0"/>
    <n v="24"/>
    <n v="0"/>
    <n v="1"/>
    <n v="2454"/>
    <n v="3045"/>
    <n v="0"/>
    <n v="18.27"/>
    <n v="3026.73"/>
    <n v="0"/>
    <n v="0"/>
    <n v="0"/>
    <n v="572.73"/>
    <s v="孙女士"/>
    <s v="四川省 成都市 双流区 华阳街道 阳光城半山悦2期33-2-1204"/>
    <s v="18426541470-5744"/>
    <m/>
    <n v="3026.73"/>
  </r>
  <r>
    <x v="85"/>
    <s v="已收货"/>
    <x v="140"/>
    <s v="沈思"/>
    <m/>
    <m/>
    <s v="黑胡桃样块"/>
    <s v="样块"/>
    <m/>
    <s v="已结算"/>
    <s v="杭州"/>
    <n v="12"/>
    <n v="10"/>
    <m/>
    <m/>
    <m/>
    <m/>
    <m/>
    <m/>
    <m/>
    <m/>
    <m/>
    <m/>
    <m/>
    <m/>
    <m/>
    <m/>
    <m/>
    <m/>
    <m/>
    <m/>
    <m/>
    <m/>
    <m/>
    <m/>
    <m/>
    <m/>
    <m/>
    <n v="2"/>
    <m/>
    <m/>
    <n v="5"/>
    <n v="0"/>
    <n v="0"/>
    <n v="0"/>
    <n v="0"/>
    <n v="0"/>
    <n v="0"/>
    <n v="0"/>
    <n v="1"/>
    <n v="17"/>
    <n v="50"/>
    <n v="0"/>
    <n v="0.3"/>
    <n v="49.7"/>
    <n v="0"/>
    <n v="0"/>
    <n v="0"/>
    <n v="32.7"/>
    <s v="沈思"/>
    <s v="江西省 景德镇市 浮梁县 臧湾乡寒溪村"/>
    <s v="17507981492-9408"/>
    <m/>
    <n v="49.7"/>
  </r>
  <r>
    <x v="85"/>
    <s v="已收货"/>
    <x v="141"/>
    <s v="杨周"/>
    <m/>
    <m/>
    <s v="2米旋转柜+1.35岩板桌，高度220"/>
    <s v="旋转餐边柜"/>
    <n v="2000"/>
    <s v="已结算,茶色玻璃"/>
    <s v="江西"/>
    <n v="9026"/>
    <n v="6770"/>
    <m/>
    <m/>
    <m/>
    <m/>
    <m/>
    <n v="42"/>
    <m/>
    <m/>
    <m/>
    <n v="52"/>
    <n v="198"/>
    <n v="22"/>
    <m/>
    <m/>
    <m/>
    <m/>
    <n v="27"/>
    <n v="76"/>
    <m/>
    <m/>
    <m/>
    <m/>
    <m/>
    <m/>
    <m/>
    <n v="470"/>
    <m/>
    <m/>
    <n v="912"/>
    <n v="100"/>
    <n v="100"/>
    <n v="0"/>
    <n v="100"/>
    <n v="0"/>
    <n v="107"/>
    <n v="100"/>
    <n v="1"/>
    <n v="10445"/>
    <n v="12500"/>
    <n v="0"/>
    <n v="75"/>
    <n v="12425"/>
    <n v="0"/>
    <n v="0"/>
    <n v="0"/>
    <n v="1980"/>
    <s v="杨周"/>
    <s v="天津 天津市 津南区 海河教育园区 中海南开郡35-3-201"/>
    <s v="17822665967-2049"/>
    <m/>
    <n v="12425"/>
  </r>
  <r>
    <x v="85"/>
    <s v="已收货"/>
    <x v="142"/>
    <s v="孙先生"/>
    <s v="洞石背板"/>
    <m/>
    <s v="曜黑柜-整柜-2.1米-定制"/>
    <s v="曜黑餐边柜"/>
    <n v="2100"/>
    <s v="已结算,长虹玻璃"/>
    <s v="江西"/>
    <n v="13012.28833333333"/>
    <n v="9000"/>
    <n v="850"/>
    <n v="400"/>
    <n v="490"/>
    <m/>
    <s v="22*3"/>
    <n v="379"/>
    <n v="319"/>
    <m/>
    <m/>
    <n v="288"/>
    <n v="657.08"/>
    <n v="44"/>
    <m/>
    <m/>
    <m/>
    <n v="30"/>
    <n v="20"/>
    <n v="46"/>
    <s v="2550/6/1.5"/>
    <m/>
    <m/>
    <m/>
    <s v="2.025*15"/>
    <m/>
    <m/>
    <n v="25"/>
    <n v="2.5"/>
    <n v="30"/>
    <n v="52"/>
    <n v="0"/>
    <n v="0"/>
    <n v="0"/>
    <n v="0"/>
    <n v="0"/>
    <n v="100"/>
    <n v="0"/>
    <n v="1"/>
    <n v="13164.28833333333"/>
    <n v="16400"/>
    <n v="0"/>
    <n v="98.40000000000001"/>
    <n v="16301.6"/>
    <n v="0"/>
    <n v="0"/>
    <n v="0"/>
    <n v="3137.311666666666"/>
    <s v="孙先生"/>
    <s v="浙江省 杭州市 拱墅区 康桥街道锦翠金宸府19栋402室"/>
    <s v="18413212041-5305"/>
    <m/>
    <n v="16301.6"/>
  </r>
  <r>
    <x v="86"/>
    <s v="已收货"/>
    <x v="143"/>
    <s v="丁海生"/>
    <m/>
    <m/>
    <s v="黑胡桃岩板餐桌2米，定制（可可蛋奶岩板：200*80*76）"/>
    <s v="黑胡桃木岩板餐桌"/>
    <s v="200cm*80cm"/>
    <s v="已结算"/>
    <s v="江西"/>
    <n v="3072.5"/>
    <n v="2400"/>
    <m/>
    <m/>
    <m/>
    <m/>
    <n v="480"/>
    <m/>
    <m/>
    <m/>
    <m/>
    <m/>
    <m/>
    <m/>
    <m/>
    <m/>
    <m/>
    <m/>
    <n v="2.5"/>
    <m/>
    <m/>
    <m/>
    <m/>
    <m/>
    <m/>
    <m/>
    <m/>
    <n v="190"/>
    <m/>
    <m/>
    <n v="269"/>
    <n v="84"/>
    <n v="88"/>
    <n v="0"/>
    <n v="180"/>
    <n v="0"/>
    <n v="28"/>
    <n v="50"/>
    <n v="1"/>
    <n v="3771.5"/>
    <n v="4400"/>
    <n v="0"/>
    <n v="26.4"/>
    <n v="4373.6"/>
    <n v="0"/>
    <n v="0"/>
    <n v="0"/>
    <n v="602.1000000000004"/>
    <s v="丁海生"/>
    <s v="浙江省 宁波市 镇海区 骆驼街道金华北路和镇骆西路三里风荷府4号8单元2001室"/>
    <s v="14757344386-2125"/>
    <m/>
    <n v="4373.6"/>
  </r>
  <r>
    <x v="87"/>
    <s v="已收货"/>
    <x v="144"/>
    <s v="鹿小鸭"/>
    <m/>
    <m/>
    <s v="樱桃木款洞石背板2米长，1.7高，无顶柜，下柜深度45cm，背板追加一个木隔板"/>
    <s v="洞石餐边柜"/>
    <n v="2000"/>
    <s v="已结算"/>
    <s v="江西"/>
    <n v="6671.746666666667"/>
    <n v="4600"/>
    <s v="52*2"/>
    <n v="360"/>
    <n v="55"/>
    <m/>
    <n v="340"/>
    <n v="618.08"/>
    <s v="2040/6/1.5"/>
    <m/>
    <m/>
    <n v="100"/>
    <n v="92"/>
    <s v="22*8"/>
    <m/>
    <m/>
    <m/>
    <m/>
    <m/>
    <m/>
    <m/>
    <m/>
    <m/>
    <m/>
    <m/>
    <m/>
    <m/>
    <m/>
    <m/>
    <m/>
    <m/>
    <n v="80"/>
    <n v="200"/>
    <n v="0"/>
    <n v="0"/>
    <n v="0"/>
    <n v="100"/>
    <n v="0"/>
    <n v="1"/>
    <n v="7051.746666666667"/>
    <n v="10719"/>
    <n v="0"/>
    <n v="64.31400000000001"/>
    <n v="10654.686"/>
    <n v="0"/>
    <n v="0"/>
    <n v="0"/>
    <n v="3602.939333333333"/>
    <s v="鹿小鸭"/>
    <s v="北京 北京市 东城区 东直门街道香河园路1号万国城moma12号楼1603室"/>
    <s v="13141001147-5032"/>
    <m/>
    <m/>
  </r>
  <r>
    <x v="88"/>
    <s v="已收货"/>
    <x v="145"/>
    <s v="李增洁"/>
    <m/>
    <m/>
    <s v="砂白色1.6米岩板餐桌"/>
    <s v="榉木餐桌"/>
    <s v="160cm*85cm"/>
    <s v="已结算"/>
    <s v="江西"/>
    <n v="1922.5"/>
    <n v="1520"/>
    <m/>
    <m/>
    <m/>
    <m/>
    <n v="220"/>
    <m/>
    <m/>
    <m/>
    <m/>
    <m/>
    <m/>
    <m/>
    <m/>
    <m/>
    <m/>
    <m/>
    <n v="2.5"/>
    <m/>
    <m/>
    <m/>
    <m/>
    <m/>
    <m/>
    <m/>
    <m/>
    <n v="180"/>
    <m/>
    <m/>
    <n v="267"/>
    <n v="30"/>
    <n v="70"/>
    <n v="0"/>
    <n v="0"/>
    <n v="0"/>
    <n v="19"/>
    <n v="0"/>
    <n v="1"/>
    <n v="2308.5"/>
    <n v="2782.06"/>
    <n v="0"/>
    <n v="16.69236"/>
    <n v="2765.36764"/>
    <n v="0"/>
    <n v="0"/>
    <n v="0"/>
    <n v="456.8676399999999"/>
    <s v="李增洁"/>
    <s v="海南省 海口市 美兰区 白沙街道玉海豪庭3号楼1单元601号"/>
    <s v="17589171914-2292"/>
    <m/>
    <m/>
  </r>
  <r>
    <x v="89"/>
    <s v="已收货"/>
    <x v="146"/>
    <s v="陈逸翔"/>
    <m/>
    <m/>
    <s v="榉木餐边柜：1.2"/>
    <s v="榉木餐边柜"/>
    <m/>
    <s v="已结算"/>
    <s v="江西"/>
    <n v="5004"/>
    <n v="3500"/>
    <n v="320"/>
    <n v="200"/>
    <n v="52"/>
    <m/>
    <s v="22*4"/>
    <n v="68"/>
    <n v="752"/>
    <m/>
    <m/>
    <n v="24"/>
    <m/>
    <m/>
    <m/>
    <m/>
    <m/>
    <m/>
    <m/>
    <m/>
    <m/>
    <m/>
    <m/>
    <m/>
    <m/>
    <m/>
    <m/>
    <n v="320"/>
    <m/>
    <m/>
    <n v="216"/>
    <n v="68"/>
    <n v="99"/>
    <n v="0"/>
    <n v="0"/>
    <n v="0"/>
    <n v="79"/>
    <n v="0"/>
    <n v="1"/>
    <n v="5466"/>
    <n v="7726.47"/>
    <n v="0"/>
    <n v="46.35882"/>
    <n v="7680.11118"/>
    <n v="0"/>
    <n v="0"/>
    <n v="0"/>
    <n v="2214.11118"/>
    <s v="陈逸翔"/>
    <s v="浙江省 衢州市 柯城区 白云街道 云澜府25幢1单元501"/>
    <s v="18413290012-4008"/>
    <m/>
    <m/>
  </r>
  <r>
    <x v="89"/>
    <s v="已收货"/>
    <x v="147"/>
    <s v="杨鹏"/>
    <m/>
    <m/>
    <s v="砂白色1.4米岩板餐桌，定制"/>
    <s v="榉木餐桌"/>
    <s v="140cm*80cm"/>
    <s v="已结算"/>
    <s v="江西"/>
    <n v="1872.5"/>
    <n v="1480"/>
    <m/>
    <m/>
    <m/>
    <m/>
    <n v="220"/>
    <m/>
    <m/>
    <m/>
    <m/>
    <m/>
    <m/>
    <m/>
    <m/>
    <m/>
    <m/>
    <m/>
    <n v="2.5"/>
    <m/>
    <m/>
    <m/>
    <m/>
    <m/>
    <m/>
    <m/>
    <m/>
    <n v="170"/>
    <m/>
    <m/>
    <n v="150"/>
    <n v="10"/>
    <n v="75"/>
    <n v="0"/>
    <n v="0"/>
    <n v="0"/>
    <n v="16"/>
    <n v="0"/>
    <n v="1"/>
    <n v="2123.5"/>
    <n v="2672.86"/>
    <n v="0"/>
    <n v="16.03716"/>
    <n v="2656.82284"/>
    <n v="0"/>
    <n v="0"/>
    <n v="0"/>
    <n v="533.3228400000003"/>
    <s v="杨鹏"/>
    <s v="广西壮族自治区 桂林市 秀峰区 甲山街道 阳江北路大龙湾15栋3单元302"/>
    <s v="15578352246-6259"/>
    <m/>
    <m/>
  </r>
  <r>
    <x v="89"/>
    <s v="已收货"/>
    <x v="148"/>
    <s v="王子艳"/>
    <s v="已发货"/>
    <m/>
    <s v="定制2.1米洞石整柜-补差价"/>
    <s v="洞石餐边柜"/>
    <m/>
    <s v="已结算"/>
    <s v="江西"/>
    <n v="0"/>
    <n v="0"/>
    <m/>
    <m/>
    <m/>
    <m/>
    <m/>
    <m/>
    <m/>
    <m/>
    <m/>
    <m/>
    <m/>
    <m/>
    <m/>
    <m/>
    <m/>
    <m/>
    <m/>
    <m/>
    <m/>
    <m/>
    <m/>
    <m/>
    <m/>
    <m/>
    <m/>
    <m/>
    <m/>
    <m/>
    <n v="0"/>
    <n v="0"/>
    <n v="0"/>
    <n v="0"/>
    <n v="0"/>
    <n v="0"/>
    <n v="0"/>
    <n v="0"/>
    <n v="1"/>
    <n v="0"/>
    <n v="65"/>
    <n v="0"/>
    <n v="0.39"/>
    <n v="64.61"/>
    <n v="0"/>
    <n v="0"/>
    <n v="0"/>
    <n v="64.61"/>
    <s v="王子艳"/>
    <s v="四川省 成都市 龙泉驿区 东安街道保利云上锦苑6栋1单元302号"/>
    <s v="18423730325-8441"/>
    <m/>
    <m/>
  </r>
  <r>
    <x v="90"/>
    <s v="已收货"/>
    <x v="149"/>
    <s v="猫十七"/>
    <m/>
    <m/>
    <s v="砂白色1.8米岩板餐桌"/>
    <s v="榉木餐桌"/>
    <s v="180cm*85cm"/>
    <s v="已结算"/>
    <s v="江西"/>
    <n v="1942.5"/>
    <n v="1540"/>
    <m/>
    <m/>
    <m/>
    <m/>
    <n v="220"/>
    <m/>
    <m/>
    <m/>
    <m/>
    <m/>
    <m/>
    <m/>
    <m/>
    <m/>
    <m/>
    <m/>
    <n v="2.5"/>
    <m/>
    <m/>
    <m/>
    <m/>
    <m/>
    <m/>
    <m/>
    <m/>
    <n v="180"/>
    <m/>
    <m/>
    <n v="111"/>
    <n v="10"/>
    <n v="80"/>
    <n v="0"/>
    <n v="0"/>
    <n v="0"/>
    <n v="0"/>
    <n v="125"/>
    <n v="1"/>
    <n v="2268.5"/>
    <n v="2268.5"/>
    <n v="0"/>
    <n v="13.611"/>
    <n v="2254.889"/>
    <n v="0"/>
    <n v="0"/>
    <n v="0"/>
    <n v="-13.61099999999988"/>
    <s v="猫十七"/>
    <s v="江苏省 常州市 武进区 湖塘镇融创常州御园2期2栋乙单元1401"/>
    <s v="18425149871-7489"/>
    <m/>
    <m/>
  </r>
  <r>
    <x v="90"/>
    <s v="已收货"/>
    <x v="150"/>
    <s v="李雅"/>
    <s v="已发货"/>
    <m/>
    <s v="窄柜-整柜洞石背板-1.2米"/>
    <s v="樱桃木窄柜"/>
    <n v="1200"/>
    <s v="已结算"/>
    <s v="庄毅"/>
    <n v="4605.216666666667"/>
    <n v="3600"/>
    <n v="411.08"/>
    <n v="125"/>
    <m/>
    <n v="76"/>
    <n v="316.6666666666667"/>
    <n v="62.4"/>
    <m/>
    <m/>
    <m/>
    <n v="8"/>
    <m/>
    <m/>
    <m/>
    <m/>
    <m/>
    <n v="3.37"/>
    <m/>
    <m/>
    <m/>
    <m/>
    <m/>
    <n v="1.6"/>
    <n v="1.1"/>
    <m/>
    <m/>
    <m/>
    <m/>
    <m/>
    <n v="436"/>
    <n v="0"/>
    <n v="115"/>
    <n v="0"/>
    <n v="228"/>
    <n v="0"/>
    <n v="0"/>
    <n v="0"/>
    <n v="1"/>
    <n v="5384.216666666667"/>
    <n v="5254.28"/>
    <n v="0"/>
    <n v="31.52568"/>
    <n v="5222.75432"/>
    <n v="228"/>
    <n v="0"/>
    <n v="228"/>
    <n v="66.53765333333286"/>
    <s v="李雅"/>
    <s v="北京 北京市 通州区 潞城镇含章园4区11号楼4单元401"/>
    <s v="18400738594-3667"/>
    <s v="JDV022152808925，2件"/>
    <n v="5222.75432"/>
  </r>
  <r>
    <x v="91"/>
    <s v="已收货"/>
    <x v="151"/>
    <s v="贺岚"/>
    <m/>
    <m/>
    <s v="窄柜-整柜洞石背板-1.0米-定制"/>
    <s v="樱桃木窄柜"/>
    <n v="1000"/>
    <s v="已结算"/>
    <s v="庄毅"/>
    <n v="4364.576666666667"/>
    <n v="3500"/>
    <n v="359.08"/>
    <n v="120"/>
    <m/>
    <n v="38"/>
    <n v="276.6666666666667"/>
    <n v="59.23"/>
    <m/>
    <m/>
    <n v="5"/>
    <m/>
    <m/>
    <m/>
    <m/>
    <n v="2"/>
    <n v="1.1"/>
    <n v="3.5"/>
    <m/>
    <m/>
    <m/>
    <m/>
    <m/>
    <m/>
    <m/>
    <m/>
    <m/>
    <m/>
    <m/>
    <m/>
    <n v="258"/>
    <n v="0"/>
    <n v="88"/>
    <n v="0"/>
    <n v="0"/>
    <n v="0"/>
    <n v="0"/>
    <n v="0"/>
    <n v="1"/>
    <n v="4710.576666666667"/>
    <n v="5645"/>
    <n v="0"/>
    <n v="33.87"/>
    <n v="5611.13"/>
    <n v="0"/>
    <n v="0"/>
    <n v="0"/>
    <n v="900.5533333333333"/>
    <s v="贺岚"/>
    <s v="广东省 广州市 海珠区 南石头街道 星汇海珠湾E区1栋1818 "/>
    <s v="13249627167-7448"/>
    <s v="JDV022497815015，2件"/>
    <n v="5611.13"/>
  </r>
  <r>
    <x v="92"/>
    <s v="已收货"/>
    <x v="152"/>
    <s v="陈中善"/>
    <m/>
    <m/>
    <s v="窄柜-整柜洞石背板-1.0米"/>
    <s v="樱桃木窄柜"/>
    <n v="1000"/>
    <s v="已结算"/>
    <s v="庄毅"/>
    <n v="3994.71"/>
    <n v="3300"/>
    <n v="359.08"/>
    <n v="120"/>
    <m/>
    <n v="38"/>
    <n v="106.8"/>
    <n v="59.23"/>
    <m/>
    <m/>
    <n v="5"/>
    <m/>
    <m/>
    <m/>
    <m/>
    <n v="2"/>
    <n v="1.1"/>
    <n v="3.5"/>
    <m/>
    <m/>
    <m/>
    <m/>
    <m/>
    <m/>
    <m/>
    <m/>
    <m/>
    <m/>
    <m/>
    <m/>
    <n v="246"/>
    <n v="0"/>
    <n v="0"/>
    <n v="0"/>
    <n v="0"/>
    <n v="0"/>
    <n v="0"/>
    <n v="0"/>
    <n v="1"/>
    <n v="4240.71"/>
    <n v="5056.64"/>
    <n v="0"/>
    <n v="30.33984"/>
    <n v="5026.300160000001"/>
    <n v="0"/>
    <n v="0"/>
    <n v="0"/>
    <n v="785.5901600000007"/>
    <s v="陈中善 97706 Josephine Chen"/>
    <s v="广东省 中山市  三乡镇广星路8号广星智能科技园C栋峰琳物流NZ仓会员:陈中善 97706"/>
    <s v="13048071056-9143"/>
    <s v="JDV022277261510，2件"/>
    <n v="5026.300160000001"/>
  </r>
  <r>
    <x v="92"/>
    <s v="已收货"/>
    <x v="153"/>
    <s v="冯女士"/>
    <s v="已发货"/>
    <m/>
    <s v="砂白色1.3米岩板餐桌，定制"/>
    <s v="榉木餐桌"/>
    <s v="130cm*75cm"/>
    <s v="已结算"/>
    <s v="庄毅"/>
    <n v="1628"/>
    <n v="1450"/>
    <m/>
    <m/>
    <m/>
    <m/>
    <n v="175.5"/>
    <m/>
    <m/>
    <m/>
    <m/>
    <m/>
    <m/>
    <m/>
    <m/>
    <m/>
    <m/>
    <m/>
    <n v="2.5"/>
    <m/>
    <m/>
    <m/>
    <m/>
    <m/>
    <m/>
    <m/>
    <m/>
    <m/>
    <m/>
    <m/>
    <n v="324"/>
    <n v="0"/>
    <n v="133"/>
    <n v="0"/>
    <n v="0"/>
    <n v="0"/>
    <n v="0"/>
    <n v="0"/>
    <n v="1"/>
    <n v="2085"/>
    <n v="2703"/>
    <n v="0"/>
    <n v="16.218"/>
    <n v="2686.782"/>
    <n v="0"/>
    <n v="0"/>
    <n v="0"/>
    <n v="601.7820000000002"/>
    <s v="冯女士"/>
    <s v="北京 北京市 朝阳区 大屯街道 慧忠里小区415号楼11层1102 "/>
    <s v="13439867112-1098"/>
    <s v="JDV022363769500，2件"/>
    <n v="2686.782"/>
  </r>
  <r>
    <x v="93"/>
    <s v="已收货"/>
    <x v="154"/>
    <s v="黄懿歆"/>
    <s v="已发货"/>
    <m/>
    <s v="曜黑柜-整柜-2.1米"/>
    <s v="曜黑餐边柜"/>
    <n v="2100"/>
    <s v="已结算"/>
    <s v="庄毅"/>
    <n v="11250.22833333333"/>
    <n v="9800"/>
    <n v="657.0799999999999"/>
    <n v="283.3333333333333"/>
    <s v="2.025*15"/>
    <m/>
    <n v="20"/>
    <s v="2.1*0.48*180"/>
    <s v="30*5"/>
    <m/>
    <m/>
    <n v="92"/>
    <n v="71"/>
    <n v="45"/>
    <m/>
    <m/>
    <m/>
    <m/>
    <m/>
    <n v="40"/>
    <m/>
    <m/>
    <m/>
    <m/>
    <m/>
    <m/>
    <m/>
    <m/>
    <m/>
    <m/>
    <n v="746"/>
    <n v="0"/>
    <n v="160"/>
    <n v="0"/>
    <n v="0"/>
    <n v="0"/>
    <n v="0"/>
    <n v="100"/>
    <n v="1"/>
    <n v="12256.22833333333"/>
    <n v="15632"/>
    <n v="0"/>
    <n v="93.792"/>
    <n v="15538.208"/>
    <n v="0"/>
    <n v="0"/>
    <n v="0"/>
    <n v="3281.979666666666"/>
    <s v="黄懿歆"/>
    <s v="贵州省 贵阳市 花溪区 溪北街道 中铁&amp;middot;阅花溪A组团12栋17楼2号"/>
    <s v="18400319567-1665"/>
    <m/>
    <m/>
  </r>
  <r>
    <x v="94"/>
    <s v="已收货"/>
    <x v="155"/>
    <s v="从心"/>
    <s v="已发货"/>
    <m/>
    <s v="窄柜-整柜洞石背板-1.2米"/>
    <s v="樱桃木窄柜"/>
    <n v="1200"/>
    <s v="已结算"/>
    <s v="庄毅"/>
    <n v="4605.216666666667"/>
    <n v="3600"/>
    <n v="411.08"/>
    <n v="125"/>
    <m/>
    <n v="76"/>
    <n v="316.6666666666667"/>
    <n v="62.4"/>
    <m/>
    <m/>
    <m/>
    <n v="8"/>
    <m/>
    <m/>
    <m/>
    <m/>
    <m/>
    <n v="3.37"/>
    <m/>
    <m/>
    <m/>
    <m/>
    <m/>
    <n v="1.6"/>
    <n v="1.1"/>
    <m/>
    <m/>
    <m/>
    <m/>
    <m/>
    <n v="333"/>
    <n v="0"/>
    <n v="108"/>
    <n v="0"/>
    <n v="0"/>
    <n v="0"/>
    <n v="0"/>
    <n v="0"/>
    <n v="1"/>
    <n v="5046.216666666667"/>
    <n v="5254.28"/>
    <n v="0"/>
    <n v="31.52568"/>
    <n v="5222.75432"/>
    <n v="0"/>
    <n v="0"/>
    <n v="0"/>
    <n v="176.5376533333329"/>
    <s v="从心"/>
    <s v="广东省 深圳市 龙华区 民治街道沙元路沙元埔42栋301"/>
    <s v="15794964805-9011"/>
    <s v="JDV022178869745，2件"/>
    <n v="5222.75432"/>
  </r>
  <r>
    <x v="95"/>
    <s v="已收货"/>
    <x v="156"/>
    <s v="施先生"/>
    <s v="已发货"/>
    <m/>
    <s v="窄柜-整柜洞石背板-0.8米-定制"/>
    <s v="樱桃木窄柜"/>
    <n v="800"/>
    <s v="已结算"/>
    <s v="庄毅"/>
    <n v="3955.346666666666"/>
    <n v="3200"/>
    <n v="307.08"/>
    <n v="115"/>
    <m/>
    <n v="30"/>
    <n v="236.6666666666667"/>
    <n v="54.9"/>
    <m/>
    <m/>
    <n v="4"/>
    <m/>
    <m/>
    <m/>
    <m/>
    <m/>
    <m/>
    <n v="3.5"/>
    <m/>
    <n v="3"/>
    <m/>
    <m/>
    <m/>
    <m/>
    <n v="1.2"/>
    <m/>
    <m/>
    <m/>
    <m/>
    <m/>
    <n v="196"/>
    <n v="0"/>
    <n v="130"/>
    <n v="0"/>
    <n v="0"/>
    <n v="0"/>
    <n v="0"/>
    <n v="0"/>
    <n v="1"/>
    <n v="4281.346666666666"/>
    <n v="4932.75"/>
    <n v="0"/>
    <n v="29.5965"/>
    <n v="4903.1535"/>
    <n v="0"/>
    <n v="0"/>
    <n v="0"/>
    <n v="621.806833333334"/>
    <s v="施先生"/>
    <s v="上海 上海市 宝山区 高境镇逸仙路1238弄43号202室"/>
    <s v="18466693147-3200"/>
    <s v="JDV022363724581，2件"/>
    <n v="4903.1535"/>
  </r>
  <r>
    <x v="96"/>
    <s v="已收货"/>
    <x v="157"/>
    <s v="许靖"/>
    <m/>
    <m/>
    <s v="黑胡桃下柜+凳子"/>
    <s v="旋转餐边柜"/>
    <m/>
    <s v="已结算"/>
    <s v="江西"/>
    <n v="8981"/>
    <n v="6700"/>
    <n v="1100"/>
    <n v="420"/>
    <n v="24"/>
    <m/>
    <s v="22*9"/>
    <s v="260*2"/>
    <n v="19"/>
    <m/>
    <m/>
    <m/>
    <m/>
    <m/>
    <m/>
    <m/>
    <m/>
    <m/>
    <m/>
    <m/>
    <m/>
    <m/>
    <m/>
    <m/>
    <m/>
    <m/>
    <m/>
    <n v="420"/>
    <m/>
    <m/>
    <n v="407"/>
    <n v="99"/>
    <n v="140"/>
    <n v="0"/>
    <n v="0"/>
    <n v="0"/>
    <n v="50"/>
    <n v="0"/>
    <n v="1"/>
    <n v="9677"/>
    <n v="13325"/>
    <n v="0"/>
    <n v="79.95"/>
    <n v="13245.05"/>
    <n v="0"/>
    <n v="0"/>
    <n v="0"/>
    <n v="3568.049999999999"/>
    <s v="许靖"/>
    <s v="广东省 深圳市 南山区 南头街道深圳市南山区桃园路前海花园9栋4单元708"/>
    <s v="13138896880-2514"/>
    <m/>
    <m/>
  </r>
  <r>
    <x v="96"/>
    <s v="已收货"/>
    <x v="158"/>
    <s v="孙先生"/>
    <m/>
    <m/>
    <s v="樱桃木洞石岩板桌1.95米-定制"/>
    <s v="樱桃木岩板餐桌2025"/>
    <s v="195cm*85cm"/>
    <s v="已结算"/>
    <s v="庄毅"/>
    <n v="1647.7"/>
    <n v="1380"/>
    <m/>
    <m/>
    <m/>
    <m/>
    <n v="265.2"/>
    <m/>
    <m/>
    <m/>
    <m/>
    <m/>
    <m/>
    <m/>
    <m/>
    <m/>
    <m/>
    <m/>
    <n v="2.5"/>
    <m/>
    <m/>
    <m/>
    <m/>
    <m/>
    <m/>
    <m/>
    <m/>
    <m/>
    <m/>
    <m/>
    <n v="552"/>
    <n v="0"/>
    <n v="141"/>
    <n v="220"/>
    <n v="0"/>
    <n v="0"/>
    <n v="0"/>
    <n v="150"/>
    <n v="1"/>
    <n v="2710.7"/>
    <n v="3227"/>
    <n v="0"/>
    <n v="19.362"/>
    <n v="3207.638"/>
    <n v="220"/>
    <n v="0"/>
    <n v="220"/>
    <n v="716.9380000000001"/>
    <s v="孙先生"/>
    <s v="江苏省 苏州市 虎丘区 狮山街道 淮海街182号大悦风华苑3幢601户"/>
    <s v="17895041792-9731"/>
    <s v="JDV022390396801，2件"/>
    <n v="3207.638"/>
  </r>
  <r>
    <x v="97"/>
    <s v="已收货"/>
    <x v="159"/>
    <s v="戚玲佩"/>
    <m/>
    <m/>
    <s v="追加2个五孔插座"/>
    <s v="配件"/>
    <m/>
    <s v="已结算"/>
    <s v="其他"/>
    <n v="110"/>
    <n v="110"/>
    <m/>
    <m/>
    <m/>
    <m/>
    <m/>
    <m/>
    <m/>
    <m/>
    <m/>
    <m/>
    <m/>
    <m/>
    <m/>
    <m/>
    <m/>
    <m/>
    <m/>
    <m/>
    <m/>
    <m/>
    <m/>
    <m/>
    <m/>
    <m/>
    <m/>
    <m/>
    <m/>
    <m/>
    <n v="8"/>
    <n v="0"/>
    <n v="0"/>
    <n v="0"/>
    <n v="0"/>
    <n v="0"/>
    <n v="0"/>
    <n v="0"/>
    <n v="1"/>
    <n v="118"/>
    <n v="200"/>
    <n v="0"/>
    <n v="1.2"/>
    <n v="198.8"/>
    <n v="0"/>
    <n v="0"/>
    <n v="0"/>
    <n v="80.80000000000001"/>
    <s v="戚玲佩"/>
    <s v="浙江省 温州市 鹿城区 五马街道江滨西路东江锦园10栋2401室"/>
    <s v="18413500443-6429"/>
    <m/>
    <m/>
  </r>
  <r>
    <x v="97"/>
    <s v="已收货"/>
    <x v="160"/>
    <s v="周"/>
    <m/>
    <m/>
    <s v="左旋樱桃木1.6柜+1.2双腿桌"/>
    <s v="旋转餐边柜"/>
    <n v="1600"/>
    <s v="已结算"/>
    <s v="江西"/>
    <n v="7374"/>
    <n v="5700"/>
    <m/>
    <m/>
    <m/>
    <m/>
    <m/>
    <n v="22"/>
    <n v="270"/>
    <m/>
    <m/>
    <n v="10"/>
    <n v="198"/>
    <n v="195"/>
    <m/>
    <m/>
    <m/>
    <m/>
    <m/>
    <n v="525"/>
    <m/>
    <m/>
    <m/>
    <m/>
    <m/>
    <m/>
    <m/>
    <n v="195"/>
    <m/>
    <m/>
    <n v="380"/>
    <n v="0"/>
    <n v="0"/>
    <n v="0"/>
    <n v="0"/>
    <n v="0"/>
    <n v="107"/>
    <n v="0"/>
    <n v="1"/>
    <n v="7861"/>
    <n v="11512.54"/>
    <n v="0"/>
    <n v="69.07524000000001"/>
    <n v="11443.46476"/>
    <n v="0"/>
    <n v="0"/>
    <n v="0"/>
    <n v="3582.464760000001"/>
    <s v="周"/>
    <s v="浙江省 杭州市 余杭区 五常街道荆山翠谷90号楼-1101"/>
    <s v="18468359566-3707"/>
    <m/>
    <m/>
  </r>
  <r>
    <x v="98"/>
    <s v="已收货"/>
    <x v="161"/>
    <s v="林静超"/>
    <s v="已发货"/>
    <m/>
    <s v="窄柜-整柜洞石背板-0.8米"/>
    <s v="樱桃木窄柜"/>
    <n v="800"/>
    <s v="已结算"/>
    <s v="庄毅"/>
    <n v="3855.346666666666"/>
    <n v="3100"/>
    <n v="307.08"/>
    <n v="115"/>
    <m/>
    <n v="30"/>
    <n v="236.6666666666667"/>
    <n v="54.9"/>
    <m/>
    <m/>
    <n v="4"/>
    <m/>
    <m/>
    <m/>
    <m/>
    <m/>
    <m/>
    <n v="3.5"/>
    <m/>
    <n v="3"/>
    <m/>
    <m/>
    <m/>
    <m/>
    <n v="1.2"/>
    <m/>
    <m/>
    <m/>
    <m/>
    <m/>
    <n v="231"/>
    <n v="0"/>
    <n v="85"/>
    <n v="0"/>
    <n v="0"/>
    <n v="0"/>
    <n v="0"/>
    <n v="0"/>
    <n v="1"/>
    <n v="4171.346666666666"/>
    <n v="4838.75"/>
    <n v="0"/>
    <n v="29.0325"/>
    <n v="4809.7175"/>
    <n v="0"/>
    <n v="0"/>
    <n v="0"/>
    <n v="638.3708333333334"/>
    <s v="林静超"/>
    <s v="江苏省 苏州市 虎丘区 东渚街道 大悦澜庭2栋1304 "/>
    <s v="17895043554-3428"/>
    <s v="JDV022836472441，2件"/>
    <n v="4809.7175"/>
  </r>
  <r>
    <x v="99"/>
    <s v="已收货"/>
    <x v="162"/>
    <s v="江松"/>
    <s v="已发货"/>
    <m/>
    <s v="洞石柜1.5米定制"/>
    <s v="洞石餐边柜"/>
    <n v="1500"/>
    <s v="已结算"/>
    <s v="庄毅"/>
    <n v="6646.546666666667"/>
    <n v="5360"/>
    <n v="501.08"/>
    <n v="226.6666666666667"/>
    <m/>
    <n v="76"/>
    <n v="226.6666666666667"/>
    <n v="76"/>
    <s v="1.5*0.58*160"/>
    <m/>
    <m/>
    <s v="(1.5"/>
    <s v="0.58*2)*60"/>
    <n v="10"/>
    <n v="17.5"/>
    <m/>
    <m/>
    <n v="7"/>
    <m/>
    <n v="20"/>
    <n v="10"/>
    <m/>
    <m/>
    <m/>
    <n v="40"/>
    <m/>
    <m/>
    <m/>
    <m/>
    <m/>
    <n v="504"/>
    <n v="0"/>
    <n v="210"/>
    <n v="0"/>
    <n v="0"/>
    <n v="0"/>
    <n v="0"/>
    <n v="0"/>
    <n v="1"/>
    <n v="7360.546666666667"/>
    <n v="10947"/>
    <n v="0"/>
    <n v="65.682"/>
    <n v="10881.318"/>
    <n v="0"/>
    <n v="0"/>
    <n v="0"/>
    <n v="3520.771333333332"/>
    <s v="江松"/>
    <s v="湖北省 武汉市 江岸区 车站街道 车站街办事处 京汉大道1238号(公安路路口)中城国际3栋2608室 "/>
    <s v="15623546065-5731"/>
    <s v="JDV023099393697，3件"/>
    <n v="10881.318"/>
  </r>
  <r>
    <x v="100"/>
    <s v="已收货"/>
    <x v="163"/>
    <s v="杜佳琪"/>
    <m/>
    <m/>
    <s v="洞石柜：1.8*0.5*2.1  2个插座"/>
    <s v="洞石餐边柜"/>
    <n v="1800"/>
    <s v="已结算"/>
    <s v="庄毅"/>
    <n v="7286.746666666667"/>
    <n v="6000"/>
    <m/>
    <n v="226.6666666666667"/>
    <n v="80"/>
    <n v="80"/>
    <n v="342"/>
    <m/>
    <m/>
    <m/>
    <m/>
    <n v="33"/>
    <n v="20"/>
    <n v="10"/>
    <m/>
    <m/>
    <m/>
    <m/>
    <n v="501.08"/>
    <n v="14"/>
    <n v="10"/>
    <m/>
    <m/>
    <m/>
    <m/>
    <m/>
    <m/>
    <m/>
    <m/>
    <m/>
    <n v="1116"/>
    <n v="0"/>
    <n v="158"/>
    <n v="0"/>
    <n v="0"/>
    <n v="0"/>
    <n v="0"/>
    <n v="0"/>
    <n v="1"/>
    <n v="8560.746666666666"/>
    <n v="11486.29"/>
    <n v="0"/>
    <n v="68.91773999999999"/>
    <n v="11417.37226"/>
    <n v="0"/>
    <n v="0"/>
    <n v="0"/>
    <n v="2856.625593333332"/>
    <s v="杜佳琪"/>
    <s v="山西省 太原市 小店区 坞城街道千禧锦绣苑北区"/>
    <s v="13240454959-8127"/>
    <m/>
    <m/>
  </r>
  <r>
    <x v="100"/>
    <s v="已收货"/>
    <x v="164"/>
    <s v="何文涛"/>
    <m/>
    <m/>
    <s v="窄柜-整柜洞石背板-1.0米"/>
    <s v="樱桃木窄柜"/>
    <n v="1000"/>
    <s v="已结算"/>
    <s v="庄毅"/>
    <n v="3994.71"/>
    <n v="3300"/>
    <n v="359.08"/>
    <n v="120"/>
    <m/>
    <n v="38"/>
    <n v="106.8"/>
    <n v="59.23"/>
    <m/>
    <m/>
    <n v="5"/>
    <m/>
    <m/>
    <m/>
    <m/>
    <n v="2"/>
    <n v="1.1"/>
    <n v="3.5"/>
    <m/>
    <m/>
    <m/>
    <m/>
    <m/>
    <m/>
    <m/>
    <m/>
    <m/>
    <m/>
    <m/>
    <m/>
    <n v="257"/>
    <n v="0"/>
    <n v="79"/>
    <n v="0"/>
    <n v="0"/>
    <n v="0"/>
    <n v="0"/>
    <n v="0"/>
    <n v="1"/>
    <n v="4330.71"/>
    <n v="5055.78"/>
    <n v="0"/>
    <n v="30.33468"/>
    <n v="5025.44532"/>
    <n v="0"/>
    <n v="0"/>
    <n v="0"/>
    <n v="694.7353199999998"/>
    <s v="何文涛"/>
    <s v="上海 上海市 金山区 漕泾镇 漕廊公路985弄1区11号201室 "/>
    <s v="18466626621-5066"/>
    <s v="JDV022813144963，2件"/>
    <n v="5025.44532"/>
  </r>
  <r>
    <x v="100"/>
    <s v="已收货"/>
    <x v="165"/>
    <s v="张师傅"/>
    <m/>
    <m/>
    <s v="左旋樱桃木1.6柜+1.2单腿桌，白色岩板  二次上门，师傅没收"/>
    <s v="旋转餐边柜"/>
    <n v="1600"/>
    <s v="已结算,茶色玻璃"/>
    <s v="江西"/>
    <n v="7219"/>
    <n v="5600"/>
    <m/>
    <m/>
    <m/>
    <m/>
    <m/>
    <n v="22"/>
    <n v="270"/>
    <m/>
    <m/>
    <n v="10"/>
    <n v="198"/>
    <n v="160"/>
    <m/>
    <m/>
    <m/>
    <m/>
    <m/>
    <n v="525"/>
    <m/>
    <m/>
    <m/>
    <m/>
    <m/>
    <m/>
    <m/>
    <n v="160"/>
    <m/>
    <m/>
    <n v="290"/>
    <n v="0"/>
    <n v="500"/>
    <n v="0"/>
    <n v="0"/>
    <n v="0"/>
    <n v="107"/>
    <n v="0"/>
    <n v="1"/>
    <n v="8116"/>
    <n v="9641.92"/>
    <n v="0"/>
    <n v="57.85152"/>
    <n v="9584.06848"/>
    <n v="0"/>
    <n v="0"/>
    <n v="0"/>
    <n v="1468.06848"/>
    <s v="张师傅"/>
    <s v="上海 上海市 普陀区 长寿路街道武宁路300弄5幢武宁路300弄14号2807室"/>
    <s v="18466681171-1547"/>
    <m/>
    <m/>
  </r>
  <r>
    <x v="100"/>
    <s v="已收货"/>
    <x v="166"/>
    <s v="吴女士"/>
    <s v="已发货"/>
    <m/>
    <s v="砂白色1.6米岩板餐桌"/>
    <s v="榉木餐桌"/>
    <s v="160cm*85cm"/>
    <s v="已结算"/>
    <s v="庄毅"/>
    <n v="1777.3"/>
    <n v="1530"/>
    <m/>
    <m/>
    <m/>
    <m/>
    <n v="244.8"/>
    <m/>
    <m/>
    <m/>
    <m/>
    <m/>
    <m/>
    <m/>
    <m/>
    <m/>
    <m/>
    <m/>
    <n v="2.5"/>
    <m/>
    <m/>
    <m/>
    <m/>
    <m/>
    <m/>
    <m/>
    <m/>
    <m/>
    <m/>
    <m/>
    <n v="318"/>
    <n v="0"/>
    <n v="86"/>
    <n v="0"/>
    <n v="0"/>
    <n v="0"/>
    <n v="0"/>
    <n v="133.1"/>
    <n v="1"/>
    <n v="2314.4"/>
    <n v="2948.41"/>
    <n v="0"/>
    <n v="17.69046"/>
    <n v="2930.71954"/>
    <n v="0"/>
    <n v="0"/>
    <n v="0"/>
    <n v="616.31954"/>
    <s v="吴女士"/>
    <s v="江苏省南通市 崇川区 城东街道东昇花园26号楼203室"/>
    <s v="18468405193-4050"/>
    <s v="JDV022398033922，2件"/>
    <n v="2930.71954"/>
  </r>
  <r>
    <x v="101"/>
    <s v="已收货"/>
    <x v="167"/>
    <s v="杜文静"/>
    <m/>
    <m/>
    <s v="窄柜-整柜洞石背板-1.0米"/>
    <s v="樱桃木窄柜"/>
    <n v="1000"/>
    <s v="已结算"/>
    <s v="庄毅"/>
    <n v="4164.576666666667"/>
    <n v="3300"/>
    <n v="359.08"/>
    <n v="120"/>
    <m/>
    <n v="38"/>
    <n v="276.6666666666667"/>
    <n v="59.23"/>
    <m/>
    <m/>
    <n v="5"/>
    <m/>
    <m/>
    <m/>
    <m/>
    <n v="2"/>
    <n v="1.1"/>
    <n v="3.5"/>
    <m/>
    <m/>
    <m/>
    <m/>
    <m/>
    <m/>
    <m/>
    <m/>
    <m/>
    <m/>
    <m/>
    <m/>
    <n v="402"/>
    <n v="0"/>
    <n v="0"/>
    <n v="0"/>
    <n v="0"/>
    <n v="0"/>
    <n v="0"/>
    <n v="255"/>
    <n v="1"/>
    <n v="4821.576666666667"/>
    <n v="5055.78"/>
    <n v="0"/>
    <n v="30.33468"/>
    <n v="5025.44532"/>
    <n v="0"/>
    <n v="0"/>
    <n v="0"/>
    <n v="203.868653333333"/>
    <s v="杜文静"/>
    <s v="北京 北京市 怀柔区 九渡河镇怀柔区 黄花镇村北洞44号1门-秋日黄昏"/>
    <s v="13161477844-8208"/>
    <m/>
    <m/>
  </r>
  <r>
    <x v="102"/>
    <s v="已收货"/>
    <x v="168"/>
    <s v="李爱华"/>
    <s v="已发货"/>
    <m/>
    <s v="砂白色1.8米岩板餐桌"/>
    <s v="榉木餐桌"/>
    <s v="180cm*85cm"/>
    <s v="已结算"/>
    <s v="庄毅"/>
    <n v="1857.9"/>
    <n v="1580"/>
    <m/>
    <m/>
    <m/>
    <m/>
    <n v="275.4"/>
    <m/>
    <m/>
    <m/>
    <m/>
    <m/>
    <m/>
    <m/>
    <m/>
    <m/>
    <m/>
    <m/>
    <n v="2.5"/>
    <m/>
    <m/>
    <m/>
    <m/>
    <m/>
    <m/>
    <m/>
    <m/>
    <m/>
    <m/>
    <m/>
    <n v="506"/>
    <n v="0"/>
    <n v="90"/>
    <n v="0"/>
    <n v="0"/>
    <n v="0"/>
    <n v="0"/>
    <n v="0"/>
    <n v="1"/>
    <n v="2453.9"/>
    <n v="2929.98"/>
    <n v="0"/>
    <n v="17.57988"/>
    <n v="2912.40012"/>
    <n v="0"/>
    <n v="0"/>
    <n v="0"/>
    <n v="458.5001200000002"/>
    <s v="李爱华"/>
    <s v="江苏省 苏州市 吴中区 郭巷街道 中海独墅岛3期231幢 2901 "/>
    <s v="15784504130-8835"/>
    <s v="JDV022612557429，2件"/>
    <n v="2912.40012"/>
  </r>
  <r>
    <x v="103"/>
    <s v="已收货"/>
    <x v="169"/>
    <s v="徐炜玮"/>
    <s v="已发货"/>
    <m/>
    <s v="窄柜-整柜洞石背板-0.8米"/>
    <s v="樱桃木窄柜"/>
    <n v="800"/>
    <s v="已结算"/>
    <s v="庄毅"/>
    <n v="3855.346666666666"/>
    <n v="3100"/>
    <n v="307.08"/>
    <n v="115"/>
    <m/>
    <n v="30"/>
    <n v="236.6666666666667"/>
    <n v="54.9"/>
    <m/>
    <m/>
    <n v="4"/>
    <m/>
    <m/>
    <m/>
    <m/>
    <m/>
    <m/>
    <n v="3.5"/>
    <m/>
    <n v="3"/>
    <m/>
    <m/>
    <m/>
    <m/>
    <n v="1.2"/>
    <m/>
    <m/>
    <m/>
    <m/>
    <m/>
    <n v="188"/>
    <n v="0"/>
    <n v="80"/>
    <n v="0"/>
    <n v="0"/>
    <n v="0"/>
    <n v="0"/>
    <n v="0"/>
    <n v="1"/>
    <n v="4123.346666666666"/>
    <n v="4843.75"/>
    <n v="0"/>
    <n v="29.0625"/>
    <n v="4814.6875"/>
    <n v="0"/>
    <n v="0"/>
    <n v="0"/>
    <n v="691.3408333333336"/>
    <s v="徐炜玮"/>
    <s v="江苏省 南京市 建邺区 莫愁湖街道 云锦美地汇锦苑4幢1单元502室"/>
    <s v="15780616203-9800"/>
    <s v="JDV022837834473，2件"/>
    <n v="4814.6875"/>
  </r>
  <r>
    <x v="104"/>
    <s v="已收货"/>
    <x v="170"/>
    <s v="张"/>
    <m/>
    <m/>
    <s v="曜黑柜-整柜-2.1米"/>
    <s v="曜黑餐边柜"/>
    <n v="2100"/>
    <s v="已结算"/>
    <s v="庄毅"/>
    <n v="13220.22833333333"/>
    <n v="11500"/>
    <n v="657.0799999999999"/>
    <n v="283.3333333333333"/>
    <s v="2.025*15"/>
    <m/>
    <n v="20"/>
    <s v="2.1*0.48*180"/>
    <s v="30*5"/>
    <m/>
    <m/>
    <n v="92"/>
    <n v="71"/>
    <n v="45"/>
    <m/>
    <m/>
    <m/>
    <m/>
    <s v="30*5"/>
    <n v="40"/>
    <m/>
    <m/>
    <m/>
    <m/>
    <m/>
    <m/>
    <m/>
    <m/>
    <m/>
    <m/>
    <n v="667"/>
    <n v="0"/>
    <n v="160"/>
    <m/>
    <n v="150"/>
    <m/>
    <m/>
    <n v="972"/>
    <n v="1"/>
    <n v="15169.22833333333"/>
    <n v="19216.08"/>
    <n v="0"/>
    <n v="115.29648"/>
    <n v="19100.78352"/>
    <n v="0"/>
    <n v="0"/>
    <n v="0"/>
    <n v="3931.555186666666"/>
    <s v="张"/>
    <s v="四川省 成都市 成华区 府青路街道 首钢璟辰里4栋"/>
    <s v="13164447061-4322"/>
    <m/>
    <n v="19100.78352"/>
  </r>
  <r>
    <x v="104"/>
    <s v="已收货"/>
    <x v="171"/>
    <s v="李大山"/>
    <s v="已发货"/>
    <m/>
    <s v="砂白色1.8米岩板餐桌"/>
    <s v="榉木餐桌"/>
    <s v="180cm*85cm"/>
    <s v="已结算"/>
    <s v="庄毅"/>
    <n v="1857.9"/>
    <n v="1580"/>
    <m/>
    <m/>
    <m/>
    <m/>
    <n v="275.4"/>
    <m/>
    <m/>
    <m/>
    <m/>
    <m/>
    <m/>
    <m/>
    <m/>
    <m/>
    <m/>
    <m/>
    <n v="2.5"/>
    <m/>
    <m/>
    <m/>
    <m/>
    <m/>
    <m/>
    <m/>
    <m/>
    <m/>
    <m/>
    <m/>
    <n v="403"/>
    <n v="0"/>
    <n v="78"/>
    <n v="0"/>
    <n v="0"/>
    <n v="0"/>
    <n v="0"/>
    <n v="0"/>
    <n v="1"/>
    <n v="2338.9"/>
    <n v="2910.5"/>
    <n v="0"/>
    <n v="17.463"/>
    <n v="2893.037"/>
    <n v="0"/>
    <n v="0"/>
    <n v="0"/>
    <n v="554.1369999999997"/>
    <s v="李大山"/>
    <s v="广西壮族自治区 玉林市 容县 容州镇广西壮族自治区玉林市容县百景园十三栋二单元701"/>
    <s v="13263754281-7656"/>
    <s v="JDV022649747684，2件"/>
    <n v="2893.037"/>
  </r>
  <r>
    <x v="105"/>
    <s v="已收货"/>
    <x v="172"/>
    <s v="李丽"/>
    <s v="已发货"/>
    <m/>
    <s v="窄柜-整柜洞石背板-1.2米"/>
    <s v="樱桃木窄柜"/>
    <n v="1200"/>
    <s v="已结算"/>
    <s v="庄毅"/>
    <n v="4496.299999999999"/>
    <n v="3600"/>
    <n v="411.08"/>
    <n v="125"/>
    <m/>
    <n v="76"/>
    <n v="316.6666666666667"/>
    <n v="62.4"/>
    <m/>
    <m/>
    <m/>
    <n v="8"/>
    <m/>
    <n v="3"/>
    <m/>
    <m/>
    <m/>
    <n v="3.37"/>
    <m/>
    <m/>
    <m/>
    <m/>
    <m/>
    <n v="1.16"/>
    <n v="1.1"/>
    <n v="10"/>
    <m/>
    <m/>
    <m/>
    <m/>
    <n v="296"/>
    <n v="0"/>
    <n v="100"/>
    <n v="0"/>
    <n v="0"/>
    <n v="0"/>
    <n v="0"/>
    <n v="0"/>
    <n v="1"/>
    <n v="4892.299999999999"/>
    <n v="5254.28"/>
    <n v="0"/>
    <n v="31.52568"/>
    <n v="5222.75432"/>
    <n v="0"/>
    <n v="0"/>
    <n v="0"/>
    <n v="330.4543200000007"/>
    <s v="李丽"/>
    <s v="江苏省 南京市 栖霞区 燕子矶街道 兰庭花境苑2-2201"/>
    <s v="18761876873"/>
    <s v="JDV023092942067，2件"/>
    <n v="5222.75432"/>
  </r>
  <r>
    <x v="106"/>
    <s v="已收货"/>
    <x v="173"/>
    <s v="冯云"/>
    <s v="已发货"/>
    <m/>
    <s v="窄柜1.5米"/>
    <s v="樱桃木窄柜"/>
    <n v="1500"/>
    <s v="已结算"/>
    <s v="庄毅"/>
    <n v="5364.259999999999"/>
    <n v="4300"/>
    <n v="501.08"/>
    <n v="226.6666666666667"/>
    <m/>
    <m/>
    <n v="145.2"/>
    <m/>
    <n v="60"/>
    <m/>
    <m/>
    <n v="33"/>
    <n v="14"/>
    <n v="8"/>
    <m/>
    <m/>
    <m/>
    <m/>
    <n v="3"/>
    <n v="501"/>
    <n v="22.4"/>
    <m/>
    <m/>
    <n v="1.16"/>
    <n v="1.1"/>
    <m/>
    <m/>
    <n v="16"/>
    <n v="10"/>
    <m/>
    <n v="375"/>
    <n v="0"/>
    <n v="0"/>
    <n v="0"/>
    <n v="0"/>
    <n v="0"/>
    <n v="0"/>
    <n v="0"/>
    <n v="1"/>
    <n v="5739.259999999999"/>
    <n v="6658"/>
    <n v="0"/>
    <n v="39.948"/>
    <n v="6618.052"/>
    <n v="0"/>
    <n v="0"/>
    <n v="0"/>
    <n v="878.7920000000004"/>
    <s v="冯云"/>
    <s v="江苏省 南京市 浦口区 顶山街道中海观江樾7号楼403"/>
    <s v="13245295044-6032"/>
    <s v="JDV023055813827，2件"/>
    <n v="6618.052"/>
  </r>
  <r>
    <x v="107"/>
    <s v="已收货"/>
    <x v="174"/>
    <s v="冯艳"/>
    <s v="已发货"/>
    <m/>
    <s v="窄柜-整柜洞石背板-1.2米"/>
    <s v="樱桃木窄柜"/>
    <n v="1200"/>
    <s v="已结算"/>
    <s v="庄毅"/>
    <n v="4614.299999999999"/>
    <n v="3600"/>
    <n v="521.0799999999999"/>
    <n v="125"/>
    <m/>
    <n v="76"/>
    <n v="316.6666666666667"/>
    <n v="62.4"/>
    <m/>
    <m/>
    <m/>
    <n v="8"/>
    <m/>
    <n v="3"/>
    <m/>
    <m/>
    <m/>
    <n v="3.37"/>
    <m/>
    <m/>
    <m/>
    <m/>
    <m/>
    <n v="1.16"/>
    <n v="1.1"/>
    <n v="10"/>
    <m/>
    <n v="8"/>
    <m/>
    <m/>
    <n v="428"/>
    <n v="0"/>
    <n v="88"/>
    <n v="0"/>
    <n v="0"/>
    <n v="0"/>
    <n v="0"/>
    <n v="0"/>
    <n v="1"/>
    <n v="5130.299999999999"/>
    <n v="5468.96"/>
    <n v="0"/>
    <n v="32.81376"/>
    <n v="5436.14624"/>
    <n v="0"/>
    <n v="0"/>
    <n v="0"/>
    <n v="305.8462400000008"/>
    <s v="冯艳"/>
    <s v="北京 北京市 海淀区 北下关街道 大慧寺七号院1号楼四单元1层401号 "/>
    <s v="13141374942-9717"/>
    <s v="JDV022825013893，2件"/>
    <n v="5436.14624"/>
  </r>
  <r>
    <x v="107"/>
    <s v="已收货"/>
    <x v="175"/>
    <s v="王先生"/>
    <s v="已调整，背板单独到的，需要二次上门_x000a_洞洞板*2（第一块尺寸不对）"/>
    <m/>
    <s v="窄柜-整柜洞洞背板-0.8米-定制"/>
    <s v="樱桃木窄柜"/>
    <n v="800"/>
    <s v="已结算"/>
    <s v="庄毅"/>
    <n v="3903.096666666666"/>
    <n v="3150"/>
    <n v="317"/>
    <m/>
    <n v="280"/>
    <m/>
    <n v="94"/>
    <n v="55.9"/>
    <m/>
    <m/>
    <n v="4"/>
    <m/>
    <m/>
    <m/>
    <m/>
    <m/>
    <m/>
    <n v="3.5"/>
    <m/>
    <n v="3"/>
    <m/>
    <m/>
    <m/>
    <m/>
    <n v="1.2"/>
    <n v="5"/>
    <m/>
    <m/>
    <m/>
    <m/>
    <n v="342"/>
    <n v="0"/>
    <n v="95"/>
    <n v="0"/>
    <n v="0"/>
    <n v="0"/>
    <n v="0"/>
    <n v="0"/>
    <n v="1"/>
    <n v="4340.096666666666"/>
    <n v="4695.23"/>
    <n v="0"/>
    <n v="28.17138"/>
    <n v="4667.05862"/>
    <n v="0"/>
    <n v="0"/>
    <n v="0"/>
    <n v="326.9619533333334"/>
    <s v="王先生"/>
    <s v="辽宁省 大连市 甘井子区 凌水街道高新园区广贤路130F广贤梁园5号楼1单元1804"/>
    <s v="18468320457-3274"/>
    <s v="JDV022893846136，2件"/>
    <n v="4667.05862"/>
  </r>
  <r>
    <x v="107"/>
    <s v="已收货"/>
    <x v="176"/>
    <s v="郭女士"/>
    <s v="已发货"/>
    <m/>
    <s v="砂白色1.8米岩板餐桌"/>
    <s v="榉木餐桌"/>
    <s v="180cm*85cm"/>
    <s v="已结算"/>
    <s v="庄毅"/>
    <n v="1857.9"/>
    <n v="1580"/>
    <m/>
    <m/>
    <m/>
    <m/>
    <n v="275.4"/>
    <m/>
    <m/>
    <m/>
    <m/>
    <m/>
    <m/>
    <m/>
    <m/>
    <m/>
    <m/>
    <m/>
    <n v="2.5"/>
    <m/>
    <m/>
    <m/>
    <m/>
    <m/>
    <m/>
    <m/>
    <m/>
    <m/>
    <m/>
    <m/>
    <n v="563"/>
    <n v="0"/>
    <n v="80"/>
    <n v="0"/>
    <n v="0"/>
    <n v="0"/>
    <n v="0"/>
    <n v="0"/>
    <n v="1"/>
    <n v="2500.9"/>
    <n v="2837.5"/>
    <n v="0"/>
    <n v="17.025"/>
    <n v="2820.475"/>
    <n v="0"/>
    <n v="0"/>
    <n v="0"/>
    <n v="319.5749999999998"/>
    <s v="郭女士"/>
    <s v="甘肃省平凉市泾川县订纪花园，区3号楼一单元"/>
    <s v="13077941784-7999"/>
    <s v="JDVC32131939333，2件"/>
    <n v="2820.475"/>
  </r>
  <r>
    <x v="107"/>
    <s v="已收货"/>
    <x v="177"/>
    <s v="刘思亦"/>
    <m/>
    <m/>
    <s v="九斗柜-设备柜"/>
    <s v="九斗柜"/>
    <s v="180cm*40cm"/>
    <s v="已结算"/>
    <s v="江西"/>
    <n v="3302"/>
    <n v="2850"/>
    <m/>
    <n v="24"/>
    <m/>
    <n v="90"/>
    <m/>
    <m/>
    <m/>
    <m/>
    <m/>
    <m/>
    <n v="198"/>
    <m/>
    <m/>
    <m/>
    <m/>
    <m/>
    <m/>
    <m/>
    <m/>
    <m/>
    <m/>
    <m/>
    <m/>
    <m/>
    <m/>
    <n v="140"/>
    <m/>
    <m/>
    <n v="125"/>
    <n v="40"/>
    <n v="0"/>
    <n v="0"/>
    <n v="0"/>
    <n v="0"/>
    <n v="0"/>
    <n v="0"/>
    <n v="1"/>
    <n v="3467"/>
    <n v="3694.15"/>
    <n v="0"/>
    <n v="22.1649"/>
    <n v="3671.9851"/>
    <n v="0"/>
    <n v="0"/>
    <n v="0"/>
    <n v="204.9850999999999"/>
    <s v="刘思亦"/>
    <s v="江苏省 南京市 江宁区 秣陵街道 长亭街55号新城珑湾花园7-1306"/>
    <s v="13042537124-9514"/>
    <m/>
    <m/>
  </r>
  <r>
    <x v="107"/>
    <s v="已收货"/>
    <x v="178"/>
    <s v="吳建祥"/>
    <s v="已调整，产品成本+洞洞板+电力轨道+变压器+触控按钮+常规灯带+隔板灯带+岩板+岩板打孔+插座转换头+连接片"/>
    <m/>
    <s v="2.1基础柜，美版"/>
    <s v="基础餐边柜"/>
    <n v="2100"/>
    <s v="已结算"/>
    <s v="庄毅"/>
    <n v="6198.44"/>
    <n v="4700"/>
    <n v="320"/>
    <n v="655"/>
    <n v="28"/>
    <m/>
    <n v="16"/>
    <n v="45"/>
    <n v="71"/>
    <m/>
    <m/>
    <s v="180*2.1*0.48"/>
    <n v="22"/>
    <n v="10"/>
    <m/>
    <m/>
    <m/>
    <m/>
    <m/>
    <s v="30*5"/>
    <m/>
    <m/>
    <m/>
    <m/>
    <m/>
    <m/>
    <m/>
    <m/>
    <m/>
    <m/>
    <n v="518"/>
    <n v="0"/>
    <n v="0"/>
    <n v="0"/>
    <n v="0"/>
    <n v="0"/>
    <n v="0"/>
    <n v="0"/>
    <n v="1"/>
    <n v="6716.44"/>
    <n v="8738.450000000001"/>
    <n v="0"/>
    <n v="52.43070000000001"/>
    <n v="8686.0193"/>
    <n v="0"/>
    <n v="0"/>
    <n v="0"/>
    <n v="1969.5793"/>
    <s v="吳建祥"/>
    <s v="福建省 漳州市 龙海区 角美镇#RZHN11CQ#角美镇龙江大道菜鸟网络园区1期1号库（台湾集运）@YSQ6WJK3"/>
    <n v="17750149643"/>
    <m/>
    <m/>
  </r>
  <r>
    <x v="108"/>
    <s v="已收货"/>
    <x v="179"/>
    <s v="田竺鑫"/>
    <m/>
    <m/>
    <s v="榉木1.2米柜下柜"/>
    <s v="榉木餐边柜"/>
    <m/>
    <s v="已结算"/>
    <s v="江西"/>
    <n v="2418"/>
    <n v="1920"/>
    <s v="22*4"/>
    <n v="200"/>
    <n v="20"/>
    <m/>
    <n v="190"/>
    <m/>
    <m/>
    <m/>
    <m/>
    <m/>
    <m/>
    <m/>
    <m/>
    <m/>
    <m/>
    <m/>
    <m/>
    <m/>
    <m/>
    <m/>
    <m/>
    <m/>
    <m/>
    <m/>
    <m/>
    <n v="190"/>
    <m/>
    <m/>
    <n v="211"/>
    <n v="40"/>
    <n v="288"/>
    <n v="0"/>
    <n v="0"/>
    <n v="0"/>
    <n v="0"/>
    <n v="1099"/>
    <n v="1"/>
    <n v="4056"/>
    <n v="5474.56"/>
    <n v="0"/>
    <n v="32.84736"/>
    <n v="5441.712640000001"/>
    <n v="0"/>
    <n v="0"/>
    <n v="0"/>
    <n v="1385.712640000001"/>
    <s v="田竺鑫"/>
    <s v="_x000a_四川省 成都市 双流区 兴隆街道 中建鹿溪澜岸13栋1单元402 "/>
    <s v="18418997024-5351"/>
    <m/>
    <m/>
  </r>
  <r>
    <x v="109"/>
    <s v="已收货"/>
    <x v="180"/>
    <s v="卞蕊"/>
    <m/>
    <m/>
    <s v="组合柜，宽度29：地脚+双抽"/>
    <s v="组合柜"/>
    <m/>
    <s v="已结算"/>
    <s v="江西"/>
    <n v="960"/>
    <n v="850"/>
    <s v="22*2"/>
    <s v="18*2"/>
    <n v="30"/>
    <m/>
    <m/>
    <m/>
    <m/>
    <m/>
    <m/>
    <m/>
    <m/>
    <m/>
    <m/>
    <m/>
    <m/>
    <m/>
    <m/>
    <m/>
    <m/>
    <m/>
    <m/>
    <m/>
    <m/>
    <m/>
    <m/>
    <n v="30"/>
    <m/>
    <m/>
    <n v="87"/>
    <n v="0"/>
    <n v="0"/>
    <n v="0"/>
    <n v="0"/>
    <n v="0"/>
    <n v="0"/>
    <n v="0"/>
    <n v="1"/>
    <n v="1047"/>
    <n v="1735"/>
    <n v="0"/>
    <n v="10.41"/>
    <n v="1724.59"/>
    <n v="0"/>
    <n v="0"/>
    <n v="0"/>
    <n v="677.5899999999999"/>
    <s v="卞蕊"/>
    <s v="上海 上海市 嘉定区 南翔镇象屿同进虹桥嘉悦府38-101"/>
    <s v="13148163385-8936"/>
    <m/>
    <m/>
  </r>
  <r>
    <x v="109"/>
    <s v="已收货"/>
    <x v="181"/>
    <s v="小哈苗苗"/>
    <m/>
    <m/>
    <s v="三个书柜，2.8米，等客户回复拆装还是整装"/>
    <s v="书柜"/>
    <m/>
    <s v="已结算"/>
    <s v="江西"/>
    <n v="6843.3"/>
    <n v="6030"/>
    <n v="267.3"/>
    <s v="22*3"/>
    <n v="60"/>
    <m/>
    <n v="420"/>
    <m/>
    <m/>
    <m/>
    <m/>
    <m/>
    <m/>
    <m/>
    <m/>
    <m/>
    <m/>
    <m/>
    <m/>
    <m/>
    <m/>
    <m/>
    <m/>
    <m/>
    <m/>
    <m/>
    <m/>
    <n v="420"/>
    <m/>
    <m/>
    <n v="693"/>
    <n v="126"/>
    <n v="178"/>
    <n v="0"/>
    <n v="0"/>
    <n v="0"/>
    <n v="0"/>
    <n v="0"/>
    <n v="1"/>
    <n v="7840.3"/>
    <n v="10000"/>
    <n v="0"/>
    <n v="60"/>
    <n v="9940"/>
    <n v="0"/>
    <n v="0"/>
    <n v="0"/>
    <n v="2099.7"/>
    <s v="小哈苗苗"/>
    <s v="四川省 成都市 锦江区 三圣街道喜树街780号锦江城市花园1期1栋"/>
    <s v="18418995455-7897"/>
    <m/>
    <n v="9940"/>
  </r>
  <r>
    <x v="109"/>
    <s v="已收货"/>
    <x v="182"/>
    <s v="顾烨"/>
    <m/>
    <m/>
    <s v="榉木大板餐桌+榉木长凳"/>
    <s v="定制餐桌"/>
    <s v="160cm*80cm"/>
    <s v="已结算"/>
    <s v="江西"/>
    <n v="2580"/>
    <n v="2500"/>
    <m/>
    <m/>
    <m/>
    <m/>
    <m/>
    <m/>
    <m/>
    <m/>
    <m/>
    <m/>
    <m/>
    <m/>
    <m/>
    <m/>
    <m/>
    <m/>
    <m/>
    <m/>
    <m/>
    <m/>
    <m/>
    <m/>
    <m/>
    <m/>
    <m/>
    <n v="80"/>
    <m/>
    <m/>
    <n v="440"/>
    <n v="0"/>
    <n v="0"/>
    <n v="0"/>
    <n v="0"/>
    <n v="0"/>
    <n v="0"/>
    <n v="0"/>
    <n v="1"/>
    <n v="3020"/>
    <n v="3761"/>
    <n v="0"/>
    <n v="22.566"/>
    <n v="3738.434"/>
    <n v="0"/>
    <n v="0"/>
    <n v="0"/>
    <n v="718.4340000000002"/>
    <s v="顾烨"/>
    <s v="_x000a_上海 上海市 浦东新区 川沙新镇营洪路486弄4号楼1404室"/>
    <s v="18466860917-1233"/>
    <m/>
    <m/>
  </r>
  <r>
    <x v="110"/>
    <s v="已收货"/>
    <x v="183"/>
    <s v="吴生"/>
    <m/>
    <m/>
    <s v="砂白色2.4米岩板餐桌，莎安娜岩板 换新的"/>
    <s v="榉木餐桌"/>
    <s v="240cm*95cm"/>
    <s v="已结算"/>
    <s v="江西"/>
    <n v="2582.5"/>
    <n v="1760"/>
    <m/>
    <m/>
    <m/>
    <m/>
    <n v="680"/>
    <m/>
    <m/>
    <m/>
    <m/>
    <m/>
    <m/>
    <m/>
    <m/>
    <m/>
    <m/>
    <m/>
    <n v="2.5"/>
    <m/>
    <m/>
    <m/>
    <m/>
    <m/>
    <m/>
    <m/>
    <m/>
    <n v="140"/>
    <m/>
    <m/>
    <n v="174"/>
    <n v="0"/>
    <n v="85"/>
    <n v="0"/>
    <n v="0"/>
    <n v="0"/>
    <n v="0"/>
    <n v="0"/>
    <n v="1"/>
    <n v="2841.5"/>
    <n v="3800"/>
    <n v="0"/>
    <n v="22.8"/>
    <n v="3777.2"/>
    <n v="0"/>
    <n v="0"/>
    <n v="0"/>
    <n v="935.6999999999998"/>
    <s v="吴生"/>
    <s v="安徽省 芜湖市 镜湖区 范罗山街道京东电器家电家居旗舰店(芜湖步行街店)"/>
    <s v="18430870291-8598"/>
    <m/>
    <m/>
  </r>
  <r>
    <x v="111"/>
    <s v="已收货"/>
    <x v="184"/>
    <s v="施先生"/>
    <m/>
    <m/>
    <s v="插座"/>
    <s v="配件"/>
    <m/>
    <s v="已结算"/>
    <s v="其他"/>
    <n v="55"/>
    <n v="55"/>
    <m/>
    <m/>
    <m/>
    <m/>
    <m/>
    <m/>
    <m/>
    <m/>
    <m/>
    <m/>
    <m/>
    <m/>
    <m/>
    <m/>
    <m/>
    <m/>
    <m/>
    <m/>
    <m/>
    <m/>
    <m/>
    <m/>
    <m/>
    <m/>
    <m/>
    <n v="8"/>
    <m/>
    <m/>
    <m/>
    <n v="0"/>
    <n v="0"/>
    <n v="0"/>
    <n v="0"/>
    <n v="0"/>
    <n v="0"/>
    <n v="0"/>
    <n v="1"/>
    <n v="55"/>
    <n v="100"/>
    <n v="0"/>
    <n v="0.6"/>
    <n v="99.40000000000001"/>
    <n v="0"/>
    <n v="0"/>
    <n v="0"/>
    <n v="44.40000000000001"/>
    <s v="施先生"/>
    <s v="上海 上海市 宝山区 高境镇逸仙路1238弄43号202室"/>
    <s v="18466693147-3200"/>
    <m/>
    <m/>
  </r>
  <r>
    <x v="111"/>
    <s v="已收货"/>
    <x v="185"/>
    <s v="张新"/>
    <m/>
    <m/>
    <s v="组合柜"/>
    <s v="组合柜"/>
    <m/>
    <s v="已结算"/>
    <s v="江西"/>
    <n v="2952"/>
    <n v="2600"/>
    <s v="22*2"/>
    <n v="40"/>
    <n v="18"/>
    <m/>
    <n v="120"/>
    <n v="130"/>
    <m/>
    <m/>
    <m/>
    <m/>
    <m/>
    <m/>
    <m/>
    <m/>
    <m/>
    <m/>
    <m/>
    <m/>
    <m/>
    <m/>
    <m/>
    <m/>
    <m/>
    <m/>
    <m/>
    <n v="130"/>
    <m/>
    <m/>
    <n v="108"/>
    <n v="25"/>
    <n v="0"/>
    <n v="0"/>
    <n v="0"/>
    <n v="0"/>
    <n v="0"/>
    <n v="0"/>
    <n v="1"/>
    <n v="3085"/>
    <n v="4304.52"/>
    <n v="0"/>
    <n v="25.82712"/>
    <n v="4278.692880000001"/>
    <n v="0"/>
    <n v="0"/>
    <n v="0"/>
    <n v="1193.692880000001"/>
    <s v="张新"/>
    <s v="山东省 潍坊市 寿光市 圣城街道 新兴街2345号现代丽城5-2-1501"/>
    <s v="17853644476-7641"/>
    <m/>
    <m/>
  </r>
  <r>
    <x v="112"/>
    <s v="已收货"/>
    <x v="186"/>
    <s v="馮"/>
    <m/>
    <m/>
    <s v="黑胡桃旋转柜，上柜做鎏金板，英标"/>
    <s v="旋转餐边柜"/>
    <n v="1200"/>
    <s v="已结算"/>
    <s v="江西"/>
    <n v="8507.58"/>
    <n v="7400"/>
    <m/>
    <m/>
    <m/>
    <m/>
    <m/>
    <m/>
    <n v="411.08"/>
    <m/>
    <m/>
    <n v="23"/>
    <n v="198"/>
    <n v="25"/>
    <m/>
    <m/>
    <m/>
    <m/>
    <n v="30"/>
    <n v="2.5"/>
    <n v="38"/>
    <m/>
    <m/>
    <m/>
    <n v="10"/>
    <m/>
    <m/>
    <n v="370"/>
    <m/>
    <m/>
    <n v="349"/>
    <n v="50"/>
    <n v="0"/>
    <n v="0"/>
    <n v="0"/>
    <n v="0"/>
    <n v="0"/>
    <n v="0"/>
    <n v="1"/>
    <n v="8906.58"/>
    <n v="15224.28"/>
    <n v="0"/>
    <n v="91.34568"/>
    <n v="15132.93432"/>
    <n v="0"/>
    <n v="0"/>
    <n v="0"/>
    <n v="6226.35432"/>
    <s v="馮"/>
    <s v="广东省 珠海市 金湾区 南水镇#Q7R7TCNQ#金湾区南水镇南站南路88号(珠海集货仓-香港)@7IWJRJB"/>
    <n v="13360463073"/>
    <m/>
    <m/>
  </r>
  <r>
    <x v="113"/>
    <s v="已收货"/>
    <x v="187"/>
    <s v="潘"/>
    <s v="已发货"/>
    <m/>
    <s v="砂白色2.0米岩板餐桌"/>
    <s v="榉木餐桌"/>
    <s v="200cm*85cm"/>
    <s v="已结算"/>
    <s v="庄毅"/>
    <n v="2244.5"/>
    <n v="1630"/>
    <m/>
    <m/>
    <m/>
    <m/>
    <n v="612"/>
    <m/>
    <m/>
    <m/>
    <m/>
    <m/>
    <m/>
    <m/>
    <m/>
    <m/>
    <m/>
    <m/>
    <n v="2.5"/>
    <m/>
    <m/>
    <m/>
    <m/>
    <m/>
    <m/>
    <m/>
    <m/>
    <m/>
    <m/>
    <m/>
    <n v="846"/>
    <n v="0"/>
    <n v="147"/>
    <n v="0"/>
    <n v="0"/>
    <n v="0"/>
    <n v="0"/>
    <n v="0"/>
    <n v="1"/>
    <n v="3237.5"/>
    <n v="3047.2"/>
    <n v="0"/>
    <n v="18.2832"/>
    <n v="3028.9168"/>
    <n v="0"/>
    <n v="0"/>
    <n v="0"/>
    <n v="-208.5832"/>
    <s v="潘"/>
    <s v="吉林省 长春市 榆树市 华昌街道 清华帝景c区10栋3单元2803"/>
    <s v="18445787198-9223"/>
    <s v="JDV022781041783，2件"/>
    <n v="3028.9168"/>
  </r>
  <r>
    <x v="114"/>
    <s v="已收货"/>
    <x v="188"/>
    <s v="雷洁"/>
    <s v="已发货"/>
    <m/>
    <s v="砂白色1.6米岩板餐桌"/>
    <s v="榉木餐桌"/>
    <s v="160cm*85cm"/>
    <s v="已结算"/>
    <s v="庄毅"/>
    <n v="1777.3"/>
    <n v="1530"/>
    <m/>
    <m/>
    <m/>
    <m/>
    <n v="244.8"/>
    <m/>
    <m/>
    <m/>
    <m/>
    <m/>
    <m/>
    <m/>
    <m/>
    <m/>
    <m/>
    <m/>
    <n v="2.5"/>
    <m/>
    <m/>
    <m/>
    <m/>
    <m/>
    <m/>
    <m/>
    <m/>
    <m/>
    <m/>
    <m/>
    <n v="365"/>
    <n v="0"/>
    <n v="90"/>
    <n v="0"/>
    <n v="0"/>
    <n v="0"/>
    <n v="0"/>
    <n v="0"/>
    <n v="1"/>
    <n v="2232.3"/>
    <n v="2796.21"/>
    <n v="0"/>
    <n v="16.77726"/>
    <n v="2779.43274"/>
    <n v="0"/>
    <n v="0"/>
    <n v="0"/>
    <n v="547.13274"/>
    <s v="雷洁"/>
    <s v="重庆 重庆市 北碚区 歇马街道 龙湖紫云台千山阅小区洋房区2栋2单元3-1 "/>
    <s v="18418996834-3955"/>
    <s v="JDV022781020258，2件"/>
    <n v="2779.43274"/>
  </r>
  <r>
    <x v="114"/>
    <s v="已收货"/>
    <x v="189"/>
    <s v="孙栋"/>
    <m/>
    <m/>
    <s v="樱桃木白色岩板餐桌2000*900"/>
    <s v="樱桃木餐桌"/>
    <s v="200cm*90cm"/>
    <s v="已结算"/>
    <s v="江西"/>
    <n v="2472.5"/>
    <n v="540"/>
    <n v="1800"/>
    <n v="130"/>
    <n v="2.5"/>
    <m/>
    <m/>
    <m/>
    <m/>
    <m/>
    <m/>
    <m/>
    <m/>
    <m/>
    <m/>
    <m/>
    <m/>
    <m/>
    <m/>
    <m/>
    <m/>
    <m/>
    <m/>
    <m/>
    <m/>
    <m/>
    <m/>
    <n v="130"/>
    <m/>
    <n v="540"/>
    <n v="162"/>
    <n v="40"/>
    <n v="88"/>
    <n v="0"/>
    <n v="0"/>
    <n v="0"/>
    <n v="0"/>
    <n v="0"/>
    <n v="1"/>
    <n v="2762.5"/>
    <n v="3897"/>
    <n v="0"/>
    <n v="23.382"/>
    <n v="3873.618"/>
    <n v="0"/>
    <n v="0"/>
    <n v="0"/>
    <n v="1111.118"/>
    <s v="孙栋"/>
    <s v="山东省 济南市 历下区 龙洞街道海尔绿城全运村桂花园南区29号楼1单元701（一定放家门口）"/>
    <s v="17895313283-4530"/>
    <m/>
    <m/>
  </r>
  <r>
    <x v="114"/>
    <s v="已收货"/>
    <x v="190"/>
    <s v="宋小姐"/>
    <m/>
    <m/>
    <s v="樱桃木基础柜：下柜1500*480*880 上柜1500*300*1100"/>
    <s v="基础餐边柜"/>
    <n v="1500"/>
    <s v="已结算"/>
    <s v="庄毅"/>
    <n v="5747.6"/>
    <n v="4530"/>
    <n v="260"/>
    <n v="554"/>
    <s v="180*1.5*0.48"/>
    <m/>
    <n v="30"/>
    <n v="33"/>
    <n v="41"/>
    <m/>
    <m/>
    <n v="20"/>
    <s v="30*5"/>
    <m/>
    <m/>
    <m/>
    <m/>
    <m/>
    <m/>
    <m/>
    <m/>
    <m/>
    <m/>
    <m/>
    <m/>
    <m/>
    <m/>
    <m/>
    <m/>
    <m/>
    <n v="327"/>
    <n v="0"/>
    <n v="90"/>
    <n v="0"/>
    <n v="0"/>
    <n v="0"/>
    <n v="0"/>
    <n v="0"/>
    <n v="1"/>
    <n v="6164.6"/>
    <n v="7943.7"/>
    <n v="0"/>
    <n v="47.6622"/>
    <n v="7896.0378"/>
    <n v="0"/>
    <n v="0"/>
    <n v="0"/>
    <n v="1731.4378"/>
    <s v="宋小姐"/>
    <s v="上海上海市 青浦区 赵巷镇佳旭路1088弄云河璟庭3号402室"/>
    <s v="18466990466-7199"/>
    <m/>
    <m/>
  </r>
  <r>
    <x v="114"/>
    <s v="退单"/>
    <x v="191"/>
    <s v="杨先生"/>
    <m/>
    <m/>
    <s v="2.1榉木柜"/>
    <s v="榉木餐边柜"/>
    <m/>
    <s v="已结算"/>
    <s v="庄毅"/>
    <n v="0"/>
    <n v="0"/>
    <m/>
    <m/>
    <m/>
    <m/>
    <m/>
    <m/>
    <m/>
    <m/>
    <m/>
    <m/>
    <m/>
    <m/>
    <m/>
    <m/>
    <m/>
    <m/>
    <m/>
    <m/>
    <m/>
    <m/>
    <m/>
    <m/>
    <m/>
    <m/>
    <m/>
    <m/>
    <m/>
    <m/>
    <m/>
    <m/>
    <m/>
    <m/>
    <m/>
    <m/>
    <m/>
    <n v="500"/>
    <n v="1"/>
    <n v="500"/>
    <n v="0"/>
    <n v="0"/>
    <n v="0"/>
    <n v="0"/>
    <n v="500"/>
    <n v="0"/>
    <n v="500"/>
    <n v="0"/>
    <s v="杨先生"/>
    <s v="云南省 昆明市 西山区 前卫街道前卫西路与广福路交叉口东北180米奥宸财富广场一期"/>
    <s v="17898712416-9361"/>
    <m/>
    <m/>
  </r>
  <r>
    <x v="115"/>
    <s v="已收货"/>
    <x v="192"/>
    <s v="朱"/>
    <m/>
    <m/>
    <s v="九斗柜-设备柜-黑色岩板"/>
    <s v="九斗柜"/>
    <s v="180cm*40cm"/>
    <s v="已结算"/>
    <s v="江西"/>
    <n v="3242"/>
    <n v="2750"/>
    <m/>
    <n v="24"/>
    <m/>
    <n v="90"/>
    <m/>
    <m/>
    <m/>
    <m/>
    <m/>
    <m/>
    <n v="198"/>
    <m/>
    <m/>
    <m/>
    <m/>
    <m/>
    <m/>
    <m/>
    <m/>
    <m/>
    <m/>
    <m/>
    <m/>
    <m/>
    <m/>
    <n v="180"/>
    <m/>
    <m/>
    <n v="178"/>
    <n v="45"/>
    <n v="0"/>
    <n v="0"/>
    <n v="0"/>
    <n v="0"/>
    <n v="0"/>
    <n v="0"/>
    <n v="1"/>
    <n v="3465"/>
    <n v="3699.15"/>
    <n v="0"/>
    <n v="22.1949"/>
    <n v="3676.9551"/>
    <n v="0"/>
    <n v="0"/>
    <n v="0"/>
    <n v="211.9551000000001"/>
    <s v="朱"/>
    <s v="江苏省 南京市 玄武区 玄武门街道 和平大沟 1栋307室 "/>
    <s v="18512513742-5833"/>
    <m/>
    <m/>
  </r>
  <r>
    <x v="115"/>
    <s v="已收货"/>
    <x v="193"/>
    <s v="徐敏"/>
    <m/>
    <m/>
    <s v="砂白色1.4米岩板餐桌"/>
    <s v="榉木餐桌"/>
    <s v="140cm*85cm"/>
    <s v="已结算"/>
    <s v="江西"/>
    <n v="1792.5"/>
    <n v="1480"/>
    <m/>
    <m/>
    <m/>
    <m/>
    <n v="240"/>
    <m/>
    <m/>
    <m/>
    <m/>
    <m/>
    <m/>
    <m/>
    <m/>
    <m/>
    <m/>
    <m/>
    <n v="2.5"/>
    <m/>
    <m/>
    <m/>
    <m/>
    <m/>
    <m/>
    <m/>
    <m/>
    <n v="70"/>
    <m/>
    <m/>
    <n v="110"/>
    <n v="0"/>
    <n v="240"/>
    <n v="0"/>
    <n v="0"/>
    <n v="0"/>
    <n v="0"/>
    <n v="0"/>
    <n v="1"/>
    <n v="2142.5"/>
    <n v="2711.8"/>
    <n v="0"/>
    <n v="16.2708"/>
    <n v="2695.5292"/>
    <n v="0"/>
    <n v="0"/>
    <n v="0"/>
    <n v="553.0292000000004"/>
    <s v="徐敏"/>
    <s v="上海 上海市 浦东新区 三林镇 钟晓路258弄中企云萃森林 西区 20号楼602室"/>
    <s v="18466857892-2469"/>
    <m/>
    <m/>
  </r>
  <r>
    <x v="116"/>
    <s v="已收货"/>
    <x v="194"/>
    <s v="树杰"/>
    <s v="工厂抵扣一张大板费用；岩板客户补发"/>
    <m/>
    <s v="曜黑柜-整柜-2.1米"/>
    <s v="曜黑餐边柜"/>
    <n v="2100"/>
    <s v="已结算"/>
    <s v="江西"/>
    <n v="11553.33333333333"/>
    <n v="9800"/>
    <n v="1140"/>
    <m/>
    <n v="410"/>
    <m/>
    <n v="410"/>
    <n v="350"/>
    <m/>
    <n v="283.3333333333333"/>
    <m/>
    <m/>
    <m/>
    <m/>
    <m/>
    <m/>
    <m/>
    <m/>
    <m/>
    <m/>
    <m/>
    <m/>
    <m/>
    <m/>
    <m/>
    <m/>
    <m/>
    <n v="410"/>
    <m/>
    <m/>
    <n v="503"/>
    <n v="0"/>
    <n v="0"/>
    <n v="0"/>
    <n v="0"/>
    <n v="0"/>
    <n v="0"/>
    <n v="0"/>
    <n v="1"/>
    <n v="12056.33333333333"/>
    <n v="16331.22"/>
    <n v="0"/>
    <n v="97.98732"/>
    <n v="16233.23268"/>
    <n v="840"/>
    <n v="0"/>
    <n v="840"/>
    <n v="5016.899346666665"/>
    <s v="树杰"/>
    <s v="广东省 广州市 白云区 太和镇龙归龙河西路西南五横路4号（波屯斯鞋业一楼）启顺国际物流QS5734-MEL"/>
    <s v="17896425846-4285"/>
    <m/>
    <m/>
  </r>
  <r>
    <x v="116"/>
    <s v="已收货"/>
    <x v="195"/>
    <s v="董苹果"/>
    <s v="已调整：产品成本+背板+岩板+岩板打孔+电力轨道+隔板轨道+灯带+其他五金+装饰盖+塑料轨道（这个我窄柜都没追加）"/>
    <m/>
    <s v="窄柜-整柜洞石背板-0.8米"/>
    <s v="樱桃木窄柜"/>
    <n v="800"/>
    <s v="已结算"/>
    <s v="庄毅"/>
    <n v="3715.786666666666"/>
    <n v="3100"/>
    <n v="307.08"/>
    <n v="115"/>
    <m/>
    <n v="30"/>
    <n v="91.44"/>
    <n v="55.9"/>
    <m/>
    <m/>
    <m/>
    <m/>
    <m/>
    <m/>
    <m/>
    <m/>
    <m/>
    <n v="3.5"/>
    <m/>
    <m/>
    <m/>
    <m/>
    <m/>
    <m/>
    <n v="1.2"/>
    <m/>
    <m/>
    <m/>
    <m/>
    <m/>
    <n v="320"/>
    <n v="0"/>
    <n v="98"/>
    <n v="0"/>
    <n v="0"/>
    <n v="0"/>
    <n v="0"/>
    <n v="0"/>
    <n v="1"/>
    <n v="4133.786666666667"/>
    <n v="4863.53"/>
    <n v="0"/>
    <n v="29.18118"/>
    <n v="4834.34882"/>
    <n v="0"/>
    <n v="0"/>
    <n v="0"/>
    <n v="700.5621533333333"/>
    <s v="董苹果"/>
    <s v="山西省 太原市 晋源区 义井街道 新晋祠路291号万科蓝湾传奇北区1-3-801 "/>
    <s v="14735147618-5492"/>
    <m/>
    <m/>
  </r>
  <r>
    <x v="117"/>
    <s v="已收货"/>
    <x v="196"/>
    <s v="梁伊涵"/>
    <m/>
    <m/>
    <s v="砂白色1.6米岩板餐桌"/>
    <s v="榉木餐桌"/>
    <s v="160cm*85cm"/>
    <s v="已结算"/>
    <s v="庄毅"/>
    <n v="1777.3"/>
    <n v="1530"/>
    <m/>
    <m/>
    <m/>
    <m/>
    <n v="244.8"/>
    <m/>
    <m/>
    <m/>
    <m/>
    <m/>
    <m/>
    <m/>
    <m/>
    <m/>
    <m/>
    <m/>
    <n v="2.5"/>
    <m/>
    <m/>
    <m/>
    <m/>
    <m/>
    <m/>
    <m/>
    <m/>
    <m/>
    <m/>
    <m/>
    <n v="217"/>
    <n v="0"/>
    <n v="60"/>
    <n v="0"/>
    <n v="0"/>
    <n v="0"/>
    <n v="0"/>
    <n v="0"/>
    <n v="1"/>
    <n v="2054.3"/>
    <n v="2861.38"/>
    <n v="0"/>
    <n v="17.16828"/>
    <n v="2844.21172"/>
    <n v="0"/>
    <n v="0"/>
    <n v="0"/>
    <n v="789.9117200000001"/>
    <s v="梁伊涵"/>
    <s v="湖南省 长沙市 岳麓区 洋湖街道保利长交锦上16号楼801"/>
    <s v="18472630065-3385"/>
    <m/>
    <m/>
  </r>
  <r>
    <x v="118"/>
    <s v="已收货"/>
    <x v="197"/>
    <s v="宋依依"/>
    <m/>
    <m/>
    <s v="USB 插座"/>
    <s v="配件"/>
    <m/>
    <s v="已结算"/>
    <s v="其他"/>
    <n v="110"/>
    <n v="110"/>
    <m/>
    <m/>
    <m/>
    <m/>
    <m/>
    <m/>
    <m/>
    <m/>
    <m/>
    <m/>
    <m/>
    <m/>
    <m/>
    <m/>
    <m/>
    <m/>
    <m/>
    <m/>
    <m/>
    <m/>
    <m/>
    <m/>
    <m/>
    <m/>
    <m/>
    <m/>
    <m/>
    <m/>
    <n v="8"/>
    <n v="0"/>
    <n v="0"/>
    <n v="0"/>
    <n v="0"/>
    <n v="0"/>
    <n v="0"/>
    <n v="0"/>
    <n v="1"/>
    <n v="118"/>
    <n v="200"/>
    <n v="0"/>
    <n v="1.2"/>
    <n v="198.8"/>
    <n v="0"/>
    <n v="0"/>
    <n v="0"/>
    <n v="80.80000000000001"/>
    <s v="宋依依"/>
    <s v="北京 北京市 朝阳区 将台乡将府家园北里204楼1单元903门"/>
    <s v="18400816035-3030"/>
    <m/>
    <m/>
  </r>
  <r>
    <x v="118"/>
    <s v="已收货"/>
    <x v="198"/>
    <s v="许先生"/>
    <m/>
    <m/>
    <s v="洞石柜2.1"/>
    <s v="洞石餐边柜"/>
    <n v="2100"/>
    <s v="已结算"/>
    <s v="庄毅"/>
    <n v="8025.706666666667"/>
    <n v="6000"/>
    <n v="501.08"/>
    <n v="226.6666666666667"/>
    <n v="76"/>
    <n v="90"/>
    <n v="410.88"/>
    <m/>
    <m/>
    <m/>
    <m/>
    <n v="10"/>
    <n v="20"/>
    <m/>
    <n v="17.5"/>
    <m/>
    <m/>
    <m/>
    <n v="40"/>
    <n v="10"/>
    <n v="14"/>
    <m/>
    <m/>
    <m/>
    <n v="657.08"/>
    <m/>
    <m/>
    <m/>
    <m/>
    <m/>
    <n v="938"/>
    <n v="0"/>
    <n v="188"/>
    <n v="0"/>
    <n v="0"/>
    <n v="0"/>
    <n v="0"/>
    <n v="0"/>
    <n v="1"/>
    <n v="9151.706666666667"/>
    <n v="12827.18"/>
    <n v="0"/>
    <n v="76.96308000000001"/>
    <n v="12750.21692"/>
    <n v="0"/>
    <n v="0"/>
    <n v="0"/>
    <n v="3598.510253333334"/>
    <s v="许先生"/>
    <s v="青海省西宁市城中区南川西路街道 时代大道红星天铂一期东区8号楼4单元34楼4342室"/>
    <s v="，13619780169"/>
    <m/>
    <m/>
  </r>
  <r>
    <x v="119"/>
    <s v="已收货"/>
    <x v="199"/>
    <s v="程宇诗"/>
    <m/>
    <m/>
    <s v="窄柜-整柜洞石背板-1.0米"/>
    <s v="樱桃木窄柜"/>
    <n v="1000"/>
    <s v="已结算"/>
    <s v="庄毅"/>
    <n v="3994.71"/>
    <n v="3300"/>
    <n v="359.08"/>
    <n v="120"/>
    <m/>
    <n v="38"/>
    <n v="106.8"/>
    <n v="59.23"/>
    <m/>
    <m/>
    <n v="5"/>
    <m/>
    <m/>
    <m/>
    <m/>
    <n v="2"/>
    <n v="1.1"/>
    <n v="3.5"/>
    <m/>
    <m/>
    <m/>
    <m/>
    <m/>
    <m/>
    <m/>
    <m/>
    <m/>
    <m/>
    <m/>
    <m/>
    <n v="267"/>
    <n v="0"/>
    <n v="279"/>
    <n v="0"/>
    <n v="0"/>
    <n v="0"/>
    <n v="0"/>
    <n v="0"/>
    <n v="1"/>
    <n v="4540.71"/>
    <n v="5285.7"/>
    <n v="0"/>
    <n v="31.7142"/>
    <n v="5253.985799999999"/>
    <n v="196"/>
    <n v="0"/>
    <n v="196"/>
    <n v="909.2757999999994"/>
    <s v="程宇诗"/>
    <s v="上海 上海市 虹口区 四川北路街道虬江支路180弄1号楼2901"/>
    <s v="18466946762-2818"/>
    <m/>
    <m/>
  </r>
  <r>
    <x v="119"/>
    <s v="已收货"/>
    <x v="200"/>
    <s v="荆莉杰"/>
    <m/>
    <m/>
    <s v="窄柜-整柜洞石背板-0.73米-定制"/>
    <s v="樱桃木窄柜"/>
    <n v="730"/>
    <s v="已结算"/>
    <s v="庄毅"/>
    <n v="3842.08"/>
    <n v="3100"/>
    <n v="288.88"/>
    <n v="115"/>
    <m/>
    <n v="30"/>
    <n v="94"/>
    <n v="54.9"/>
    <m/>
    <m/>
    <m/>
    <n v="4"/>
    <m/>
    <m/>
    <m/>
    <m/>
    <m/>
    <n v="3.37"/>
    <m/>
    <n v="3"/>
    <s v="30*5"/>
    <m/>
    <m/>
    <n v="1.16"/>
    <n v="1.1"/>
    <n v="10"/>
    <m/>
    <m/>
    <m/>
    <m/>
    <n v="190"/>
    <n v="0"/>
    <n v="78"/>
    <n v="0"/>
    <n v="0"/>
    <n v="0"/>
    <n v="0"/>
    <n v="0"/>
    <n v="1"/>
    <n v="4110.08"/>
    <n v="5130.02"/>
    <n v="0"/>
    <n v="30.78012"/>
    <n v="5099.23988"/>
    <n v="0"/>
    <n v="0"/>
    <n v="0"/>
    <n v="989.1598800000002"/>
    <s v="荆莉杰"/>
    <s v="河南省 郑州市 二七区 嵩山路街道黄岗寺郑密路小区1号楼1单元"/>
    <s v="17895452761-4766"/>
    <m/>
    <m/>
  </r>
  <r>
    <x v="120"/>
    <s v="已收货"/>
    <x v="201"/>
    <s v="王一"/>
    <m/>
    <m/>
    <s v="窄柜-整柜洞石背板-1.0米"/>
    <s v="樱桃木窄柜"/>
    <n v="1000"/>
    <s v="已结算"/>
    <s v="庄毅"/>
    <n v="3994.71"/>
    <n v="3300"/>
    <n v="359.08"/>
    <n v="120"/>
    <m/>
    <n v="38"/>
    <n v="106.8"/>
    <n v="59.23"/>
    <m/>
    <m/>
    <n v="5"/>
    <m/>
    <m/>
    <m/>
    <m/>
    <n v="2"/>
    <n v="1.1"/>
    <n v="3.5"/>
    <m/>
    <m/>
    <m/>
    <m/>
    <m/>
    <m/>
    <m/>
    <m/>
    <m/>
    <m/>
    <m/>
    <m/>
    <n v="410"/>
    <n v="0"/>
    <n v="138"/>
    <n v="0"/>
    <n v="80"/>
    <n v="0"/>
    <n v="0"/>
    <n v="110.1"/>
    <n v="1"/>
    <n v="4732.81"/>
    <n v="5280.7"/>
    <n v="0"/>
    <n v="31.6842"/>
    <n v="5249.0158"/>
    <n v="80"/>
    <n v="0"/>
    <n v="80"/>
    <n v="596.2057999999997"/>
    <s v="王一"/>
    <s v="四川省 泸州市 江阳区 况场街道华美路天誉誉府6-1-803"/>
    <s v="18418996494-1171"/>
    <m/>
    <m/>
  </r>
  <r>
    <x v="121"/>
    <s v="已收货"/>
    <x v="202"/>
    <s v="李老师"/>
    <m/>
    <m/>
    <s v="砂白色1.8米岩板餐桌"/>
    <s v="榉木餐桌"/>
    <s v="180cm*85cm"/>
    <s v="已结算"/>
    <s v="庄毅"/>
    <n v="1857.9"/>
    <n v="1580"/>
    <m/>
    <m/>
    <m/>
    <m/>
    <n v="275.4"/>
    <m/>
    <m/>
    <m/>
    <m/>
    <m/>
    <m/>
    <m/>
    <m/>
    <m/>
    <m/>
    <m/>
    <n v="2.5"/>
    <m/>
    <m/>
    <m/>
    <m/>
    <m/>
    <m/>
    <m/>
    <m/>
    <m/>
    <m/>
    <m/>
    <n v="377"/>
    <n v="0"/>
    <n v="148"/>
    <n v="0"/>
    <n v="0"/>
    <n v="0"/>
    <n v="0"/>
    <n v="83"/>
    <n v="1"/>
    <n v="2465.9"/>
    <n v="2983.07"/>
    <n v="0"/>
    <n v="17.89842"/>
    <n v="2965.17158"/>
    <n v="0"/>
    <n v="0"/>
    <n v="0"/>
    <n v="499.2715800000001"/>
    <s v="李老师"/>
    <s v="重庆 重庆市 渝北区 双凤桥街道桥达渝北茂宸广场3-4-5"/>
    <s v="18418917240-7137"/>
    <m/>
    <m/>
  </r>
  <r>
    <x v="122"/>
    <m/>
    <x v="203"/>
    <m/>
    <s v="退款"/>
    <m/>
    <m/>
    <m/>
    <m/>
    <m/>
    <s v="江西"/>
    <n v="0"/>
    <n v="0"/>
    <m/>
    <m/>
    <m/>
    <m/>
    <m/>
    <m/>
    <m/>
    <m/>
    <m/>
    <m/>
    <m/>
    <m/>
    <m/>
    <m/>
    <m/>
    <m/>
    <m/>
    <m/>
    <m/>
    <m/>
    <m/>
    <m/>
    <m/>
    <m/>
    <m/>
    <m/>
    <m/>
    <m/>
    <n v="0"/>
    <n v="0"/>
    <n v="0"/>
    <n v="0"/>
    <n v="0"/>
    <n v="0"/>
    <n v="0"/>
    <n v="0"/>
    <n v="1"/>
    <n v="0"/>
    <n v="0"/>
    <n v="0"/>
    <n v="0"/>
    <n v="0"/>
    <n v="0"/>
    <n v="0"/>
    <n v="0"/>
    <n v="0"/>
    <m/>
    <m/>
    <m/>
    <m/>
    <m/>
  </r>
  <r>
    <x v="122"/>
    <s v="已收货"/>
    <x v="204"/>
    <s v="邹"/>
    <m/>
    <m/>
    <s v="样块"/>
    <s v="样块"/>
    <m/>
    <s v="已结算"/>
    <s v="杭州"/>
    <n v="7"/>
    <n v="5"/>
    <m/>
    <m/>
    <m/>
    <m/>
    <m/>
    <m/>
    <m/>
    <m/>
    <m/>
    <m/>
    <m/>
    <m/>
    <m/>
    <m/>
    <m/>
    <m/>
    <m/>
    <m/>
    <m/>
    <m/>
    <m/>
    <m/>
    <m/>
    <m/>
    <m/>
    <n v="2"/>
    <m/>
    <m/>
    <n v="5"/>
    <n v="0"/>
    <n v="0"/>
    <n v="0"/>
    <n v="0"/>
    <n v="0"/>
    <n v="0"/>
    <n v="0"/>
    <n v="1"/>
    <n v="12"/>
    <n v="22"/>
    <n v="0"/>
    <n v="0.132"/>
    <n v="21.868"/>
    <n v="0"/>
    <n v="0"/>
    <n v="0"/>
    <n v="9.867999999999999"/>
    <s v="邹言华"/>
    <s v="浙江省 宁波市 鄞州区 东郊街道 鄞州区江东金茂府9-802"/>
    <s v="15558205214-4090"/>
    <m/>
    <m/>
  </r>
  <r>
    <x v="123"/>
    <s v="已收货"/>
    <x v="205"/>
    <s v="张小姐"/>
    <m/>
    <m/>
    <s v="1.8樱桃木基础柜"/>
    <s v="基础餐边柜"/>
    <n v="1800"/>
    <s v="已结算"/>
    <s v="庄毅"/>
    <n v="5860.52"/>
    <n v="4500"/>
    <s v="180*1.8*0.48"/>
    <n v="33"/>
    <n v="20"/>
    <m/>
    <n v="40"/>
    <n v="65"/>
    <n v="310"/>
    <m/>
    <m/>
    <n v="577"/>
    <n v="10"/>
    <s v="30*5"/>
    <m/>
    <m/>
    <m/>
    <m/>
    <m/>
    <m/>
    <m/>
    <m/>
    <m/>
    <m/>
    <m/>
    <m/>
    <m/>
    <m/>
    <m/>
    <m/>
    <n v="407"/>
    <n v="0"/>
    <n v="188"/>
    <n v="0"/>
    <n v="178"/>
    <n v="0"/>
    <n v="0"/>
    <n v="0"/>
    <n v="1"/>
    <n v="6633.52"/>
    <n v="7984.52"/>
    <n v="0"/>
    <n v="47.90712000000001"/>
    <n v="7936.612880000001"/>
    <n v="0"/>
    <n v="0"/>
    <n v="0"/>
    <n v="1303.09288"/>
    <s v="张小姐"/>
    <s v="重庆 重庆市 渝北区 鸳鸯街道湖红路56号恒大世纪城一期35栋302"/>
    <s v="13140356790-3053"/>
    <m/>
    <m/>
  </r>
  <r>
    <x v="123"/>
    <s v="已收货"/>
    <x v="206"/>
    <s v="罗奇"/>
    <m/>
    <m/>
    <s v="樱桃木洞石岩板餐桌2025-1.2米"/>
    <s v="樱桃木岩板餐桌2025"/>
    <s v="120cm*85cm"/>
    <s v="已结算"/>
    <s v="庄毅"/>
    <n v="1226.1"/>
    <n v="1040"/>
    <m/>
    <m/>
    <m/>
    <m/>
    <n v="183.6"/>
    <m/>
    <m/>
    <m/>
    <m/>
    <m/>
    <m/>
    <m/>
    <m/>
    <m/>
    <m/>
    <m/>
    <n v="2.5"/>
    <m/>
    <m/>
    <m/>
    <m/>
    <m/>
    <m/>
    <m/>
    <m/>
    <m/>
    <m/>
    <m/>
    <n v="145"/>
    <n v="0"/>
    <n v="78"/>
    <n v="0"/>
    <n v="0"/>
    <n v="0"/>
    <n v="0"/>
    <n v="0"/>
    <n v="1"/>
    <n v="1449.1"/>
    <n v="2133.92"/>
    <n v="0"/>
    <n v="12.80352"/>
    <n v="2121.11648"/>
    <n v="0"/>
    <n v="0"/>
    <n v="0"/>
    <n v="672.0164800000002"/>
    <s v="罗奇"/>
    <s v="浙江省 台州市 路桥区 路桥街道 翼文苑31幢1单元201"/>
    <s v="15786490248-7687"/>
    <m/>
    <m/>
  </r>
  <r>
    <x v="124"/>
    <s v="已收货"/>
    <x v="207"/>
    <s v="黄锦业"/>
    <m/>
    <m/>
    <s v="榉木餐边柜定制-实木背板-1.8米-250917"/>
    <s v="榉木餐边柜"/>
    <m/>
    <s v="已结算"/>
    <s v="庄毅"/>
    <n v="5618.61"/>
    <n v="4600"/>
    <s v="180*0.38*1.8"/>
    <n v="577"/>
    <n v="10"/>
    <m/>
    <n v="8.49"/>
    <n v="300"/>
    <m/>
    <m/>
    <m/>
    <m/>
    <m/>
    <m/>
    <m/>
    <m/>
    <m/>
    <m/>
    <m/>
    <m/>
    <m/>
    <m/>
    <m/>
    <m/>
    <m/>
    <m/>
    <m/>
    <n v="80"/>
    <m/>
    <m/>
    <n v="411.4"/>
    <n v="0"/>
    <n v="155"/>
    <n v="0"/>
    <n v="404"/>
    <n v="0"/>
    <n v="0"/>
    <n v="3678"/>
    <n v="1"/>
    <n v="10267.01"/>
    <n v="7355"/>
    <n v="0"/>
    <n v="44.13"/>
    <n v="7310.87"/>
    <n v="1000"/>
    <n v="0"/>
    <n v="1000"/>
    <n v="-1956.139999999999"/>
    <s v="黄锦业"/>
    <s v="广东省惠州市惠城区 升平苑翠竹楼F梯801号"/>
    <s v="15118997743"/>
    <m/>
    <m/>
  </r>
  <r>
    <x v="124"/>
    <s v="已收货"/>
    <x v="208"/>
    <s v="金生"/>
    <m/>
    <m/>
    <s v="1.8米全景柜，下柜高90，顶部到2.5米  岩板补发"/>
    <s v="洞石餐边柜"/>
    <m/>
    <s v="已结算"/>
    <s v="江西"/>
    <n v="9256.746666666668"/>
    <n v="6400"/>
    <s v="580*2"/>
    <s v="52*2"/>
    <s v="2040/6/1.5"/>
    <m/>
    <n v="80"/>
    <n v="14"/>
    <n v="10"/>
    <m/>
    <m/>
    <s v="22*7"/>
    <n v="634.08"/>
    <n v="390"/>
    <m/>
    <m/>
    <m/>
    <m/>
    <m/>
    <n v="84"/>
    <m/>
    <m/>
    <m/>
    <m/>
    <m/>
    <m/>
    <m/>
    <n v="390"/>
    <m/>
    <m/>
    <n v="459"/>
    <n v="50"/>
    <n v="150"/>
    <n v="0"/>
    <n v="0"/>
    <n v="0"/>
    <n v="0"/>
    <n v="107"/>
    <n v="1"/>
    <n v="10022.74666666667"/>
    <n v="12289"/>
    <n v="0"/>
    <n v="73.73399999999999"/>
    <n v="12215.266"/>
    <n v="0"/>
    <n v="0"/>
    <n v="0"/>
    <n v="2192.519333333332"/>
    <s v="金生"/>
    <s v="广东省 深圳市 南山区 南山街道 一湾臻邸3--4单元2702"/>
    <s v="15794937563-8174"/>
    <m/>
    <m/>
  </r>
  <r>
    <x v="125"/>
    <s v="已收货"/>
    <x v="209"/>
    <s v="刘松"/>
    <m/>
    <m/>
    <s v="砂白色1.6米岩板餐桌，定制+2个藤编椅"/>
    <s v="榉木餐桌"/>
    <s v="160cm*76cm"/>
    <s v="已结算"/>
    <s v="庄毅"/>
    <n v="2451.38"/>
    <n v="1500"/>
    <m/>
    <m/>
    <m/>
    <m/>
    <n v="218.88"/>
    <m/>
    <m/>
    <m/>
    <m/>
    <m/>
    <m/>
    <m/>
    <m/>
    <m/>
    <m/>
    <m/>
    <n v="2.5"/>
    <m/>
    <n v="730"/>
    <m/>
    <m/>
    <m/>
    <m/>
    <m/>
    <m/>
    <m/>
    <m/>
    <m/>
    <n v="252"/>
    <n v="0"/>
    <n v="70"/>
    <n v="0"/>
    <n v="0"/>
    <n v="0"/>
    <n v="0"/>
    <n v="0"/>
    <n v="1"/>
    <n v="2773.38"/>
    <n v="3635"/>
    <n v="0"/>
    <n v="21.81"/>
    <n v="3613.19"/>
    <n v="0"/>
    <n v="0"/>
    <n v="0"/>
    <n v="839.8099999999999"/>
    <s v="刘松"/>
    <s v="山东省 泰安市 泰山区 岱庙街道巨菱枫景苑新4号楼3单元601"/>
    <s v="14716062262-9579"/>
    <m/>
    <m/>
  </r>
  <r>
    <x v="126"/>
    <s v="已收货"/>
    <x v="210"/>
    <s v="尹德彪"/>
    <m/>
    <m/>
    <s v="曜黑柜-整柜-1.5米"/>
    <s v="曜黑餐边柜"/>
    <n v="1500"/>
    <s v="已结算"/>
    <s v="庄毅"/>
    <n v="10143.93333333333"/>
    <n v="9000"/>
    <n v="501.08"/>
    <n v="283.3333333333333"/>
    <s v="180*1.5*0.48"/>
    <m/>
    <m/>
    <m/>
    <n v="41"/>
    <n v="10"/>
    <m/>
    <n v="30"/>
    <n v="40"/>
    <n v="33"/>
    <m/>
    <n v="76"/>
    <m/>
    <m/>
    <m/>
    <m/>
    <m/>
    <m/>
    <m/>
    <m/>
    <m/>
    <m/>
    <m/>
    <m/>
    <m/>
    <m/>
    <n v="555"/>
    <m/>
    <n v="88"/>
    <n v="0"/>
    <n v="0"/>
    <n v="0"/>
    <n v="0"/>
    <n v="0"/>
    <n v="1"/>
    <n v="10786.93333333333"/>
    <n v="13991"/>
    <n v="0"/>
    <n v="83.946"/>
    <n v="13907.054"/>
    <n v="0"/>
    <n v="0"/>
    <n v="0"/>
    <n v="3120.120666666666"/>
    <s v="尹德彪"/>
    <s v="山西省 吕梁市 汾阳市 栗家庄镇 粟家庄村"/>
    <s v="18400603197-8374"/>
    <m/>
    <m/>
  </r>
  <r>
    <x v="127"/>
    <s v="已收货"/>
    <x v="211"/>
    <s v="吳愛玲"/>
    <m/>
    <m/>
    <s v="补差价（2个美标+1个国标白色插座+一个隔板）"/>
    <s v="樱桃木窄柜"/>
    <m/>
    <s v="已结算"/>
    <s v="庄毅"/>
    <n v="165"/>
    <n v="0"/>
    <n v="165"/>
    <m/>
    <m/>
    <m/>
    <m/>
    <m/>
    <m/>
    <m/>
    <m/>
    <m/>
    <m/>
    <m/>
    <m/>
    <m/>
    <m/>
    <m/>
    <m/>
    <m/>
    <m/>
    <m/>
    <m/>
    <m/>
    <m/>
    <m/>
    <m/>
    <m/>
    <m/>
    <m/>
    <n v="0"/>
    <n v="0"/>
    <n v="0"/>
    <n v="0"/>
    <n v="0"/>
    <n v="0"/>
    <n v="0"/>
    <n v="0"/>
    <n v="1"/>
    <n v="165"/>
    <n v="375"/>
    <n v="0"/>
    <n v="2.25"/>
    <n v="372.75"/>
    <n v="0"/>
    <n v="0"/>
    <n v="0"/>
    <n v="207.75"/>
    <s v="吳愛玲"/>
    <s v="福建省 漳州市 龙海区 东园镇福建省漳州市龙海区东园镇仓里路888号龙海普洛斯物流园A2库二层台集运@QF@U5FVXM#UWDD1WZZNRANM#"/>
    <s v="18319011167"/>
    <s v="JDV023636136716，2件"/>
    <m/>
  </r>
  <r>
    <x v="127"/>
    <s v="已收货"/>
    <x v="212"/>
    <s v="陈伊"/>
    <m/>
    <m/>
    <s v="榉木餐边柜定制-实木背板-1.5米-250922"/>
    <s v="榉木餐边柜"/>
    <m/>
    <s v="已结算"/>
    <s v="庄毅"/>
    <n v="3692.5"/>
    <n v="3200"/>
    <n v="342"/>
    <n v="19"/>
    <s v="180*1.5*0.45"/>
    <m/>
    <n v="10"/>
    <m/>
    <m/>
    <m/>
    <m/>
    <m/>
    <m/>
    <m/>
    <m/>
    <m/>
    <m/>
    <m/>
    <m/>
    <m/>
    <m/>
    <m/>
    <m/>
    <m/>
    <m/>
    <m/>
    <m/>
    <m/>
    <m/>
    <m/>
    <n v="180"/>
    <m/>
    <n v="88"/>
    <n v="0"/>
    <n v="0"/>
    <n v="0"/>
    <n v="0"/>
    <n v="0"/>
    <n v="1"/>
    <n v="3960.5"/>
    <n v="4980"/>
    <n v="0"/>
    <n v="29.88"/>
    <n v="4950.12"/>
    <n v="0"/>
    <n v="0"/>
    <n v="0"/>
    <n v="989.6199999999999"/>
    <s v="陈伊"/>
    <s v="上海 上海市 长宁区 江苏路街道 愚园路888号畅园3号楼3501室"/>
    <s v="18466860257-3684"/>
    <s v="JDV023657439418，2件"/>
    <m/>
  </r>
  <r>
    <x v="128"/>
    <s v="已收货"/>
    <x v="213"/>
    <s v="刘小鱼"/>
    <m/>
    <m/>
    <s v="窄柜-整柜洞石背板-1.0米"/>
    <s v="樱桃木窄柜"/>
    <n v="1000"/>
    <s v="已结算"/>
    <s v="江西"/>
    <n v="4317.08"/>
    <n v="3300"/>
    <n v="359.08"/>
    <n v="120"/>
    <m/>
    <n v="38"/>
    <n v="180"/>
    <n v="54"/>
    <n v="52"/>
    <m/>
    <n v="5"/>
    <m/>
    <m/>
    <n v="108"/>
    <m/>
    <n v="2"/>
    <n v="1.1"/>
    <n v="3.5"/>
    <m/>
    <m/>
    <m/>
    <m/>
    <m/>
    <m/>
    <m/>
    <m/>
    <m/>
    <n v="170"/>
    <m/>
    <m/>
    <n v="223"/>
    <n v="62"/>
    <n v="80"/>
    <n v="0"/>
    <n v="0"/>
    <n v="0"/>
    <n v="0"/>
    <n v="0"/>
    <n v="1"/>
    <n v="4682.08"/>
    <n v="5156.5"/>
    <n v="0"/>
    <n v="30.939"/>
    <n v="5125.561"/>
    <n v="0"/>
    <n v="0"/>
    <n v="0"/>
    <n v="443.4809999999998"/>
    <s v="刘小鱼"/>
    <s v="湖北省 襄阳市 樊城区 汉江街道民发盛特一品一期1栋402"/>
    <s v="18472216829-9061"/>
    <m/>
    <m/>
  </r>
  <r>
    <x v="129"/>
    <s v="已收货"/>
    <x v="214"/>
    <s v="张"/>
    <m/>
    <m/>
    <s v="砂白色1.6米岩板餐桌"/>
    <s v="榉木餐桌"/>
    <s v="160cm*85cm"/>
    <s v="已结算"/>
    <s v="庄毅"/>
    <n v="1777.3"/>
    <n v="1530"/>
    <m/>
    <m/>
    <m/>
    <m/>
    <n v="244.8"/>
    <m/>
    <m/>
    <m/>
    <m/>
    <m/>
    <m/>
    <m/>
    <m/>
    <m/>
    <m/>
    <m/>
    <n v="2.5"/>
    <m/>
    <m/>
    <m/>
    <m/>
    <m/>
    <m/>
    <m/>
    <m/>
    <m/>
    <m/>
    <m/>
    <n v="187"/>
    <n v="0"/>
    <n v="58"/>
    <n v="0"/>
    <n v="0"/>
    <n v="0"/>
    <n v="0"/>
    <n v="0"/>
    <n v="1"/>
    <n v="2022.3"/>
    <n v="2861.38"/>
    <n v="0"/>
    <n v="17.16828"/>
    <n v="2844.21172"/>
    <n v="214.6"/>
    <n v="0"/>
    <n v="214.6"/>
    <n v="1036.51172"/>
    <s v="张"/>
    <m/>
    <m/>
    <m/>
    <m/>
  </r>
  <r>
    <x v="129"/>
    <s v="已收货"/>
    <x v="215"/>
    <s v="邸蓉蓉"/>
    <m/>
    <m/>
    <s v="定制榉木洞石整柜2米长2米高柜，追加一个隔板"/>
    <s v="洞石餐边柜"/>
    <m/>
    <s v="已结算"/>
    <s v="江西"/>
    <n v="7093.746666666667"/>
    <n v="5100"/>
    <n v="620"/>
    <n v="619.08"/>
    <s v="46*2"/>
    <m/>
    <s v="2040/6/1.5"/>
    <s v="52*2"/>
    <n v="10"/>
    <m/>
    <m/>
    <n v="14"/>
    <n v="154"/>
    <n v="48"/>
    <m/>
    <m/>
    <m/>
    <m/>
    <n v="8"/>
    <n v="46"/>
    <n v="20"/>
    <m/>
    <m/>
    <m/>
    <s v="160-128"/>
    <m/>
    <m/>
    <n v="160"/>
    <m/>
    <m/>
    <n v="370"/>
    <n v="0"/>
    <n v="500"/>
    <n v="0"/>
    <n v="0"/>
    <n v="0"/>
    <n v="0"/>
    <n v="190"/>
    <n v="1"/>
    <n v="8153.746666666667"/>
    <n v="11272.8"/>
    <n v="0"/>
    <n v="67.63679999999999"/>
    <n v="11205.1632"/>
    <n v="0"/>
    <n v="0"/>
    <n v="0"/>
    <n v="3051.416533333332"/>
    <s v="邸蓉蓉"/>
    <s v="上海 上海市 普陀区 长征镇 怒江路651弄17号201室"/>
    <s v="13162906094-1971"/>
    <m/>
    <m/>
  </r>
  <r>
    <x v="130"/>
    <s v="已收货"/>
    <x v="216"/>
    <s v="杜杭寅"/>
    <m/>
    <m/>
    <s v="砂白色2.0米岩板餐桌"/>
    <s v="榉木餐桌"/>
    <s v="200cm*85cm"/>
    <s v="已结算"/>
    <s v="庄毅"/>
    <n v="1938.5"/>
    <n v="1630"/>
    <m/>
    <m/>
    <m/>
    <m/>
    <n v="306"/>
    <m/>
    <m/>
    <m/>
    <m/>
    <m/>
    <m/>
    <m/>
    <m/>
    <m/>
    <m/>
    <m/>
    <n v="2.5"/>
    <m/>
    <m/>
    <m/>
    <m/>
    <m/>
    <m/>
    <m/>
    <m/>
    <m/>
    <m/>
    <m/>
    <n v="210"/>
    <n v="0"/>
    <n v="98"/>
    <n v="0"/>
    <n v="0"/>
    <n v="0"/>
    <n v="0"/>
    <n v="0"/>
    <n v="1"/>
    <n v="2246.5"/>
    <n v="3120.69"/>
    <n v="0"/>
    <n v="18.72414"/>
    <n v="3101.96586"/>
    <n v="0"/>
    <n v="0"/>
    <n v="0"/>
    <n v="855.4658600000002"/>
    <s v="杜杭寅"/>
    <s v="浙江省 台州市 玉环市 玉城街道三潭路玉澜府1号楼1单元1602"/>
    <s v="18413248620-5372"/>
    <m/>
    <m/>
  </r>
  <r>
    <x v="131"/>
    <s v="已收货"/>
    <x v="217"/>
    <s v="张思琪"/>
    <m/>
    <m/>
    <s v="砂白色2.0米岩板餐桌"/>
    <s v="榉木餐桌"/>
    <s v="200cm*85cm"/>
    <s v="已结算"/>
    <s v="庄毅"/>
    <n v="1938.5"/>
    <n v="1630"/>
    <m/>
    <m/>
    <m/>
    <m/>
    <n v="306"/>
    <m/>
    <m/>
    <m/>
    <m/>
    <m/>
    <m/>
    <m/>
    <m/>
    <m/>
    <m/>
    <m/>
    <n v="2.5"/>
    <m/>
    <m/>
    <m/>
    <m/>
    <m/>
    <m/>
    <m/>
    <m/>
    <m/>
    <m/>
    <m/>
    <n v="235"/>
    <m/>
    <n v="100"/>
    <n v="0"/>
    <n v="0"/>
    <n v="0"/>
    <n v="0"/>
    <n v="0"/>
    <n v="1"/>
    <n v="2273.5"/>
    <n v="3120.69"/>
    <n v="0"/>
    <n v="18.72414"/>
    <n v="3101.96586"/>
    <n v="0"/>
    <n v="0"/>
    <n v="0"/>
    <n v="828.4658600000002"/>
    <s v="张思琪"/>
    <s v="河北省 张家口市 崇礼区 西湾子镇阿那亚崇礼六号楼613"/>
    <s v="13171648141-5295"/>
    <m/>
    <m/>
  </r>
  <r>
    <x v="131"/>
    <s v="已收货"/>
    <x v="218"/>
    <s v="刘叶"/>
    <m/>
    <m/>
    <s v="砂白色1.6米岩板餐桌"/>
    <s v="榉木餐桌"/>
    <s v="160cm*85cm"/>
    <s v="已结算"/>
    <s v="江西"/>
    <n v="1932.5"/>
    <n v="1520"/>
    <m/>
    <m/>
    <m/>
    <m/>
    <n v="240"/>
    <m/>
    <m/>
    <m/>
    <m/>
    <m/>
    <m/>
    <m/>
    <m/>
    <m/>
    <m/>
    <m/>
    <n v="2.5"/>
    <m/>
    <m/>
    <m/>
    <m/>
    <m/>
    <m/>
    <m/>
    <m/>
    <n v="170"/>
    <m/>
    <m/>
    <n v="181"/>
    <n v="30"/>
    <n v="100"/>
    <n v="0"/>
    <n v="0"/>
    <n v="0"/>
    <n v="0"/>
    <n v="0"/>
    <n v="1"/>
    <n v="2243.5"/>
    <n v="2856.38"/>
    <n v="0"/>
    <n v="17.13828"/>
    <n v="2839.24172"/>
    <n v="0"/>
    <n v="0"/>
    <n v="0"/>
    <n v="595.74172"/>
    <s v="刘叶"/>
    <m/>
    <m/>
    <m/>
    <m/>
  </r>
  <r>
    <x v="132"/>
    <s v="已收货"/>
    <x v="219"/>
    <s v="唐靓靓"/>
    <m/>
    <m/>
    <s v="2个插座"/>
    <s v="配件"/>
    <m/>
    <s v="已结算"/>
    <s v="庄毅"/>
    <n v="0"/>
    <n v="0"/>
    <m/>
    <m/>
    <m/>
    <m/>
    <m/>
    <m/>
    <m/>
    <m/>
    <m/>
    <m/>
    <m/>
    <m/>
    <m/>
    <m/>
    <m/>
    <m/>
    <m/>
    <m/>
    <m/>
    <m/>
    <m/>
    <m/>
    <m/>
    <m/>
    <m/>
    <m/>
    <m/>
    <m/>
    <n v="0"/>
    <n v="0"/>
    <n v="0"/>
    <n v="0"/>
    <n v="0"/>
    <n v="0"/>
    <n v="0"/>
    <n v="0"/>
    <n v="1"/>
    <n v="0"/>
    <n v="420"/>
    <n v="0"/>
    <n v="2.52"/>
    <n v="417.48"/>
    <n v="0"/>
    <n v="0"/>
    <n v="0"/>
    <n v="417.48"/>
    <s v="唐靓靓"/>
    <m/>
    <m/>
    <m/>
    <m/>
  </r>
  <r>
    <x v="133"/>
    <s v="已收货"/>
    <x v="220"/>
    <s v="罗女士"/>
    <m/>
    <m/>
    <s v="样块"/>
    <s v="样块"/>
    <m/>
    <s v="已结算"/>
    <s v="杭州"/>
    <n v="7"/>
    <n v="5"/>
    <m/>
    <m/>
    <m/>
    <m/>
    <m/>
    <m/>
    <m/>
    <m/>
    <m/>
    <m/>
    <m/>
    <m/>
    <m/>
    <m/>
    <m/>
    <m/>
    <m/>
    <m/>
    <m/>
    <m/>
    <m/>
    <m/>
    <m/>
    <m/>
    <m/>
    <n v="2"/>
    <m/>
    <m/>
    <n v="5"/>
    <n v="0"/>
    <n v="0"/>
    <n v="0"/>
    <n v="0"/>
    <n v="0"/>
    <n v="0"/>
    <n v="0"/>
    <n v="1"/>
    <n v="12"/>
    <n v="20"/>
    <n v="0"/>
    <n v="0.12"/>
    <n v="19.88"/>
    <n v="0"/>
    <n v="0"/>
    <n v="0"/>
    <n v="7.879999999999999"/>
    <s v="罗女士"/>
    <s v="上海 上海市 浦东新区 惠南镇东原逸墅65号1602室"/>
    <s v="18466687350-9328，"/>
    <m/>
    <m/>
  </r>
  <r>
    <x v="134"/>
    <s v="已收货"/>
    <x v="221"/>
    <s v="小石"/>
    <m/>
    <m/>
    <s v="樱桃木哑白岩板餐桌2025-1.4米"/>
    <s v="樱桃木岩板餐桌2025"/>
    <s v="140cm*85cm"/>
    <s v="已结算"/>
    <s v="庄毅"/>
    <n v="1316.7"/>
    <n v="1100"/>
    <m/>
    <m/>
    <m/>
    <m/>
    <n v="214.2"/>
    <m/>
    <m/>
    <m/>
    <m/>
    <m/>
    <m/>
    <m/>
    <m/>
    <m/>
    <m/>
    <m/>
    <n v="2.5"/>
    <m/>
    <m/>
    <m/>
    <m/>
    <m/>
    <m/>
    <m/>
    <m/>
    <m/>
    <m/>
    <m/>
    <n v="130"/>
    <m/>
    <n v="60"/>
    <n v="0"/>
    <n v="0"/>
    <n v="0"/>
    <n v="0"/>
    <n v="215.83"/>
    <n v="1"/>
    <n v="1722.53"/>
    <n v="2187.5"/>
    <n v="0"/>
    <n v="13.125"/>
    <n v="2174.375"/>
    <n v="0"/>
    <n v="0"/>
    <n v="0"/>
    <n v="451.845"/>
    <s v="小石"/>
    <s v="河南省 郑州市 中原区 双桥街道 榆林润泽苑1号院22号楼"/>
    <s v="13247503186-8003"/>
    <m/>
    <m/>
  </r>
  <r>
    <x v="135"/>
    <s v="已收货"/>
    <x v="222"/>
    <s v="jojo"/>
    <m/>
    <m/>
    <s v="砂白色1.8米岩板餐桌，定制"/>
    <s v="榉木餐桌"/>
    <s v="180cm*80cm"/>
    <s v="已结算"/>
    <s v="江西"/>
    <n v="1952.5"/>
    <n v="1530"/>
    <m/>
    <m/>
    <m/>
    <m/>
    <n v="240"/>
    <m/>
    <m/>
    <m/>
    <m/>
    <m/>
    <m/>
    <m/>
    <m/>
    <m/>
    <m/>
    <m/>
    <n v="2.5"/>
    <m/>
    <m/>
    <m/>
    <m/>
    <m/>
    <m/>
    <m/>
    <m/>
    <n v="180"/>
    <m/>
    <m/>
    <n v="93"/>
    <n v="30"/>
    <n v="76"/>
    <n v="0"/>
    <n v="0"/>
    <n v="0"/>
    <n v="0"/>
    <n v="0"/>
    <n v="1"/>
    <n v="2151.5"/>
    <n v="2904.88"/>
    <n v="0"/>
    <n v="17.42928"/>
    <n v="2887.45072"/>
    <n v="0"/>
    <n v="0"/>
    <n v="0"/>
    <n v="735.9507200000003"/>
    <s v="jojo"/>
    <s v="湖南省 长沙市 雨花区 洞井街道金科集美天辰10栋802"/>
    <s v="18472622557-9986"/>
    <m/>
    <m/>
  </r>
  <r>
    <x v="136"/>
    <s v="已收货"/>
    <x v="223"/>
    <s v="陈深丰"/>
    <m/>
    <m/>
    <s v="补差价"/>
    <s v="洞石餐边柜"/>
    <m/>
    <s v="已结算"/>
    <s v="庄毅"/>
    <n v="0"/>
    <n v="0"/>
    <m/>
    <m/>
    <m/>
    <m/>
    <m/>
    <m/>
    <m/>
    <m/>
    <m/>
    <m/>
    <m/>
    <m/>
    <m/>
    <m/>
    <m/>
    <m/>
    <m/>
    <m/>
    <m/>
    <m/>
    <m/>
    <m/>
    <m/>
    <m/>
    <m/>
    <m/>
    <m/>
    <m/>
    <n v="0"/>
    <n v="0"/>
    <n v="0"/>
    <n v="0"/>
    <n v="0"/>
    <n v="0"/>
    <n v="0"/>
    <n v="0"/>
    <n v="1"/>
    <n v="0"/>
    <n v="354.64"/>
    <n v="0"/>
    <n v="2.12784"/>
    <n v="352.51216"/>
    <n v="0"/>
    <n v="0"/>
    <n v="0"/>
    <n v="352.51216"/>
    <s v="陈深丰"/>
    <s v="江苏省 南通市 海安市 城东镇 7星首府 5幢2单元1101 "/>
    <s v="18662904145-1255"/>
    <s v="JDVG04625778893"/>
    <m/>
  </r>
  <r>
    <x v="136"/>
    <s v="已收货"/>
    <x v="224"/>
    <s v="李伟峰"/>
    <m/>
    <m/>
    <s v="样块"/>
    <s v="样块"/>
    <m/>
    <s v="已结算"/>
    <s v="杭州"/>
    <n v="7"/>
    <n v="5"/>
    <m/>
    <m/>
    <m/>
    <m/>
    <m/>
    <m/>
    <m/>
    <m/>
    <m/>
    <m/>
    <m/>
    <m/>
    <m/>
    <m/>
    <m/>
    <m/>
    <m/>
    <m/>
    <m/>
    <m/>
    <m/>
    <m/>
    <m/>
    <m/>
    <m/>
    <n v="2"/>
    <m/>
    <m/>
    <n v="5"/>
    <n v="0"/>
    <n v="0"/>
    <n v="0"/>
    <n v="0"/>
    <n v="0"/>
    <n v="0"/>
    <n v="0"/>
    <n v="1"/>
    <n v="12"/>
    <n v="22"/>
    <n v="0"/>
    <n v="0.132"/>
    <n v="21.868"/>
    <n v="0"/>
    <n v="0"/>
    <n v="0"/>
    <n v="9.867999999999999"/>
    <s v="李伟峰"/>
    <s v="山东省 日照市 岚山区 岚山头街道 沂州海湾五号楼一单元"/>
    <s v="18416726972-9471"/>
    <m/>
    <m/>
  </r>
  <r>
    <x v="137"/>
    <s v="已收货"/>
    <x v="225"/>
    <s v="凌泽芝"/>
    <m/>
    <m/>
    <s v="洞石餐边柜定制-1.5米-251012"/>
    <s v="洞石餐边柜"/>
    <n v="1500"/>
    <s v="已结算"/>
    <s v="庄毅"/>
    <n v="6746.18"/>
    <n v="4200"/>
    <n v="556.0799999999999"/>
    <n v="320"/>
    <m/>
    <n v="549.6"/>
    <n v="84"/>
    <m/>
    <n v="8.5"/>
    <m/>
    <m/>
    <n v="7"/>
    <n v="154"/>
    <s v="52*2"/>
    <n v="17.5"/>
    <m/>
    <m/>
    <n v="7"/>
    <n v="450"/>
    <m/>
    <n v="340"/>
    <m/>
    <m/>
    <m/>
    <m/>
    <m/>
    <m/>
    <m/>
    <m/>
    <m/>
    <n v="470"/>
    <n v="100"/>
    <n v="150"/>
    <n v="0"/>
    <n v="0"/>
    <n v="0"/>
    <n v="0"/>
    <n v="0"/>
    <n v="1"/>
    <n v="7466.18"/>
    <n v="10304"/>
    <n v="0"/>
    <n v="61.824"/>
    <n v="10242.176"/>
    <n v="0"/>
    <n v="0"/>
    <n v="0"/>
    <n v="2775.995999999999"/>
    <s v="凌泽芝"/>
    <s v="北京 北京市 昌平区 史各庄街道 东半壁店家园4-3-901"/>
    <s v="18401660157-3854"/>
    <s v="JDVG04569136289"/>
    <m/>
  </r>
  <r>
    <x v="138"/>
    <s v="已收货"/>
    <x v="226"/>
    <s v="李思颉"/>
    <m/>
    <m/>
    <s v="样块*2"/>
    <s v="样块"/>
    <m/>
    <s v="已结算"/>
    <s v="杭州"/>
    <n v="12"/>
    <n v="10"/>
    <m/>
    <m/>
    <m/>
    <m/>
    <m/>
    <m/>
    <m/>
    <m/>
    <m/>
    <m/>
    <m/>
    <m/>
    <m/>
    <m/>
    <m/>
    <m/>
    <m/>
    <m/>
    <m/>
    <m/>
    <m/>
    <m/>
    <m/>
    <m/>
    <m/>
    <n v="2"/>
    <m/>
    <m/>
    <n v="5"/>
    <n v="0"/>
    <n v="0"/>
    <n v="0"/>
    <n v="0"/>
    <n v="0"/>
    <n v="0"/>
    <n v="0"/>
    <n v="1"/>
    <n v="17"/>
    <n v="50"/>
    <n v="0"/>
    <n v="0.3"/>
    <n v="49.7"/>
    <n v="0"/>
    <n v="0"/>
    <n v="0"/>
    <n v="32.7"/>
    <s v="李思颉"/>
    <s v="浙江省 舟山市 定海区 千岛街道闻莺苑11幢1单元2504"/>
    <s v="18413298758-4019"/>
    <m/>
    <m/>
  </r>
  <r>
    <x v="138"/>
    <s v="已收货"/>
    <x v="227"/>
    <s v="丁小姐"/>
    <m/>
    <m/>
    <s v="窄柜-整柜洞石岩板背板-1.2米-定制"/>
    <s v="樱桃木窄柜"/>
    <n v="1200"/>
    <s v="已结算"/>
    <s v="庄毅"/>
    <n v="4371.99648"/>
    <n v="3600"/>
    <n v="411.08"/>
    <m/>
    <m/>
    <m/>
    <n v="230.91648"/>
    <n v="62.4"/>
    <m/>
    <m/>
    <m/>
    <m/>
    <m/>
    <m/>
    <m/>
    <m/>
    <m/>
    <m/>
    <m/>
    <m/>
    <m/>
    <m/>
    <m/>
    <m/>
    <m/>
    <n v="10"/>
    <m/>
    <m/>
    <m/>
    <m/>
    <n v="293"/>
    <m/>
    <n v="68"/>
    <n v="0"/>
    <n v="0"/>
    <n v="0"/>
    <n v="0"/>
    <n v="0"/>
    <n v="1"/>
    <n v="4732.99648"/>
    <n v="6105"/>
    <n v="0"/>
    <n v="36.63"/>
    <n v="6068.37"/>
    <n v="0"/>
    <n v="0"/>
    <n v="0"/>
    <n v="1335.37352"/>
    <s v="丁小姐"/>
    <s v="广东省 广州市 黄埔区 文冲街道 文冲安置房八期H7栋203房 "/>
    <s v="17896416749-5483"/>
    <s v=" JDVG04623815231"/>
    <m/>
  </r>
  <r>
    <x v="139"/>
    <s v="已收货"/>
    <x v="228"/>
    <s v="刘女士"/>
    <m/>
    <m/>
    <s v="样块*2"/>
    <s v="样块"/>
    <m/>
    <s v="已结算"/>
    <s v="杭州"/>
    <n v="12"/>
    <n v="10"/>
    <m/>
    <m/>
    <m/>
    <m/>
    <m/>
    <m/>
    <m/>
    <m/>
    <m/>
    <m/>
    <m/>
    <m/>
    <m/>
    <m/>
    <m/>
    <m/>
    <m/>
    <m/>
    <m/>
    <m/>
    <m/>
    <m/>
    <m/>
    <m/>
    <m/>
    <n v="2"/>
    <m/>
    <m/>
    <n v="5"/>
    <n v="0"/>
    <n v="0"/>
    <n v="0"/>
    <n v="0"/>
    <n v="0"/>
    <n v="0"/>
    <n v="0"/>
    <n v="1"/>
    <n v="17"/>
    <n v="50"/>
    <n v="0"/>
    <n v="0.3"/>
    <n v="49.7"/>
    <n v="0"/>
    <n v="0"/>
    <n v="0"/>
    <n v="32.7"/>
    <s v="刘女士"/>
    <s v="甘肃省 庆阳市 西峰区 温泉镇 刘家店"/>
    <s v="15502977460-4089"/>
    <m/>
    <m/>
  </r>
  <r>
    <x v="139"/>
    <s v="已收货"/>
    <x v="229"/>
    <s v="陈工/梁工"/>
    <m/>
    <m/>
    <s v="榉木长凳"/>
    <s v="长凳"/>
    <m/>
    <s v="已结算"/>
    <s v="江西"/>
    <n v="800"/>
    <n v="800"/>
    <m/>
    <m/>
    <m/>
    <m/>
    <m/>
    <m/>
    <m/>
    <m/>
    <m/>
    <m/>
    <m/>
    <m/>
    <m/>
    <m/>
    <m/>
    <m/>
    <m/>
    <m/>
    <m/>
    <m/>
    <m/>
    <m/>
    <m/>
    <m/>
    <m/>
    <m/>
    <m/>
    <m/>
    <n v="55"/>
    <n v="0"/>
    <n v="0"/>
    <n v="0"/>
    <n v="0"/>
    <n v="0"/>
    <n v="0"/>
    <n v="0"/>
    <n v="1"/>
    <n v="855"/>
    <n v="1730"/>
    <n v="0"/>
    <n v="10.38"/>
    <n v="1719.62"/>
    <n v="0"/>
    <n v="0"/>
    <n v="0"/>
    <n v="864.6199999999999"/>
    <s v="陈工/梁工13217569308"/>
    <s v="广东省 珠海市 香洲区 湾仔街道华发湾玺壹号小区3棟2904房"/>
    <s v="18466383878-7432"/>
    <m/>
    <m/>
  </r>
  <r>
    <x v="139"/>
    <s v="已收货"/>
    <x v="230"/>
    <s v="杨秀情"/>
    <m/>
    <m/>
    <s v="样块"/>
    <s v="样块"/>
    <m/>
    <s v="已结算"/>
    <s v="杭州"/>
    <n v="7"/>
    <n v="5"/>
    <m/>
    <m/>
    <m/>
    <m/>
    <m/>
    <m/>
    <m/>
    <m/>
    <m/>
    <m/>
    <m/>
    <m/>
    <m/>
    <m/>
    <m/>
    <m/>
    <m/>
    <m/>
    <m/>
    <m/>
    <m/>
    <m/>
    <m/>
    <m/>
    <m/>
    <n v="2"/>
    <m/>
    <m/>
    <n v="5"/>
    <n v="0"/>
    <n v="0"/>
    <n v="0"/>
    <n v="0"/>
    <n v="0"/>
    <n v="0"/>
    <n v="0"/>
    <n v="1"/>
    <n v="12"/>
    <n v="25"/>
    <n v="0"/>
    <n v="0.15"/>
    <n v="24.85"/>
    <n v="0"/>
    <n v="0"/>
    <n v="0"/>
    <n v="12.85"/>
    <s v="杨秀情"/>
    <s v="四川省 成都市 青羊区 汪家拐街道锦里西路锦江时代花园南楼1402"/>
    <s v="13198536474-3850"/>
    <m/>
    <m/>
  </r>
  <r>
    <x v="140"/>
    <s v="已收货"/>
    <x v="231"/>
    <s v="梁峰"/>
    <m/>
    <m/>
    <s v="定制全榉木1.6下柜"/>
    <s v="榉木餐边柜"/>
    <m/>
    <s v="已结算"/>
    <s v="江西"/>
    <n v="4681"/>
    <n v="4180"/>
    <n v="38"/>
    <s v="22*9"/>
    <n v="260"/>
    <m/>
    <n v="5"/>
    <m/>
    <m/>
    <m/>
    <m/>
    <m/>
    <m/>
    <m/>
    <m/>
    <m/>
    <m/>
    <m/>
    <m/>
    <m/>
    <m/>
    <m/>
    <m/>
    <m/>
    <m/>
    <m/>
    <m/>
    <n v="260"/>
    <m/>
    <m/>
    <n v="322"/>
    <n v="65"/>
    <n v="0"/>
    <n v="0"/>
    <n v="0"/>
    <n v="0"/>
    <n v="0"/>
    <n v="0"/>
    <n v="1"/>
    <n v="5068"/>
    <n v="5300"/>
    <n v="0"/>
    <n v="31.8"/>
    <n v="5268.2"/>
    <n v="0"/>
    <n v="0"/>
    <n v="0"/>
    <n v="200.1999999999998"/>
    <s v="梁峰"/>
    <s v="广西壮族自治区 柳州市 城中区 静兰街道桂柳路30号碧园大城小院16栋"/>
    <s v="13078091453-2888"/>
    <m/>
    <m/>
  </r>
  <r>
    <x v="141"/>
    <s v="已收货"/>
    <x v="232"/>
    <s v="陈浩南"/>
    <m/>
    <m/>
    <s v="砂白色2.4米岩板餐桌，定制"/>
    <s v="榉木餐桌"/>
    <s v="240cm*80cm"/>
    <s v="已结算"/>
    <s v="江西"/>
    <n v="2428.5"/>
    <n v="1650"/>
    <m/>
    <m/>
    <m/>
    <m/>
    <n v="626"/>
    <m/>
    <m/>
    <m/>
    <m/>
    <m/>
    <m/>
    <m/>
    <m/>
    <m/>
    <m/>
    <m/>
    <n v="2.5"/>
    <m/>
    <m/>
    <m/>
    <m/>
    <m/>
    <m/>
    <m/>
    <m/>
    <n v="150"/>
    <m/>
    <m/>
    <n v="357"/>
    <n v="68"/>
    <n v="78"/>
    <n v="0"/>
    <n v="0"/>
    <n v="0"/>
    <n v="0"/>
    <n v="0"/>
    <n v="1"/>
    <n v="2931.5"/>
    <n v="3245"/>
    <n v="0"/>
    <n v="19.47"/>
    <n v="3225.53"/>
    <n v="0"/>
    <n v="0"/>
    <n v="0"/>
    <n v="294.0300000000002"/>
    <s v="陈浩南"/>
    <s v="广西壮族自治区 南宁市 青秀区 津头街道保利领秀前城秀程府7栋2901号"/>
    <s v="17677993417-2441"/>
    <m/>
    <m/>
  </r>
  <r>
    <x v="141"/>
    <s v="已收货"/>
    <x v="233"/>
    <s v="彭博"/>
    <m/>
    <m/>
    <s v="砂白色1.6米岩板餐桌"/>
    <s v="榉木餐桌"/>
    <s v="160cm*85cm"/>
    <s v="已结算"/>
    <s v="庄毅"/>
    <n v="1777.3"/>
    <n v="1530"/>
    <m/>
    <m/>
    <m/>
    <m/>
    <n v="244.8"/>
    <m/>
    <m/>
    <m/>
    <m/>
    <m/>
    <m/>
    <m/>
    <m/>
    <m/>
    <m/>
    <m/>
    <n v="2.5"/>
    <m/>
    <m/>
    <m/>
    <m/>
    <m/>
    <m/>
    <m/>
    <m/>
    <m/>
    <m/>
    <m/>
    <n v="342"/>
    <n v="0"/>
    <n v="60"/>
    <n v="0"/>
    <n v="0"/>
    <n v="0"/>
    <n v="0"/>
    <n v="0"/>
    <n v="1"/>
    <n v="2179.3"/>
    <n v="2753.41"/>
    <n v="0"/>
    <n v="16.52046"/>
    <n v="2736.88954"/>
    <n v="0"/>
    <n v="0"/>
    <n v="0"/>
    <n v="557.5895399999995"/>
    <s v="彭博"/>
    <s v="黑龙江省 齐齐哈尔市 建华区 北华街道中央公园G10幢G10-1804"/>
    <s v="15561801741-9353"/>
    <s v="JDVG04535575270，2件"/>
    <m/>
  </r>
  <r>
    <x v="141"/>
    <s v="已收货"/>
    <x v="234"/>
    <s v="陈深丰"/>
    <m/>
    <m/>
    <s v="洞石餐边柜-洞石整柜2.1米（多抽组合）（分类抽屉+玻璃移门+开门）"/>
    <s v="洞石餐边柜"/>
    <n v="2100"/>
    <s v="已结算"/>
    <s v="庄毅"/>
    <n v="8025.706666666667"/>
    <n v="6000"/>
    <n v="501.08"/>
    <n v="226.6666666666667"/>
    <n v="76"/>
    <n v="90"/>
    <n v="410.88"/>
    <m/>
    <m/>
    <m/>
    <m/>
    <n v="10"/>
    <n v="20"/>
    <m/>
    <n v="17.5"/>
    <m/>
    <m/>
    <m/>
    <n v="40"/>
    <n v="10"/>
    <n v="14"/>
    <m/>
    <m/>
    <m/>
    <n v="657.08"/>
    <m/>
    <m/>
    <m/>
    <m/>
    <m/>
    <n v="749"/>
    <n v="0"/>
    <n v="150"/>
    <n v="0"/>
    <n v="196"/>
    <n v="0"/>
    <n v="0"/>
    <n v="0"/>
    <n v="1"/>
    <n v="9120.706666666667"/>
    <n v="11029.88"/>
    <n v="0"/>
    <n v="66.17927999999999"/>
    <n v="10963.70072"/>
    <n v="0"/>
    <n v="0"/>
    <n v="0"/>
    <n v="1842.994053333332"/>
    <s v="陈深丰"/>
    <s v="江苏省 南通市 海安市 城东镇 7星首府 5幢2单元1101 "/>
    <s v="18662904145-1255"/>
    <s v="JDVG04625778893"/>
    <m/>
  </r>
  <r>
    <x v="141"/>
    <s v="已收货"/>
    <x v="235"/>
    <s v="台集运(4225927)"/>
    <m/>
    <m/>
    <s v="砂白色1.6米岩板餐桌"/>
    <s v="榉木餐桌"/>
    <s v="160cm*85cm"/>
    <s v="已结算"/>
    <s v="江西"/>
    <n v="1772.5"/>
    <n v="1350"/>
    <m/>
    <m/>
    <m/>
    <m/>
    <n v="240"/>
    <m/>
    <m/>
    <m/>
    <m/>
    <m/>
    <m/>
    <m/>
    <m/>
    <m/>
    <m/>
    <m/>
    <n v="2.5"/>
    <m/>
    <m/>
    <m/>
    <m/>
    <m/>
    <m/>
    <m/>
    <m/>
    <n v="180"/>
    <m/>
    <m/>
    <n v="106"/>
    <n v="30"/>
    <n v="0"/>
    <n v="0"/>
    <n v="0"/>
    <n v="0"/>
    <n v="0"/>
    <n v="0"/>
    <n v="1"/>
    <n v="1908.5"/>
    <n v="2688.41"/>
    <n v="0"/>
    <n v="16.13046"/>
    <n v="2672.27954"/>
    <n v="0"/>
    <n v="0"/>
    <n v="0"/>
    <n v="763.77954"/>
    <s v="台集运(4225927)"/>
    <s v="福建省 福州市 平潭县 海坛街道澳前西路邮政大厅B区808仓台集运(4225927)"/>
    <n v="18319011167"/>
    <m/>
    <m/>
  </r>
  <r>
    <x v="141"/>
    <s v="已收货"/>
    <x v="236"/>
    <s v="大魔王"/>
    <m/>
    <m/>
    <s v="窄柜-整柜洞石背板-0.8米"/>
    <s v="樱桃木窄柜"/>
    <n v="800"/>
    <s v="已结算"/>
    <s v="庄毅"/>
    <n v="3842.08"/>
    <n v="3100"/>
    <n v="307.08"/>
    <n v="115"/>
    <m/>
    <n v="30"/>
    <n v="91.44"/>
    <n v="54.9"/>
    <m/>
    <m/>
    <n v="4"/>
    <m/>
    <m/>
    <m/>
    <m/>
    <m/>
    <m/>
    <n v="3.5"/>
    <m/>
    <n v="3"/>
    <m/>
    <m/>
    <m/>
    <m/>
    <n v="1.2"/>
    <m/>
    <m/>
    <m/>
    <m/>
    <m/>
    <n v="222"/>
    <n v="0"/>
    <n v="110"/>
    <n v="0"/>
    <n v="0"/>
    <n v="0"/>
    <n v="0"/>
    <n v="0"/>
    <n v="1"/>
    <n v="4174.08"/>
    <n v="4819.5"/>
    <n v="0"/>
    <n v="28.917"/>
    <n v="4790.583"/>
    <n v="0"/>
    <n v="0"/>
    <n v="0"/>
    <n v="616.5029999999997"/>
    <s v="大魔王"/>
    <s v="江苏省 南京市 雨花台区 赛虹桥街道长虹路凤凰和美2幢二单元606室"/>
    <s v="15784004692-4161"/>
    <m/>
    <m/>
  </r>
  <r>
    <x v="141"/>
    <s v="退货退款"/>
    <x v="237"/>
    <s v="屈冉冉"/>
    <m/>
    <m/>
    <s v="樱桃木洞石岩板餐桌2025-1.6米"/>
    <s v="樱桃木岩板餐桌2025"/>
    <s v="160cm*85cm"/>
    <s v="已结算"/>
    <s v="庄毅"/>
    <n v="1325.38"/>
    <n v="1200"/>
    <m/>
    <m/>
    <m/>
    <m/>
    <n v="122.88"/>
    <m/>
    <m/>
    <m/>
    <m/>
    <m/>
    <m/>
    <m/>
    <m/>
    <m/>
    <m/>
    <m/>
    <n v="2.5"/>
    <m/>
    <m/>
    <m/>
    <m/>
    <m/>
    <m/>
    <m/>
    <m/>
    <m/>
    <m/>
    <m/>
    <n v="197"/>
    <m/>
    <n v="65"/>
    <n v="0"/>
    <n v="0"/>
    <n v="0"/>
    <n v="0"/>
    <n v="128.1"/>
    <n v="1"/>
    <n v="1715.48"/>
    <n v="0"/>
    <n v="0"/>
    <n v="0"/>
    <n v="0"/>
    <n v="0"/>
    <n v="0"/>
    <n v="0"/>
    <n v="-1715.48"/>
    <s v="屈冉冉"/>
    <s v="湖南省 长沙市 雨花区 洞井街道长沙奥林匹克花园8栋"/>
    <s v="18697913864-6095"/>
    <m/>
    <m/>
  </r>
  <r>
    <x v="141"/>
    <s v="已收货"/>
    <x v="238"/>
    <s v="郑小姐"/>
    <m/>
    <m/>
    <s v="窄柜-整柜洞石背板-1.2米"/>
    <s v="樱桃木窄柜"/>
    <n v="1200"/>
    <s v="已结算"/>
    <s v="庄毅"/>
    <n v="4496.299999999999"/>
    <n v="3600"/>
    <n v="411.08"/>
    <n v="125"/>
    <m/>
    <n v="76"/>
    <n v="122.16"/>
    <n v="62.4"/>
    <m/>
    <m/>
    <m/>
    <n v="8"/>
    <m/>
    <n v="3"/>
    <m/>
    <m/>
    <m/>
    <n v="3.37"/>
    <m/>
    <m/>
    <m/>
    <m/>
    <m/>
    <n v="1.16"/>
    <n v="1.1"/>
    <n v="10"/>
    <m/>
    <m/>
    <m/>
    <m/>
    <n v="224"/>
    <n v="0"/>
    <n v="95"/>
    <n v="0"/>
    <n v="0"/>
    <n v="0"/>
    <n v="0"/>
    <n v="0"/>
    <n v="1"/>
    <n v="4815.299999999999"/>
    <n v="5628"/>
    <n v="0"/>
    <n v="33.768"/>
    <n v="5594.232"/>
    <n v="0"/>
    <n v="0"/>
    <n v="0"/>
    <n v="778.9320000000007"/>
    <s v="郑小姐"/>
    <s v="江西省 上饶市 信州区 灵溪街道中京未来境(未来苑)5栋2单元503"/>
    <s v="15579243848-9667"/>
    <m/>
    <m/>
  </r>
  <r>
    <x v="141"/>
    <s v="已收货"/>
    <x v="239"/>
    <s v="兰森"/>
    <m/>
    <m/>
    <s v="窄柜-整柜洞石背板-1.2米-定制"/>
    <s v="樱桃木窄柜"/>
    <n v="1200"/>
    <s v="已结算"/>
    <s v="庄毅"/>
    <n v="4596.299999999999"/>
    <n v="3700"/>
    <n v="411.08"/>
    <n v="125"/>
    <m/>
    <n v="76"/>
    <n v="122.16"/>
    <n v="62.4"/>
    <m/>
    <m/>
    <m/>
    <n v="8"/>
    <m/>
    <n v="3"/>
    <m/>
    <m/>
    <m/>
    <n v="3.37"/>
    <m/>
    <m/>
    <m/>
    <m/>
    <m/>
    <n v="1.16"/>
    <n v="1.1"/>
    <n v="10"/>
    <m/>
    <m/>
    <m/>
    <m/>
    <n v="711"/>
    <n v="0"/>
    <n v="90"/>
    <n v="0"/>
    <n v="148"/>
    <n v="0"/>
    <n v="0"/>
    <n v="80"/>
    <n v="1"/>
    <n v="5625.299999999999"/>
    <n v="5628"/>
    <n v="0"/>
    <n v="33.768"/>
    <n v="5594.232"/>
    <n v="148"/>
    <n v="0"/>
    <n v="148"/>
    <n v="116.9320000000007"/>
    <s v="兰森"/>
    <s v="重庆 重庆市 渝北区 鸳鸯街道融科蔚城2栋2单元402"/>
    <s v="14727237431-3991"/>
    <m/>
    <m/>
  </r>
  <r>
    <x v="141"/>
    <s v="已收货"/>
    <x v="240"/>
    <s v="于小白"/>
    <m/>
    <m/>
    <s v="餐边柜1.8米＋双腿桌1.4米（背板多层板）-物流抵扣"/>
    <s v="旋转餐边柜"/>
    <n v="1800"/>
    <s v="已结算"/>
    <s v="江西"/>
    <n v="7402.99"/>
    <n v="5700"/>
    <m/>
    <m/>
    <m/>
    <m/>
    <m/>
    <n v="14"/>
    <n v="260"/>
    <m/>
    <m/>
    <n v="40"/>
    <n v="198"/>
    <n v="550"/>
    <m/>
    <m/>
    <m/>
    <m/>
    <n v="7"/>
    <n v="11.99"/>
    <n v="550"/>
    <m/>
    <m/>
    <m/>
    <n v="72"/>
    <m/>
    <m/>
    <m/>
    <m/>
    <m/>
    <n v="360"/>
    <n v="48"/>
    <n v="200"/>
    <n v="0"/>
    <n v="199"/>
    <n v="0"/>
    <n v="0"/>
    <n v="0"/>
    <n v="1"/>
    <n v="8209.99"/>
    <n v="11479"/>
    <n v="0"/>
    <n v="68.874"/>
    <n v="11410.126"/>
    <n v="0"/>
    <n v="0"/>
    <n v="0"/>
    <n v="3200.136"/>
    <s v="于小白"/>
    <s v="广东省 深圳市 宝安区 石岩街道悦云花园3栋905"/>
    <s v="13246618265-8351"/>
    <m/>
    <m/>
  </r>
  <r>
    <x v="141"/>
    <s v="已收货"/>
    <x v="241"/>
    <s v="阿巴阿巴"/>
    <m/>
    <m/>
    <s v="窄柜-整柜洞石背板-0.8米-定制"/>
    <s v="樱桃木窄柜"/>
    <n v="800"/>
    <s v="已结算"/>
    <s v="庄毅"/>
    <n v="4013.84"/>
    <n v="3250"/>
    <n v="307.08"/>
    <n v="115"/>
    <m/>
    <n v="30"/>
    <n v="113.2"/>
    <n v="54.9"/>
    <m/>
    <m/>
    <n v="4"/>
    <m/>
    <m/>
    <m/>
    <m/>
    <m/>
    <m/>
    <n v="3.5"/>
    <m/>
    <n v="3"/>
    <m/>
    <m/>
    <m/>
    <m/>
    <n v="1.2"/>
    <m/>
    <m/>
    <m/>
    <m/>
    <m/>
    <n v="296"/>
    <n v="0"/>
    <n v="80"/>
    <n v="0"/>
    <n v="0"/>
    <n v="0"/>
    <n v="0"/>
    <n v="0"/>
    <n v="1"/>
    <n v="4389.84"/>
    <n v="4819.5"/>
    <n v="0"/>
    <n v="28.917"/>
    <n v="4790.583"/>
    <n v="0"/>
    <n v="0"/>
    <n v="0"/>
    <n v="400.7429999999995"/>
    <s v="阿巴阿巴"/>
    <s v="湖南省 长沙市 岳麓区 洋湖街道合能洋湖公馆2期9栋304"/>
    <s v="15527394037-7914"/>
    <m/>
    <m/>
  </r>
  <r>
    <x v="141"/>
    <s v="已收货"/>
    <x v="242"/>
    <s v="米雪儿"/>
    <m/>
    <m/>
    <s v="曜黑柜-整柜-1.5米"/>
    <s v="曜黑餐边柜"/>
    <n v="1500"/>
    <s v="已结算"/>
    <s v="庄毅"/>
    <n v="10143.93333333333"/>
    <n v="9000"/>
    <n v="501.08"/>
    <n v="283.3333333333333"/>
    <s v="180*1.5*0.48"/>
    <m/>
    <m/>
    <m/>
    <n v="41"/>
    <n v="10"/>
    <m/>
    <n v="30"/>
    <n v="40"/>
    <n v="33"/>
    <m/>
    <n v="76"/>
    <m/>
    <m/>
    <m/>
    <m/>
    <m/>
    <m/>
    <m/>
    <m/>
    <m/>
    <m/>
    <m/>
    <m/>
    <m/>
    <m/>
    <n v="312"/>
    <n v="0"/>
    <n v="189"/>
    <n v="0"/>
    <n v="150"/>
    <n v="0"/>
    <n v="0"/>
    <n v="0"/>
    <n v="1"/>
    <n v="10794.93333333333"/>
    <n v="13766.63"/>
    <n v="0"/>
    <n v="82.59978"/>
    <n v="13684.03022"/>
    <n v="150"/>
    <n v="0"/>
    <n v="150"/>
    <n v="3039.096886666664"/>
    <s v="米雪儿"/>
    <s v="上海 上海市 杨浦区 控江路街道杨浦公寓11号楼501室"/>
    <s v="18466682629-5920"/>
    <m/>
    <m/>
  </r>
  <r>
    <x v="141"/>
    <s v="已收货"/>
    <x v="243"/>
    <s v="唐蒋兴"/>
    <m/>
    <m/>
    <s v="洞石色1.4米岩板餐桌，定制"/>
    <s v="榉木餐桌"/>
    <s v="140cm*70cm"/>
    <s v="已结算"/>
    <s v="江西"/>
    <n v="1712.5"/>
    <n v="1300"/>
    <m/>
    <m/>
    <m/>
    <m/>
    <n v="240"/>
    <m/>
    <m/>
    <m/>
    <m/>
    <m/>
    <m/>
    <m/>
    <m/>
    <m/>
    <m/>
    <m/>
    <n v="2.5"/>
    <m/>
    <m/>
    <m/>
    <m/>
    <m/>
    <m/>
    <m/>
    <m/>
    <n v="170"/>
    <m/>
    <m/>
    <n v="121"/>
    <n v="6"/>
    <n v="72"/>
    <n v="0"/>
    <n v="0"/>
    <n v="0"/>
    <n v="0"/>
    <n v="0"/>
    <n v="1"/>
    <n v="1911.5"/>
    <n v="2415.31"/>
    <n v="0"/>
    <n v="14.49186"/>
    <n v="2400.81814"/>
    <n v="0"/>
    <n v="0"/>
    <n v="0"/>
    <n v="489.3181399999999"/>
    <s v="唐蒋兴"/>
    <s v="四川省 成都市 龙泉驿区 大面街道锦御东府2-2-202"/>
    <s v="18418948834-8710"/>
    <m/>
    <m/>
  </r>
  <r>
    <x v="141"/>
    <s v="已收货"/>
    <x v="244"/>
    <s v="阿巴阿巴"/>
    <m/>
    <m/>
    <s v="补差价"/>
    <s v="樱桃木窄柜"/>
    <m/>
    <s v="已结算"/>
    <s v="庄毅"/>
    <n v="0"/>
    <n v="0"/>
    <m/>
    <m/>
    <m/>
    <m/>
    <m/>
    <m/>
    <m/>
    <m/>
    <m/>
    <m/>
    <m/>
    <m/>
    <m/>
    <m/>
    <m/>
    <m/>
    <m/>
    <m/>
    <m/>
    <m/>
    <m/>
    <m/>
    <m/>
    <m/>
    <m/>
    <m/>
    <m/>
    <m/>
    <n v="0"/>
    <n v="0"/>
    <n v="0"/>
    <n v="0"/>
    <n v="0"/>
    <n v="0"/>
    <n v="0"/>
    <n v="0"/>
    <n v="1"/>
    <n v="0"/>
    <n v="304"/>
    <n v="0"/>
    <n v="1.824"/>
    <n v="302.176"/>
    <n v="0"/>
    <n v="0"/>
    <n v="0"/>
    <n v="302.176"/>
    <s v="阿巴阿巴"/>
    <s v="湖南省 长沙市 岳麓区 洋湖街道合能洋湖公馆2期9栋304"/>
    <s v="15527394037-7914"/>
    <m/>
    <m/>
  </r>
  <r>
    <x v="141"/>
    <s v="已收货"/>
    <x v="245"/>
    <s v="阿Q"/>
    <m/>
    <m/>
    <s v="砂白色2.0米岩板餐桌"/>
    <s v="榉木餐桌"/>
    <s v="200cm*85cm"/>
    <s v="已结算"/>
    <s v="江西"/>
    <n v="1812.5"/>
    <n v="1450"/>
    <m/>
    <m/>
    <m/>
    <m/>
    <n v="290"/>
    <m/>
    <m/>
    <m/>
    <m/>
    <m/>
    <m/>
    <m/>
    <m/>
    <m/>
    <m/>
    <m/>
    <n v="2.5"/>
    <m/>
    <m/>
    <m/>
    <m/>
    <m/>
    <m/>
    <m/>
    <m/>
    <n v="70"/>
    <m/>
    <m/>
    <n v="350"/>
    <n v="0"/>
    <n v="0"/>
    <n v="0"/>
    <n v="0"/>
    <n v="0"/>
    <n v="0"/>
    <n v="0"/>
    <n v="1"/>
    <n v="2162.5"/>
    <n v="2925.31"/>
    <n v="0"/>
    <n v="17.55186"/>
    <n v="2907.75814"/>
    <n v="0"/>
    <n v="0"/>
    <n v="0"/>
    <n v="745.2581399999999"/>
    <s v="阿Q"/>
    <s v="浙江省 嘉兴市 秀洲区 高照街道交控凌云府2号楼"/>
    <s v="18413437110-9442"/>
    <m/>
    <m/>
  </r>
  <r>
    <x v="141"/>
    <s v="已收货"/>
    <x v="246"/>
    <s v="刘扬"/>
    <m/>
    <m/>
    <s v="砂白色1.4米岩板餐桌"/>
    <s v="榉木餐桌"/>
    <s v="140cm*85cm"/>
    <s v="已结算"/>
    <s v="江西"/>
    <n v="1712.5"/>
    <n v="1300"/>
    <m/>
    <m/>
    <m/>
    <m/>
    <n v="240"/>
    <m/>
    <m/>
    <m/>
    <m/>
    <m/>
    <m/>
    <m/>
    <m/>
    <m/>
    <m/>
    <m/>
    <n v="2.5"/>
    <m/>
    <m/>
    <m/>
    <m/>
    <m/>
    <m/>
    <m/>
    <m/>
    <n v="170"/>
    <m/>
    <m/>
    <n v="85"/>
    <n v="30"/>
    <n v="93"/>
    <n v="0"/>
    <n v="0"/>
    <n v="0"/>
    <n v="0"/>
    <n v="0"/>
    <n v="1"/>
    <n v="1920.5"/>
    <n v="2593.89"/>
    <n v="0"/>
    <n v="15.56334"/>
    <n v="2578.32666"/>
    <n v="0"/>
    <n v="0"/>
    <n v="0"/>
    <n v="657.8266599999997"/>
    <s v="刘扬"/>
    <s v="浙江省 金华市 金东区 多湖街道紫金湾D区5栋306"/>
    <s v="15787413622-1566"/>
    <m/>
    <m/>
  </r>
  <r>
    <x v="141"/>
    <s v="退单"/>
    <x v="247"/>
    <s v="刘昊然"/>
    <m/>
    <m/>
    <s v="基础柜-整柜AA柱背板-2.1米"/>
    <s v="基础餐边柜"/>
    <m/>
    <s v="已结算"/>
    <s v="庄毅"/>
    <n v="0"/>
    <n v="0"/>
    <m/>
    <m/>
    <m/>
    <m/>
    <m/>
    <m/>
    <m/>
    <m/>
    <m/>
    <m/>
    <m/>
    <m/>
    <m/>
    <m/>
    <m/>
    <m/>
    <m/>
    <m/>
    <m/>
    <m/>
    <m/>
    <m/>
    <m/>
    <m/>
    <m/>
    <m/>
    <m/>
    <m/>
    <n v="0"/>
    <n v="0"/>
    <n v="0"/>
    <n v="0"/>
    <n v="0"/>
    <n v="0"/>
    <n v="0"/>
    <n v="500"/>
    <n v="1"/>
    <n v="500"/>
    <n v="0"/>
    <n v="0"/>
    <n v="0"/>
    <n v="0"/>
    <n v="500"/>
    <n v="0"/>
    <n v="500"/>
    <n v="0"/>
    <s v="刘昊然"/>
    <s v="广东省 佛山市 顺德区 伦教街道顺德立交桥东北保利中央公园4座402"/>
    <s v="13202485416-8972"/>
    <m/>
    <m/>
  </r>
  <r>
    <x v="141"/>
    <s v="退单"/>
    <x v="248"/>
    <s v="蒋小挪"/>
    <m/>
    <m/>
    <s v="砂白色1.8米岩板餐桌"/>
    <s v="榉木餐桌"/>
    <s v="180cm*85cm"/>
    <s v="已结算"/>
    <s v="庄毅"/>
    <n v="0"/>
    <n v="0"/>
    <m/>
    <m/>
    <m/>
    <m/>
    <m/>
    <m/>
    <m/>
    <m/>
    <m/>
    <m/>
    <m/>
    <m/>
    <m/>
    <m/>
    <m/>
    <m/>
    <m/>
    <m/>
    <m/>
    <m/>
    <m/>
    <m/>
    <m/>
    <m/>
    <m/>
    <m/>
    <m/>
    <m/>
    <n v="0"/>
    <n v="0"/>
    <n v="0"/>
    <n v="0"/>
    <n v="0"/>
    <n v="0"/>
    <n v="0"/>
    <n v="0"/>
    <n v="1"/>
    <n v="0"/>
    <n v="0"/>
    <n v="0"/>
    <n v="0"/>
    <n v="0"/>
    <n v="0"/>
    <n v="0"/>
    <n v="0"/>
    <n v="0"/>
    <s v="蒋小挪"/>
    <s v="重庆 重庆市 大渡口区 八桥镇龙湖焕城汐林11栋14-04"/>
    <s v="15683794435-5854"/>
    <m/>
    <m/>
  </r>
  <r>
    <x v="141"/>
    <s v="已收货"/>
    <x v="249"/>
    <s v="陈鹏飞"/>
    <s v="延后安装"/>
    <m/>
    <s v="砂白色1.6米岩板餐桌"/>
    <s v="榉木餐桌"/>
    <s v="160cm*85cm"/>
    <s v="已结算"/>
    <s v="庄毅"/>
    <n v="1807.9"/>
    <n v="1530"/>
    <m/>
    <m/>
    <m/>
    <m/>
    <n v="275.4"/>
    <m/>
    <m/>
    <m/>
    <m/>
    <m/>
    <m/>
    <m/>
    <m/>
    <m/>
    <m/>
    <m/>
    <n v="2.5"/>
    <m/>
    <m/>
    <m/>
    <m/>
    <m/>
    <m/>
    <m/>
    <m/>
    <m/>
    <m/>
    <m/>
    <n v="205"/>
    <n v="0"/>
    <n v="150"/>
    <n v="0"/>
    <n v="0"/>
    <n v="0"/>
    <n v="0"/>
    <n v="0"/>
    <n v="1"/>
    <n v="2162.9"/>
    <n v="2794.6"/>
    <n v="0"/>
    <n v="16.7676"/>
    <n v="2777.8324"/>
    <n v="0"/>
    <n v="0"/>
    <n v="0"/>
    <n v="614.9323999999997"/>
    <s v="陈鹏飞"/>
    <s v="安徽省 六安市 裕安区 平桥乡将军路华邦和华园142号楼901室"/>
    <s v="15665458842-5884"/>
    <m/>
    <m/>
  </r>
  <r>
    <x v="141"/>
    <s v="已收货"/>
    <x v="250"/>
    <s v="何筱敏"/>
    <m/>
    <m/>
    <s v="曜黑柜-整柜-2.1米"/>
    <s v="曜黑餐边柜"/>
    <n v="2100"/>
    <s v="已结算"/>
    <s v="庄毅"/>
    <n v="11400.22833333333"/>
    <n v="9800"/>
    <n v="657.0799999999999"/>
    <n v="283.3333333333333"/>
    <s v="2.025*15"/>
    <m/>
    <n v="211.44"/>
    <s v="2.1*0.48*180"/>
    <s v="30*5"/>
    <n v="20"/>
    <m/>
    <n v="92"/>
    <n v="71"/>
    <n v="45"/>
    <m/>
    <m/>
    <m/>
    <m/>
    <s v="30*5"/>
    <n v="40"/>
    <m/>
    <m/>
    <m/>
    <m/>
    <m/>
    <m/>
    <m/>
    <m/>
    <m/>
    <m/>
    <n v="665"/>
    <n v="0"/>
    <n v="119"/>
    <n v="0"/>
    <n v="280"/>
    <n v="0"/>
    <n v="0"/>
    <n v="0"/>
    <n v="1"/>
    <n v="12464.22833333333"/>
    <n v="15411.84"/>
    <n v="0"/>
    <n v="92.47104"/>
    <n v="15319.36896"/>
    <n v="140"/>
    <n v="0"/>
    <n v="140"/>
    <n v="2995.140626666665"/>
    <s v="何筱敏"/>
    <s v="湖南省 长沙市 雨花区 黎托街道古曲南路中隆国际御玺5D1601"/>
    <s v="18472622865-2374"/>
    <m/>
    <m/>
  </r>
  <r>
    <x v="141"/>
    <s v="已收货"/>
    <x v="251"/>
    <s v="陈工/梁工"/>
    <m/>
    <m/>
    <s v="砂白色1.6米岩板餐桌"/>
    <s v="榉木餐桌"/>
    <s v="160cm*85cm"/>
    <s v="已结算"/>
    <s v="江西"/>
    <n v="1872.5"/>
    <n v="1350"/>
    <m/>
    <m/>
    <m/>
    <m/>
    <n v="240"/>
    <m/>
    <m/>
    <m/>
    <m/>
    <m/>
    <m/>
    <m/>
    <m/>
    <m/>
    <m/>
    <m/>
    <n v="2.5"/>
    <m/>
    <m/>
    <m/>
    <m/>
    <m/>
    <m/>
    <m/>
    <m/>
    <n v="280"/>
    <m/>
    <m/>
    <n v="161"/>
    <n v="45"/>
    <n v="0"/>
    <n v="0"/>
    <n v="0"/>
    <n v="0"/>
    <n v="0"/>
    <n v="0"/>
    <n v="1"/>
    <n v="2078.5"/>
    <n v="2693.41"/>
    <n v="0"/>
    <n v="16.16046"/>
    <n v="2677.24954"/>
    <n v="0"/>
    <n v="0"/>
    <n v="0"/>
    <n v="598.7495399999998"/>
    <s v="陈工/梁工13217569308"/>
    <s v="广东省 珠海市 香洲区 湾仔街道华发湾玺壹号小区3棟2904房"/>
    <s v="18466388079-1405"/>
    <m/>
    <m/>
  </r>
  <r>
    <x v="141"/>
    <s v="已收货"/>
    <x v="252"/>
    <s v="王子艳"/>
    <m/>
    <m/>
    <s v="洞石整柜2.1米-定制（全景组合）（全景抽屉+玻璃移门+开门）"/>
    <s v="洞石餐边柜"/>
    <n v="2100"/>
    <s v="已结算"/>
    <s v="江西"/>
    <n v="8933.746666666668"/>
    <n v="6300"/>
    <n v="690"/>
    <s v="52*2"/>
    <s v="2040/6/1.5"/>
    <m/>
    <n v="10"/>
    <n v="92"/>
    <n v="20"/>
    <m/>
    <m/>
    <n v="14"/>
    <n v="154"/>
    <n v="755.08"/>
    <n v="17.5"/>
    <m/>
    <m/>
    <m/>
    <n v="98"/>
    <n v="470"/>
    <m/>
    <m/>
    <m/>
    <m/>
    <m/>
    <m/>
    <m/>
    <n v="470"/>
    <m/>
    <m/>
    <n v="695"/>
    <n v="119"/>
    <n v="200"/>
    <n v="0"/>
    <n v="178"/>
    <n v="0"/>
    <n v="0"/>
    <n v="200"/>
    <n v="1"/>
    <n v="10325.74666666667"/>
    <n v="10645.59"/>
    <n v="0"/>
    <n v="63.87354000000001"/>
    <n v="10581.71646"/>
    <n v="0"/>
    <n v="0"/>
    <n v="0"/>
    <n v="255.9697933333318"/>
    <s v="王子艳"/>
    <s v="四川省 成都市 龙泉驿区 东安街道保利云上锦苑6栋1单元302号"/>
    <s v="18423730325-8441"/>
    <m/>
    <m/>
  </r>
  <r>
    <x v="141"/>
    <s v="已收货"/>
    <x v="253"/>
    <s v="何筱敏"/>
    <m/>
    <m/>
    <s v="补差价"/>
    <m/>
    <m/>
    <s v="已结算"/>
    <s v="庄毅"/>
    <n v="0"/>
    <n v="0"/>
    <m/>
    <m/>
    <m/>
    <m/>
    <m/>
    <m/>
    <m/>
    <m/>
    <m/>
    <m/>
    <m/>
    <m/>
    <m/>
    <m/>
    <m/>
    <m/>
    <m/>
    <m/>
    <m/>
    <m/>
    <m/>
    <m/>
    <m/>
    <m/>
    <m/>
    <m/>
    <m/>
    <m/>
    <n v="0"/>
    <n v="0"/>
    <n v="0"/>
    <n v="0"/>
    <n v="0"/>
    <n v="0"/>
    <n v="0"/>
    <n v="0"/>
    <n v="1"/>
    <n v="0"/>
    <n v="200"/>
    <n v="0"/>
    <n v="1.2"/>
    <n v="198.8"/>
    <n v="0"/>
    <n v="0"/>
    <n v="0"/>
    <n v="198.8"/>
    <s v="何筱敏"/>
    <s v="湖南省 长沙市 雨花区 黎托街道古曲南路中隆国际御玺5D1601"/>
    <s v="18466113979-9721"/>
    <m/>
    <m/>
  </r>
  <r>
    <x v="141"/>
    <s v="已收货"/>
    <x v="254"/>
    <s v="孙曦"/>
    <m/>
    <m/>
    <s v="曜黑柜-整柜-2.1米"/>
    <s v="曜黑餐边柜"/>
    <n v="2100"/>
    <s v="已结算"/>
    <s v="江西"/>
    <n v="11520.22833333333"/>
    <n v="9800"/>
    <n v="657.08"/>
    <n v="283.3333333333333"/>
    <s v="2.025*15"/>
    <m/>
    <m/>
    <s v="2.1*0.48*180"/>
    <s v="30*5"/>
    <n v="20"/>
    <m/>
    <n v="92"/>
    <n v="71"/>
    <n v="45"/>
    <m/>
    <m/>
    <m/>
    <m/>
    <s v="30*5"/>
    <n v="40"/>
    <m/>
    <m/>
    <m/>
    <m/>
    <m/>
    <m/>
    <m/>
    <m/>
    <m/>
    <m/>
    <n v="402"/>
    <n v="0"/>
    <n v="150"/>
    <n v="0"/>
    <n v="0"/>
    <n v="0"/>
    <n v="0"/>
    <n v="0"/>
    <n v="1"/>
    <n v="12072.22833333333"/>
    <n v="15411.84"/>
    <n v="0"/>
    <n v="92.47104"/>
    <n v="15319.36896"/>
    <n v="0"/>
    <n v="0"/>
    <n v="0"/>
    <n v="3247.140626666665"/>
    <s v="孙曦"/>
    <s v="江苏省 苏州市 虎丘区 狮山街道淮海南街建发缦云华庭1幢2401室"/>
    <s v="17895052383-8011"/>
    <m/>
    <m/>
  </r>
  <r>
    <x v="141"/>
    <s v="已收货"/>
    <x v="255"/>
    <s v="叶宋涛"/>
    <m/>
    <m/>
    <s v="窄柜-整柜洞石背板-0.8米"/>
    <s v="樱桃木窄柜"/>
    <n v="800"/>
    <s v="已结算"/>
    <s v="庄毅"/>
    <n v="3842.08"/>
    <n v="3100"/>
    <n v="307.08"/>
    <n v="115"/>
    <m/>
    <n v="30"/>
    <n v="91.44"/>
    <n v="54.9"/>
    <m/>
    <m/>
    <n v="4"/>
    <m/>
    <m/>
    <m/>
    <m/>
    <m/>
    <m/>
    <n v="3.5"/>
    <m/>
    <n v="3"/>
    <m/>
    <m/>
    <m/>
    <m/>
    <n v="1.2"/>
    <m/>
    <m/>
    <m/>
    <m/>
    <m/>
    <n v="264"/>
    <n v="0"/>
    <n v="80"/>
    <n v="0"/>
    <n v="0"/>
    <n v="0"/>
    <n v="0"/>
    <n v="0"/>
    <n v="1"/>
    <n v="4186.08"/>
    <n v="4824.5"/>
    <n v="0"/>
    <n v="28.947"/>
    <n v="4795.553"/>
    <n v="0"/>
    <n v="0"/>
    <n v="0"/>
    <n v="609.473"/>
    <s v="叶宋涛"/>
    <s v="广西壮族自治区 柳州市 鱼峰区 麒麟街道恒大御府10-1-2001"/>
    <s v="13117725671-2124"/>
    <m/>
    <m/>
  </r>
  <r>
    <x v="141"/>
    <s v="已收货"/>
    <x v="256"/>
    <s v="李先生"/>
    <m/>
    <m/>
    <s v="窄柜-整柜洞石背板-1.0米"/>
    <s v="樱桃木窄柜"/>
    <n v="1000"/>
    <s v="已结算"/>
    <s v="庄毅"/>
    <n v="3994.71"/>
    <n v="3300"/>
    <n v="359.08"/>
    <n v="120"/>
    <m/>
    <n v="38"/>
    <n v="106.8"/>
    <n v="59.23"/>
    <m/>
    <m/>
    <n v="5"/>
    <m/>
    <m/>
    <m/>
    <m/>
    <n v="2"/>
    <n v="1.1"/>
    <n v="3.5"/>
    <m/>
    <m/>
    <m/>
    <m/>
    <m/>
    <m/>
    <m/>
    <m/>
    <m/>
    <m/>
    <m/>
    <m/>
    <n v="170"/>
    <n v="0"/>
    <n v="108"/>
    <n v="0"/>
    <n v="0"/>
    <n v="0"/>
    <n v="0"/>
    <n v="0"/>
    <n v="1"/>
    <n v="4272.71"/>
    <n v="5156.5"/>
    <n v="0"/>
    <n v="30.939"/>
    <n v="5125.561"/>
    <n v="0"/>
    <n v="0"/>
    <n v="0"/>
    <n v="852.8509999999997"/>
    <s v="李先生"/>
    <s v="浙江省 杭州市 上城区 笕桥街道万科公园大道1栋1402"/>
    <s v="18413246566-7467"/>
    <m/>
    <m/>
  </r>
  <r>
    <x v="141"/>
    <s v="已收货"/>
    <x v="257"/>
    <s v="封小姐"/>
    <m/>
    <m/>
    <s v="砂白色1.4米岩板餐桌"/>
    <s v="榉木餐桌"/>
    <s v="140cm*85cm"/>
    <s v="已结算"/>
    <s v="庄毅"/>
    <n v="1696.7"/>
    <n v="1480"/>
    <m/>
    <m/>
    <m/>
    <m/>
    <n v="214.2"/>
    <m/>
    <m/>
    <m/>
    <m/>
    <m/>
    <m/>
    <m/>
    <m/>
    <m/>
    <m/>
    <m/>
    <n v="2.5"/>
    <m/>
    <m/>
    <m/>
    <m/>
    <m/>
    <m/>
    <m/>
    <m/>
    <m/>
    <m/>
    <m/>
    <n v="150"/>
    <n v="0"/>
    <n v="88"/>
    <n v="0"/>
    <n v="0"/>
    <n v="0"/>
    <n v="0"/>
    <n v="0"/>
    <n v="1"/>
    <n v="1934.7"/>
    <n v="2593.89"/>
    <n v="0"/>
    <n v="15.56334"/>
    <n v="2578.32666"/>
    <n v="0"/>
    <n v="0"/>
    <n v="0"/>
    <n v="643.6266599999997"/>
    <s v="封小姐"/>
    <s v="上海 上海市 浦东新区 川沙新镇观宸润府2号302室"/>
    <s v="13122842324-9097"/>
    <m/>
    <m/>
  </r>
  <r>
    <x v="141"/>
    <s v="已收货"/>
    <x v="258"/>
    <s v="凌婉怡"/>
    <m/>
    <m/>
    <s v="窄柜-整柜洞石背板-1.0米"/>
    <s v="樱桃木窄柜"/>
    <n v="1000"/>
    <s v="已结算"/>
    <s v="庄毅"/>
    <n v="3994.71"/>
    <n v="3300"/>
    <n v="359.08"/>
    <n v="120"/>
    <m/>
    <n v="38"/>
    <n v="106.8"/>
    <n v="59.23"/>
    <m/>
    <m/>
    <n v="5"/>
    <m/>
    <m/>
    <m/>
    <m/>
    <n v="2"/>
    <n v="1.1"/>
    <n v="3.5"/>
    <m/>
    <m/>
    <m/>
    <m/>
    <m/>
    <m/>
    <m/>
    <m/>
    <m/>
    <m/>
    <m/>
    <m/>
    <n v="372"/>
    <n v="0"/>
    <n v="118"/>
    <n v="0"/>
    <n v="0"/>
    <n v="0"/>
    <n v="0"/>
    <n v="0"/>
    <n v="1"/>
    <n v="4484.71"/>
    <n v="5156.5"/>
    <n v="0"/>
    <n v="30.939"/>
    <n v="5125.561"/>
    <n v="0"/>
    <n v="0"/>
    <n v="0"/>
    <n v="640.8509999999997"/>
    <s v="凌婉怡"/>
    <s v="上海 上海市 浦东新区 北蔡镇 民乐苑328弄9号302室 "/>
    <s v="18466666653-7386"/>
    <m/>
    <m/>
  </r>
  <r>
    <x v="141"/>
    <s v="已收货"/>
    <x v="259"/>
    <s v="王文茜"/>
    <m/>
    <m/>
    <s v="砂白色1.6米岩板餐桌，自己安装"/>
    <s v="榉木餐桌"/>
    <s v="160cm*85cm"/>
    <s v="已结算"/>
    <s v="江西"/>
    <n v="1932.5"/>
    <n v="1520"/>
    <m/>
    <m/>
    <m/>
    <m/>
    <n v="240"/>
    <m/>
    <m/>
    <m/>
    <m/>
    <m/>
    <m/>
    <m/>
    <m/>
    <m/>
    <m/>
    <m/>
    <n v="2.5"/>
    <m/>
    <m/>
    <m/>
    <m/>
    <m/>
    <m/>
    <m/>
    <m/>
    <n v="170"/>
    <m/>
    <m/>
    <n v="86"/>
    <n v="30"/>
    <n v="0"/>
    <n v="0"/>
    <n v="0"/>
    <n v="0"/>
    <n v="0"/>
    <n v="0"/>
    <n v="1"/>
    <n v="2048.5"/>
    <n v="2693.41"/>
    <n v="0"/>
    <n v="16.16046"/>
    <n v="2677.24954"/>
    <n v="0"/>
    <n v="0"/>
    <n v="0"/>
    <n v="628.7495399999998"/>
    <s v="王文茜"/>
    <s v="浙江省 杭州市 钱塘区 河庄街道滨江兴耀湖悦岚湾12栋1401"/>
    <s v="18413249197-3657"/>
    <m/>
    <m/>
  </r>
  <r>
    <x v="141"/>
    <s v="已收货"/>
    <x v="260"/>
    <s v="一颗盘子"/>
    <m/>
    <m/>
    <s v="砂白色1.6米岩板餐桌"/>
    <s v="榉木餐桌"/>
    <s v="160cm*85cm"/>
    <s v="已结算"/>
    <s v="江西"/>
    <n v="1762.5"/>
    <n v="1350"/>
    <m/>
    <m/>
    <m/>
    <m/>
    <n v="240"/>
    <m/>
    <m/>
    <m/>
    <m/>
    <m/>
    <m/>
    <m/>
    <m/>
    <m/>
    <m/>
    <m/>
    <n v="2.5"/>
    <m/>
    <m/>
    <m/>
    <m/>
    <m/>
    <m/>
    <m/>
    <m/>
    <n v="170"/>
    <m/>
    <m/>
    <n v="91"/>
    <n v="30"/>
    <n v="75"/>
    <n v="0"/>
    <n v="0"/>
    <n v="0"/>
    <n v="0"/>
    <n v="0"/>
    <n v="1"/>
    <n v="1958.5"/>
    <n v="2693.41"/>
    <n v="0"/>
    <n v="16.16046"/>
    <n v="2677.24954"/>
    <n v="0"/>
    <n v="0"/>
    <n v="0"/>
    <n v="718.7495399999998"/>
    <s v="一颗盘子"/>
    <s v="浙江省 台州市 椒江区 三甲街道体育场路金地翡翠云邸  西门    6-3-101"/>
    <s v="15786494904-7952"/>
    <m/>
    <m/>
  </r>
  <r>
    <x v="142"/>
    <s v="已收货"/>
    <x v="261"/>
    <s v="龚"/>
    <m/>
    <m/>
    <s v="窄柜-整柜洞石背板-1.2米"/>
    <s v="樱桃木窄柜"/>
    <n v="1200"/>
    <s v="已结算"/>
    <s v="庄毅"/>
    <n v="4496.299999999999"/>
    <n v="3600"/>
    <n v="411.08"/>
    <n v="125"/>
    <m/>
    <n v="76"/>
    <n v="122.16"/>
    <n v="62.4"/>
    <m/>
    <m/>
    <m/>
    <n v="8"/>
    <m/>
    <n v="3"/>
    <m/>
    <m/>
    <m/>
    <n v="3.37"/>
    <m/>
    <m/>
    <m/>
    <m/>
    <m/>
    <n v="1.16"/>
    <n v="1.1"/>
    <n v="10"/>
    <m/>
    <m/>
    <m/>
    <m/>
    <n v="225"/>
    <n v="0"/>
    <n v="96"/>
    <n v="0"/>
    <n v="0"/>
    <n v="0"/>
    <n v="0"/>
    <n v="0"/>
    <n v="1"/>
    <n v="4817.299999999999"/>
    <n v="5623"/>
    <n v="0"/>
    <n v="33.738"/>
    <n v="5589.262"/>
    <n v="0"/>
    <n v="0"/>
    <n v="0"/>
    <n v="771.9620000000004"/>
    <s v="龚"/>
    <s v="湖北省 襄阳市 襄城区 尹集乡中华紫薇园内"/>
    <s v="18472219674-5184"/>
    <m/>
    <m/>
  </r>
  <r>
    <x v="142"/>
    <s v="已收货"/>
    <x v="262"/>
    <s v="李凡"/>
    <m/>
    <m/>
    <s v="基础柜-整柜AA柱背板-1.5米"/>
    <s v="基础餐边柜"/>
    <n v="1500"/>
    <s v="已结算"/>
    <s v="江西"/>
    <n v="6118.08"/>
    <n v="4900"/>
    <s v="22*4"/>
    <n v="10"/>
    <n v="489.08"/>
    <m/>
    <n v="28"/>
    <n v="52"/>
    <n v="41"/>
    <m/>
    <m/>
    <n v="170"/>
    <n v="260"/>
    <n v="80"/>
    <m/>
    <m/>
    <m/>
    <m/>
    <m/>
    <m/>
    <m/>
    <m/>
    <m/>
    <m/>
    <m/>
    <m/>
    <m/>
    <n v="170"/>
    <m/>
    <m/>
    <m/>
    <n v="0"/>
    <n v="400"/>
    <n v="0"/>
    <n v="0"/>
    <n v="0"/>
    <n v="0"/>
    <n v="0"/>
    <n v="1"/>
    <n v="6518.08"/>
    <n v="7317.98"/>
    <n v="0"/>
    <n v="43.90788"/>
    <n v="7274.07212"/>
    <n v="0"/>
    <n v="0"/>
    <n v="0"/>
    <n v="755.9921199999999"/>
    <s v="李凡"/>
    <s v="上海 上海市 普陀区 真如镇街道中骏·天悦12号楼1101"/>
    <s v="18466610190-6629"/>
    <m/>
    <m/>
  </r>
  <r>
    <x v="142"/>
    <s v="已收货"/>
    <x v="263"/>
    <s v="李凡"/>
    <m/>
    <m/>
    <s v="九斗柜-设备柜"/>
    <s v="九斗柜"/>
    <s v="180cm*40cm"/>
    <s v="已结算"/>
    <s v="江西"/>
    <n v="3083.2"/>
    <n v="2700"/>
    <m/>
    <m/>
    <n v="105.2"/>
    <m/>
    <m/>
    <m/>
    <m/>
    <m/>
    <m/>
    <m/>
    <n v="198"/>
    <m/>
    <m/>
    <m/>
    <m/>
    <m/>
    <m/>
    <m/>
    <m/>
    <m/>
    <m/>
    <m/>
    <m/>
    <m/>
    <m/>
    <n v="80"/>
    <m/>
    <m/>
    <n v="260"/>
    <n v="0"/>
    <n v="0"/>
    <n v="0"/>
    <n v="0"/>
    <n v="0"/>
    <n v="0"/>
    <n v="0"/>
    <n v="1"/>
    <n v="3343.2"/>
    <n v="3699.15"/>
    <n v="0"/>
    <n v="22.1949"/>
    <n v="3676.9551"/>
    <n v="0"/>
    <n v="0"/>
    <n v="0"/>
    <n v="333.7551000000003"/>
    <s v="李凡"/>
    <s v="上海 上海市 普陀区 真如镇街道中骏·天悦12号楼1101"/>
    <s v="18466610190-6629"/>
    <m/>
    <m/>
  </r>
  <r>
    <x v="142"/>
    <s v="已收货"/>
    <x v="264"/>
    <s v="李健"/>
    <m/>
    <m/>
    <s v="九斗柜-设备柜"/>
    <s v="九斗柜"/>
    <s v="180cm*40cm"/>
    <s v="已结算"/>
    <s v="江西"/>
    <n v="3153.2"/>
    <n v="2700"/>
    <m/>
    <m/>
    <n v="105.2"/>
    <m/>
    <m/>
    <m/>
    <m/>
    <m/>
    <m/>
    <m/>
    <n v="198"/>
    <m/>
    <m/>
    <m/>
    <m/>
    <m/>
    <m/>
    <m/>
    <m/>
    <m/>
    <m/>
    <m/>
    <m/>
    <m/>
    <m/>
    <n v="150"/>
    <m/>
    <m/>
    <n v="156"/>
    <n v="40"/>
    <n v="0"/>
    <n v="0"/>
    <n v="0"/>
    <n v="0"/>
    <n v="0"/>
    <n v="0"/>
    <n v="1"/>
    <n v="3349.2"/>
    <n v="3694.15"/>
    <n v="0"/>
    <n v="22.1649"/>
    <n v="3671.9851"/>
    <n v="0"/>
    <n v="0"/>
    <n v="0"/>
    <n v="322.7851000000001"/>
    <s v="李健"/>
    <s v="安徽省 合肥市 包河区 滨湖世纪社区滨湖世纪城临滨苑南门快递柜"/>
    <s v="18466819928-2501"/>
    <m/>
    <m/>
  </r>
  <r>
    <x v="142"/>
    <s v="未发货"/>
    <x v="265"/>
    <s v="张平"/>
    <m/>
    <m/>
    <s v="1.8旋转柜"/>
    <s v="旋转餐边柜"/>
    <n v="1800"/>
    <s v="已结算"/>
    <s v="江西"/>
    <n v="6935"/>
    <n v="5500"/>
    <m/>
    <m/>
    <m/>
    <m/>
    <m/>
    <m/>
    <n v="72"/>
    <m/>
    <m/>
    <n v="577"/>
    <n v="198"/>
    <n v="38"/>
    <m/>
    <m/>
    <m/>
    <m/>
    <m/>
    <m/>
    <m/>
    <m/>
    <m/>
    <m/>
    <m/>
    <m/>
    <m/>
    <n v="550"/>
    <m/>
    <m/>
    <n v="550"/>
    <n v="50"/>
    <n v="150"/>
    <n v="0"/>
    <n v="0"/>
    <n v="0"/>
    <n v="0"/>
    <n v="0"/>
    <n v="1"/>
    <n v="7685"/>
    <n v="10245.75"/>
    <n v="0"/>
    <n v="61.4745"/>
    <n v="10184.2755"/>
    <n v="0"/>
    <n v="0"/>
    <n v="0"/>
    <n v="2499.2755"/>
    <s v="张平 "/>
    <s v="辽宁省大连市金州区拥政街道金地中央公园一期5-3-101"/>
    <n v="13304091128"/>
    <m/>
    <m/>
  </r>
  <r>
    <x v="142"/>
    <s v="已收货"/>
    <x v="266"/>
    <s v="诗颖 Serene 会员号 58967"/>
    <m/>
    <m/>
    <s v="砂白色1.8米岩板餐桌"/>
    <s v="榉木餐桌"/>
    <s v="180cm*85cm"/>
    <s v="已结算"/>
    <s v="庄毅"/>
    <n v="1857.9"/>
    <n v="1580"/>
    <m/>
    <m/>
    <m/>
    <m/>
    <n v="275.4"/>
    <m/>
    <m/>
    <m/>
    <m/>
    <m/>
    <m/>
    <m/>
    <m/>
    <m/>
    <m/>
    <m/>
    <n v="2.5"/>
    <m/>
    <m/>
    <m/>
    <m/>
    <m/>
    <m/>
    <m/>
    <m/>
    <m/>
    <m/>
    <m/>
    <n v="201"/>
    <n v="0"/>
    <n v="0"/>
    <n v="0"/>
    <n v="0"/>
    <n v="0"/>
    <n v="0"/>
    <n v="0"/>
    <n v="1"/>
    <n v="2058.9"/>
    <n v="2794.6"/>
    <n v="0"/>
    <n v="16.7676"/>
    <n v="2777.8324"/>
    <n v="0"/>
    <n v="0"/>
    <n v="0"/>
    <n v="718.9323999999997"/>
    <s v="诗颖 Serene 会员号 58967"/>
    <s v="广东省 东莞市 万江街道 帮凹坊新下路5号A栋 "/>
    <s v="18824522507-2409"/>
    <m/>
    <m/>
  </r>
  <r>
    <x v="142"/>
    <s v="已收货"/>
    <x v="267"/>
    <s v="Lim chee wee"/>
    <m/>
    <m/>
    <s v="九斗柜-设备柜"/>
    <s v="九斗柜"/>
    <s v="180cm*40cm"/>
    <s v="已结算"/>
    <s v="江西"/>
    <n v="3183.2"/>
    <n v="2700"/>
    <m/>
    <m/>
    <n v="105.2"/>
    <m/>
    <m/>
    <m/>
    <m/>
    <m/>
    <m/>
    <m/>
    <n v="198"/>
    <m/>
    <m/>
    <m/>
    <m/>
    <m/>
    <m/>
    <m/>
    <m/>
    <m/>
    <m/>
    <m/>
    <m/>
    <m/>
    <m/>
    <n v="180"/>
    <m/>
    <m/>
    <n v="216"/>
    <n v="0"/>
    <n v="0"/>
    <n v="0"/>
    <n v="0"/>
    <n v="0"/>
    <n v="0"/>
    <n v="0"/>
    <n v="1"/>
    <n v="3399.2"/>
    <n v="3694.15"/>
    <n v="0"/>
    <n v="22.1649"/>
    <n v="3671.9851"/>
    <n v="0"/>
    <n v="0"/>
    <n v="0"/>
    <n v="272.7851000000001"/>
    <s v="Lim chee wee"/>
    <s v="广东省 广州市 增城区 仙村镇#WAZ3245Q#荔新九路1号普洛斯增城物流园 A4新马集运仓（新加坡集运）@GSWXTVL3"/>
    <n v="19022061397"/>
    <m/>
    <m/>
  </r>
  <r>
    <x v="142"/>
    <s v="已收货"/>
    <x v="268"/>
    <s v="王智萍"/>
    <m/>
    <m/>
    <s v="洞石餐边柜-洞石整柜1.8米（全景组合）（全景抽屉+分类抽屉+开门）"/>
    <s v="洞石餐边柜"/>
    <n v="1800"/>
    <s v="已结算"/>
    <s v="庄毅"/>
    <n v="7136.746666666667"/>
    <n v="5850"/>
    <m/>
    <n v="226.6666666666667"/>
    <n v="80"/>
    <n v="80"/>
    <s v="1.8*0.5*160"/>
    <s v="(1.8"/>
    <s v="0.5*2)*60"/>
    <m/>
    <m/>
    <n v="33"/>
    <n v="20"/>
    <n v="10"/>
    <m/>
    <m/>
    <m/>
    <m/>
    <n v="501.08"/>
    <n v="14"/>
    <n v="10"/>
    <m/>
    <m/>
    <m/>
    <m/>
    <m/>
    <m/>
    <m/>
    <m/>
    <m/>
    <n v="637"/>
    <n v="0"/>
    <n v="108"/>
    <n v="0"/>
    <n v="158"/>
    <n v="0"/>
    <n v="0"/>
    <n v="0"/>
    <n v="1"/>
    <n v="8039.746666666667"/>
    <n v="10118.93"/>
    <n v="0"/>
    <n v="60.71358"/>
    <n v="10058.21642"/>
    <n v="0"/>
    <n v="0"/>
    <n v="0"/>
    <n v="2018.469753333334"/>
    <s v="王智萍"/>
    <s v="贵州省 黔西南布依族苗族自治州 兴义市 桔山街道吉地小区C3-702室"/>
    <s v="15786410571-5205"/>
    <m/>
    <m/>
  </r>
  <r>
    <x v="142"/>
    <s v="已收货"/>
    <x v="269"/>
    <s v="吳愛玲"/>
    <m/>
    <m/>
    <s v="窄柜-整柜洞石背板-1.2米"/>
    <s v="樱桃木窄柜"/>
    <n v="1200"/>
    <s v="已结算"/>
    <s v="庄毅"/>
    <n v="4711.299999999999"/>
    <n v="3650"/>
    <n v="411.08"/>
    <n v="125"/>
    <m/>
    <n v="76"/>
    <n v="122.16"/>
    <n v="62.4"/>
    <m/>
    <m/>
    <m/>
    <n v="8"/>
    <m/>
    <n v="3"/>
    <m/>
    <m/>
    <m/>
    <n v="3.37"/>
    <m/>
    <m/>
    <m/>
    <m/>
    <m/>
    <n v="1.16"/>
    <n v="1.1"/>
    <n v="10"/>
    <m/>
    <m/>
    <m/>
    <m/>
    <n v="224"/>
    <m/>
    <n v="88"/>
    <n v="0"/>
    <n v="0"/>
    <n v="0"/>
    <n v="0"/>
    <n v="0"/>
    <n v="1"/>
    <n v="5023.299999999999"/>
    <n v="5628"/>
    <n v="0"/>
    <n v="33.768"/>
    <n v="5594.232"/>
    <n v="0"/>
    <n v="0"/>
    <n v="0"/>
    <n v="570.9320000000007"/>
    <s v="吳愛玲"/>
    <s v="福建省 漳州市 龙海区 东园镇福建省漳州市龙海区东园镇仓里路888号龙海普洛斯物流园A2库二层台集运@QF@U5FVXM#UR742A3DJUND7#"/>
    <n v="18319011167"/>
    <m/>
    <m/>
  </r>
  <r>
    <x v="142"/>
    <s v="已收货"/>
    <x v="270"/>
    <s v="颜振"/>
    <m/>
    <m/>
    <s v="样块*2"/>
    <s v="样块"/>
    <m/>
    <s v="已结算"/>
    <s v="杭州"/>
    <n v="12"/>
    <n v="10"/>
    <m/>
    <m/>
    <m/>
    <m/>
    <m/>
    <m/>
    <m/>
    <m/>
    <m/>
    <m/>
    <m/>
    <m/>
    <m/>
    <m/>
    <m/>
    <m/>
    <m/>
    <m/>
    <m/>
    <m/>
    <m/>
    <m/>
    <m/>
    <m/>
    <m/>
    <n v="2"/>
    <m/>
    <m/>
    <n v="5"/>
    <n v="0"/>
    <n v="0"/>
    <n v="0"/>
    <n v="0"/>
    <n v="0"/>
    <n v="0"/>
    <n v="0"/>
    <n v="1"/>
    <n v="17"/>
    <n v="42.4"/>
    <n v="0"/>
    <n v="0.2544"/>
    <n v="42.1456"/>
    <n v="0"/>
    <n v="0"/>
    <n v="0"/>
    <n v="25.1456"/>
    <s v="颜振"/>
    <s v="福建省 漳州市 龙海区 东园镇福建省漳州市龙海区东园镇仓里路888号龙海普洛斯物流园A2库二层台集运@QF@U5FVXM#UR742A3DJUND7#"/>
    <n v="18319011167"/>
    <m/>
    <m/>
  </r>
  <r>
    <x v="143"/>
    <s v="已收货"/>
    <x v="271"/>
    <s v="干志远"/>
    <m/>
    <m/>
    <s v="砂白色1.4米岩板餐桌"/>
    <s v="榉木餐桌"/>
    <s v="140cm*85cm"/>
    <s v="已结算"/>
    <s v="江西"/>
    <n v="1712.5"/>
    <n v="1300"/>
    <m/>
    <m/>
    <m/>
    <m/>
    <n v="240"/>
    <m/>
    <m/>
    <m/>
    <m/>
    <m/>
    <m/>
    <m/>
    <m/>
    <m/>
    <m/>
    <m/>
    <n v="2.5"/>
    <m/>
    <m/>
    <m/>
    <m/>
    <m/>
    <m/>
    <m/>
    <m/>
    <n v="170"/>
    <m/>
    <m/>
    <n v="109"/>
    <n v="35"/>
    <n v="118"/>
    <n v="0"/>
    <n v="0"/>
    <n v="0"/>
    <n v="0"/>
    <n v="0"/>
    <n v="1"/>
    <n v="1974.5"/>
    <n v="2588.89"/>
    <n v="0"/>
    <n v="15.53334"/>
    <n v="2573.35666"/>
    <n v="0"/>
    <n v="0"/>
    <n v="0"/>
    <n v="598.8566599999999"/>
    <s v="干志远"/>
    <s v="浙江省 温州市 乐清市 城东街道胜利路与百珍东路交叉口星海明筑24-1503"/>
    <s v="15786748639-5559"/>
    <m/>
    <m/>
  </r>
  <r>
    <x v="143"/>
    <s v="已收货"/>
    <x v="272"/>
    <s v="项一丹"/>
    <m/>
    <m/>
    <s v="洞石餐边柜定制-1.7米-251022"/>
    <s v="洞石餐边柜"/>
    <n v="1700"/>
    <s v="已结算"/>
    <s v="庄毅"/>
    <n v="7652.346666666667"/>
    <n v="5750"/>
    <m/>
    <n v="12"/>
    <n v="18"/>
    <n v="60"/>
    <s v="2040/6/1.5"/>
    <n v="76"/>
    <s v="1.7*0.5*160"/>
    <m/>
    <m/>
    <s v="(1.7"/>
    <s v="0.58*2)*60"/>
    <n v="10"/>
    <m/>
    <m/>
    <m/>
    <n v="14"/>
    <n v="501.08"/>
    <n v="20"/>
    <n v="10"/>
    <m/>
    <m/>
    <m/>
    <n v="40"/>
    <m/>
    <m/>
    <n v="30"/>
    <n v="27"/>
    <n v="550"/>
    <n v="233"/>
    <n v="50"/>
    <n v="118"/>
    <n v="0"/>
    <n v="268"/>
    <n v="0"/>
    <n v="0"/>
    <n v="0"/>
    <n v="1"/>
    <n v="8321.346666666668"/>
    <n v="9860.459999999999"/>
    <n v="0"/>
    <n v="59.16276"/>
    <n v="9801.29724"/>
    <n v="0"/>
    <n v="0"/>
    <n v="0"/>
    <n v="1479.950573333332"/>
    <s v="项一丹"/>
    <s v="山东省 烟台市 福山区 福新街道第一国际11号楼1单元2902"/>
    <s v="17895453306-4977"/>
    <m/>
    <m/>
  </r>
  <r>
    <x v="143"/>
    <s v="已收货"/>
    <x v="273"/>
    <s v="项一丹"/>
    <m/>
    <m/>
    <s v="补差价"/>
    <s v="洞石餐边柜"/>
    <m/>
    <s v="已结算"/>
    <s v="庄毅-江西"/>
    <n v="1700"/>
    <n v="1700"/>
    <m/>
    <m/>
    <m/>
    <m/>
    <m/>
    <m/>
    <m/>
    <m/>
    <m/>
    <m/>
    <m/>
    <m/>
    <m/>
    <m/>
    <m/>
    <m/>
    <m/>
    <m/>
    <m/>
    <m/>
    <m/>
    <m/>
    <m/>
    <m/>
    <m/>
    <m/>
    <m/>
    <m/>
    <n v="0"/>
    <n v="0"/>
    <n v="180"/>
    <n v="0"/>
    <n v="0"/>
    <n v="0"/>
    <n v="0"/>
    <n v="0"/>
    <n v="1"/>
    <n v="1880"/>
    <n v="272"/>
    <n v="0"/>
    <n v="1.632"/>
    <n v="270.368"/>
    <n v="0"/>
    <n v="0"/>
    <n v="0"/>
    <n v="-1609.632"/>
    <s v="项一丹"/>
    <s v="山东省 烟台市 福山区 福新街道第一国际11号楼1单元2902"/>
    <s v="17895453306-4977"/>
    <m/>
    <m/>
  </r>
  <r>
    <x v="143"/>
    <s v="已收货"/>
    <x v="274"/>
    <s v="姚璐"/>
    <m/>
    <m/>
    <s v="窄柜-整柜洞石背板-1.0米"/>
    <s v="樱桃木窄柜"/>
    <n v="1000"/>
    <s v="已结算"/>
    <s v="庄毅"/>
    <n v="3994.71"/>
    <n v="3300"/>
    <n v="359.08"/>
    <n v="120"/>
    <m/>
    <n v="38"/>
    <n v="106.8"/>
    <n v="59.23"/>
    <m/>
    <m/>
    <n v="5"/>
    <m/>
    <m/>
    <m/>
    <m/>
    <n v="2"/>
    <n v="1.1"/>
    <n v="3.5"/>
    <m/>
    <m/>
    <m/>
    <m/>
    <m/>
    <m/>
    <m/>
    <m/>
    <m/>
    <m/>
    <m/>
    <m/>
    <n v="423"/>
    <n v="0"/>
    <n v="65"/>
    <n v="0"/>
    <n v="0"/>
    <n v="0"/>
    <n v="0"/>
    <n v="0"/>
    <n v="1"/>
    <n v="4482.71"/>
    <n v="5151.5"/>
    <n v="0"/>
    <n v="30.909"/>
    <n v="5120.591"/>
    <n v="0"/>
    <n v="0"/>
    <n v="0"/>
    <n v="637.8810000000003"/>
    <s v="姚璐"/>
    <s v="辽宁省 营口市 西市区 滨海街道富甲凯旋门2期24号楼3单元702"/>
    <s v="13019220359-4661"/>
    <m/>
    <m/>
  </r>
  <r>
    <x v="143"/>
    <s v="已收货"/>
    <x v="275"/>
    <s v="周黑佑利"/>
    <m/>
    <m/>
    <s v="砂白色1.5米岩板餐桌，定制"/>
    <s v="榉木餐桌"/>
    <s v="150cm*75cm"/>
    <s v="已结算"/>
    <s v="江西"/>
    <n v="1692.5"/>
    <n v="1300"/>
    <m/>
    <m/>
    <m/>
    <m/>
    <n v="220"/>
    <m/>
    <m/>
    <m/>
    <m/>
    <m/>
    <m/>
    <m/>
    <m/>
    <m/>
    <m/>
    <m/>
    <n v="2.5"/>
    <m/>
    <m/>
    <m/>
    <m/>
    <m/>
    <m/>
    <m/>
    <m/>
    <n v="170"/>
    <m/>
    <m/>
    <n v="82"/>
    <n v="30"/>
    <n v="88"/>
    <n v="0"/>
    <n v="0"/>
    <n v="0"/>
    <n v="0"/>
    <n v="0"/>
    <n v="1"/>
    <n v="1892.5"/>
    <n v="2593.89"/>
    <n v="0"/>
    <n v="15.56334"/>
    <n v="2578.32666"/>
    <n v="0"/>
    <n v="0"/>
    <n v="0"/>
    <n v="685.8266599999997"/>
    <s v="周黑佑利"/>
    <s v="江苏省 南京市 雨花台区 赛虹桥街道南河东寓2栋三单元2712"/>
    <s v="15780928627-8967"/>
    <m/>
    <m/>
  </r>
  <r>
    <x v="143"/>
    <s v="已收货"/>
    <x v="276"/>
    <s v="周黑佑利"/>
    <m/>
    <m/>
    <s v="补差价"/>
    <s v="榉木餐桌"/>
    <m/>
    <s v="已结算"/>
    <s v="江西"/>
    <n v="0"/>
    <n v="0"/>
    <m/>
    <m/>
    <m/>
    <m/>
    <m/>
    <m/>
    <m/>
    <m/>
    <m/>
    <m/>
    <m/>
    <m/>
    <m/>
    <m/>
    <m/>
    <m/>
    <m/>
    <m/>
    <m/>
    <m/>
    <m/>
    <m/>
    <m/>
    <m/>
    <m/>
    <m/>
    <m/>
    <m/>
    <n v="0"/>
    <n v="0"/>
    <n v="0"/>
    <n v="0"/>
    <n v="0"/>
    <n v="0"/>
    <n v="0"/>
    <n v="0"/>
    <n v="1"/>
    <n v="0"/>
    <n v="42"/>
    <n v="0"/>
    <n v="0.252"/>
    <n v="41.748"/>
    <n v="0"/>
    <n v="0"/>
    <n v="0"/>
    <n v="41.748"/>
    <s v="周黑佑利"/>
    <s v="江苏省 南京市 雨花台区 赛虹桥街道南河东寓2栋三单元2712"/>
    <s v="15780928627-8967"/>
    <m/>
    <m/>
  </r>
  <r>
    <x v="143"/>
    <s v="已收货"/>
    <x v="277"/>
    <s v="秦女士"/>
    <m/>
    <m/>
    <s v="洞石整柜1.8米-定制（全景抽屉+分类抽屉+开门）"/>
    <s v="洞石餐边柜"/>
    <n v="1800"/>
    <s v="已结算"/>
    <s v="庄毅"/>
    <n v="9636.746666666666"/>
    <n v="8350"/>
    <m/>
    <n v="226.6666666666667"/>
    <n v="80"/>
    <n v="80"/>
    <s v="1.8*0.5*160"/>
    <s v="(1.8"/>
    <s v="0.5*2)*60"/>
    <m/>
    <m/>
    <n v="33"/>
    <n v="20"/>
    <n v="10"/>
    <m/>
    <m/>
    <m/>
    <m/>
    <n v="501.08"/>
    <n v="14"/>
    <n v="10"/>
    <m/>
    <m/>
    <m/>
    <m/>
    <m/>
    <m/>
    <m/>
    <m/>
    <m/>
    <n v="1054"/>
    <n v="0"/>
    <n v="150"/>
    <n v="0"/>
    <n v="0"/>
    <n v="0"/>
    <n v="0"/>
    <n v="0"/>
    <n v="1"/>
    <n v="10840.74666666667"/>
    <n v="10113.93"/>
    <n v="0"/>
    <n v="60.68358000000001"/>
    <n v="10053.24642"/>
    <n v="0"/>
    <n v="0"/>
    <n v="0"/>
    <n v="-787.5002466666665"/>
    <s v="秦女士"/>
    <s v="重庆 重庆市 江北区 铁山坪街道金科·太阳海岸66栋5号"/>
    <s v="14723331325-5297"/>
    <m/>
    <m/>
  </r>
  <r>
    <x v="143"/>
    <s v="已收货"/>
    <x v="278"/>
    <s v="秦女士"/>
    <m/>
    <m/>
    <s v="洞石下柜-玻璃开门柜-90cm"/>
    <s v="洞石餐边柜"/>
    <n v="900"/>
    <s v="已结算"/>
    <s v="庄毅"/>
    <n v="0"/>
    <n v="0"/>
    <m/>
    <m/>
    <m/>
    <m/>
    <m/>
    <m/>
    <m/>
    <m/>
    <m/>
    <m/>
    <m/>
    <m/>
    <m/>
    <m/>
    <m/>
    <m/>
    <m/>
    <m/>
    <m/>
    <m/>
    <m/>
    <m/>
    <m/>
    <m/>
    <m/>
    <m/>
    <m/>
    <m/>
    <n v="0"/>
    <n v="0"/>
    <n v="0"/>
    <n v="0"/>
    <n v="0"/>
    <n v="0"/>
    <n v="0"/>
    <n v="0"/>
    <n v="1"/>
    <n v="0"/>
    <n v="3699.2"/>
    <n v="0"/>
    <n v="22.1952"/>
    <n v="3677.0048"/>
    <n v="0"/>
    <n v="0"/>
    <n v="0"/>
    <n v="3677.0048"/>
    <s v="秦女士"/>
    <s v="重庆 重庆市 江北区 铁山坪街道金科·太阳海岸66栋5号"/>
    <s v="14723331325-5297"/>
    <m/>
    <m/>
  </r>
  <r>
    <x v="143"/>
    <s v="已收货"/>
    <x v="279"/>
    <s v="李伟峰"/>
    <m/>
    <m/>
    <s v="曜黑柜-整柜-1.8米"/>
    <s v="曜黑餐边柜"/>
    <n v="1800"/>
    <s v="已结算"/>
    <s v="庄毅"/>
    <n v="11287.31333333333"/>
    <n v="9400"/>
    <n v="579.0799999999999"/>
    <n v="283.3333333333333"/>
    <n v="40"/>
    <m/>
    <n v="185.52"/>
    <n v="40"/>
    <n v="40"/>
    <n v="33"/>
    <m/>
    <s v="2550/6/1.5"/>
    <n v="567.08"/>
    <n v="10"/>
    <m/>
    <m/>
    <m/>
    <m/>
    <m/>
    <n v="20"/>
    <n v="10.5"/>
    <m/>
    <m/>
    <m/>
    <n v="620"/>
    <n v="65"/>
    <m/>
    <m/>
    <m/>
    <m/>
    <n v="559"/>
    <n v="0"/>
    <n v="140"/>
    <n v="0"/>
    <n v="208"/>
    <n v="0"/>
    <n v="0"/>
    <n v="500"/>
    <n v="1"/>
    <n v="12694.31333333333"/>
    <n v="14621.61"/>
    <n v="0"/>
    <n v="87.72966000000001"/>
    <n v="14533.88034"/>
    <n v="0"/>
    <n v="0"/>
    <n v="0"/>
    <n v="1839.567006666666"/>
    <s v="李伟峰"/>
    <s v="山东省 日照市 岚山区 岚山头街道 多岛海沂州海湾小区五号楼一单元802"/>
    <s v="15784068110-3061"/>
    <m/>
    <m/>
  </r>
  <r>
    <x v="144"/>
    <s v="已收货"/>
    <x v="280"/>
    <s v="黄颖"/>
    <m/>
    <m/>
    <s v="樱桃木洞石岩板餐桌2025-2米-定制"/>
    <s v="樱桃木岩板餐桌2025"/>
    <s v="200cm*100cm"/>
    <s v="已结算"/>
    <s v="庄毅"/>
    <n v="1788.5"/>
    <n v="1480"/>
    <m/>
    <m/>
    <m/>
    <m/>
    <n v="306"/>
    <m/>
    <m/>
    <m/>
    <m/>
    <m/>
    <m/>
    <m/>
    <m/>
    <m/>
    <m/>
    <m/>
    <n v="2.5"/>
    <m/>
    <m/>
    <m/>
    <m/>
    <m/>
    <m/>
    <m/>
    <m/>
    <m/>
    <m/>
    <m/>
    <n v="232"/>
    <n v="0"/>
    <n v="88"/>
    <n v="0"/>
    <n v="0"/>
    <n v="0"/>
    <n v="0"/>
    <n v="0"/>
    <n v="1"/>
    <n v="2108.5"/>
    <n v="2240.34"/>
    <n v="0"/>
    <n v="13.44204"/>
    <n v="2226.89796"/>
    <n v="0"/>
    <n v="0"/>
    <n v="0"/>
    <n v="118.3979600000002"/>
    <s v="黄颖"/>
    <s v="北京 北京市 东城区 天坛街道 天坛府五期1号楼三单元701"/>
    <s v="18400988570-5195"/>
    <m/>
    <m/>
  </r>
  <r>
    <x v="144"/>
    <s v="已收货"/>
    <x v="281"/>
    <s v="黄颖"/>
    <m/>
    <m/>
    <s v="补差价"/>
    <s v="樱桃木岩板餐桌2025"/>
    <m/>
    <s v="已结算"/>
    <s v="庄毅"/>
    <n v="0"/>
    <n v="0"/>
    <m/>
    <m/>
    <m/>
    <m/>
    <m/>
    <m/>
    <m/>
    <m/>
    <m/>
    <m/>
    <m/>
    <m/>
    <m/>
    <m/>
    <m/>
    <m/>
    <n v="2.5"/>
    <m/>
    <m/>
    <m/>
    <m/>
    <m/>
    <m/>
    <m/>
    <m/>
    <m/>
    <m/>
    <m/>
    <n v="0"/>
    <n v="0"/>
    <n v="0"/>
    <n v="0"/>
    <n v="0"/>
    <n v="0"/>
    <n v="0"/>
    <n v="0"/>
    <n v="1"/>
    <n v="0"/>
    <n v="360"/>
    <n v="0"/>
    <n v="2.16"/>
    <n v="357.84"/>
    <n v="0"/>
    <n v="0"/>
    <n v="0"/>
    <n v="357.84"/>
    <s v="黄颖"/>
    <s v="北京 北京市 东城区 天坛街道 天坛府五期1号楼三单元701"/>
    <s v="18400988570-5195"/>
    <m/>
    <m/>
  </r>
  <r>
    <x v="144"/>
    <s v="已收货"/>
    <x v="282"/>
    <s v="袁先生"/>
    <m/>
    <m/>
    <s v="砂白色1.4米岩板餐桌，定制"/>
    <s v="榉木餐桌"/>
    <s v="140cm*80cm"/>
    <s v="已结算"/>
    <s v="庄毅"/>
    <n v="1654.1"/>
    <n v="1450"/>
    <m/>
    <m/>
    <m/>
    <m/>
    <n v="201.6"/>
    <m/>
    <m/>
    <m/>
    <m/>
    <m/>
    <m/>
    <m/>
    <m/>
    <m/>
    <m/>
    <m/>
    <n v="2.5"/>
    <m/>
    <m/>
    <m/>
    <m/>
    <m/>
    <m/>
    <m/>
    <m/>
    <m/>
    <m/>
    <m/>
    <n v="183"/>
    <n v="0"/>
    <n v="88"/>
    <n v="0"/>
    <n v="0"/>
    <n v="0"/>
    <n v="0"/>
    <n v="0"/>
    <n v="1"/>
    <n v="1925.1"/>
    <n v="2557.65"/>
    <n v="0"/>
    <n v="15.3459"/>
    <n v="2542.3041"/>
    <n v="0"/>
    <n v="0"/>
    <n v="0"/>
    <n v="617.2041000000004"/>
    <s v="袁先生"/>
    <s v="广东省 深圳市 罗湖区 翠竹街道益田御龙天地1D3805"/>
    <s v="13189734574-9832"/>
    <m/>
    <m/>
  </r>
  <r>
    <x v="144"/>
    <s v="已收货"/>
    <x v="283"/>
    <s v="陈逸翔"/>
    <m/>
    <m/>
    <s v="插座"/>
    <s v="配件"/>
    <m/>
    <s v="已结算"/>
    <s v="其他"/>
    <n v="55"/>
    <n v="55"/>
    <m/>
    <m/>
    <m/>
    <m/>
    <m/>
    <m/>
    <m/>
    <m/>
    <m/>
    <m/>
    <m/>
    <m/>
    <m/>
    <m/>
    <m/>
    <m/>
    <m/>
    <m/>
    <m/>
    <m/>
    <m/>
    <m/>
    <m/>
    <m/>
    <m/>
    <m/>
    <m/>
    <m/>
    <n v="8"/>
    <n v="0"/>
    <n v="0"/>
    <n v="0"/>
    <n v="0"/>
    <n v="0"/>
    <n v="0"/>
    <n v="0"/>
    <n v="1"/>
    <n v="63"/>
    <n v="100"/>
    <n v="0"/>
    <n v="0.6"/>
    <n v="99.40000000000001"/>
    <n v="0"/>
    <n v="0"/>
    <n v="0"/>
    <n v="36.40000000000001"/>
    <s v="陈逸翔"/>
    <s v="浙江省 衢州市 柯城区 白云街道三江东路玉龙湾9幢1单元601"/>
    <s v="18413211430-1215"/>
    <m/>
    <m/>
  </r>
  <r>
    <x v="144"/>
    <s v="已收货"/>
    <x v="284"/>
    <s v="丁旭芝"/>
    <m/>
    <m/>
    <s v="砂白色1.6米岩板餐桌"/>
    <s v="榉木餐桌"/>
    <s v="160cm*85cm"/>
    <s v="已结算"/>
    <s v="庄毅"/>
    <n v="1777.3"/>
    <n v="1530"/>
    <m/>
    <m/>
    <m/>
    <m/>
    <n v="244.8"/>
    <m/>
    <m/>
    <m/>
    <m/>
    <m/>
    <m/>
    <m/>
    <m/>
    <m/>
    <m/>
    <m/>
    <n v="2.5"/>
    <m/>
    <m/>
    <m/>
    <m/>
    <m/>
    <m/>
    <m/>
    <m/>
    <m/>
    <m/>
    <m/>
    <n v="200"/>
    <m/>
    <n v="65"/>
    <n v="0"/>
    <n v="0"/>
    <n v="0"/>
    <n v="0"/>
    <n v="0"/>
    <n v="1"/>
    <n v="2042.3"/>
    <n v="2688.41"/>
    <n v="0"/>
    <n v="16.13046"/>
    <n v="2672.27954"/>
    <n v="0"/>
    <n v="0"/>
    <n v="0"/>
    <n v="629.97954"/>
    <s v="丁旭芝"/>
    <s v="广东省 潮州市 湘桥区 西新街道建兴街20号建安花园十幢602号"/>
    <s v="17896683051-2898"/>
    <m/>
    <m/>
  </r>
  <r>
    <x v="144"/>
    <s v="已收货"/>
    <x v="285"/>
    <s v="袁丹"/>
    <s v="产品成本+抽屉轨道+岩板+洞石背板+铝合金隔板轨道+灯带+电力轨道+打包+玻璃"/>
    <m/>
    <s v="洞石餐边柜定制-1.5米-251023"/>
    <s v="洞石餐边柜"/>
    <n v="1500"/>
    <s v="已结算"/>
    <s v="江西"/>
    <n v="6459.746666666667"/>
    <n v="4500"/>
    <n v="489.08"/>
    <n v="226.6666666666667"/>
    <m/>
    <n v="76"/>
    <n v="520"/>
    <n v="104"/>
    <n v="42"/>
    <m/>
    <m/>
    <n v="5"/>
    <n v="132"/>
    <n v="4.6"/>
    <n v="17.5"/>
    <m/>
    <m/>
    <n v="7"/>
    <m/>
    <m/>
    <m/>
    <m/>
    <m/>
    <m/>
    <m/>
    <m/>
    <m/>
    <n v="370"/>
    <m/>
    <m/>
    <n v="340"/>
    <n v="107"/>
    <n v="98"/>
    <n v="0"/>
    <n v="0"/>
    <n v="0"/>
    <n v="0"/>
    <n v="0"/>
    <n v="1"/>
    <n v="7004.746666666667"/>
    <n v="9294.870000000001"/>
    <n v="0"/>
    <n v="55.76922"/>
    <n v="9239.100780000001"/>
    <n v="0"/>
    <n v="0"/>
    <n v="0"/>
    <n v="2234.354113333334"/>
    <s v="袁丹"/>
    <s v="江苏省 常州市 新北区 三井街道泱境雅园13-甲-1001"/>
    <n v="13775616190"/>
    <m/>
    <m/>
  </r>
  <r>
    <x v="144"/>
    <s v="已收货"/>
    <x v="286"/>
    <s v="袁丹"/>
    <m/>
    <m/>
    <s v="补差价"/>
    <s v="洞石餐边柜"/>
    <m/>
    <s v="已结算"/>
    <s v="江西"/>
    <n v="0"/>
    <n v="0"/>
    <m/>
    <m/>
    <m/>
    <m/>
    <m/>
    <m/>
    <m/>
    <m/>
    <m/>
    <m/>
    <m/>
    <m/>
    <m/>
    <m/>
    <m/>
    <m/>
    <m/>
    <m/>
    <m/>
    <m/>
    <m/>
    <m/>
    <m/>
    <m/>
    <m/>
    <m/>
    <m/>
    <m/>
    <n v="0"/>
    <n v="0"/>
    <n v="0"/>
    <n v="0"/>
    <n v="0"/>
    <n v="0"/>
    <n v="0"/>
    <n v="0"/>
    <n v="1"/>
    <n v="0"/>
    <n v="206"/>
    <n v="0"/>
    <n v="1.236"/>
    <n v="204.764"/>
    <n v="0"/>
    <n v="0"/>
    <n v="0"/>
    <n v="204.764"/>
    <s v="袁丹"/>
    <s v="江苏省 常州市 新北区 三井街道泱境雅园13-甲-1001"/>
    <n v="13775616190"/>
    <m/>
    <m/>
  </r>
  <r>
    <x v="144"/>
    <s v="已收货"/>
    <x v="287"/>
    <s v="曾先生"/>
    <m/>
    <m/>
    <s v="九斗柜-设备柜"/>
    <s v="九斗柜"/>
    <s v="180cm*40cm"/>
    <s v="已结算"/>
    <s v="江西"/>
    <n v="3333.2"/>
    <n v="2700"/>
    <m/>
    <n v="180"/>
    <n v="105.2"/>
    <m/>
    <m/>
    <m/>
    <m/>
    <m/>
    <m/>
    <m/>
    <n v="198"/>
    <m/>
    <m/>
    <m/>
    <m/>
    <m/>
    <m/>
    <m/>
    <m/>
    <m/>
    <m/>
    <m/>
    <m/>
    <m/>
    <m/>
    <n v="150"/>
    <m/>
    <m/>
    <n v="217"/>
    <n v="40"/>
    <n v="0"/>
    <n v="0"/>
    <n v="0"/>
    <n v="0"/>
    <n v="0"/>
    <n v="30"/>
    <n v="1"/>
    <n v="3620.2"/>
    <n v="3699.15"/>
    <n v="0"/>
    <n v="22.1949"/>
    <n v="3676.9551"/>
    <n v="0"/>
    <n v="0"/>
    <n v="0"/>
    <n v="56.75510000000031"/>
    <s v="曾先生"/>
    <s v="四川省"/>
    <s v="13140356980-7733"/>
    <m/>
    <m/>
  </r>
  <r>
    <x v="144"/>
    <s v="已收货"/>
    <x v="288"/>
    <s v="袁先生"/>
    <m/>
    <m/>
    <s v="补差价"/>
    <s v="榉木餐桌"/>
    <m/>
    <s v="已结算"/>
    <s v="庄毅"/>
    <n v="0"/>
    <n v="0"/>
    <m/>
    <m/>
    <m/>
    <m/>
    <m/>
    <m/>
    <m/>
    <m/>
    <m/>
    <m/>
    <m/>
    <m/>
    <m/>
    <m/>
    <m/>
    <m/>
    <m/>
    <m/>
    <m/>
    <m/>
    <m/>
    <m/>
    <m/>
    <m/>
    <m/>
    <m/>
    <m/>
    <m/>
    <n v="0"/>
    <n v="0"/>
    <n v="0"/>
    <n v="0"/>
    <n v="0"/>
    <n v="0"/>
    <n v="0"/>
    <n v="0"/>
    <n v="1"/>
    <n v="0"/>
    <n v="17"/>
    <n v="0"/>
    <n v="0.102"/>
    <n v="16.898"/>
    <n v="0"/>
    <n v="0"/>
    <n v="0"/>
    <n v="16.898"/>
    <s v="袁先生"/>
    <s v="广东省 深圳市 罗湖区 翠竹街道益田御龙天地1D3805"/>
    <s v="13189734574-9832"/>
    <m/>
    <m/>
  </r>
  <r>
    <x v="144"/>
    <s v="已收货"/>
    <x v="289"/>
    <s v="周喆浩"/>
    <m/>
    <m/>
    <s v="样块*2"/>
    <s v="样块"/>
    <m/>
    <s v="已结算"/>
    <s v="杭州"/>
    <n v="12"/>
    <n v="10"/>
    <m/>
    <m/>
    <m/>
    <m/>
    <m/>
    <m/>
    <m/>
    <m/>
    <m/>
    <m/>
    <m/>
    <m/>
    <m/>
    <m/>
    <m/>
    <m/>
    <m/>
    <m/>
    <m/>
    <m/>
    <m/>
    <m/>
    <m/>
    <m/>
    <m/>
    <n v="2"/>
    <m/>
    <m/>
    <n v="5"/>
    <n v="0"/>
    <n v="0"/>
    <n v="0"/>
    <n v="0"/>
    <n v="0"/>
    <n v="0"/>
    <n v="0"/>
    <n v="1"/>
    <n v="17"/>
    <n v="42.4"/>
    <n v="0"/>
    <n v="0.2544"/>
    <n v="42.1456"/>
    <n v="0"/>
    <n v="0"/>
    <n v="0"/>
    <n v="25.1456"/>
    <s v="周喆浩"/>
    <s v="上海 上海市 浦东新区 唐镇万嘉欣苑17号楼804(送货上门)"/>
    <s v="18466942030-2701"/>
    <m/>
    <m/>
  </r>
  <r>
    <x v="145"/>
    <s v="已收货"/>
    <x v="290"/>
    <s v="林先生"/>
    <m/>
    <m/>
    <s v="样块"/>
    <s v="样块"/>
    <m/>
    <s v="已结算"/>
    <s v="杭州"/>
    <n v="7"/>
    <n v="5"/>
    <m/>
    <m/>
    <m/>
    <m/>
    <m/>
    <m/>
    <m/>
    <m/>
    <m/>
    <m/>
    <m/>
    <m/>
    <m/>
    <m/>
    <m/>
    <m/>
    <m/>
    <m/>
    <m/>
    <m/>
    <m/>
    <m/>
    <m/>
    <m/>
    <m/>
    <n v="2"/>
    <m/>
    <m/>
    <n v="5"/>
    <n v="0"/>
    <n v="0"/>
    <n v="0"/>
    <n v="0"/>
    <n v="0"/>
    <n v="0"/>
    <n v="0"/>
    <n v="1"/>
    <n v="12"/>
    <n v="16.2"/>
    <n v="0"/>
    <n v="0.09719999999999999"/>
    <n v="16.1028"/>
    <n v="0"/>
    <n v="0"/>
    <n v="0"/>
    <n v="4.102799999999998"/>
    <s v="林先生"/>
    <s v="广东省 广州市 番禺区 南村镇广州雅居乐花园一尺山居20栋1903房"/>
    <s v="18466126756-5859"/>
    <m/>
    <m/>
  </r>
  <r>
    <x v="145"/>
    <s v="已收货"/>
    <x v="291"/>
    <s v="李绮"/>
    <m/>
    <m/>
    <s v="砂白色1.8米岩板餐桌，自己安装"/>
    <s v="榉木餐桌"/>
    <s v="180cm*85cm"/>
    <s v="已结算"/>
    <s v="江西"/>
    <n v="1822.5"/>
    <n v="1500"/>
    <m/>
    <m/>
    <m/>
    <m/>
    <n v="240"/>
    <m/>
    <m/>
    <m/>
    <m/>
    <m/>
    <m/>
    <m/>
    <m/>
    <m/>
    <m/>
    <m/>
    <n v="2.5"/>
    <m/>
    <m/>
    <m/>
    <m/>
    <m/>
    <m/>
    <m/>
    <m/>
    <n v="80"/>
    <m/>
    <m/>
    <n v="100"/>
    <n v="0"/>
    <n v="0"/>
    <n v="0"/>
    <n v="0"/>
    <n v="0"/>
    <n v="0"/>
    <n v="0"/>
    <n v="1"/>
    <n v="1922.5"/>
    <n v="2789.6"/>
    <n v="0"/>
    <n v="16.7376"/>
    <n v="2772.8624"/>
    <n v="0"/>
    <n v="0"/>
    <n v="0"/>
    <n v="850.3624"/>
    <s v="李绮"/>
    <s v="上海上海市长宁区周家桥街道武夷路718弄1号404"/>
    <s v="13162802424-3232"/>
    <m/>
    <m/>
  </r>
  <r>
    <x v="145"/>
    <s v="已收货"/>
    <x v="292"/>
    <s v="尹鑫"/>
    <m/>
    <m/>
    <s v="补差价"/>
    <s v="旋转餐边柜"/>
    <m/>
    <s v="已结算"/>
    <s v="江西"/>
    <n v="6330"/>
    <n v="5800"/>
    <m/>
    <m/>
    <m/>
    <m/>
    <m/>
    <m/>
    <m/>
    <m/>
    <m/>
    <m/>
    <m/>
    <m/>
    <m/>
    <m/>
    <m/>
    <m/>
    <m/>
    <m/>
    <m/>
    <m/>
    <m/>
    <m/>
    <m/>
    <m/>
    <m/>
    <n v="530"/>
    <m/>
    <m/>
    <n v="852"/>
    <n v="138"/>
    <n v="200"/>
    <n v="0"/>
    <n v="0"/>
    <n v="0"/>
    <n v="0"/>
    <n v="0"/>
    <n v="1"/>
    <n v="7520"/>
    <n v="5431.85"/>
    <n v="0"/>
    <n v="32.5911"/>
    <n v="5399.258900000001"/>
    <n v="0"/>
    <n v="0"/>
    <n v="0"/>
    <n v="-2120.741099999999"/>
    <s v="尹鑫"/>
    <s v="四川省 宜宾市 长宁县 长宁镇恒润领御 5 栋 9-3"/>
    <s v="13042355180-8211"/>
    <m/>
    <m/>
  </r>
  <r>
    <x v="145"/>
    <s v="已收货"/>
    <x v="293"/>
    <s v="尹鑫"/>
    <m/>
    <m/>
    <s v="定制1.95旋转柜"/>
    <s v="旋转餐边柜"/>
    <n v="1950"/>
    <s v="已结算"/>
    <s v="江西"/>
    <n v="0"/>
    <n v="0"/>
    <m/>
    <m/>
    <m/>
    <m/>
    <m/>
    <m/>
    <m/>
    <m/>
    <m/>
    <m/>
    <m/>
    <m/>
    <m/>
    <m/>
    <m/>
    <m/>
    <m/>
    <m/>
    <m/>
    <m/>
    <m/>
    <m/>
    <m/>
    <m/>
    <m/>
    <m/>
    <m/>
    <m/>
    <n v="0"/>
    <n v="0"/>
    <n v="0"/>
    <n v="0"/>
    <n v="0"/>
    <n v="0"/>
    <n v="0"/>
    <n v="0"/>
    <n v="1"/>
    <n v="0"/>
    <n v="5436.85"/>
    <n v="0"/>
    <n v="32.62110000000001"/>
    <n v="5404.2289"/>
    <n v="0"/>
    <n v="0"/>
    <n v="0"/>
    <n v="5404.2289"/>
    <s v="尹鑫"/>
    <s v="四川省 宜宾市 长宁县 长宁镇恒润领御 5 栋 9-3"/>
    <s v="13042355180-8211"/>
    <m/>
    <m/>
  </r>
  <r>
    <x v="145"/>
    <s v="已收货"/>
    <x v="294"/>
    <s v="冯莹欣"/>
    <m/>
    <m/>
    <s v="2.1榉木柜"/>
    <s v="榉木餐边柜"/>
    <n v="2100"/>
    <s v="已结算"/>
    <s v="江西"/>
    <n v="6605"/>
    <n v="4300"/>
    <n v="320"/>
    <s v="22*5"/>
    <n v="1225"/>
    <m/>
    <n v="228"/>
    <n v="300"/>
    <n v="48"/>
    <m/>
    <m/>
    <n v="46"/>
    <n v="8"/>
    <n v="20"/>
    <m/>
    <m/>
    <m/>
    <m/>
    <m/>
    <m/>
    <m/>
    <m/>
    <m/>
    <m/>
    <m/>
    <m/>
    <m/>
    <n v="300"/>
    <m/>
    <m/>
    <n v="404"/>
    <n v="107"/>
    <n v="120"/>
    <n v="0"/>
    <n v="0"/>
    <n v="0"/>
    <n v="0"/>
    <n v="0"/>
    <n v="1"/>
    <n v="7236"/>
    <n v="8040.12"/>
    <n v="0"/>
    <n v="48.24072"/>
    <n v="7991.87928"/>
    <n v="0"/>
    <n v="0"/>
    <n v="0"/>
    <n v="755.8792800000001"/>
    <s v="冯莹欣"/>
    <s v="福建省 宁德市 蕉城区 金涵畲族乡绿城·天湖明月8栋1单元203"/>
    <s v="18480100090-4901"/>
    <m/>
    <m/>
  </r>
  <r>
    <x v="145"/>
    <s v="已收货"/>
    <x v="295"/>
    <s v="微微笑"/>
    <s v="产品成本+配件（连接片+铁销）+悬浮五金+玻璃把手+抽屉轨道+洞洞板+打包+玻璃+电力轨道+岩板"/>
    <m/>
    <s v="2.1柜+1.6单腿"/>
    <s v="旋转餐边柜"/>
    <n v="2100"/>
    <s v="已结算"/>
    <s v="江西"/>
    <n v="6250"/>
    <n v="5700"/>
    <m/>
    <m/>
    <m/>
    <m/>
    <m/>
    <m/>
    <m/>
    <m/>
    <m/>
    <m/>
    <m/>
    <m/>
    <m/>
    <m/>
    <m/>
    <m/>
    <m/>
    <m/>
    <m/>
    <m/>
    <m/>
    <m/>
    <m/>
    <m/>
    <m/>
    <n v="550"/>
    <m/>
    <m/>
    <n v="1178"/>
    <n v="140"/>
    <n v="178"/>
    <n v="0"/>
    <n v="0"/>
    <n v="0"/>
    <n v="0"/>
    <n v="0"/>
    <n v="1"/>
    <n v="7746"/>
    <n v="10552.29"/>
    <n v="0"/>
    <n v="63.31374000000001"/>
    <n v="10488.97626"/>
    <n v="0"/>
    <n v="0"/>
    <n v="0"/>
    <n v="2742.976260000001"/>
    <s v="微微笑"/>
    <s v="吉林省 长春市 南关区 盛世街道华惠路 国信御湖公馆东区41栋3单元206 送货上门"/>
    <s v="15780623109-9815"/>
    <m/>
    <m/>
  </r>
  <r>
    <x v="145"/>
    <s v="已收货"/>
    <x v="296"/>
    <s v="刘女士"/>
    <m/>
    <m/>
    <s v="洞石整柜2.1米（全景组合）（全景抽屉+玻璃移门+开门）"/>
    <s v="洞石餐边柜"/>
    <n v="2100"/>
    <s v="已结算"/>
    <s v="庄毅"/>
    <n v="7985.706666666667"/>
    <n v="5960"/>
    <m/>
    <n v="226.6666666666667"/>
    <n v="76"/>
    <n v="90"/>
    <n v="410.88"/>
    <m/>
    <n v="10"/>
    <m/>
    <m/>
    <n v="20"/>
    <n v="501.08"/>
    <n v="10"/>
    <n v="40"/>
    <m/>
    <m/>
    <m/>
    <n v="657.08"/>
    <n v="14"/>
    <n v="14"/>
    <m/>
    <m/>
    <m/>
    <n v="657.08"/>
    <m/>
    <m/>
    <m/>
    <m/>
    <m/>
    <n v="2194"/>
    <n v="0"/>
    <n v="139"/>
    <n v="0"/>
    <n v="298"/>
    <n v="0"/>
    <n v="0"/>
    <n v="50"/>
    <n v="1"/>
    <n v="10666.70666666667"/>
    <n v="10645.59"/>
    <n v="0"/>
    <n v="63.87354000000001"/>
    <n v="10581.71646"/>
    <n v="298"/>
    <n v="0"/>
    <n v="298"/>
    <n v="213.0097933333327"/>
    <s v="刘女士"/>
    <s v="甘肃省"/>
    <s v="15784010367-4055"/>
    <m/>
    <m/>
  </r>
  <r>
    <x v="145"/>
    <s v="已收货"/>
    <x v="297"/>
    <s v="卞宇"/>
    <m/>
    <m/>
    <s v="九斗柜-设备柜"/>
    <s v="九斗柜"/>
    <s v="180cm*40cm"/>
    <s v="已结算"/>
    <s v="江西"/>
    <n v="3333.2"/>
    <n v="2700"/>
    <m/>
    <n v="180"/>
    <n v="105.2"/>
    <m/>
    <m/>
    <m/>
    <m/>
    <m/>
    <m/>
    <m/>
    <n v="198"/>
    <m/>
    <m/>
    <m/>
    <m/>
    <m/>
    <m/>
    <m/>
    <m/>
    <m/>
    <m/>
    <m/>
    <m/>
    <m/>
    <m/>
    <n v="150"/>
    <m/>
    <m/>
    <n v="260"/>
    <n v="40"/>
    <n v="0"/>
    <n v="0"/>
    <n v="0"/>
    <n v="0"/>
    <n v="0"/>
    <n v="0"/>
    <n v="1"/>
    <n v="3633.2"/>
    <n v="3699.15"/>
    <n v="0"/>
    <n v="22.1949"/>
    <n v="3676.9551"/>
    <n v="0"/>
    <n v="0"/>
    <n v="0"/>
    <n v="43.75510000000031"/>
    <s v="卞宇"/>
    <s v="重庆"/>
    <s v="18466859790-7664"/>
    <m/>
    <m/>
  </r>
  <r>
    <x v="145"/>
    <s v="已收货"/>
    <x v="298"/>
    <s v="周喆浩"/>
    <m/>
    <m/>
    <s v="1.8下柜+1.2上柜"/>
    <s v="旋转餐边柜"/>
    <n v="1800"/>
    <s v="已结算"/>
    <s v="江西"/>
    <n v="5080"/>
    <n v="4900"/>
    <m/>
    <m/>
    <m/>
    <m/>
    <m/>
    <m/>
    <m/>
    <m/>
    <m/>
    <m/>
    <m/>
    <m/>
    <m/>
    <m/>
    <m/>
    <m/>
    <m/>
    <m/>
    <m/>
    <m/>
    <m/>
    <m/>
    <m/>
    <m/>
    <m/>
    <n v="180"/>
    <m/>
    <m/>
    <n v="249"/>
    <n v="0"/>
    <n v="400"/>
    <n v="0"/>
    <n v="145"/>
    <n v="0"/>
    <n v="0"/>
    <n v="0"/>
    <n v="1"/>
    <n v="5874"/>
    <n v="5436.85"/>
    <n v="0"/>
    <n v="32.62110000000001"/>
    <n v="5404.2289"/>
    <n v="0"/>
    <n v="0"/>
    <n v="0"/>
    <n v="-469.7710999999999"/>
    <s v="周喆浩"/>
    <s v="上海 上海市 浦东新区 唐镇万嘉欣苑17号楼804(送货上门)"/>
    <s v="18466942030-2701"/>
    <m/>
    <m/>
  </r>
  <r>
    <x v="146"/>
    <s v="已收货"/>
    <x v="299"/>
    <s v="周喆浩"/>
    <m/>
    <m/>
    <s v="补差价"/>
    <s v="旋转餐边柜"/>
    <m/>
    <s v="已结算"/>
    <s v="江西"/>
    <n v="0"/>
    <n v="0"/>
    <m/>
    <m/>
    <m/>
    <m/>
    <m/>
    <m/>
    <m/>
    <m/>
    <m/>
    <m/>
    <m/>
    <m/>
    <m/>
    <m/>
    <m/>
    <m/>
    <m/>
    <m/>
    <m/>
    <m/>
    <m/>
    <m/>
    <m/>
    <m/>
    <m/>
    <m/>
    <m/>
    <m/>
    <n v="0"/>
    <n v="0"/>
    <n v="0"/>
    <n v="0"/>
    <n v="0"/>
    <n v="0"/>
    <n v="0"/>
    <n v="0"/>
    <n v="1"/>
    <n v="0"/>
    <n v="4055.65"/>
    <n v="0"/>
    <n v="24.3339"/>
    <n v="4031.3161"/>
    <n v="0"/>
    <n v="0"/>
    <n v="0"/>
    <n v="4031.3161"/>
    <s v="周喆浩"/>
    <s v="上海 上海市 浦东新区 唐镇万嘉欣苑17号楼804(送货上门)"/>
    <s v="18466942030-2701"/>
    <m/>
    <m/>
  </r>
  <r>
    <x v="146"/>
    <s v="已收货"/>
    <x v="300"/>
    <s v="结"/>
    <m/>
    <m/>
    <s v="窄柜-整柜洞石背板-0.8米"/>
    <s v="樱桃木窄柜"/>
    <n v="800"/>
    <s v="已结算"/>
    <s v="庄毅"/>
    <n v="3842.08"/>
    <n v="3100"/>
    <n v="307.08"/>
    <n v="115"/>
    <m/>
    <n v="30"/>
    <n v="91.44"/>
    <n v="54.9"/>
    <m/>
    <m/>
    <n v="4"/>
    <m/>
    <m/>
    <m/>
    <m/>
    <m/>
    <m/>
    <n v="3.5"/>
    <m/>
    <n v="3"/>
    <m/>
    <m/>
    <m/>
    <m/>
    <n v="1.2"/>
    <m/>
    <m/>
    <m/>
    <m/>
    <m/>
    <n v="154"/>
    <n v="0"/>
    <n v="78"/>
    <n v="0"/>
    <n v="0"/>
    <n v="0"/>
    <n v="0"/>
    <n v="0"/>
    <n v="1"/>
    <n v="4074.08"/>
    <n v="4819.5"/>
    <n v="0"/>
    <n v="28.917"/>
    <n v="4790.583"/>
    <n v="0"/>
    <n v="0"/>
    <n v="0"/>
    <n v="716.5029999999992"/>
    <s v="结"/>
    <s v="福建省 福州市 台江区 瀛洲街道排尾路万科澜悦花园A2区13号楼1004单元"/>
    <s v="15980130141-2028"/>
    <m/>
    <m/>
  </r>
  <r>
    <x v="146"/>
    <s v="已收货"/>
    <x v="301"/>
    <s v="张宁宁"/>
    <m/>
    <m/>
    <s v="样块*2"/>
    <s v="样块"/>
    <m/>
    <s v="已结算"/>
    <s v="杭州"/>
    <n v="12"/>
    <n v="10"/>
    <m/>
    <m/>
    <m/>
    <m/>
    <m/>
    <m/>
    <m/>
    <m/>
    <m/>
    <m/>
    <m/>
    <m/>
    <m/>
    <m/>
    <m/>
    <m/>
    <m/>
    <m/>
    <m/>
    <m/>
    <m/>
    <m/>
    <m/>
    <m/>
    <m/>
    <n v="2"/>
    <m/>
    <m/>
    <n v="5"/>
    <n v="0"/>
    <n v="0"/>
    <n v="0"/>
    <n v="0"/>
    <n v="0"/>
    <n v="0"/>
    <n v="0"/>
    <n v="1"/>
    <n v="17"/>
    <n v="42.4"/>
    <n v="0"/>
    <n v="0.2544"/>
    <n v="42.1456"/>
    <n v="0"/>
    <n v="0"/>
    <n v="0"/>
    <n v="25.1456"/>
    <s v="张宁宁"/>
    <s v="辽宁省 沈阳市 皇姑区 舍利塔街道渭河东街6号  2-5-2"/>
    <s v="17640250124-1545"/>
    <m/>
    <m/>
  </r>
  <r>
    <x v="146"/>
    <s v="已收货"/>
    <x v="302"/>
    <s v="雨不停"/>
    <m/>
    <m/>
    <s v="洞石餐边柜定制-1.8米-251025"/>
    <s v="洞石餐边柜"/>
    <n v="1800"/>
    <s v="已结算"/>
    <s v="庄毅"/>
    <n v="7136.746666666667"/>
    <n v="5850"/>
    <m/>
    <n v="226.6666666666667"/>
    <n v="80"/>
    <n v="80"/>
    <s v="1.8*0.5*160"/>
    <s v="(1.8"/>
    <s v="0.5*2)*60"/>
    <m/>
    <m/>
    <n v="33"/>
    <n v="20"/>
    <n v="10"/>
    <m/>
    <m/>
    <m/>
    <m/>
    <n v="501.08"/>
    <n v="14"/>
    <n v="10"/>
    <m/>
    <m/>
    <m/>
    <m/>
    <m/>
    <m/>
    <m/>
    <m/>
    <m/>
    <m/>
    <n v="100"/>
    <n v="158"/>
    <n v="0"/>
    <n v="0"/>
    <n v="0"/>
    <n v="0"/>
    <n v="155"/>
    <n v="1"/>
    <n v="7549.746666666667"/>
    <n v="10118.93"/>
    <n v="0"/>
    <n v="60.71358"/>
    <n v="10058.21642"/>
    <n v="0"/>
    <n v="0"/>
    <n v="0"/>
    <n v="2508.469753333334"/>
    <s v="雨不停"/>
    <s v="四川省 乐山市 市中区 绿心街道瑞祥路一段888号领地澜山住宅区30栋2单元9楼1号"/>
    <s v="18423050431-1869"/>
    <m/>
    <m/>
  </r>
  <r>
    <x v="146"/>
    <s v="已收货"/>
    <x v="303"/>
    <s v="刘金妮"/>
    <m/>
    <m/>
    <s v="砂白色1.6米岩板餐桌"/>
    <s v="榉木餐桌"/>
    <s v="160cm*85cm"/>
    <s v="已结算"/>
    <s v="庄毅"/>
    <n v="1777.3"/>
    <n v="1530"/>
    <m/>
    <m/>
    <m/>
    <m/>
    <n v="244.8"/>
    <m/>
    <m/>
    <m/>
    <m/>
    <m/>
    <m/>
    <m/>
    <m/>
    <m/>
    <m/>
    <m/>
    <n v="2.5"/>
    <m/>
    <m/>
    <m/>
    <m/>
    <m/>
    <m/>
    <m/>
    <m/>
    <m/>
    <m/>
    <m/>
    <n v="268"/>
    <n v="0"/>
    <n v="65"/>
    <n v="0"/>
    <n v="0"/>
    <n v="0"/>
    <n v="0"/>
    <n v="0"/>
    <n v="1"/>
    <n v="2110.3"/>
    <n v="2688.41"/>
    <n v="0"/>
    <n v="16.13046"/>
    <n v="2672.27954"/>
    <n v="0"/>
    <n v="0"/>
    <n v="0"/>
    <n v="561.9795399999998"/>
    <s v="刘金妮"/>
    <s v="四川省 宜宾市 翠屏区 白沙湾街道华润置地公园九里1期3栋404"/>
    <s v="15683997174-6896"/>
    <m/>
    <m/>
  </r>
  <r>
    <x v="146"/>
    <s v="已收货"/>
    <x v="304"/>
    <s v="修小姐"/>
    <m/>
    <m/>
    <s v="定制2.1洞石柜"/>
    <s v="洞石餐边柜"/>
    <n v="2100"/>
    <s v="已结算"/>
    <s v="庄毅"/>
    <n v="8325.706666666667"/>
    <n v="6300"/>
    <n v="501.08"/>
    <n v="226.6666666666667"/>
    <n v="76"/>
    <n v="90"/>
    <n v="410.88"/>
    <m/>
    <m/>
    <m/>
    <m/>
    <n v="10"/>
    <n v="20"/>
    <m/>
    <n v="17.5"/>
    <m/>
    <m/>
    <m/>
    <n v="40"/>
    <n v="10"/>
    <n v="14"/>
    <m/>
    <m/>
    <m/>
    <n v="657.08"/>
    <m/>
    <m/>
    <m/>
    <m/>
    <m/>
    <n v="653"/>
    <n v="0"/>
    <n v="198"/>
    <n v="0"/>
    <n v="0"/>
    <n v="0"/>
    <n v="0"/>
    <n v="1200"/>
    <n v="1"/>
    <n v="10376.70666666667"/>
    <n v="11339.9"/>
    <n v="0"/>
    <n v="68.0394"/>
    <n v="11271.8606"/>
    <n v="0"/>
    <n v="0"/>
    <n v="0"/>
    <n v="895.153933333333"/>
    <s v="修小姐"/>
    <s v="北京 北京市 房山区 城关街道原香汇2号楼501"/>
    <s v="13141344061-2500"/>
    <m/>
    <m/>
  </r>
  <r>
    <x v="146"/>
    <s v="已收货"/>
    <x v="305"/>
    <s v="茂集-97765552"/>
    <m/>
    <m/>
    <s v="样块"/>
    <s v="样块"/>
    <m/>
    <s v="已结算"/>
    <s v="杭州"/>
    <n v="7"/>
    <n v="5"/>
    <m/>
    <m/>
    <m/>
    <m/>
    <m/>
    <m/>
    <m/>
    <m/>
    <m/>
    <m/>
    <m/>
    <m/>
    <m/>
    <m/>
    <m/>
    <m/>
    <m/>
    <m/>
    <m/>
    <m/>
    <m/>
    <m/>
    <m/>
    <m/>
    <m/>
    <n v="2"/>
    <m/>
    <m/>
    <n v="5"/>
    <n v="0"/>
    <n v="0"/>
    <n v="0"/>
    <n v="0"/>
    <n v="0"/>
    <n v="0"/>
    <n v="0"/>
    <n v="1"/>
    <n v="12"/>
    <n v="21.2"/>
    <n v="0"/>
    <n v="0.1272"/>
    <n v="21.0728"/>
    <n v="0"/>
    <n v="0"/>
    <n v="0"/>
    <n v="9.072800000000001"/>
    <s v="茂集-97765552"/>
    <s v="广东省 东莞市  虎门镇怀德路278号(轉-會員380145/pasu0072004)"/>
    <s v="17896420306-9902"/>
    <m/>
    <m/>
  </r>
  <r>
    <x v="146"/>
    <s v="已收货"/>
    <x v="306"/>
    <s v="黄云黎"/>
    <m/>
    <m/>
    <s v="窄柜-整柜洞石背板-0.8米"/>
    <s v="樱桃木窄柜"/>
    <n v="800"/>
    <s v="已结算"/>
    <s v="庄毅"/>
    <n v="3842.08"/>
    <n v="3100"/>
    <n v="307.08"/>
    <n v="115"/>
    <m/>
    <n v="30"/>
    <n v="91.44"/>
    <n v="54.9"/>
    <m/>
    <m/>
    <n v="4"/>
    <m/>
    <m/>
    <m/>
    <m/>
    <m/>
    <m/>
    <n v="3.5"/>
    <m/>
    <n v="3"/>
    <m/>
    <m/>
    <m/>
    <m/>
    <n v="1.2"/>
    <m/>
    <m/>
    <m/>
    <m/>
    <m/>
    <n v="232"/>
    <m/>
    <n v="150"/>
    <n v="0"/>
    <n v="0"/>
    <n v="0"/>
    <n v="0"/>
    <n v="0"/>
    <n v="1"/>
    <n v="4224.08"/>
    <n v="4824.5"/>
    <n v="0"/>
    <n v="28.947"/>
    <n v="4795.553"/>
    <n v="0"/>
    <n v="0"/>
    <n v="0"/>
    <n v="571.473"/>
    <s v="黄云黎"/>
    <s v="上海 上海市 静安区 芷江西路街道芷江西路285弄13号104室甲"/>
    <s v="13162902774-1433，"/>
    <m/>
    <m/>
  </r>
  <r>
    <x v="146"/>
    <s v="已收货"/>
    <x v="307"/>
    <s v="肖健雄"/>
    <m/>
    <m/>
    <s v="砂白色1.8米岩板餐桌，定制"/>
    <s v="榉木餐桌"/>
    <s v="180cm*80cm"/>
    <s v="已结算"/>
    <s v="庄毅"/>
    <n v="1811.7"/>
    <n v="1550"/>
    <m/>
    <m/>
    <m/>
    <m/>
    <n v="259.2"/>
    <m/>
    <m/>
    <m/>
    <m/>
    <m/>
    <m/>
    <m/>
    <m/>
    <m/>
    <m/>
    <m/>
    <n v="2.5"/>
    <m/>
    <m/>
    <m/>
    <m/>
    <m/>
    <m/>
    <m/>
    <m/>
    <m/>
    <m/>
    <m/>
    <n v="214"/>
    <n v="0"/>
    <n v="76"/>
    <n v="0"/>
    <n v="0"/>
    <n v="0"/>
    <n v="0"/>
    <n v="0"/>
    <n v="1"/>
    <n v="2101.7"/>
    <n v="2789.6"/>
    <n v="0"/>
    <n v="16.7376"/>
    <n v="2772.8624"/>
    <n v="0"/>
    <n v="0"/>
    <n v="0"/>
    <n v="671.1624000000002"/>
    <s v="肖健雄"/>
    <s v="河南省 郑州市 金水区 丰产路街道经二路与红旗路交叉口融创瀚海兰园小区9号楼一单元1508"/>
    <s v="15784504540-6403"/>
    <m/>
    <m/>
  </r>
  <r>
    <x v="147"/>
    <s v="已收货"/>
    <x v="308"/>
    <s v="许京哲"/>
    <m/>
    <m/>
    <s v="样块"/>
    <s v="样块"/>
    <m/>
    <s v="已结算"/>
    <s v="杭州"/>
    <n v="7"/>
    <n v="5"/>
    <m/>
    <m/>
    <m/>
    <m/>
    <m/>
    <m/>
    <m/>
    <m/>
    <m/>
    <m/>
    <m/>
    <m/>
    <m/>
    <m/>
    <m/>
    <m/>
    <m/>
    <m/>
    <m/>
    <m/>
    <m/>
    <m/>
    <m/>
    <m/>
    <m/>
    <n v="2"/>
    <m/>
    <m/>
    <n v="5"/>
    <n v="0"/>
    <n v="0"/>
    <n v="0"/>
    <n v="0"/>
    <n v="0"/>
    <n v="0"/>
    <n v="0"/>
    <n v="1"/>
    <n v="12"/>
    <n v="21.2"/>
    <n v="0"/>
    <n v="0.1272"/>
    <n v="21.0728"/>
    <n v="0"/>
    <n v="0"/>
    <n v="0"/>
    <n v="9.072800000000001"/>
    <s v="许京哲"/>
    <m/>
    <m/>
    <m/>
    <m/>
  </r>
  <r>
    <x v="147"/>
    <s v="已收货"/>
    <x v="309"/>
    <s v="唐靓靓"/>
    <m/>
    <m/>
    <s v="2.1洞石柜"/>
    <s v="洞石餐边柜"/>
    <n v="2100"/>
    <s v="已结算"/>
    <s v="庄毅"/>
    <n v="7985.706666666667"/>
    <n v="5960"/>
    <n v="501.08"/>
    <n v="226.6666666666667"/>
    <n v="76"/>
    <n v="90"/>
    <n v="410.88"/>
    <m/>
    <m/>
    <m/>
    <m/>
    <n v="10"/>
    <n v="20"/>
    <m/>
    <n v="17.5"/>
    <m/>
    <m/>
    <m/>
    <n v="40"/>
    <n v="10"/>
    <n v="14"/>
    <m/>
    <m/>
    <m/>
    <n v="657.08"/>
    <m/>
    <m/>
    <m/>
    <m/>
    <m/>
    <n v="860"/>
    <n v="0"/>
    <n v="158"/>
    <n v="0"/>
    <n v="136"/>
    <n v="0"/>
    <n v="0"/>
    <n v="0"/>
    <n v="1"/>
    <n v="9139.706666666667"/>
    <n v="10645.59"/>
    <n v="0"/>
    <n v="63.87354000000001"/>
    <n v="10581.71646"/>
    <n v="0"/>
    <n v="0"/>
    <n v="0"/>
    <n v="1442.009793333333"/>
    <s v="唐靓靓"/>
    <s v="上海 上海市 浦东新区 川沙新镇 市六灶镇周祝公路2352号504室 "/>
    <s v="18466611084-4824"/>
    <m/>
    <m/>
  </r>
  <r>
    <x v="147"/>
    <s v="已收货"/>
    <x v="310"/>
    <s v="崔先生"/>
    <s v="已发货，运费没出 产品成本+免钉胶+打包+福建岩板费+江西新采购岩板费（模具面岩板）"/>
    <m/>
    <s v="砂白色2.0米岩板餐桌，定制-蜜蜡色"/>
    <s v="榉木餐桌"/>
    <s v="200cm*85cm"/>
    <s v="已结算"/>
    <s v="江西"/>
    <n v="2618.5"/>
    <n v="1500"/>
    <m/>
    <m/>
    <m/>
    <m/>
    <n v="986"/>
    <m/>
    <m/>
    <m/>
    <m/>
    <m/>
    <m/>
    <m/>
    <m/>
    <m/>
    <m/>
    <m/>
    <n v="2.5"/>
    <m/>
    <m/>
    <m/>
    <m/>
    <m/>
    <m/>
    <m/>
    <m/>
    <n v="130"/>
    <m/>
    <m/>
    <n v="300"/>
    <n v="0"/>
    <n v="69"/>
    <n v="0"/>
    <n v="0"/>
    <n v="0"/>
    <n v="0"/>
    <n v="0"/>
    <n v="1"/>
    <n v="2987.5"/>
    <n v="2925.31"/>
    <n v="0"/>
    <n v="17.55186"/>
    <n v="2907.75814"/>
    <n v="0"/>
    <n v="0"/>
    <n v="0"/>
    <n v="-79.74186000000009"/>
    <s v="崔先生"/>
    <s v="云南省 昆明市 盘龙区 金辰街道云南映象碧桂湾24-801"/>
    <s v="18400302778-8072"/>
    <m/>
    <m/>
  </r>
  <r>
    <x v="148"/>
    <s v="未发货"/>
    <x v="311"/>
    <s v="苩震子"/>
    <m/>
    <m/>
    <s v="砂白色1.4米岩板餐桌"/>
    <s v="榉木餐桌"/>
    <s v="140cm*85cm"/>
    <m/>
    <s v="江西"/>
    <n v="1892.5"/>
    <n v="1300"/>
    <m/>
    <m/>
    <m/>
    <m/>
    <n v="220"/>
    <m/>
    <m/>
    <m/>
    <m/>
    <m/>
    <m/>
    <m/>
    <m/>
    <m/>
    <m/>
    <m/>
    <n v="2.5"/>
    <m/>
    <m/>
    <m/>
    <m/>
    <m/>
    <m/>
    <m/>
    <m/>
    <n v="190"/>
    <m/>
    <m/>
    <n v="300"/>
    <n v="100"/>
    <n v="150"/>
    <n v="0"/>
    <n v="0"/>
    <n v="0"/>
    <n v="0"/>
    <n v="0"/>
    <n v="1"/>
    <n v="2442.5"/>
    <n v="2588.89"/>
    <n v="0"/>
    <n v="15.53334"/>
    <n v="2573.35666"/>
    <n v="0"/>
    <n v="0"/>
    <n v="0"/>
    <n v="130.8566599999999"/>
    <s v="苩震子"/>
    <s v="广西壮族自治区 桂林市 七星区 朝阳乡育才路2号朝阳宿舍1-1-1(000000)"/>
    <s v="18448249047-6811"/>
    <m/>
    <m/>
  </r>
  <r>
    <x v="148"/>
    <s v="已收货"/>
    <x v="312"/>
    <s v="龙勇光转欣蕊"/>
    <m/>
    <m/>
    <s v="1.5常规洞石柜"/>
    <s v="洞石餐边柜"/>
    <n v="1500"/>
    <s v="已结算"/>
    <s v="庄毅"/>
    <n v="6667.346666666667"/>
    <n v="5400"/>
    <n v="501.08"/>
    <n v="226.6666666666667"/>
    <m/>
    <n v="76"/>
    <n v="309.6"/>
    <m/>
    <n v="60"/>
    <m/>
    <m/>
    <m/>
    <m/>
    <m/>
    <n v="17.5"/>
    <m/>
    <m/>
    <n v="7"/>
    <m/>
    <n v="20"/>
    <n v="10"/>
    <n v="18"/>
    <m/>
    <m/>
    <n v="40"/>
    <m/>
    <m/>
    <m/>
    <m/>
    <m/>
    <n v="364"/>
    <n v="100"/>
    <n v="150"/>
    <n v="0"/>
    <n v="0"/>
    <n v="0"/>
    <n v="0"/>
    <n v="80"/>
    <n v="1"/>
    <n v="7361.346666666667"/>
    <n v="10365.55"/>
    <n v="0"/>
    <n v="62.19329999999999"/>
    <n v="10303.3567"/>
    <n v="0"/>
    <n v="0"/>
    <n v="0"/>
    <n v="2942.010033333331"/>
    <s v="龙勇光转欣蕊"/>
    <s v="广东省 广州市 白云区 江高镇夏花三路498号部队路A14仓"/>
    <s v="13048087931-7786"/>
    <m/>
    <m/>
  </r>
  <r>
    <x v="148"/>
    <s v="已收货"/>
    <x v="313"/>
    <s v="崔先生"/>
    <m/>
    <m/>
    <s v="样块"/>
    <s v="样块"/>
    <m/>
    <s v="已结算"/>
    <s v="杭州"/>
    <n v="7"/>
    <n v="5"/>
    <m/>
    <m/>
    <m/>
    <m/>
    <m/>
    <m/>
    <m/>
    <m/>
    <m/>
    <m/>
    <m/>
    <m/>
    <m/>
    <m/>
    <m/>
    <m/>
    <m/>
    <m/>
    <m/>
    <m/>
    <m/>
    <m/>
    <m/>
    <m/>
    <m/>
    <n v="2"/>
    <m/>
    <m/>
    <n v="5"/>
    <n v="0"/>
    <n v="0"/>
    <n v="0"/>
    <n v="0"/>
    <n v="0"/>
    <n v="0"/>
    <n v="0"/>
    <n v="1"/>
    <n v="12"/>
    <n v="21.2"/>
    <n v="0"/>
    <n v="0.1272"/>
    <n v="21.0728"/>
    <n v="0"/>
    <n v="0"/>
    <n v="0"/>
    <n v="9.072800000000001"/>
    <s v="崔先生"/>
    <s v="云南省 昆明市 盘龙区 金辰街道云南映象碧桂湾24-801"/>
    <s v="13114284668-2738"/>
    <m/>
    <m/>
  </r>
  <r>
    <x v="148"/>
    <s v="已收货"/>
    <x v="314"/>
    <s v="桃子"/>
    <m/>
    <m/>
    <s v="砂白色1.6米岩板餐桌"/>
    <s v="榉木餐桌"/>
    <s v="160cm*85cm"/>
    <s v="已结算"/>
    <s v="庄毅"/>
    <n v="1777.3"/>
    <n v="1530"/>
    <m/>
    <m/>
    <m/>
    <m/>
    <n v="244.8"/>
    <m/>
    <m/>
    <m/>
    <m/>
    <m/>
    <m/>
    <m/>
    <m/>
    <m/>
    <m/>
    <m/>
    <n v="2.5"/>
    <m/>
    <m/>
    <m/>
    <m/>
    <m/>
    <m/>
    <m/>
    <m/>
    <m/>
    <m/>
    <m/>
    <n v="148"/>
    <n v="0"/>
    <n v="76"/>
    <n v="0"/>
    <n v="270"/>
    <n v="0"/>
    <n v="0"/>
    <n v="0"/>
    <n v="1"/>
    <n v="2271.3"/>
    <n v="2688.41"/>
    <n v="0"/>
    <n v="16.13046"/>
    <n v="2672.27954"/>
    <n v="30"/>
    <n v="0"/>
    <n v="30"/>
    <n v="430.9795399999998"/>
    <s v="桃子"/>
    <s v="浙江省 杭州市 拱墅区 祥符街道西岸花园14-1702 （直接送到家门口！谢谢！！！）"/>
    <s v="18430787858-3779"/>
    <m/>
    <m/>
  </r>
  <r>
    <x v="149"/>
    <s v="已收货"/>
    <x v="315"/>
    <s v="王涛"/>
    <s v="没有安装信息"/>
    <m/>
    <s v="砂白色2.0米岩板餐桌"/>
    <s v="榉木餐桌"/>
    <s v="200cm*85cm"/>
    <s v="已结算"/>
    <s v="江西"/>
    <n v="2092.5"/>
    <n v="1450"/>
    <m/>
    <m/>
    <m/>
    <m/>
    <n v="510"/>
    <m/>
    <m/>
    <m/>
    <m/>
    <m/>
    <m/>
    <m/>
    <m/>
    <m/>
    <m/>
    <m/>
    <n v="2.5"/>
    <m/>
    <m/>
    <m/>
    <m/>
    <m/>
    <m/>
    <m/>
    <m/>
    <n v="130"/>
    <m/>
    <m/>
    <n v="78"/>
    <n v="25"/>
    <n v="0"/>
    <n v="0"/>
    <n v="0"/>
    <n v="0"/>
    <n v="0"/>
    <n v="0"/>
    <n v="1"/>
    <n v="2195.5"/>
    <n v="2926"/>
    <n v="0"/>
    <n v="17.556"/>
    <n v="2908.444"/>
    <n v="0"/>
    <n v="0"/>
    <n v="0"/>
    <n v="712.944"/>
    <s v="王涛"/>
    <s v="江苏省无锡市滨湖区胡埭镇福安状元里15-302"/>
    <n v="15861660738"/>
    <m/>
    <m/>
  </r>
  <r>
    <x v="150"/>
    <s v="已收货"/>
    <x v="316"/>
    <s v="王"/>
    <m/>
    <m/>
    <s v="1.5常规洞石柜"/>
    <s v="洞石餐边柜"/>
    <n v="1500"/>
    <s v="已结算"/>
    <s v="庄毅"/>
    <n v="7067.346666666667"/>
    <n v="5800"/>
    <n v="501.08"/>
    <n v="226.6666666666667"/>
    <m/>
    <n v="76"/>
    <n v="309.6"/>
    <m/>
    <n v="60"/>
    <m/>
    <m/>
    <m/>
    <m/>
    <m/>
    <n v="17.5"/>
    <m/>
    <m/>
    <n v="7"/>
    <m/>
    <n v="20"/>
    <n v="10"/>
    <n v="18"/>
    <m/>
    <m/>
    <n v="40"/>
    <m/>
    <m/>
    <m/>
    <m/>
    <m/>
    <n v="300"/>
    <n v="100"/>
    <n v="98"/>
    <n v="0"/>
    <n v="120"/>
    <n v="0"/>
    <n v="0"/>
    <n v="200"/>
    <n v="1"/>
    <n v="7885.346666666667"/>
    <n v="9660.459999999999"/>
    <n v="0"/>
    <n v="57.96276"/>
    <n v="9602.497239999999"/>
    <n v="0"/>
    <n v="0"/>
    <n v="0"/>
    <n v="1717.150573333332"/>
    <s v="王"/>
    <s v="安徽省 亳州市 谯城区 亳州市经济技术开发区建投铂悦府20栋二单元902"/>
    <s v="18430738956-7666"/>
    <m/>
    <m/>
  </r>
  <r>
    <x v="150"/>
    <s v="已收货"/>
    <x v="317"/>
    <s v="王泓"/>
    <m/>
    <m/>
    <s v="样块"/>
    <s v="样块"/>
    <m/>
    <s v="已结算"/>
    <s v="杭州"/>
    <n v="7"/>
    <n v="5"/>
    <m/>
    <m/>
    <m/>
    <m/>
    <m/>
    <m/>
    <m/>
    <m/>
    <m/>
    <m/>
    <m/>
    <m/>
    <m/>
    <m/>
    <m/>
    <m/>
    <m/>
    <m/>
    <m/>
    <m/>
    <m/>
    <m/>
    <m/>
    <m/>
    <m/>
    <n v="2"/>
    <m/>
    <m/>
    <n v="5"/>
    <n v="0"/>
    <n v="0"/>
    <n v="0"/>
    <n v="0"/>
    <n v="0"/>
    <n v="0"/>
    <n v="0"/>
    <n v="1"/>
    <n v="12"/>
    <n v="16.2"/>
    <n v="0"/>
    <n v="0.09719999999999999"/>
    <n v="16.1028"/>
    <n v="0"/>
    <n v="0"/>
    <n v="0"/>
    <n v="4.102799999999998"/>
    <s v="王泓"/>
    <s v="浙江省 台州市 临海市 古城街道友兰巷7号5栋"/>
    <s v="18413581739-7809"/>
    <m/>
    <m/>
  </r>
  <r>
    <x v="151"/>
    <s v="已收货"/>
    <x v="318"/>
    <s v="橘子"/>
    <m/>
    <m/>
    <s v="窄柜-整柜洞石背板-1.0米"/>
    <s v="樱桃木窄柜"/>
    <n v="1000"/>
    <s v="已结算"/>
    <s v="庄毅"/>
    <n v="3994.71"/>
    <n v="3300"/>
    <n v="359.08"/>
    <n v="120"/>
    <m/>
    <n v="38"/>
    <n v="106.8"/>
    <n v="59.23"/>
    <m/>
    <m/>
    <n v="5"/>
    <m/>
    <m/>
    <m/>
    <m/>
    <n v="2"/>
    <n v="1.1"/>
    <n v="3.5"/>
    <m/>
    <m/>
    <m/>
    <m/>
    <m/>
    <m/>
    <m/>
    <m/>
    <m/>
    <m/>
    <m/>
    <m/>
    <n v="560"/>
    <n v="0"/>
    <n v="75"/>
    <n v="0"/>
    <n v="0"/>
    <n v="0"/>
    <n v="0"/>
    <n v="0"/>
    <n v="1"/>
    <n v="4629.71"/>
    <n v="5151.5"/>
    <n v="0"/>
    <n v="30.909"/>
    <n v="5120.591"/>
    <n v="0"/>
    <n v="0"/>
    <n v="0"/>
    <n v="490.8810000000003"/>
    <s v="橘子"/>
    <s v="河北省 沧州市 任丘市 渤海路街道 局机关小区幸福家园2号楼302"/>
    <s v="18433979425-1233"/>
    <m/>
    <m/>
  </r>
  <r>
    <x v="151"/>
    <s v="已收货"/>
    <x v="319"/>
    <s v="林中瑜"/>
    <m/>
    <m/>
    <s v="砂白色1.8米岩板餐桌"/>
    <s v="榉木餐桌"/>
    <s v="180cm*85cm"/>
    <s v="已结算"/>
    <s v="庄毅"/>
    <n v="1857.9"/>
    <n v="1580"/>
    <m/>
    <m/>
    <m/>
    <m/>
    <n v="275.4"/>
    <m/>
    <m/>
    <m/>
    <m/>
    <m/>
    <m/>
    <m/>
    <m/>
    <m/>
    <m/>
    <m/>
    <n v="2.5"/>
    <m/>
    <m/>
    <m/>
    <m/>
    <m/>
    <m/>
    <m/>
    <m/>
    <m/>
    <m/>
    <m/>
    <n v="209"/>
    <m/>
    <n v="68"/>
    <n v="0"/>
    <n v="0"/>
    <n v="0"/>
    <n v="0"/>
    <n v="0"/>
    <n v="1"/>
    <n v="2134.9"/>
    <n v="2789.6"/>
    <n v="0"/>
    <n v="16.7376"/>
    <n v="2772.8624"/>
    <n v="0"/>
    <n v="0"/>
    <n v="0"/>
    <n v="637.9623999999999"/>
    <s v="林中瑜"/>
    <s v="浙江省 台州市 椒江区 葭沚街道 学院路天悦锦园1-1-502"/>
    <s v="18413581679-1223"/>
    <m/>
    <m/>
  </r>
  <r>
    <x v="151"/>
    <s v="已收货"/>
    <x v="320"/>
    <s v="李文"/>
    <s v="已发货，年后修复"/>
    <m/>
    <s v="定制2.1洞石柜"/>
    <s v="洞石餐边柜"/>
    <n v="2100"/>
    <s v="已结算"/>
    <s v="庄毅"/>
    <n v="12630.48666666667"/>
    <n v="8500"/>
    <n v="432"/>
    <m/>
    <s v="2040/6/1.5"/>
    <n v="90"/>
    <n v="410.88"/>
    <m/>
    <m/>
    <m/>
    <m/>
    <m/>
    <n v="10"/>
    <n v="20"/>
    <m/>
    <m/>
    <m/>
    <n v="657.08"/>
    <n v="10"/>
    <n v="501.08"/>
    <n v="40"/>
    <m/>
    <m/>
    <m/>
    <n v="14"/>
    <m/>
    <m/>
    <n v="8.789999999999999"/>
    <n v="430"/>
    <n v="573.99"/>
    <n v="660"/>
    <n v="0"/>
    <n v="200"/>
    <n v="0"/>
    <n v="218"/>
    <n v="0"/>
    <n v="0"/>
    <n v="0"/>
    <n v="1"/>
    <n v="13708.48666666667"/>
    <n v="11024.88"/>
    <n v="0"/>
    <n v="66.14927999999999"/>
    <n v="10958.73072"/>
    <n v="0"/>
    <n v="0"/>
    <n v="0"/>
    <n v="-2749.755946666666"/>
    <s v="李文"/>
    <s v="河北省 廊坊市 永清县 永清镇 廊霸路与恒山路交汇处往南200米路东红蔷花园4号楼"/>
    <s v="18533766283-6889"/>
    <m/>
    <m/>
  </r>
  <r>
    <x v="151"/>
    <s v="已收货"/>
    <x v="321"/>
    <s v="李文"/>
    <m/>
    <m/>
    <s v="补差价"/>
    <s v="洞石餐边柜"/>
    <m/>
    <s v="已结算"/>
    <s v="庄毅-江西"/>
    <n v="1660"/>
    <n v="1660"/>
    <m/>
    <m/>
    <m/>
    <m/>
    <m/>
    <m/>
    <m/>
    <m/>
    <m/>
    <m/>
    <m/>
    <m/>
    <m/>
    <m/>
    <m/>
    <m/>
    <m/>
    <m/>
    <m/>
    <m/>
    <m/>
    <m/>
    <m/>
    <m/>
    <m/>
    <m/>
    <m/>
    <m/>
    <n v="0"/>
    <n v="0"/>
    <n v="0"/>
    <n v="0"/>
    <n v="0"/>
    <n v="0"/>
    <n v="0"/>
    <n v="0"/>
    <n v="1"/>
    <n v="1660"/>
    <n v="440"/>
    <n v="0"/>
    <n v="2.64"/>
    <n v="437.36"/>
    <n v="0"/>
    <n v="0"/>
    <n v="0"/>
    <n v="-1222.64"/>
    <s v="李文"/>
    <s v="河北省 廊坊市 永清县 永清镇 廊霸路与恒山路交汇处往南200米路东红蔷花园4号楼"/>
    <s v="18533766283-6889"/>
    <m/>
    <m/>
  </r>
  <r>
    <x v="151"/>
    <s v="已收货"/>
    <x v="322"/>
    <s v="吴楠"/>
    <s v="已发货，未安装"/>
    <m/>
    <s v="砂白色2.0米岩板餐桌"/>
    <s v="榉木餐桌"/>
    <s v="200cm*85cm"/>
    <s v="已结算"/>
    <s v="庄毅"/>
    <n v="1938.5"/>
    <n v="1630"/>
    <m/>
    <m/>
    <m/>
    <m/>
    <n v="306"/>
    <m/>
    <m/>
    <m/>
    <m/>
    <m/>
    <m/>
    <m/>
    <m/>
    <m/>
    <m/>
    <m/>
    <n v="2.5"/>
    <m/>
    <m/>
    <m/>
    <m/>
    <m/>
    <m/>
    <m/>
    <m/>
    <m/>
    <m/>
    <m/>
    <n v="349"/>
    <n v="100"/>
    <n v="150"/>
    <n v="0"/>
    <n v="0"/>
    <n v="0"/>
    <n v="0"/>
    <n v="0"/>
    <n v="1"/>
    <n v="2537.5"/>
    <n v="3175.31"/>
    <n v="0"/>
    <n v="19.05186"/>
    <n v="3156.25814"/>
    <n v="0"/>
    <n v="0"/>
    <n v="0"/>
    <n v="618.7581399999999"/>
    <s v="吴楠"/>
    <s v="云南省 大理白族自治州 大理市 大理镇大理艺术家园雨燕1栋2-201"/>
    <s v="17626017845-8591"/>
    <m/>
    <m/>
  </r>
  <r>
    <x v="152"/>
    <s v="已收货"/>
    <x v="323"/>
    <s v="汤维肖"/>
    <m/>
    <m/>
    <s v="窄柜1.2米"/>
    <s v="樱桃木窄柜"/>
    <n v="1200"/>
    <s v="已结算"/>
    <s v="庄毅-江西"/>
    <n v="4546.299999999999"/>
    <n v="3650"/>
    <n v="115"/>
    <m/>
    <m/>
    <m/>
    <m/>
    <m/>
    <n v="27791"/>
    <m/>
    <m/>
    <n v="8"/>
    <n v="411.08"/>
    <n v="3"/>
    <m/>
    <m/>
    <m/>
    <m/>
    <n v="62.4"/>
    <n v="10"/>
    <s v="160*1.2*0.48"/>
    <m/>
    <m/>
    <m/>
    <s v="5*30"/>
    <m/>
    <m/>
    <m/>
    <m/>
    <m/>
    <n v="238"/>
    <n v="75"/>
    <n v="106"/>
    <n v="0"/>
    <n v="150"/>
    <n v="0"/>
    <n v="0"/>
    <n v="0"/>
    <n v="1"/>
    <n v="5115.299999999999"/>
    <n v="5623"/>
    <n v="0"/>
    <n v="33.738"/>
    <n v="5589.262"/>
    <n v="0"/>
    <n v="0"/>
    <n v="0"/>
    <n v="473.9620000000004"/>
    <s v="汤维肖"/>
    <s v="浙江省 嘉兴市 平湖市 钟埭街道 海越华府15幢102"/>
    <s v="18413443528-6125"/>
    <m/>
    <m/>
  </r>
  <r>
    <x v="152"/>
    <s v="已收货"/>
    <x v="324"/>
    <s v="杨云杰"/>
    <m/>
    <m/>
    <s v="1.5常规洞石柜"/>
    <s v="洞石餐边柜"/>
    <n v="1500"/>
    <s v="已结算"/>
    <s v="庄毅"/>
    <n v="6667.346666666667"/>
    <n v="5400"/>
    <n v="501.08"/>
    <n v="226.6666666666667"/>
    <m/>
    <n v="76"/>
    <n v="309.6"/>
    <m/>
    <n v="60"/>
    <m/>
    <m/>
    <m/>
    <m/>
    <m/>
    <n v="17.5"/>
    <m/>
    <m/>
    <n v="7"/>
    <m/>
    <n v="20"/>
    <n v="10"/>
    <n v="18"/>
    <s v="30*2"/>
    <m/>
    <n v="40"/>
    <m/>
    <m/>
    <m/>
    <m/>
    <m/>
    <n v="0"/>
    <n v="0"/>
    <n v="148"/>
    <n v="0"/>
    <n v="200"/>
    <n v="0"/>
    <n v="0"/>
    <n v="227"/>
    <n v="1"/>
    <n v="7242.346666666667"/>
    <n v="10370.55"/>
    <n v="0"/>
    <n v="62.22329999999999"/>
    <n v="10308.3267"/>
    <n v="0"/>
    <n v="0"/>
    <n v="0"/>
    <n v="3065.980033333332"/>
    <s v="杨云杰"/>
    <s v="江苏省 南京市 鼓楼区 小市街道紫霞公寓5幢205室"/>
    <s v="15784202791-5643"/>
    <m/>
    <m/>
  </r>
  <r>
    <x v="152"/>
    <s v="已收货"/>
    <x v="325"/>
    <s v="王彤"/>
    <m/>
    <m/>
    <s v="1.5基础柜"/>
    <s v="基础餐边柜"/>
    <n v="1500"/>
    <s v="已结算"/>
    <s v="江西"/>
    <n v="6198.08"/>
    <n v="4600"/>
    <s v="22*4"/>
    <n v="10"/>
    <n v="489.08"/>
    <m/>
    <n v="28"/>
    <n v="52"/>
    <n v="41"/>
    <m/>
    <m/>
    <n v="170"/>
    <n v="260"/>
    <n v="80"/>
    <m/>
    <m/>
    <m/>
    <m/>
    <m/>
    <n v="380"/>
    <m/>
    <m/>
    <m/>
    <m/>
    <m/>
    <m/>
    <m/>
    <n v="380"/>
    <m/>
    <m/>
    <n v="400"/>
    <n v="100"/>
    <n v="200"/>
    <n v="0"/>
    <n v="0"/>
    <n v="0"/>
    <n v="0"/>
    <n v="0"/>
    <n v="1"/>
    <n v="6898.08"/>
    <n v="7255.35"/>
    <n v="0"/>
    <n v="43.5321"/>
    <n v="7211.8179"/>
    <n v="0"/>
    <n v="0"/>
    <n v="0"/>
    <n v="313.7379000000001"/>
    <s v="王彤"/>
    <s v="北京 北京市 海淀区 曙光街道世纪城春荫园1-2-12d"/>
    <s v="18400814300-6474"/>
    <m/>
    <m/>
  </r>
  <r>
    <x v="153"/>
    <s v="已收货"/>
    <x v="326"/>
    <s v="胖佩"/>
    <m/>
    <m/>
    <s v="砂白色1.5米岩板餐桌，定制"/>
    <s v="榉木餐桌"/>
    <s v="150cm*85cm"/>
    <s v="已结算"/>
    <s v="庄毅"/>
    <n v="1757.3"/>
    <n v="1510"/>
    <m/>
    <m/>
    <m/>
    <m/>
    <n v="244.8"/>
    <m/>
    <m/>
    <m/>
    <m/>
    <m/>
    <m/>
    <m/>
    <m/>
    <m/>
    <m/>
    <m/>
    <n v="2.5"/>
    <m/>
    <m/>
    <m/>
    <m/>
    <m/>
    <m/>
    <m/>
    <m/>
    <m/>
    <m/>
    <m/>
    <n v="210"/>
    <n v="0"/>
    <n v="90"/>
    <n v="0"/>
    <n v="0"/>
    <n v="0"/>
    <n v="0"/>
    <n v="50"/>
    <n v="1"/>
    <n v="2107.3"/>
    <n v="2637.05"/>
    <n v="0"/>
    <n v="15.8223"/>
    <n v="2621.2277"/>
    <n v="0"/>
    <n v="0"/>
    <n v="0"/>
    <n v="513.9276999999997"/>
    <s v="胖佩"/>
    <s v="湖南省 长沙市 天心区 裕南街街道向东南路186号城市森林5栋二单元208"/>
    <s v="18472625786-6114"/>
    <m/>
    <m/>
  </r>
  <r>
    <x v="153"/>
    <s v="已收货"/>
    <x v="327"/>
    <s v="李梦"/>
    <m/>
    <m/>
    <s v="样块"/>
    <s v="样块"/>
    <m/>
    <s v="已结算"/>
    <s v="杭州"/>
    <n v="7"/>
    <n v="5"/>
    <m/>
    <m/>
    <m/>
    <m/>
    <m/>
    <m/>
    <m/>
    <m/>
    <m/>
    <m/>
    <m/>
    <m/>
    <m/>
    <m/>
    <m/>
    <m/>
    <m/>
    <m/>
    <m/>
    <m/>
    <m/>
    <m/>
    <m/>
    <m/>
    <m/>
    <n v="2"/>
    <m/>
    <m/>
    <n v="5"/>
    <n v="0"/>
    <n v="0"/>
    <n v="0"/>
    <n v="0"/>
    <n v="0"/>
    <n v="0"/>
    <n v="0"/>
    <n v="1"/>
    <n v="12"/>
    <n v="21.2"/>
    <n v="0"/>
    <n v="0.1272"/>
    <n v="21.0728"/>
    <n v="0"/>
    <n v="0"/>
    <n v="0"/>
    <n v="9.072800000000001"/>
    <s v="李梦"/>
    <s v="北京 北京市 通州区 梨园镇砖厂新家园7号楼二单元10层2102室"/>
    <s v="13161403447-1112"/>
    <m/>
    <m/>
  </r>
  <r>
    <x v="153"/>
    <s v="已收货"/>
    <x v="328"/>
    <s v="陆先生"/>
    <m/>
    <m/>
    <s v="砂白色1.6米岩板餐桌"/>
    <s v="榉木餐桌"/>
    <s v="160cm*85cm"/>
    <s v="已结算"/>
    <s v="庄毅"/>
    <n v="1777.3"/>
    <n v="1530"/>
    <m/>
    <m/>
    <m/>
    <m/>
    <n v="244.8"/>
    <m/>
    <m/>
    <m/>
    <m/>
    <m/>
    <m/>
    <m/>
    <m/>
    <m/>
    <m/>
    <m/>
    <n v="2.5"/>
    <m/>
    <m/>
    <m/>
    <m/>
    <m/>
    <m/>
    <m/>
    <m/>
    <m/>
    <m/>
    <m/>
    <n v="153"/>
    <n v="0"/>
    <n v="75"/>
    <n v="0"/>
    <n v="0"/>
    <n v="0"/>
    <n v="0"/>
    <n v="0"/>
    <n v="1"/>
    <n v="2005.3"/>
    <n v="2688.41"/>
    <n v="0"/>
    <n v="16.13046"/>
    <n v="2672.27954"/>
    <n v="0"/>
    <n v="0"/>
    <n v="0"/>
    <n v="666.97954"/>
    <s v="陆先生"/>
    <s v="浙江省 杭州市 拱墅区 朝晖街道东方豪园文豪阁1704"/>
    <s v="18413254214-4626"/>
    <m/>
    <m/>
  </r>
  <r>
    <x v="153"/>
    <s v="已收货"/>
    <x v="329"/>
    <s v="郑丹"/>
    <m/>
    <m/>
    <s v="曜黑柜-整柜-1.8米"/>
    <s v="曜黑餐边柜"/>
    <n v="1800"/>
    <s v="已结算"/>
    <s v="庄毅"/>
    <n v="11287.31333333333"/>
    <n v="9400"/>
    <n v="579.0799999999999"/>
    <n v="283.3333333333333"/>
    <n v="40"/>
    <m/>
    <n v="185.52"/>
    <n v="40"/>
    <n v="40"/>
    <n v="33"/>
    <m/>
    <s v="2550/6/1.5"/>
    <n v="567.08"/>
    <n v="10"/>
    <m/>
    <m/>
    <m/>
    <m/>
    <m/>
    <n v="20"/>
    <n v="10.5"/>
    <m/>
    <m/>
    <m/>
    <n v="620"/>
    <n v="65"/>
    <m/>
    <m/>
    <m/>
    <m/>
    <n v="513"/>
    <n v="0"/>
    <n v="150"/>
    <n v="0"/>
    <n v="138"/>
    <n v="0"/>
    <n v="0"/>
    <n v="200"/>
    <n v="1"/>
    <n v="12288.31333333333"/>
    <n v="14621.61"/>
    <n v="0"/>
    <n v="87.72966000000001"/>
    <n v="14533.88034"/>
    <n v="0"/>
    <n v="0"/>
    <n v="0"/>
    <n v="2245.567006666666"/>
    <s v="郑丹"/>
    <s v="河南省 郑州市 中原区 须水街道须水蓝岸明翠10号楼3102"/>
    <s v="13774730364-3629"/>
    <m/>
    <m/>
  </r>
  <r>
    <x v="154"/>
    <s v="已收货"/>
    <x v="330"/>
    <s v="叶宋涛"/>
    <m/>
    <m/>
    <s v="插座*2"/>
    <s v="配件"/>
    <m/>
    <s v="已结算"/>
    <s v="其他"/>
    <n v="110"/>
    <n v="110"/>
    <m/>
    <m/>
    <m/>
    <m/>
    <m/>
    <m/>
    <m/>
    <m/>
    <m/>
    <m/>
    <m/>
    <m/>
    <m/>
    <m/>
    <m/>
    <m/>
    <m/>
    <m/>
    <m/>
    <m/>
    <m/>
    <m/>
    <m/>
    <m/>
    <m/>
    <m/>
    <m/>
    <m/>
    <n v="8"/>
    <n v="0"/>
    <n v="0"/>
    <n v="0"/>
    <n v="0"/>
    <n v="0"/>
    <n v="0"/>
    <n v="0"/>
    <n v="1"/>
    <n v="118"/>
    <n v="200"/>
    <n v="0"/>
    <n v="1.2"/>
    <n v="198.8"/>
    <n v="0"/>
    <n v="0"/>
    <n v="0"/>
    <n v="80.80000000000001"/>
    <s v="叶宋涛"/>
    <s v="广西壮族自治区 柳州市 鱼峰区 麒麟街道恒大御府10-1-2001"/>
    <s v="13117725671-2124"/>
    <m/>
    <m/>
  </r>
  <r>
    <x v="154"/>
    <s v="已收货"/>
    <x v="331"/>
    <s v="林囧"/>
    <m/>
    <m/>
    <s v="砂白色1.6米岩板餐桌"/>
    <s v="榉木餐桌"/>
    <s v="160cm*85cm"/>
    <s v="已结算"/>
    <s v="庄毅"/>
    <n v="1777.3"/>
    <n v="1530"/>
    <m/>
    <m/>
    <m/>
    <m/>
    <n v="244.8"/>
    <m/>
    <m/>
    <m/>
    <m/>
    <m/>
    <m/>
    <m/>
    <m/>
    <m/>
    <m/>
    <m/>
    <n v="2.5"/>
    <m/>
    <m/>
    <m/>
    <m/>
    <m/>
    <m/>
    <m/>
    <m/>
    <m/>
    <m/>
    <m/>
    <n v="149"/>
    <n v="0"/>
    <n v="70"/>
    <n v="0"/>
    <n v="0"/>
    <n v="0"/>
    <n v="0"/>
    <n v="0"/>
    <n v="1"/>
    <n v="1996.3"/>
    <n v="2688.41"/>
    <n v="0"/>
    <n v="16.13046"/>
    <n v="2672.27954"/>
    <n v="0"/>
    <n v="0"/>
    <n v="0"/>
    <n v="675.97954"/>
    <s v="林囧"/>
    <s v="浙江省 温州市 瓯海区 梧田街道泽霞雅苑一组团4-1304"/>
    <s v="18413549531-5204"/>
    <m/>
    <m/>
  </r>
  <r>
    <x v="155"/>
    <s v="已收货"/>
    <x v="332"/>
    <s v="王行同"/>
    <m/>
    <m/>
    <s v="样块*2"/>
    <s v="样块"/>
    <m/>
    <s v="已结算"/>
    <s v="杭州"/>
    <n v="12"/>
    <n v="10"/>
    <m/>
    <m/>
    <m/>
    <m/>
    <m/>
    <m/>
    <m/>
    <m/>
    <m/>
    <m/>
    <m/>
    <m/>
    <m/>
    <m/>
    <m/>
    <m/>
    <m/>
    <m/>
    <m/>
    <m/>
    <m/>
    <m/>
    <m/>
    <m/>
    <m/>
    <n v="2"/>
    <m/>
    <m/>
    <n v="5"/>
    <n v="0"/>
    <n v="0"/>
    <n v="0"/>
    <n v="0"/>
    <n v="0"/>
    <n v="0"/>
    <n v="0"/>
    <n v="1"/>
    <n v="17"/>
    <n v="42.4"/>
    <n v="0"/>
    <n v="0.2544"/>
    <n v="42.1456"/>
    <n v="0"/>
    <n v="0"/>
    <n v="0"/>
    <n v="25.1456"/>
    <s v="王行同"/>
    <s v="江苏省 南京市 栖霞区 仙林街道杉湖西路8号东方天郡西区 29栋1单元406"/>
    <s v="13073451984-7538"/>
    <m/>
    <m/>
  </r>
  <r>
    <x v="156"/>
    <s v="已收货"/>
    <x v="333"/>
    <s v="梁先生"/>
    <m/>
    <m/>
    <s v="砂白色2.0米岩板餐桌"/>
    <s v="榉木餐桌"/>
    <s v="200cm*85cm"/>
    <s v="已结算"/>
    <s v="江西"/>
    <n v="2092.5"/>
    <n v="1450"/>
    <m/>
    <m/>
    <m/>
    <m/>
    <n v="510"/>
    <m/>
    <m/>
    <m/>
    <m/>
    <m/>
    <m/>
    <m/>
    <m/>
    <m/>
    <m/>
    <m/>
    <n v="2.5"/>
    <m/>
    <m/>
    <m/>
    <m/>
    <m/>
    <m/>
    <m/>
    <m/>
    <n v="130"/>
    <m/>
    <m/>
    <n v="93"/>
    <n v="25"/>
    <n v="90"/>
    <n v="0"/>
    <n v="158"/>
    <n v="0"/>
    <n v="0"/>
    <n v="0"/>
    <n v="1"/>
    <n v="2458.5"/>
    <n v="2920.31"/>
    <n v="0"/>
    <n v="17.52186"/>
    <n v="2902.78814"/>
    <n v="0"/>
    <n v="0"/>
    <n v="0"/>
    <n v="444.2881400000001"/>
    <s v="梁先生"/>
    <s v="广东省 肇庆市 端州区 睦岗街道侨兴新都汇3栋 1503"/>
    <s v="14716068031-4717"/>
    <m/>
    <m/>
  </r>
  <r>
    <x v="156"/>
    <s v="已收货"/>
    <x v="334"/>
    <s v="梁先生"/>
    <m/>
    <m/>
    <s v="样块"/>
    <s v="样块"/>
    <m/>
    <s v="已结算"/>
    <s v="杭州"/>
    <n v="7"/>
    <n v="5"/>
    <m/>
    <m/>
    <m/>
    <m/>
    <m/>
    <m/>
    <m/>
    <m/>
    <m/>
    <m/>
    <m/>
    <m/>
    <m/>
    <m/>
    <m/>
    <m/>
    <m/>
    <m/>
    <m/>
    <m/>
    <m/>
    <m/>
    <m/>
    <m/>
    <m/>
    <n v="2"/>
    <m/>
    <m/>
    <n v="5"/>
    <n v="0"/>
    <n v="0"/>
    <n v="0"/>
    <n v="0"/>
    <n v="0"/>
    <n v="0"/>
    <n v="0"/>
    <n v="1"/>
    <n v="12"/>
    <n v="0"/>
    <n v="0"/>
    <n v="0"/>
    <n v="0"/>
    <n v="0"/>
    <n v="0"/>
    <n v="0"/>
    <n v="-12"/>
    <s v="梁先生"/>
    <s v="广东省 肇庆市 端州区 睦岗街道侨兴新都汇3栋 1503"/>
    <s v="14716068031-4717"/>
    <m/>
    <m/>
  </r>
  <r>
    <x v="156"/>
    <s v="已收货"/>
    <x v="335"/>
    <s v="安托-(227845)"/>
    <m/>
    <m/>
    <s v="砂白色1.6米岩板餐桌"/>
    <s v="榉木餐桌"/>
    <s v="160cm*85cm"/>
    <s v="已结算"/>
    <s v="庄毅"/>
    <n v="1777.3"/>
    <n v="1530"/>
    <m/>
    <m/>
    <m/>
    <m/>
    <n v="244.8"/>
    <m/>
    <m/>
    <m/>
    <m/>
    <m/>
    <m/>
    <m/>
    <m/>
    <m/>
    <m/>
    <m/>
    <n v="2.5"/>
    <m/>
    <m/>
    <m/>
    <m/>
    <m/>
    <m/>
    <m/>
    <m/>
    <m/>
    <m/>
    <m/>
    <n v="144"/>
    <n v="0"/>
    <n v="0"/>
    <n v="0"/>
    <n v="0"/>
    <n v="0"/>
    <n v="0"/>
    <n v="0"/>
    <n v="1"/>
    <n v="1921.3"/>
    <n v="2693.41"/>
    <n v="0"/>
    <n v="16.16046"/>
    <n v="2677.24954"/>
    <n v="0"/>
    <n v="0"/>
    <n v="0"/>
    <n v="755.9495399999998"/>
    <s v="安托-(227845)"/>
    <s v="广东省 广州市 白云区 江高镇广东省广州市白云区江高镇神山大道东237号电商园A区-(227845)"/>
    <s v="18466113760-1975"/>
    <m/>
    <m/>
  </r>
  <r>
    <x v="156"/>
    <s v="已收货"/>
    <x v="336"/>
    <s v="张先生"/>
    <m/>
    <m/>
    <s v="补差价"/>
    <s v="基础餐边柜"/>
    <m/>
    <s v="已结算"/>
    <s v="江西"/>
    <n v="0"/>
    <n v="0"/>
    <m/>
    <m/>
    <m/>
    <m/>
    <m/>
    <m/>
    <m/>
    <m/>
    <m/>
    <m/>
    <m/>
    <m/>
    <m/>
    <m/>
    <m/>
    <m/>
    <m/>
    <m/>
    <m/>
    <m/>
    <m/>
    <m/>
    <m/>
    <m/>
    <m/>
    <m/>
    <m/>
    <m/>
    <n v="0"/>
    <n v="0"/>
    <n v="0"/>
    <n v="0"/>
    <n v="0"/>
    <n v="0"/>
    <n v="0"/>
    <n v="0"/>
    <n v="1"/>
    <n v="0"/>
    <n v="110"/>
    <n v="0"/>
    <n v="0.66"/>
    <n v="109.34"/>
    <n v="0"/>
    <n v="0"/>
    <n v="0"/>
    <n v="109.34"/>
    <s v="张先生"/>
    <s v="四川省 泸州市 江阳区 茜草街道高新湖畔27栋802"/>
    <s v="18418949368-3898"/>
    <m/>
    <m/>
  </r>
  <r>
    <x v="156"/>
    <s v="已收货"/>
    <x v="337"/>
    <s v="张先生"/>
    <m/>
    <m/>
    <s v="定制1.8米AA柱款"/>
    <s v="基础餐边柜"/>
    <m/>
    <s v="已结算"/>
    <s v="江西"/>
    <n v="6602.08"/>
    <n v="5100"/>
    <n v="380"/>
    <n v="28"/>
    <n v="14"/>
    <m/>
    <s v="22*4"/>
    <n v="579.08"/>
    <n v="370"/>
    <m/>
    <m/>
    <n v="10"/>
    <s v="(72"/>
    <s v="126)/6"/>
    <m/>
    <m/>
    <m/>
    <m/>
    <m/>
    <m/>
    <m/>
    <m/>
    <m/>
    <m/>
    <m/>
    <m/>
    <m/>
    <n v="370"/>
    <m/>
    <m/>
    <n v="655"/>
    <n v="104"/>
    <n v="60"/>
    <n v="0"/>
    <n v="0"/>
    <n v="0"/>
    <n v="0"/>
    <n v="0"/>
    <n v="1"/>
    <n v="7421.08"/>
    <n v="7749.37"/>
    <n v="0"/>
    <n v="46.49622"/>
    <n v="7702.87378"/>
    <n v="0"/>
    <n v="0"/>
    <n v="0"/>
    <n v="281.79378"/>
    <s v="张先生"/>
    <s v="四川省 泸州市 江阳区 茜草街道高新湖畔27栋802"/>
    <s v="18418949368-3898"/>
    <m/>
    <m/>
  </r>
  <r>
    <x v="156"/>
    <s v="已收货"/>
    <x v="338"/>
    <s v="王泳懿"/>
    <m/>
    <m/>
    <s v="样块*2"/>
    <s v="样块"/>
    <m/>
    <s v="已结算"/>
    <s v="杭州"/>
    <n v="12"/>
    <n v="10"/>
    <m/>
    <m/>
    <m/>
    <m/>
    <m/>
    <m/>
    <m/>
    <m/>
    <m/>
    <m/>
    <m/>
    <m/>
    <m/>
    <m/>
    <m/>
    <m/>
    <m/>
    <m/>
    <m/>
    <m/>
    <m/>
    <m/>
    <m/>
    <m/>
    <m/>
    <n v="2"/>
    <m/>
    <m/>
    <n v="5"/>
    <n v="0"/>
    <n v="0"/>
    <n v="0"/>
    <n v="0"/>
    <n v="0"/>
    <n v="0"/>
    <n v="0"/>
    <n v="1"/>
    <n v="17"/>
    <n v="42.4"/>
    <n v="0"/>
    <n v="0.2544"/>
    <n v="42.1456"/>
    <n v="0"/>
    <n v="0"/>
    <n v="0"/>
    <n v="25.1456"/>
    <s v="王泳懿"/>
    <s v="广东省 深圳市 南山区 招商街道临海揽山御园1栋B座1904"/>
    <s v="15794943121-6872"/>
    <m/>
    <m/>
  </r>
  <r>
    <x v="157"/>
    <s v="已收货"/>
    <x v="339"/>
    <s v="王先生"/>
    <m/>
    <m/>
    <s v="砂白色1.8米岩板餐桌"/>
    <s v="榉木餐桌"/>
    <s v="180cm*85cm"/>
    <s v="已结算"/>
    <s v="庄毅"/>
    <n v="1857.9"/>
    <n v="1580"/>
    <m/>
    <m/>
    <m/>
    <m/>
    <n v="275.4"/>
    <m/>
    <m/>
    <m/>
    <m/>
    <m/>
    <m/>
    <m/>
    <m/>
    <m/>
    <m/>
    <m/>
    <n v="2.5"/>
    <m/>
    <m/>
    <m/>
    <m/>
    <m/>
    <m/>
    <m/>
    <m/>
    <m/>
    <m/>
    <m/>
    <n v="222"/>
    <n v="0"/>
    <n v="98"/>
    <n v="0"/>
    <n v="0"/>
    <n v="0"/>
    <n v="0"/>
    <n v="0"/>
    <n v="1"/>
    <n v="2177.9"/>
    <n v="2794.6"/>
    <n v="0"/>
    <n v="16.7676"/>
    <n v="2777.8324"/>
    <n v="0"/>
    <n v="0"/>
    <n v="0"/>
    <n v="599.9323999999997"/>
    <s v="王先生"/>
    <s v="江苏省 苏州市 吴中区 郭巷街道郭津路99号九龙仓碧堤雅苑56-508"/>
    <s v="17851496359-7650"/>
    <m/>
    <m/>
  </r>
  <r>
    <x v="157"/>
    <s v="已收货"/>
    <x v="340"/>
    <s v="okok"/>
    <m/>
    <m/>
    <s v="砂白色1.8米岩板餐桌"/>
    <s v="榉木餐桌"/>
    <s v="180cm*85cm"/>
    <s v="已结算"/>
    <s v="庄毅"/>
    <n v="1857.9"/>
    <n v="1580"/>
    <m/>
    <m/>
    <m/>
    <m/>
    <n v="275.4"/>
    <m/>
    <m/>
    <m/>
    <m/>
    <m/>
    <m/>
    <m/>
    <m/>
    <m/>
    <m/>
    <m/>
    <n v="2.5"/>
    <m/>
    <m/>
    <m/>
    <m/>
    <m/>
    <m/>
    <m/>
    <m/>
    <m/>
    <m/>
    <m/>
    <n v="233"/>
    <n v="0"/>
    <n v="66"/>
    <n v="0"/>
    <n v="0"/>
    <n v="0"/>
    <n v="0"/>
    <n v="0"/>
    <n v="1"/>
    <n v="2156.9"/>
    <n v="2789.6"/>
    <n v="0"/>
    <n v="16.7376"/>
    <n v="2772.8624"/>
    <n v="0"/>
    <n v="0"/>
    <n v="0"/>
    <n v="615.9623999999999"/>
    <s v="okok"/>
    <s v="安徽省 合肥市 瑶海区 铜陵路街道置地中心一期Y3-103"/>
    <s v="15665455004-9090"/>
    <m/>
    <m/>
  </r>
  <r>
    <x v="157"/>
    <s v="已收货"/>
    <x v="341"/>
    <s v="刘小鱼"/>
    <m/>
    <m/>
    <s v="窄柜-整柜洞石背板-1.0米"/>
    <s v="樱桃木窄柜"/>
    <n v="1000"/>
    <s v="已结算"/>
    <s v="江西"/>
    <n v="4211.48"/>
    <n v="3300"/>
    <n v="359.08"/>
    <n v="120"/>
    <m/>
    <n v="38"/>
    <n v="106.8"/>
    <n v="54"/>
    <n v="52"/>
    <m/>
    <n v="5"/>
    <m/>
    <m/>
    <m/>
    <m/>
    <n v="2"/>
    <n v="1.1"/>
    <n v="3.5"/>
    <m/>
    <m/>
    <m/>
    <m/>
    <m/>
    <m/>
    <m/>
    <m/>
    <m/>
    <n v="170"/>
    <m/>
    <m/>
    <n v="223"/>
    <n v="62"/>
    <n v="80"/>
    <n v="0"/>
    <n v="0"/>
    <n v="0"/>
    <n v="0"/>
    <n v="0"/>
    <n v="1"/>
    <n v="4576.48"/>
    <n v="5156.5"/>
    <n v="0"/>
    <n v="30.939"/>
    <n v="5125.561"/>
    <n v="0"/>
    <n v="0"/>
    <n v="0"/>
    <n v="549.0810000000001"/>
    <s v="刘小鱼"/>
    <s v="湖北省 襄阳市 樊城区 汉江街道民发盛特一品一期1栋402"/>
    <s v="18472104467-9872"/>
    <m/>
    <m/>
  </r>
  <r>
    <x v="157"/>
    <s v="未发货"/>
    <x v="342"/>
    <s v="孙小力"/>
    <m/>
    <m/>
    <s v="榉木2.1米整柜+1.6米单腿餐桌"/>
    <s v="旋转餐边柜"/>
    <n v="2100"/>
    <m/>
    <s v="江西"/>
    <n v="7817.4"/>
    <n v="7817.4"/>
    <m/>
    <m/>
    <m/>
    <m/>
    <m/>
    <m/>
    <m/>
    <m/>
    <m/>
    <m/>
    <m/>
    <m/>
    <m/>
    <m/>
    <m/>
    <m/>
    <m/>
    <m/>
    <m/>
    <m/>
    <m/>
    <m/>
    <m/>
    <m/>
    <m/>
    <n v="570"/>
    <m/>
    <m/>
    <n v="524"/>
    <n v="150"/>
    <n v="150"/>
    <n v="0"/>
    <n v="0"/>
    <n v="0"/>
    <n v="0"/>
    <n v="0"/>
    <n v="1"/>
    <n v="8641.4"/>
    <n v="9828.57"/>
    <n v="0"/>
    <n v="58.97142"/>
    <n v="9769.59858"/>
    <n v="0"/>
    <n v="0"/>
    <n v="0"/>
    <n v="1128.19858"/>
    <s v="孙小力"/>
    <s v="浙江省 杭州市 西湖区 三墩镇国风美域1栋2单元1201室"/>
    <s v="18413246728-9285"/>
    <m/>
    <m/>
  </r>
  <r>
    <x v="157"/>
    <s v="未发货"/>
    <x v="343"/>
    <s v="郭"/>
    <m/>
    <m/>
    <s v="砂白色1.4米岩板餐桌"/>
    <s v="榉木餐桌"/>
    <s v="140cm*85cm"/>
    <m/>
    <s v="江西"/>
    <n v="1892.5"/>
    <n v="1300"/>
    <m/>
    <m/>
    <m/>
    <m/>
    <n v="220"/>
    <m/>
    <m/>
    <m/>
    <m/>
    <m/>
    <m/>
    <m/>
    <m/>
    <m/>
    <m/>
    <m/>
    <n v="2.5"/>
    <m/>
    <m/>
    <m/>
    <m/>
    <m/>
    <m/>
    <m/>
    <m/>
    <n v="190"/>
    <m/>
    <m/>
    <n v="256"/>
    <n v="0"/>
    <n v="65"/>
    <n v="0"/>
    <n v="0"/>
    <n v="0"/>
    <n v="0"/>
    <n v="0"/>
    <n v="1"/>
    <n v="2213.5"/>
    <n v="2588.89"/>
    <n v="0"/>
    <n v="15.53334"/>
    <n v="2573.35666"/>
    <n v="0"/>
    <n v="0"/>
    <n v="0"/>
    <n v="359.8566599999999"/>
    <s v="郭"/>
    <s v="天津 天津市 红桥区 三条石街道河海花园6号楼1单元2901"/>
    <s v="18400869944-3503"/>
    <m/>
    <m/>
  </r>
  <r>
    <x v="157"/>
    <s v="已收货"/>
    <x v="344"/>
    <s v="陈艳红"/>
    <s v="已调整：产品成本+背板+岩板+岩板打孔+电力轨道+打包费（窄柜+岛台）+玻璃+灯带+抽屉轨道+隔板轨道+其他五金"/>
    <m/>
    <s v="窄柜-整柜洞石背板-1.0米"/>
    <s v="樱桃木窄柜"/>
    <n v="1000"/>
    <s v="已结算"/>
    <s v="江西"/>
    <n v="4783.54"/>
    <n v="3600"/>
    <n v="359.08"/>
    <n v="120"/>
    <m/>
    <n v="38"/>
    <n v="106.8"/>
    <n v="54"/>
    <n v="52"/>
    <m/>
    <n v="5"/>
    <m/>
    <m/>
    <m/>
    <m/>
    <n v="2"/>
    <n v="1.1"/>
    <n v="3.5"/>
    <m/>
    <m/>
    <m/>
    <m/>
    <m/>
    <m/>
    <m/>
    <m/>
    <m/>
    <n v="410"/>
    <m/>
    <m/>
    <n v="416"/>
    <n v="101"/>
    <n v="266"/>
    <n v="0"/>
    <n v="139"/>
    <n v="0"/>
    <n v="0"/>
    <n v="0"/>
    <n v="1"/>
    <n v="5705.54"/>
    <n v="5156.5"/>
    <n v="0"/>
    <n v="30.939"/>
    <n v="5125.561"/>
    <n v="0"/>
    <n v="0"/>
    <n v="0"/>
    <n v="-579.9790000000003"/>
    <s v="陈艳红"/>
    <s v="广东省 惠州市 惠阳区 新圩镇牧云溪谷八期毓山郡云庭5栋1203房"/>
    <s v="17806516701-5015"/>
    <m/>
    <m/>
  </r>
  <r>
    <x v="158"/>
    <s v="已收货"/>
    <x v="345"/>
    <s v="覃"/>
    <s v="已调整：产品成本+背板+岩板+岩板打孔+电力轨道+灯带+隔板轨道+其他五金"/>
    <m/>
    <s v="窄柜-整柜洞石背板-1.2米"/>
    <s v="樱桃木窄柜"/>
    <n v="1200"/>
    <s v="已结算"/>
    <s v="庄毅"/>
    <n v="4496.299999999999"/>
    <n v="3600"/>
    <n v="411.08"/>
    <n v="125"/>
    <m/>
    <n v="76"/>
    <n v="122.16"/>
    <n v="62.4"/>
    <m/>
    <m/>
    <m/>
    <n v="8"/>
    <m/>
    <n v="3"/>
    <m/>
    <m/>
    <m/>
    <n v="3.37"/>
    <m/>
    <m/>
    <s v="5*30"/>
    <m/>
    <m/>
    <n v="1.16"/>
    <n v="1.1"/>
    <n v="10"/>
    <m/>
    <m/>
    <m/>
    <m/>
    <n v="343"/>
    <n v="0"/>
    <n v="109"/>
    <n v="0"/>
    <n v="0"/>
    <n v="0"/>
    <n v="0"/>
    <n v="0"/>
    <n v="1"/>
    <n v="4948.299999999999"/>
    <n v="5623"/>
    <n v="0"/>
    <n v="33.738"/>
    <n v="5589.262"/>
    <n v="0"/>
    <n v="0"/>
    <n v="0"/>
    <n v="640.9620000000004"/>
    <s v="郭"/>
    <s v="天津 天津市 红桥区 三条石街道河海花园6号楼1单元2901"/>
    <s v="18400869944-3503"/>
    <m/>
    <m/>
  </r>
  <r>
    <x v="158"/>
    <s v="已收货"/>
    <x v="346"/>
    <s v="杨剑文"/>
    <m/>
    <m/>
    <s v="砂白色1.6米岩板餐桌+贝壳椅子*4+实木椅"/>
    <s v="榉木餐桌"/>
    <s v="160cm*85cm"/>
    <s v="已结算"/>
    <s v="庄毅备货-江西"/>
    <n v="2777.29"/>
    <n v="1530"/>
    <m/>
    <m/>
    <m/>
    <m/>
    <n v="244.8"/>
    <m/>
    <m/>
    <m/>
    <m/>
    <m/>
    <m/>
    <m/>
    <m/>
    <m/>
    <m/>
    <m/>
    <n v="2.5"/>
    <m/>
    <n v="999.99"/>
    <m/>
    <m/>
    <m/>
    <m/>
    <m/>
    <m/>
    <m/>
    <m/>
    <m/>
    <n v="350"/>
    <n v="50"/>
    <n v="98"/>
    <n v="0"/>
    <n v="0"/>
    <n v="0"/>
    <n v="0"/>
    <n v="0"/>
    <n v="1"/>
    <n v="3275.29"/>
    <n v="4221.41"/>
    <n v="0"/>
    <n v="25.32846"/>
    <n v="4196.08154"/>
    <n v="0"/>
    <n v="0"/>
    <n v="0"/>
    <n v="920.7915400000002"/>
    <s v="杨剑文"/>
    <s v="甘肃省 天水市 秦州区 东关街道天水市第一人民医院地区医院家属院1号楼902"/>
    <s v="18413282098-6410"/>
    <m/>
    <m/>
  </r>
  <r>
    <x v="158"/>
    <s v="已收货"/>
    <x v="347"/>
    <s v="蒋倩"/>
    <m/>
    <m/>
    <s v="砂白色1.8米岩板餐桌"/>
    <s v="榉木餐桌"/>
    <s v="180cm*85cm"/>
    <s v="已结算"/>
    <s v="庄毅"/>
    <n v="1857.9"/>
    <n v="1580"/>
    <m/>
    <m/>
    <m/>
    <m/>
    <n v="275.4"/>
    <m/>
    <m/>
    <m/>
    <m/>
    <m/>
    <m/>
    <m/>
    <m/>
    <m/>
    <m/>
    <m/>
    <n v="2.5"/>
    <m/>
    <m/>
    <m/>
    <m/>
    <m/>
    <m/>
    <m/>
    <m/>
    <m/>
    <m/>
    <m/>
    <n v="285"/>
    <n v="0"/>
    <n v="68"/>
    <n v="0"/>
    <n v="0"/>
    <n v="0"/>
    <n v="0"/>
    <n v="0"/>
    <n v="1"/>
    <n v="2210.9"/>
    <n v="2789.6"/>
    <n v="0"/>
    <n v="16.7376"/>
    <n v="2772.8624"/>
    <n v="0"/>
    <n v="0"/>
    <n v="0"/>
    <n v="561.9623999999999"/>
    <s v="蒋倩"/>
    <s v="重庆 重庆市 九龙坡区 中梁山街道绿地凤天府(南门)17栋13-4"/>
    <s v="13140369209-8815"/>
    <m/>
    <m/>
  </r>
  <r>
    <x v="159"/>
    <s v="退货"/>
    <x v="348"/>
    <s v="张先生"/>
    <s v="退回江西"/>
    <m/>
    <s v="砂白色1.4米岩板餐桌"/>
    <s v="榉木餐桌"/>
    <s v="140cm*85cm"/>
    <s v="已结算"/>
    <s v="庄毅"/>
    <n v="0"/>
    <n v="0"/>
    <m/>
    <m/>
    <m/>
    <m/>
    <m/>
    <m/>
    <m/>
    <m/>
    <m/>
    <m/>
    <m/>
    <m/>
    <m/>
    <m/>
    <m/>
    <m/>
    <m/>
    <m/>
    <m/>
    <m/>
    <m/>
    <m/>
    <m/>
    <m/>
    <m/>
    <m/>
    <m/>
    <m/>
    <n v="0"/>
    <n v="0"/>
    <n v="88"/>
    <n v="0"/>
    <n v="0"/>
    <n v="0"/>
    <n v="0"/>
    <n v="0"/>
    <n v="2"/>
    <n v="88"/>
    <n v="0"/>
    <n v="0"/>
    <n v="0"/>
    <n v="0"/>
    <n v="0"/>
    <n v="0"/>
    <n v="0"/>
    <n v="-88"/>
    <s v="张先生"/>
    <s v="上海 上海市 长宁区 天山路街道玉屏大楼301室"/>
    <s v="18466686641-7990"/>
    <m/>
    <m/>
  </r>
  <r>
    <x v="159"/>
    <s v="已收货"/>
    <x v="349"/>
    <s v="江荣斌"/>
    <m/>
    <m/>
    <s v="窄柜-整柜洞石背板-1.0米-定制"/>
    <s v="樱桃木窄柜"/>
    <n v="1000"/>
    <s v="已结算"/>
    <s v="江西"/>
    <n v="4480.77"/>
    <n v="3600"/>
    <n v="359.08"/>
    <n v="120"/>
    <m/>
    <n v="38"/>
    <n v="106.8"/>
    <n v="59.23"/>
    <n v="52"/>
    <m/>
    <n v="5"/>
    <m/>
    <m/>
    <m/>
    <m/>
    <n v="2"/>
    <n v="1.1"/>
    <n v="3.5"/>
    <m/>
    <m/>
    <m/>
    <m/>
    <m/>
    <m/>
    <m/>
    <m/>
    <m/>
    <n v="170"/>
    <m/>
    <m/>
    <n v="246"/>
    <n v="67"/>
    <n v="98"/>
    <n v="0"/>
    <n v="0"/>
    <n v="0"/>
    <n v="0"/>
    <n v="0"/>
    <n v="1"/>
    <n v="4891.77"/>
    <n v="5151.5"/>
    <n v="0"/>
    <n v="30.909"/>
    <n v="5120.591"/>
    <n v="0"/>
    <n v="0"/>
    <n v="0"/>
    <n v="228.8210000000008"/>
    <s v="江荣斌"/>
    <s v="福建省 福州市 仓山区 盖山镇融创福州府C区C5#楼1单元402室"/>
    <s v="18480118891-1605"/>
    <m/>
    <m/>
  </r>
  <r>
    <x v="159"/>
    <s v="已收货"/>
    <x v="350"/>
    <s v="江荣斌"/>
    <m/>
    <m/>
    <s v="补差价"/>
    <m/>
    <m/>
    <s v="已结算"/>
    <s v="江西"/>
    <n v="0"/>
    <n v="0"/>
    <m/>
    <m/>
    <m/>
    <m/>
    <m/>
    <m/>
    <m/>
    <m/>
    <m/>
    <m/>
    <m/>
    <m/>
    <m/>
    <m/>
    <m/>
    <m/>
    <m/>
    <m/>
    <m/>
    <m/>
    <m/>
    <m/>
    <m/>
    <m/>
    <m/>
    <m/>
    <m/>
    <m/>
    <n v="0"/>
    <n v="0"/>
    <n v="0"/>
    <n v="0"/>
    <n v="0"/>
    <n v="0"/>
    <n v="0"/>
    <n v="0"/>
    <n v="1"/>
    <n v="0"/>
    <n v="152"/>
    <n v="0"/>
    <n v="0.912"/>
    <n v="151.088"/>
    <n v="0"/>
    <n v="0"/>
    <n v="0"/>
    <n v="151.088"/>
    <s v="江荣斌"/>
    <s v="福建省 福州市 仓山区 盖山镇融创福州府C区C5#楼1单元402室"/>
    <s v="18480118891-1605"/>
    <m/>
    <m/>
  </r>
  <r>
    <x v="159"/>
    <s v="已收货"/>
    <x v="351"/>
    <s v="郑"/>
    <m/>
    <m/>
    <s v="砂白色1.6米岩板餐桌+巧克力椅子*4"/>
    <s v="榉木餐桌"/>
    <s v="160cm*85cm"/>
    <s v="已结算"/>
    <s v="江西"/>
    <n v="3070.49"/>
    <n v="1350"/>
    <m/>
    <m/>
    <m/>
    <m/>
    <n v="240"/>
    <m/>
    <m/>
    <m/>
    <m/>
    <m/>
    <m/>
    <m/>
    <m/>
    <m/>
    <m/>
    <m/>
    <n v="2.5"/>
    <m/>
    <n v="1307.99"/>
    <m/>
    <m/>
    <m/>
    <m/>
    <m/>
    <m/>
    <n v="170"/>
    <m/>
    <m/>
    <n v="104"/>
    <n v="30"/>
    <n v="80"/>
    <n v="0"/>
    <n v="0"/>
    <n v="0"/>
    <n v="0"/>
    <n v="0"/>
    <n v="1"/>
    <n v="3284.49"/>
    <n v="5083.41"/>
    <n v="0"/>
    <n v="30.50046"/>
    <n v="5052.90954"/>
    <n v="0"/>
    <n v="0"/>
    <n v="0"/>
    <n v="1768.41954"/>
    <s v="郑"/>
    <s v="福建省 福州市 连江县 敖江镇 建发双玺书香府6幢705"/>
    <s v="18480125011-4845"/>
    <m/>
    <m/>
  </r>
  <r>
    <x v="159"/>
    <s v="已收货"/>
    <x v="352"/>
    <s v="朱叶峰"/>
    <m/>
    <m/>
    <s v="定制1.2榉木柜-补差价"/>
    <s v="榉木餐边柜"/>
    <n v="1200"/>
    <s v="已结算"/>
    <s v="江西"/>
    <n v="0"/>
    <n v="0"/>
    <m/>
    <m/>
    <m/>
    <m/>
    <m/>
    <m/>
    <m/>
    <m/>
    <m/>
    <m/>
    <m/>
    <m/>
    <m/>
    <m/>
    <m/>
    <m/>
    <m/>
    <m/>
    <m/>
    <m/>
    <m/>
    <m/>
    <m/>
    <m/>
    <m/>
    <m/>
    <m/>
    <m/>
    <m/>
    <n v="0"/>
    <n v="0"/>
    <n v="0"/>
    <n v="0"/>
    <n v="0"/>
    <n v="0"/>
    <n v="0"/>
    <n v="1"/>
    <n v="0"/>
    <n v="375"/>
    <n v="0"/>
    <n v="2.25"/>
    <n v="372.75"/>
    <n v="0"/>
    <n v="0"/>
    <n v="0"/>
    <n v="372.75"/>
    <s v="朱叶峰"/>
    <s v="广东省 广州市 海珠区 昌岗街道 昌岗东路271号之一 403 房"/>
    <s v="18466125923-1548"/>
    <m/>
    <m/>
  </r>
  <r>
    <x v="160"/>
    <s v="已收货"/>
    <x v="353"/>
    <s v="殷康"/>
    <m/>
    <m/>
    <s v="砂白色1.8米岩板餐桌"/>
    <s v="榉木餐桌"/>
    <s v="180cm*85cm"/>
    <s v="已结算"/>
    <s v="江西"/>
    <n v="1822.5"/>
    <n v="1400"/>
    <m/>
    <m/>
    <m/>
    <m/>
    <n v="240"/>
    <m/>
    <m/>
    <m/>
    <m/>
    <m/>
    <m/>
    <m/>
    <m/>
    <m/>
    <m/>
    <m/>
    <n v="2.5"/>
    <m/>
    <m/>
    <m/>
    <m/>
    <m/>
    <m/>
    <m/>
    <m/>
    <n v="180"/>
    <m/>
    <m/>
    <n v="138"/>
    <n v="35"/>
    <n v="65"/>
    <n v="0"/>
    <n v="0"/>
    <n v="0"/>
    <n v="0"/>
    <n v="0"/>
    <n v="1"/>
    <n v="2060.5"/>
    <n v="2789.6"/>
    <n v="0"/>
    <n v="16.7376"/>
    <n v="2772.8624"/>
    <n v="0"/>
    <n v="0"/>
    <n v="0"/>
    <n v="712.3624"/>
    <s v="殷康"/>
    <s v="山东省 青岛市 即墨区 通济街道佳园都市北区9号楼二单元902"/>
    <s v="13148960029-8101"/>
    <m/>
    <m/>
  </r>
  <r>
    <x v="160"/>
    <s v="已收货"/>
    <x v="354"/>
    <s v="段"/>
    <m/>
    <m/>
    <s v="1.2岩板桌"/>
    <s v="樱桃木餐桌"/>
    <s v="120cm*85cm"/>
    <s v="已结算"/>
    <s v="江西"/>
    <n v="1862.5"/>
    <n v="1300"/>
    <n v="2.5"/>
    <n v="390"/>
    <n v="170"/>
    <m/>
    <m/>
    <m/>
    <m/>
    <m/>
    <m/>
    <m/>
    <m/>
    <m/>
    <m/>
    <m/>
    <m/>
    <m/>
    <m/>
    <m/>
    <m/>
    <m/>
    <m/>
    <m/>
    <m/>
    <m/>
    <m/>
    <n v="170"/>
    <m/>
    <m/>
    <n v="87"/>
    <n v="25"/>
    <n v="88"/>
    <n v="0"/>
    <n v="0"/>
    <n v="0"/>
    <n v="0"/>
    <n v="0"/>
    <n v="1"/>
    <n v="2062.5"/>
    <n v="1907.9"/>
    <n v="0"/>
    <n v="11.4474"/>
    <n v="1896.4526"/>
    <n v="0"/>
    <n v="0"/>
    <n v="0"/>
    <n v="-166.0473999999999"/>
    <s v="段"/>
    <s v="陕西省 西安市 雁塔区 小寨路街道香山红叶 10号楼"/>
    <s v="15664708445-6586"/>
    <m/>
    <m/>
  </r>
  <r>
    <x v="161"/>
    <s v="已收货"/>
    <x v="355"/>
    <s v="向磊"/>
    <m/>
    <m/>
    <s v="砂白色1.8米岩板餐桌"/>
    <s v="榉木餐桌"/>
    <s v="180cm*85cm"/>
    <s v="已结算"/>
    <s v="庄毅"/>
    <n v="1857.9"/>
    <n v="1580"/>
    <m/>
    <m/>
    <m/>
    <m/>
    <n v="275.4"/>
    <m/>
    <m/>
    <m/>
    <m/>
    <m/>
    <m/>
    <m/>
    <m/>
    <m/>
    <m/>
    <m/>
    <n v="2.5"/>
    <m/>
    <m/>
    <m/>
    <m/>
    <m/>
    <m/>
    <m/>
    <m/>
    <m/>
    <m/>
    <m/>
    <n v="248"/>
    <n v="0"/>
    <n v="79"/>
    <n v="0"/>
    <n v="0"/>
    <n v="0"/>
    <n v="0"/>
    <n v="0"/>
    <n v="1"/>
    <n v="2184.9"/>
    <n v="2789.6"/>
    <n v="0"/>
    <n v="16.7376"/>
    <n v="2772.8624"/>
    <n v="0"/>
    <n v="0"/>
    <n v="0"/>
    <n v="587.9623999999999"/>
    <s v="向磊"/>
    <s v="湖南省 邵阳市 洞口县 文昌街道天坤·名门世家2栋2单元607"/>
    <s v="18472629543-3371"/>
    <m/>
    <m/>
  </r>
  <r>
    <x v="161"/>
    <s v="已收货"/>
    <x v="356"/>
    <s v="陳安明-(leo880516)"/>
    <m/>
    <m/>
    <s v="曜黑柜-整柜-2.1米"/>
    <s v="曜黑餐边柜"/>
    <n v="2100"/>
    <s v="已结算"/>
    <s v="江西"/>
    <n v="11283.41333333333"/>
    <n v="9200"/>
    <n v="350"/>
    <s v="2550/6/1.5"/>
    <n v="30"/>
    <n v="14"/>
    <n v="20"/>
    <n v="46"/>
    <n v="712.08"/>
    <s v="22*3"/>
    <n v="470"/>
    <n v="28"/>
    <n v="66"/>
    <n v="20"/>
    <m/>
    <m/>
    <m/>
    <m/>
    <m/>
    <m/>
    <m/>
    <m/>
    <m/>
    <m/>
    <m/>
    <m/>
    <m/>
    <n v="470"/>
    <m/>
    <m/>
    <n v="481"/>
    <n v="30"/>
    <n v="0"/>
    <n v="0"/>
    <n v="0"/>
    <n v="0"/>
    <n v="0"/>
    <n v="0"/>
    <n v="1"/>
    <n v="11794.41333333333"/>
    <n v="12954.82"/>
    <n v="0"/>
    <n v="77.72892"/>
    <n v="12877.09108"/>
    <n v="0"/>
    <n v="0"/>
    <n v="0"/>
    <n v="1082.677746666666"/>
    <s v="陳安明-(leo880516)"/>
    <s v="广东省 东莞市  洪梅镇洪金路888号全通-(189717)"/>
    <s v="13149391706-5291"/>
    <m/>
    <m/>
  </r>
  <r>
    <x v="161"/>
    <s v="已收货"/>
    <x v="357"/>
    <s v="陳安明-(leo880516)"/>
    <m/>
    <m/>
    <s v="黑胡桃木岩板桌1.2米"/>
    <s v="黑胡桃木餐桌"/>
    <s v="120cm*85cm"/>
    <s v="已结算"/>
    <s v="江西"/>
    <n v="0"/>
    <n v="0"/>
    <m/>
    <m/>
    <m/>
    <m/>
    <m/>
    <m/>
    <m/>
    <m/>
    <m/>
    <m/>
    <m/>
    <m/>
    <m/>
    <m/>
    <m/>
    <m/>
    <m/>
    <m/>
    <m/>
    <m/>
    <m/>
    <m/>
    <m/>
    <m/>
    <m/>
    <m/>
    <m/>
    <m/>
    <n v="0"/>
    <n v="0"/>
    <n v="0"/>
    <n v="0"/>
    <n v="0"/>
    <n v="0"/>
    <n v="0"/>
    <n v="0"/>
    <n v="1"/>
    <n v="0"/>
    <n v="3277.5"/>
    <n v="0"/>
    <n v="19.665"/>
    <n v="3257.835"/>
    <n v="0"/>
    <n v="0"/>
    <n v="0"/>
    <n v="3257.835"/>
    <s v="陳安明-(leo880516)"/>
    <s v="广东省 东莞市  洪梅镇洪金路888号全通-(189717)"/>
    <s v="13149391706-5291"/>
    <m/>
    <m/>
  </r>
  <r>
    <x v="161"/>
    <s v="已收货"/>
    <x v="358"/>
    <s v="筱寅"/>
    <m/>
    <m/>
    <s v="插座"/>
    <s v="配件"/>
    <m/>
    <s v="已结算"/>
    <s v="其他"/>
    <n v="55"/>
    <n v="55"/>
    <m/>
    <m/>
    <m/>
    <m/>
    <m/>
    <m/>
    <m/>
    <m/>
    <m/>
    <m/>
    <m/>
    <m/>
    <m/>
    <m/>
    <m/>
    <m/>
    <m/>
    <m/>
    <m/>
    <m/>
    <m/>
    <m/>
    <m/>
    <m/>
    <m/>
    <m/>
    <m/>
    <m/>
    <n v="8"/>
    <n v="0"/>
    <n v="0"/>
    <n v="0"/>
    <n v="0"/>
    <n v="0"/>
    <n v="0"/>
    <n v="0"/>
    <n v="1"/>
    <n v="63"/>
    <n v="100"/>
    <n v="0"/>
    <n v="0.6"/>
    <n v="99.40000000000001"/>
    <n v="0"/>
    <n v="0"/>
    <n v="0"/>
    <n v="36.40000000000001"/>
    <s v="筱寅"/>
    <s v="江苏省 无锡市 锡山区 东亭街道柏木南苑物业办公室"/>
    <s v="17804411871-6384"/>
    <m/>
    <m/>
  </r>
  <r>
    <x v="161"/>
    <s v="已收货"/>
    <x v="359"/>
    <s v="邓凯达"/>
    <m/>
    <m/>
    <s v="样块"/>
    <s v="样块"/>
    <m/>
    <s v="已结算"/>
    <s v="杭州"/>
    <n v="7"/>
    <n v="5"/>
    <m/>
    <m/>
    <m/>
    <m/>
    <m/>
    <m/>
    <m/>
    <m/>
    <m/>
    <m/>
    <m/>
    <m/>
    <m/>
    <m/>
    <m/>
    <m/>
    <m/>
    <m/>
    <m/>
    <m/>
    <m/>
    <m/>
    <m/>
    <m/>
    <m/>
    <n v="2"/>
    <m/>
    <m/>
    <n v="5"/>
    <n v="0"/>
    <n v="0"/>
    <n v="0"/>
    <n v="0"/>
    <n v="0"/>
    <n v="0"/>
    <n v="0"/>
    <n v="1"/>
    <n v="12"/>
    <n v="21.2"/>
    <n v="0"/>
    <n v="0.1272"/>
    <n v="21.0728"/>
    <n v="0"/>
    <n v="0"/>
    <n v="0"/>
    <n v="9.072800000000001"/>
    <s v="邓凯达"/>
    <s v="江苏省 无锡市 梁溪区 扬名街道金科世界城C区12号2604室"/>
    <s v="18468303122-4577"/>
    <m/>
    <m/>
  </r>
  <r>
    <x v="162"/>
    <s v="已收货"/>
    <x v="360"/>
    <s v="郑嘉桐"/>
    <m/>
    <m/>
    <s v="隔板"/>
    <s v="配件"/>
    <m/>
    <s v="已结算"/>
    <s v="江西"/>
    <n v="10"/>
    <n v="10"/>
    <m/>
    <m/>
    <m/>
    <m/>
    <m/>
    <m/>
    <m/>
    <m/>
    <m/>
    <m/>
    <m/>
    <m/>
    <m/>
    <m/>
    <m/>
    <m/>
    <m/>
    <m/>
    <m/>
    <m/>
    <m/>
    <m/>
    <m/>
    <m/>
    <m/>
    <n v="0"/>
    <m/>
    <m/>
    <n v="15"/>
    <n v="0"/>
    <n v="0"/>
    <n v="0"/>
    <n v="0"/>
    <n v="0"/>
    <n v="0"/>
    <n v="0"/>
    <n v="1"/>
    <n v="25"/>
    <n v="89"/>
    <n v="0"/>
    <n v="0.534"/>
    <n v="88.46599999999999"/>
    <n v="0"/>
    <n v="0"/>
    <n v="0"/>
    <n v="63.46599999999999"/>
    <s v="郑嘉桐"/>
    <s v="广东省 潮州市 潮安区 枫溪镇枫溪区新风路"/>
    <s v="17896683087-1577"/>
    <m/>
    <m/>
  </r>
  <r>
    <x v="162"/>
    <s v="已收货"/>
    <x v="361"/>
    <s v="林雯30F"/>
    <m/>
    <m/>
    <s v="砂白色1.6米岩板餐桌"/>
    <s v="榉木餐桌"/>
    <s v="160cm*85cm"/>
    <s v="已结算"/>
    <s v="江西"/>
    <n v="1782.5"/>
    <n v="1350"/>
    <m/>
    <m/>
    <m/>
    <m/>
    <n v="240"/>
    <m/>
    <m/>
    <m/>
    <m/>
    <m/>
    <m/>
    <m/>
    <m/>
    <m/>
    <m/>
    <m/>
    <n v="2.5"/>
    <m/>
    <m/>
    <m/>
    <m/>
    <m/>
    <m/>
    <m/>
    <m/>
    <n v="190"/>
    <m/>
    <m/>
    <n v="90"/>
    <n v="0"/>
    <n v="0"/>
    <n v="0"/>
    <n v="0"/>
    <n v="0"/>
    <n v="0"/>
    <n v="0"/>
    <n v="1"/>
    <n v="1872.5"/>
    <n v="2693.41"/>
    <n v="0"/>
    <n v="16.16046"/>
    <n v="2677.24954"/>
    <n v="0"/>
    <n v="0"/>
    <n v="0"/>
    <n v="804.7495399999998"/>
    <s v="林雯30F"/>
    <s v="上海 上海市 松江区 佘山镇强业路278号海龙仓库HLEH250731E"/>
    <s v="13122177244-6701"/>
    <m/>
    <m/>
  </r>
  <r>
    <x v="162"/>
    <s v="已收货"/>
    <x v="362"/>
    <s v="刘晓彤"/>
    <m/>
    <m/>
    <s v="2.1米洞洞板款"/>
    <s v="基础餐边柜"/>
    <m/>
    <s v="已结算"/>
    <s v="江西"/>
    <n v="7673"/>
    <n v="5400"/>
    <n v="320"/>
    <n v="655"/>
    <n v="350"/>
    <m/>
    <n v="22"/>
    <n v="10"/>
    <n v="30.5"/>
    <m/>
    <m/>
    <n v="2.5"/>
    <n v="25"/>
    <n v="10"/>
    <m/>
    <m/>
    <m/>
    <n v="450"/>
    <s v="22*4"/>
    <n v="230"/>
    <n v="28"/>
    <m/>
    <m/>
    <m/>
    <n v="52"/>
    <m/>
    <m/>
    <n v="450"/>
    <m/>
    <m/>
    <n v="696"/>
    <n v="130"/>
    <n v="199"/>
    <n v="0"/>
    <n v="0"/>
    <n v="0"/>
    <n v="0"/>
    <n v="0"/>
    <n v="1"/>
    <n v="8698"/>
    <n v="8244.719999999999"/>
    <n v="0"/>
    <n v="49.46832"/>
    <n v="8195.251679999999"/>
    <n v="0"/>
    <n v="0"/>
    <n v="0"/>
    <n v="-502.7483200000006"/>
    <s v="刘晓彤"/>
    <s v="北京 北京市 丰台区 成寿寺街道东叁金茂府1期6号楼1602"/>
    <s v="18400753211-5073"/>
    <m/>
    <m/>
  </r>
  <r>
    <x v="163"/>
    <s v="已收货"/>
    <x v="363"/>
    <s v="严淘宝"/>
    <m/>
    <m/>
    <s v="窄柜-整柜洞石背板-0.8米"/>
    <s v="樱桃木窄柜"/>
    <n v="800"/>
    <s v="已结算"/>
    <s v="江西"/>
    <n v="4177.74"/>
    <n v="3300"/>
    <n v="307.08"/>
    <n v="115"/>
    <m/>
    <n v="30"/>
    <m/>
    <m/>
    <n v="21947"/>
    <m/>
    <n v="4"/>
    <m/>
    <n v="307.08"/>
    <n v="52"/>
    <m/>
    <m/>
    <m/>
    <n v="40"/>
    <n v="160"/>
    <n v="3"/>
    <n v="10"/>
    <m/>
    <m/>
    <m/>
    <m/>
    <m/>
    <m/>
    <n v="150"/>
    <m/>
    <m/>
    <n v="165"/>
    <n v="0"/>
    <n v="90"/>
    <n v="0"/>
    <n v="0"/>
    <n v="0"/>
    <n v="0"/>
    <n v="0"/>
    <n v="1"/>
    <n v="4432.74"/>
    <n v="4824.5"/>
    <n v="0"/>
    <n v="28.947"/>
    <n v="4795.553"/>
    <n v="0"/>
    <n v="0"/>
    <n v="0"/>
    <n v="362.8130000000001"/>
    <s v="严淘宝"/>
    <s v="江苏省 南通市 海安市 海安街道海安悦珑庭"/>
    <s v="17834703024-5680"/>
    <m/>
    <m/>
  </r>
  <r>
    <x v="163"/>
    <s v="已收货"/>
    <x v="364"/>
    <s v="杨坤鹏转余栋"/>
    <m/>
    <m/>
    <s v="1.8黑色背板洞石柜"/>
    <s v="洞石餐边柜"/>
    <n v="1800"/>
    <s v="已结算"/>
    <s v="江西"/>
    <n v="8252.413333333334"/>
    <n v="6080"/>
    <n v="80"/>
    <s v="2550/6/1.5"/>
    <n v="579.08"/>
    <m/>
    <n v="390"/>
    <n v="10"/>
    <n v="14"/>
    <m/>
    <m/>
    <s v="22*7"/>
    <n v="580"/>
    <n v="82"/>
    <m/>
    <m/>
    <m/>
    <m/>
    <m/>
    <m/>
    <m/>
    <m/>
    <m/>
    <m/>
    <m/>
    <m/>
    <m/>
    <n v="390"/>
    <m/>
    <m/>
    <n v="350"/>
    <n v="30"/>
    <n v="80"/>
    <n v="0"/>
    <n v="0"/>
    <n v="0"/>
    <n v="0"/>
    <n v="0"/>
    <n v="1"/>
    <n v="8712.413333333334"/>
    <n v="10497.36"/>
    <n v="0"/>
    <n v="62.98416"/>
    <n v="10434.37584"/>
    <n v="0"/>
    <n v="0"/>
    <n v="0"/>
    <n v="1721.962506666667"/>
    <s v="杨坤鹏转余栋"/>
    <s v="广东省 广州市 白云区 江高镇夏花三路498号部队路A14仓 （YD502-SIN）"/>
    <s v="14749678969-1705"/>
    <m/>
    <m/>
  </r>
  <r>
    <x v="163"/>
    <s v="未发货"/>
    <x v="365"/>
    <s v="舟舟"/>
    <m/>
    <m/>
    <s v="窄柜-整柜洞石背板-1.0米"/>
    <s v="樱桃木窄柜"/>
    <n v="1000"/>
    <m/>
    <s v="江西"/>
    <n v="4245.74"/>
    <n v="3300"/>
    <n v="359.08"/>
    <n v="120"/>
    <m/>
    <n v="38"/>
    <n v="190"/>
    <n v="54"/>
    <n v="52"/>
    <m/>
    <n v="5"/>
    <m/>
    <m/>
    <m/>
    <m/>
    <n v="2"/>
    <n v="1.1"/>
    <n v="3.5"/>
    <m/>
    <m/>
    <m/>
    <m/>
    <m/>
    <m/>
    <m/>
    <m/>
    <m/>
    <n v="170"/>
    <m/>
    <m/>
    <n v="350"/>
    <n v="30"/>
    <n v="80"/>
    <n v="0"/>
    <n v="0"/>
    <n v="0"/>
    <n v="0"/>
    <n v="0"/>
    <n v="1"/>
    <n v="4705.74"/>
    <n v="5156.5"/>
    <n v="0"/>
    <n v="30.939"/>
    <n v="5125.561"/>
    <n v="0"/>
    <n v="0"/>
    <n v="0"/>
    <n v="419.8209999999999"/>
    <s v="舟舟"/>
    <s v="上海 上海市 长宁区 新华路街道法华镇路751弄西镇小区18号楼601室(000000)"/>
    <s v="18466658942-6583"/>
    <m/>
    <m/>
  </r>
  <r>
    <x v="163"/>
    <s v="已收货"/>
    <x v="366"/>
    <s v="杨坤鹏转余栋"/>
    <m/>
    <m/>
    <s v="补差价"/>
    <m/>
    <m/>
    <m/>
    <s v="江西"/>
    <n v="0"/>
    <n v="0"/>
    <m/>
    <m/>
    <m/>
    <m/>
    <m/>
    <m/>
    <m/>
    <m/>
    <m/>
    <m/>
    <m/>
    <m/>
    <m/>
    <m/>
    <m/>
    <m/>
    <m/>
    <m/>
    <m/>
    <m/>
    <m/>
    <m/>
    <m/>
    <m/>
    <m/>
    <m/>
    <m/>
    <m/>
    <n v="0"/>
    <n v="0"/>
    <n v="0"/>
    <n v="0"/>
    <n v="0"/>
    <n v="0"/>
    <n v="0"/>
    <n v="0"/>
    <n v="1"/>
    <n v="0"/>
    <n v="175"/>
    <n v="0"/>
    <n v="1.05"/>
    <n v="173.95"/>
    <n v="0"/>
    <n v="0"/>
    <n v="0"/>
    <n v="173.95"/>
    <s v="杨坤鹏转余栋"/>
    <s v="广东省 广州市 白云区 江高镇夏花三路498号部队路A14仓 （YD502-SIN）"/>
    <s v="14749678969-1705"/>
    <m/>
    <m/>
  </r>
  <r>
    <x v="163"/>
    <s v="已收货"/>
    <x v="367"/>
    <s v="曾瓊萩"/>
    <m/>
    <m/>
    <s v="2.1基础柜洞洞板"/>
    <s v="基础餐边柜"/>
    <m/>
    <s v="已结算"/>
    <s v="江西"/>
    <n v="8643.5"/>
    <n v="5400"/>
    <n v="320"/>
    <n v="655"/>
    <n v="350"/>
    <m/>
    <n v="22"/>
    <n v="10"/>
    <n v="30.5"/>
    <m/>
    <m/>
    <n v="2.5"/>
    <n v="20.5"/>
    <n v="25"/>
    <m/>
    <m/>
    <m/>
    <n v="230"/>
    <n v="230"/>
    <n v="10"/>
    <s v="22*4"/>
    <m/>
    <n v="28"/>
    <n v="52"/>
    <n v="470"/>
    <n v="700"/>
    <m/>
    <n v="700"/>
    <m/>
    <m/>
    <n v="927"/>
    <n v="245"/>
    <n v="0"/>
    <n v="0"/>
    <n v="0"/>
    <n v="0"/>
    <n v="0"/>
    <n v="0"/>
    <n v="1"/>
    <n v="9815.5"/>
    <n v="8244.719999999999"/>
    <n v="0"/>
    <n v="49.46832"/>
    <n v="8195.251679999999"/>
    <n v="0"/>
    <n v="0"/>
    <n v="0"/>
    <n v="-1620.248320000001"/>
    <s v="曾瓊萩"/>
    <s v="福建省 厦门市 同安区  #AYXWLY9Q#中国/福建省/厦门市/同安区集安路555号逊达洪通物流园B库台湾海运集运@F8M5IJD3"/>
    <n v="15880251056"/>
    <m/>
    <m/>
  </r>
  <r>
    <x v="163"/>
    <s v="已收货"/>
    <x v="368"/>
    <s v="邱雨荷"/>
    <m/>
    <m/>
    <s v="砂白色1.4米岩板餐桌"/>
    <s v="榉木餐桌"/>
    <s v="140cm*85cm"/>
    <s v="已结算"/>
    <s v="庄毅"/>
    <n v="1696.7"/>
    <n v="1480"/>
    <m/>
    <m/>
    <m/>
    <m/>
    <n v="214.2"/>
    <m/>
    <m/>
    <m/>
    <m/>
    <m/>
    <m/>
    <m/>
    <m/>
    <m/>
    <m/>
    <m/>
    <n v="2.5"/>
    <m/>
    <m/>
    <m/>
    <m/>
    <m/>
    <m/>
    <m/>
    <m/>
    <m/>
    <m/>
    <m/>
    <n v="229"/>
    <n v="0"/>
    <n v="80"/>
    <n v="0"/>
    <n v="0"/>
    <n v="0"/>
    <n v="0"/>
    <n v="0"/>
    <n v="1"/>
    <n v="2005.7"/>
    <n v="2588.89"/>
    <n v="0"/>
    <n v="15.53334"/>
    <n v="2573.35666"/>
    <n v="0"/>
    <n v="0"/>
    <n v="0"/>
    <n v="567.6566599999999"/>
    <s v="邱雨荷"/>
    <s v="陕西省 西安市 雁塔区 电子城街道信达雁熙云著铂翠2号楼一单元2202"/>
    <s v="15529015942-6794"/>
    <m/>
    <m/>
  </r>
  <r>
    <x v="163"/>
    <s v="已收货"/>
    <x v="369"/>
    <s v="程玲霞"/>
    <m/>
    <m/>
    <s v="曜黑柜-整柜-2.1米"/>
    <s v="曜黑餐边柜"/>
    <n v="2100"/>
    <s v="已结算"/>
    <s v="江西"/>
    <n v="11195.41333333333"/>
    <n v="9200"/>
    <n v="350"/>
    <n v="283.3333333333333"/>
    <n v="30"/>
    <m/>
    <n v="14"/>
    <n v="20"/>
    <n v="36"/>
    <m/>
    <m/>
    <n v="712.08"/>
    <n v="66"/>
    <n v="410"/>
    <m/>
    <m/>
    <m/>
    <m/>
    <n v="20"/>
    <n v="44"/>
    <m/>
    <m/>
    <m/>
    <m/>
    <m/>
    <m/>
    <m/>
    <n v="410"/>
    <m/>
    <m/>
    <n v="498"/>
    <n v="0"/>
    <n v="278"/>
    <n v="0"/>
    <n v="0"/>
    <n v="0"/>
    <n v="0"/>
    <n v="0"/>
    <n v="1"/>
    <n v="11971.41333333333"/>
    <n v="15411.84"/>
    <n v="0"/>
    <n v="92.47104"/>
    <n v="15319.36896"/>
    <n v="0"/>
    <n v="0"/>
    <n v="0"/>
    <n v="3347.955626666666"/>
    <s v="程玲霞"/>
    <s v="河南省 新乡市 长垣市 蒲东街道汇淼紫云府5-1-101"/>
    <s v="14738732449-3548"/>
    <m/>
    <m/>
  </r>
  <r>
    <x v="163"/>
    <s v="已收货"/>
    <x v="370"/>
    <s v="徐女士"/>
    <m/>
    <m/>
    <s v="长虹玻璃"/>
    <s v="长虹玻璃"/>
    <m/>
    <m/>
    <s v="江西"/>
    <n v="40"/>
    <n v="40"/>
    <m/>
    <m/>
    <m/>
    <m/>
    <m/>
    <m/>
    <m/>
    <m/>
    <m/>
    <m/>
    <m/>
    <m/>
    <m/>
    <m/>
    <m/>
    <m/>
    <m/>
    <m/>
    <m/>
    <m/>
    <m/>
    <m/>
    <m/>
    <m/>
    <m/>
    <n v="20"/>
    <m/>
    <m/>
    <n v="65"/>
    <n v="0"/>
    <n v="0"/>
    <n v="0"/>
    <n v="0"/>
    <n v="0"/>
    <n v="0"/>
    <n v="0"/>
    <n v="1"/>
    <n v="105"/>
    <n v="120"/>
    <n v="0"/>
    <n v="0.72"/>
    <n v="119.28"/>
    <n v="0"/>
    <n v="0"/>
    <n v="0"/>
    <n v="14.28"/>
    <s v="徐女士"/>
    <s v="北京 北京市 东城区 安定门街道花园胡同1号楼2门301"/>
    <s v="18400837006-9574"/>
    <m/>
    <m/>
  </r>
  <r>
    <x v="163"/>
    <s v="已收货"/>
    <x v="371"/>
    <s v="陈先生"/>
    <m/>
    <m/>
    <s v="砂白色2.0米岩板餐桌，定制"/>
    <s v="榉木餐桌"/>
    <s v="200cm*90cm"/>
    <s v="已结算"/>
    <s v="江西"/>
    <n v="2172.5"/>
    <n v="1500"/>
    <m/>
    <m/>
    <m/>
    <m/>
    <n v="540"/>
    <m/>
    <m/>
    <m/>
    <m/>
    <m/>
    <m/>
    <m/>
    <m/>
    <m/>
    <m/>
    <m/>
    <n v="2.5"/>
    <m/>
    <m/>
    <m/>
    <m/>
    <m/>
    <m/>
    <m/>
    <m/>
    <n v="130"/>
    <m/>
    <m/>
    <n v="223"/>
    <n v="36"/>
    <n v="70"/>
    <n v="0"/>
    <n v="0"/>
    <n v="0"/>
    <n v="0"/>
    <n v="0"/>
    <n v="1"/>
    <n v="2501.5"/>
    <n v="2925.31"/>
    <n v="0"/>
    <n v="17.55186"/>
    <n v="2907.75814"/>
    <n v="0"/>
    <n v="0"/>
    <n v="0"/>
    <n v="406.2581399999999"/>
    <s v="陈先生"/>
    <s v="河北省 张家口市 桥西区 沈家屯镇岭秀城3号院8号楼2单元501"/>
    <s v="18433935654-7461"/>
    <m/>
    <m/>
  </r>
  <r>
    <x v="163"/>
    <s v="已收货"/>
    <x v="372"/>
    <s v="陈先生"/>
    <m/>
    <m/>
    <s v="补差价"/>
    <m/>
    <m/>
    <m/>
    <s v="江西"/>
    <n v="0"/>
    <n v="0"/>
    <m/>
    <m/>
    <m/>
    <m/>
    <m/>
    <m/>
    <m/>
    <m/>
    <m/>
    <m/>
    <m/>
    <m/>
    <m/>
    <m/>
    <m/>
    <m/>
    <m/>
    <m/>
    <m/>
    <m/>
    <m/>
    <m/>
    <m/>
    <m/>
    <m/>
    <m/>
    <m/>
    <m/>
    <n v="0"/>
    <n v="0"/>
    <n v="0"/>
    <n v="0"/>
    <n v="0"/>
    <n v="0"/>
    <n v="0"/>
    <n v="0"/>
    <n v="1"/>
    <n v="0"/>
    <n v="70"/>
    <n v="0"/>
    <n v="0.42"/>
    <n v="69.58"/>
    <n v="0"/>
    <n v="0"/>
    <n v="0"/>
    <n v="69.58"/>
    <s v="陈先生"/>
    <s v="河北省 张家口市 桥西区 沈家屯镇岭秀城3号院8号楼2单元501"/>
    <s v="18433935506-7995"/>
    <m/>
    <m/>
  </r>
  <r>
    <x v="163"/>
    <s v="已收货"/>
    <x v="373"/>
    <s v="高艺玲"/>
    <m/>
    <m/>
    <s v="1.6米餐边柜+1.2米双腿桌"/>
    <s v="旋转餐边柜"/>
    <n v="1600"/>
    <s v="已结算"/>
    <s v="江西"/>
    <n v="8886"/>
    <n v="8120"/>
    <m/>
    <m/>
    <m/>
    <m/>
    <m/>
    <m/>
    <n v="21"/>
    <m/>
    <m/>
    <n v="40"/>
    <n v="21"/>
    <n v="48"/>
    <m/>
    <m/>
    <m/>
    <m/>
    <m/>
    <n v="10"/>
    <m/>
    <m/>
    <m/>
    <m/>
    <n v="146"/>
    <m/>
    <m/>
    <n v="480"/>
    <m/>
    <m/>
    <n v="400"/>
    <n v="50"/>
    <n v="150"/>
    <n v="0"/>
    <n v="0"/>
    <n v="0"/>
    <n v="0"/>
    <n v="0"/>
    <n v="1"/>
    <n v="9486"/>
    <n v="11141.18"/>
    <n v="0"/>
    <n v="66.84708000000001"/>
    <n v="11074.33292"/>
    <n v="0"/>
    <n v="0"/>
    <n v="0"/>
    <n v="1588.332920000001"/>
    <s v="高艺玲"/>
    <s v="云南省 昆明市 西山区 永昌街道金地九樾1-105"/>
    <s v="13124814575-9217"/>
    <m/>
    <m/>
  </r>
  <r>
    <x v="163"/>
    <s v="已收货"/>
    <x v="374"/>
    <s v="飞楠楠"/>
    <m/>
    <m/>
    <s v="砂白色2.0米岩板餐桌"/>
    <s v="榉木餐桌"/>
    <s v="200cm*85cm"/>
    <s v="已结算"/>
    <s v="庄毅"/>
    <n v="1938.5"/>
    <n v="1630"/>
    <m/>
    <m/>
    <m/>
    <m/>
    <n v="306"/>
    <m/>
    <m/>
    <m/>
    <m/>
    <m/>
    <m/>
    <m/>
    <m/>
    <m/>
    <m/>
    <m/>
    <n v="2.5"/>
    <m/>
    <m/>
    <m/>
    <m/>
    <m/>
    <m/>
    <m/>
    <m/>
    <m/>
    <m/>
    <m/>
    <n v="298"/>
    <n v="0"/>
    <n v="68"/>
    <n v="0"/>
    <n v="0"/>
    <n v="0"/>
    <n v="0"/>
    <n v="0"/>
    <n v="1"/>
    <n v="2304.5"/>
    <n v="2925.31"/>
    <n v="0"/>
    <n v="17.55186"/>
    <n v="2907.75814"/>
    <n v="0"/>
    <n v="0"/>
    <n v="0"/>
    <n v="603.2581399999999"/>
    <s v="飞楠楠"/>
    <s v="云南省 昆明市 盘龙区 青云街道中海·汇德里3栋1501"/>
    <s v="18400314437-6968"/>
    <m/>
    <m/>
  </r>
  <r>
    <x v="163"/>
    <s v="已收货"/>
    <x v="375"/>
    <s v="高艺玲"/>
    <m/>
    <m/>
    <s v="补差价"/>
    <s v="旋转餐边柜"/>
    <m/>
    <s v="已结算"/>
    <s v="江西"/>
    <n v="0"/>
    <n v="0"/>
    <m/>
    <m/>
    <m/>
    <m/>
    <m/>
    <m/>
    <m/>
    <m/>
    <m/>
    <m/>
    <m/>
    <m/>
    <m/>
    <m/>
    <m/>
    <m/>
    <m/>
    <m/>
    <m/>
    <m/>
    <m/>
    <m/>
    <m/>
    <m/>
    <m/>
    <m/>
    <m/>
    <m/>
    <n v="0"/>
    <n v="0"/>
    <n v="0"/>
    <n v="0"/>
    <n v="0"/>
    <n v="0"/>
    <n v="0"/>
    <n v="0"/>
    <n v="1"/>
    <n v="0"/>
    <n v="1950"/>
    <n v="0"/>
    <n v="11.7"/>
    <n v="1938.3"/>
    <n v="0"/>
    <n v="0"/>
    <n v="0"/>
    <n v="1938.3"/>
    <s v="高艺玲"/>
    <s v="云南省 昆明市 西山区 永昌街道金地九樾1-105"/>
    <s v="13124814575-9217"/>
    <m/>
    <m/>
  </r>
  <r>
    <x v="163"/>
    <s v="已收货"/>
    <x v="376"/>
    <s v="牛牛"/>
    <m/>
    <m/>
    <s v="窄柜-整柜洞石背板-1.0米"/>
    <s v="樱桃木窄柜"/>
    <n v="1000"/>
    <s v="已结算"/>
    <s v="庄毅"/>
    <n v="3994.71"/>
    <n v="3300"/>
    <n v="359.08"/>
    <n v="120"/>
    <m/>
    <n v="38"/>
    <n v="106.8"/>
    <n v="59.23"/>
    <m/>
    <m/>
    <n v="5"/>
    <m/>
    <m/>
    <m/>
    <m/>
    <n v="2"/>
    <n v="1.1"/>
    <n v="3.5"/>
    <m/>
    <m/>
    <m/>
    <m/>
    <m/>
    <m/>
    <m/>
    <m/>
    <m/>
    <m/>
    <m/>
    <m/>
    <n v="248"/>
    <n v="0"/>
    <n v="128"/>
    <n v="0"/>
    <n v="0"/>
    <n v="0"/>
    <n v="0"/>
    <n v="0"/>
    <n v="1"/>
    <n v="4370.71"/>
    <n v="5156.5"/>
    <n v="0"/>
    <n v="30.939"/>
    <n v="5125.561"/>
    <n v="0"/>
    <n v="0"/>
    <n v="0"/>
    <n v="754.8509999999997"/>
    <s v="牛牛"/>
    <s v="广东省 广州市 白云区 永平街道白云堡大道1号白云堡豪苑2排3号"/>
    <s v="17896421721-5810"/>
    <m/>
    <m/>
  </r>
  <r>
    <x v="163"/>
    <s v="已收货"/>
    <x v="377"/>
    <s v="李焯翾"/>
    <m/>
    <m/>
    <s v="1.8基础柜aa柱子"/>
    <s v="基础餐边柜"/>
    <n v="1800"/>
    <s v="已结算"/>
    <s v="江西"/>
    <n v="6542.08"/>
    <n v="5100"/>
    <n v="240"/>
    <n v="28"/>
    <n v="14"/>
    <m/>
    <s v="22*4"/>
    <n v="579.08"/>
    <n v="10"/>
    <m/>
    <m/>
    <n v="450"/>
    <s v="(72"/>
    <s v="126)/6"/>
    <m/>
    <m/>
    <m/>
    <m/>
    <m/>
    <m/>
    <m/>
    <m/>
    <m/>
    <m/>
    <m/>
    <m/>
    <m/>
    <n v="450"/>
    <m/>
    <n v="240"/>
    <n v="402"/>
    <n v="103"/>
    <n v="90"/>
    <n v="0"/>
    <n v="0"/>
    <n v="0"/>
    <n v="0"/>
    <n v="0"/>
    <n v="1"/>
    <n v="7137.08"/>
    <n v="7312.98"/>
    <n v="0"/>
    <n v="43.87788"/>
    <n v="7269.10212"/>
    <n v="0"/>
    <n v="0"/>
    <n v="0"/>
    <n v="132.0221199999996"/>
    <s v="李焯翾"/>
    <s v="河南省 郑州市 管城回族区 商都路街道国龙绿城怡园2期3号楼3单元1002"/>
    <s v="15786743099-8722"/>
    <m/>
    <m/>
  </r>
  <r>
    <x v="163"/>
    <s v="已收货"/>
    <x v="378"/>
    <s v="陈艳红"/>
    <m/>
    <m/>
    <s v="0.6米岛台+1.6米餐桌"/>
    <s v="岛台"/>
    <n v="600"/>
    <s v="已结算"/>
    <s v="江西"/>
    <n v="4257.8"/>
    <n v="3880"/>
    <n v="212"/>
    <n v="12"/>
    <m/>
    <m/>
    <n v="91.8"/>
    <n v="40"/>
    <m/>
    <m/>
    <m/>
    <m/>
    <n v="22"/>
    <m/>
    <m/>
    <m/>
    <m/>
    <m/>
    <m/>
    <m/>
    <m/>
    <m/>
    <m/>
    <m/>
    <m/>
    <m/>
    <m/>
    <m/>
    <m/>
    <m/>
    <n v="0"/>
    <n v="0"/>
    <n v="168"/>
    <n v="0"/>
    <n v="0"/>
    <n v="0"/>
    <n v="0"/>
    <n v="0"/>
    <n v="1"/>
    <n v="4425.8"/>
    <n v="6347.3"/>
    <n v="0"/>
    <n v="38.0838"/>
    <n v="6309.2162"/>
    <n v="0"/>
    <n v="0"/>
    <n v="0"/>
    <n v="1883.4162"/>
    <s v="陈艳红"/>
    <s v="广东省 惠州市 惠阳区 新圩镇牧云溪谷八期毓山郡云庭5栋1203房"/>
    <s v="17806519257-9154"/>
    <m/>
    <m/>
  </r>
  <r>
    <x v="163"/>
    <s v="已收货"/>
    <x v="379"/>
    <s v="啊奖"/>
    <m/>
    <m/>
    <s v="砂白色1.8米岩板餐桌"/>
    <s v="榉木餐桌"/>
    <s v="180cm*85cm"/>
    <s v="已结算"/>
    <s v="庄毅"/>
    <n v="1857.9"/>
    <n v="1580"/>
    <m/>
    <m/>
    <m/>
    <m/>
    <n v="275.4"/>
    <m/>
    <m/>
    <m/>
    <m/>
    <m/>
    <m/>
    <m/>
    <m/>
    <m/>
    <m/>
    <m/>
    <n v="2.5"/>
    <m/>
    <m/>
    <m/>
    <m/>
    <m/>
    <m/>
    <m/>
    <m/>
    <m/>
    <m/>
    <m/>
    <n v="110"/>
    <n v="0"/>
    <n v="65"/>
    <n v="0"/>
    <n v="0"/>
    <n v="0"/>
    <n v="0"/>
    <n v="0"/>
    <n v="1"/>
    <n v="2032.9"/>
    <n v="2743.24"/>
    <n v="0"/>
    <n v="16.45944"/>
    <n v="2726.78056"/>
    <n v="0"/>
    <n v="0"/>
    <n v="0"/>
    <n v="693.8805599999996"/>
    <s v="啊奖"/>
    <s v="福建省 泉州市 晋江市 罗山街道许坑社区高厝头振兴路正书香名邸29幢709"/>
    <s v="13159000994-6418"/>
    <m/>
    <m/>
  </r>
  <r>
    <x v="163"/>
    <s v="已收货"/>
    <x v="380"/>
    <s v="刘薇"/>
    <m/>
    <m/>
    <s v="窄柜-整柜洞石背板-0.8米"/>
    <s v="樱桃木窄柜"/>
    <n v="800"/>
    <s v="已结算"/>
    <s v="庄毅"/>
    <n v="3842.08"/>
    <n v="3100"/>
    <n v="307.08"/>
    <n v="115"/>
    <m/>
    <n v="30"/>
    <n v="91.44"/>
    <n v="54.9"/>
    <m/>
    <m/>
    <n v="4"/>
    <m/>
    <m/>
    <m/>
    <m/>
    <m/>
    <m/>
    <n v="3.5"/>
    <m/>
    <n v="3"/>
    <m/>
    <m/>
    <m/>
    <m/>
    <n v="1.2"/>
    <m/>
    <m/>
    <m/>
    <m/>
    <m/>
    <n v="308"/>
    <n v="0"/>
    <n v="75"/>
    <n v="0"/>
    <n v="0"/>
    <n v="0"/>
    <n v="0"/>
    <n v="0"/>
    <n v="1"/>
    <n v="4225.08"/>
    <n v="4819.5"/>
    <n v="0"/>
    <n v="28.917"/>
    <n v="4790.583"/>
    <n v="0"/>
    <n v="0"/>
    <n v="0"/>
    <n v="565.5029999999997"/>
    <s v="刘薇"/>
    <s v="北京 北京市 海淀区 清河街道小营西路48号美和园东区3号楼2单元103"/>
    <s v="13141171455-1939"/>
    <m/>
    <m/>
  </r>
  <r>
    <x v="163"/>
    <s v="已收货"/>
    <x v="381"/>
    <s v="林成毅"/>
    <m/>
    <m/>
    <s v="1.8基础柜AA柱"/>
    <s v="基础餐边柜"/>
    <m/>
    <s v="已结算"/>
    <s v="江西"/>
    <n v="6639.08"/>
    <n v="5100"/>
    <n v="240"/>
    <n v="28"/>
    <n v="14"/>
    <m/>
    <s v="22*4"/>
    <n v="579.08"/>
    <n v="22"/>
    <m/>
    <m/>
    <n v="535"/>
    <s v="(72"/>
    <s v="126)/6"/>
    <m/>
    <m/>
    <m/>
    <m/>
    <m/>
    <m/>
    <m/>
    <m/>
    <m/>
    <m/>
    <m/>
    <m/>
    <m/>
    <n v="535"/>
    <m/>
    <m/>
    <n v="453"/>
    <n v="40"/>
    <n v="150"/>
    <n v="0"/>
    <n v="0"/>
    <n v="0"/>
    <n v="0"/>
    <n v="0"/>
    <n v="1"/>
    <n v="7282.08"/>
    <n v="7749.37"/>
    <n v="0"/>
    <n v="46.49622"/>
    <n v="7702.87378"/>
    <n v="0"/>
    <n v="0"/>
    <n v="0"/>
    <n v="420.79378"/>
    <s v="林成毅"/>
    <s v="福建省 漳州市 龙海区 九湖镇#Q8XZDZCQ#中国/福建省/漳州市/龙海区/九湖镇九湖镇传化物流园L2 栋 7121号AE仓@8AQL2HB"/>
    <n v="13859953775"/>
    <m/>
    <m/>
  </r>
  <r>
    <x v="164"/>
    <s v="已收货"/>
    <x v="382"/>
    <s v="无敌"/>
    <s v="产品成本+抽屉轨道+打包费"/>
    <m/>
    <s v="床头柜"/>
    <s v="床头柜"/>
    <m/>
    <s v="已结算"/>
    <s v="江西"/>
    <n v="835"/>
    <n v="750"/>
    <m/>
    <m/>
    <m/>
    <m/>
    <m/>
    <m/>
    <m/>
    <m/>
    <m/>
    <m/>
    <n v="40"/>
    <m/>
    <m/>
    <m/>
    <m/>
    <m/>
    <m/>
    <m/>
    <m/>
    <m/>
    <m/>
    <m/>
    <m/>
    <m/>
    <m/>
    <n v="45"/>
    <m/>
    <m/>
    <m/>
    <n v="65"/>
    <n v="0"/>
    <n v="0"/>
    <n v="0"/>
    <n v="0"/>
    <n v="0"/>
    <n v="0"/>
    <n v="1"/>
    <n v="900"/>
    <n v="753.73"/>
    <n v="0"/>
    <n v="4.52238"/>
    <n v="749.20762"/>
    <n v="0"/>
    <n v="0"/>
    <n v="0"/>
    <n v="-150.79238"/>
    <s v="无敌"/>
    <s v="北京 北京市 昌平区 东小口镇东小口 天通苑西二区5号楼9单元703"/>
    <s v="13164216447-4077"/>
    <m/>
    <m/>
  </r>
  <r>
    <x v="164"/>
    <s v="已收货"/>
    <x v="383"/>
    <s v="黑兔"/>
    <m/>
    <m/>
    <s v="砂白色1.6米岩板餐桌"/>
    <s v="榉木餐桌"/>
    <s v="160cm*85cm"/>
    <s v="已结算"/>
    <s v="庄毅"/>
    <n v="1777.3"/>
    <n v="1530"/>
    <m/>
    <m/>
    <m/>
    <m/>
    <n v="244.8"/>
    <m/>
    <m/>
    <m/>
    <m/>
    <m/>
    <m/>
    <m/>
    <m/>
    <m/>
    <m/>
    <m/>
    <n v="2.5"/>
    <m/>
    <m/>
    <m/>
    <m/>
    <m/>
    <m/>
    <m/>
    <m/>
    <m/>
    <m/>
    <m/>
    <n v="208"/>
    <n v="0"/>
    <n v="95"/>
    <n v="0"/>
    <n v="135"/>
    <n v="0"/>
    <n v="0"/>
    <n v="0"/>
    <n v="1"/>
    <n v="2215.3"/>
    <n v="2688.41"/>
    <n v="0"/>
    <n v="16.13046"/>
    <n v="2672.27954"/>
    <n v="0"/>
    <n v="0"/>
    <n v="0"/>
    <n v="456.9795399999998"/>
    <s v="黑兔"/>
    <s v="湖南省 常德市 汉寿县 沧浪街道恒大御府14栋1单元702"/>
    <s v="18897409265-7454"/>
    <m/>
    <m/>
  </r>
  <r>
    <x v="164"/>
    <s v="已收货"/>
    <x v="384"/>
    <s v="花生"/>
    <m/>
    <m/>
    <s v="1.8基础柜AA柱"/>
    <s v="基础餐边柜"/>
    <m/>
    <s v="已结算"/>
    <s v="江西"/>
    <n v="6554.08"/>
    <n v="5100"/>
    <n v="240"/>
    <n v="28"/>
    <n v="14"/>
    <m/>
    <s v="22*4"/>
    <n v="579.08"/>
    <n v="22"/>
    <m/>
    <m/>
    <n v="450"/>
    <s v="(72"/>
    <s v="126)/6"/>
    <m/>
    <m/>
    <m/>
    <m/>
    <m/>
    <m/>
    <m/>
    <m/>
    <m/>
    <m/>
    <m/>
    <m/>
    <m/>
    <n v="450"/>
    <m/>
    <m/>
    <n v="607"/>
    <n v="103"/>
    <n v="140"/>
    <n v="0"/>
    <n v="0"/>
    <n v="0"/>
    <n v="0"/>
    <n v="0"/>
    <n v="1"/>
    <n v="7404.08"/>
    <n v="7749.37"/>
    <n v="0"/>
    <n v="46.49622"/>
    <n v="7702.87378"/>
    <n v="10"/>
    <n v="0"/>
    <n v="10"/>
    <n v="308.79378"/>
    <s v="花生"/>
    <s v="四川省 成都市 青羊区 西御河街道市体育局宿舍(东华门街)"/>
    <s v="13164447183-7803"/>
    <m/>
    <m/>
  </r>
  <r>
    <x v="164"/>
    <s v="已收货"/>
    <x v="385"/>
    <s v="次仁卓嘎"/>
    <m/>
    <m/>
    <s v="窄柜-整柜洞石背板-1.0米"/>
    <s v="樱桃木窄柜"/>
    <n v="1000"/>
    <s v="已结算"/>
    <s v="江西"/>
    <n v="4499.54"/>
    <n v="3600"/>
    <n v="359.08"/>
    <n v="120"/>
    <m/>
    <n v="38"/>
    <n v="106.8"/>
    <n v="54"/>
    <n v="52"/>
    <m/>
    <n v="5"/>
    <m/>
    <m/>
    <m/>
    <m/>
    <n v="2"/>
    <n v="1.1"/>
    <n v="3.5"/>
    <m/>
    <m/>
    <m/>
    <m/>
    <m/>
    <m/>
    <m/>
    <m/>
    <m/>
    <n v="160"/>
    <m/>
    <m/>
    <n v="496"/>
    <n v="65"/>
    <n v="96"/>
    <n v="0"/>
    <n v="0"/>
    <n v="0"/>
    <n v="0"/>
    <n v="0"/>
    <n v="1"/>
    <n v="5156.54"/>
    <n v="5156.5"/>
    <n v="0"/>
    <n v="30.939"/>
    <n v="5125.561"/>
    <n v="0"/>
    <n v="0"/>
    <n v="0"/>
    <n v="-30.97900000000027"/>
    <s v="次仁卓嘎"/>
    <s v="青海省 西宁市 城北区 二十里铺镇绿地·国际花都1期 7 号楼 1 单元 29 楼 1292 室"/>
    <s v="15780133120-5802"/>
    <m/>
    <m/>
  </r>
  <r>
    <x v="164"/>
    <s v="退货转寄"/>
    <x v="386"/>
    <s v="张小姐"/>
    <m/>
    <m/>
    <s v="砂白色1.8米岩板餐桌"/>
    <s v="榉木餐桌"/>
    <s v="180cm*85cm"/>
    <s v="已结算"/>
    <s v="庄毅"/>
    <n v="0"/>
    <n v="0"/>
    <m/>
    <m/>
    <m/>
    <m/>
    <m/>
    <m/>
    <m/>
    <m/>
    <m/>
    <m/>
    <m/>
    <m/>
    <m/>
    <m/>
    <m/>
    <m/>
    <m/>
    <m/>
    <m/>
    <m/>
    <m/>
    <m/>
    <m/>
    <m/>
    <m/>
    <m/>
    <m/>
    <m/>
    <n v="0"/>
    <n v="0"/>
    <n v="0"/>
    <n v="0"/>
    <n v="0"/>
    <n v="0"/>
    <n v="0"/>
    <n v="0"/>
    <n v="1"/>
    <n v="0"/>
    <n v="0"/>
    <n v="0"/>
    <n v="0"/>
    <n v="0"/>
    <n v="0"/>
    <n v="0"/>
    <n v="0"/>
    <n v="0"/>
    <s v="张小姐"/>
    <s v="广东省 广州市 天河区 珠吉街道珠江花城30栋2101"/>
    <s v="15710702946-2387"/>
    <m/>
    <m/>
  </r>
  <r>
    <x v="165"/>
    <s v="已收货"/>
    <x v="387"/>
    <s v="叶先生"/>
    <m/>
    <m/>
    <s v="窄柜-整柜洞石背板-0.8米"/>
    <s v="樱桃木窄柜"/>
    <n v="800"/>
    <s v="已结算"/>
    <s v="江西"/>
    <n v="3956.705"/>
    <n v="3300"/>
    <n v="307.08"/>
    <n v="115"/>
    <m/>
    <n v="30"/>
    <n v="91.44"/>
    <m/>
    <m/>
    <m/>
    <n v="4"/>
    <m/>
    <m/>
    <n v="5"/>
    <m/>
    <m/>
    <m/>
    <m/>
    <n v="59.23"/>
    <n v="38.375"/>
    <n v="3"/>
    <m/>
    <m/>
    <m/>
    <m/>
    <m/>
    <m/>
    <n v="170"/>
    <m/>
    <m/>
    <n v="140"/>
    <n v="0"/>
    <n v="300"/>
    <n v="0"/>
    <n v="0"/>
    <n v="0"/>
    <n v="0"/>
    <n v="0"/>
    <n v="1"/>
    <n v="4396.705"/>
    <n v="4824.5"/>
    <n v="0"/>
    <n v="28.947"/>
    <n v="4795.553"/>
    <n v="0"/>
    <n v="0"/>
    <n v="0"/>
    <n v="398.848"/>
    <s v="叶先生"/>
    <s v="上海 上海市 闵行区 吴泾镇象屿招商·公园1872 24号802"/>
    <s v="18466819480-1635"/>
    <m/>
    <m/>
  </r>
  <r>
    <x v="165"/>
    <s v="已收货"/>
    <x v="388"/>
    <s v="霓蓝蓝"/>
    <m/>
    <m/>
    <s v="窄柜-整柜洞石背板-1.0米"/>
    <s v="樱桃木窄柜"/>
    <n v="1000"/>
    <s v="已结算"/>
    <s v="江西"/>
    <n v="4282.77"/>
    <n v="3300"/>
    <n v="359.08"/>
    <n v="120"/>
    <m/>
    <n v="38"/>
    <n v="106.8"/>
    <n v="54"/>
    <n v="52"/>
    <m/>
    <n v="5"/>
    <m/>
    <m/>
    <m/>
    <m/>
    <n v="2"/>
    <n v="1.1"/>
    <n v="3.5"/>
    <m/>
    <m/>
    <m/>
    <m/>
    <m/>
    <m/>
    <m/>
    <m/>
    <m/>
    <n v="170"/>
    <m/>
    <m/>
    <n v="331"/>
    <n v="63"/>
    <n v="99"/>
    <n v="0"/>
    <n v="0"/>
    <n v="0"/>
    <n v="0"/>
    <n v="0"/>
    <n v="1"/>
    <n v="4775.77"/>
    <n v="5151.5"/>
    <n v="0"/>
    <n v="30.909"/>
    <n v="5120.591"/>
    <n v="0"/>
    <n v="0"/>
    <n v="0"/>
    <n v="344.8210000000008"/>
    <s v="霓蓝蓝"/>
    <s v="北京 北京市 朝阳区 双井街道光华北一街东三路合生国际家园西区10号楼1903"/>
    <s v="18400849205-5056"/>
    <m/>
    <m/>
  </r>
  <r>
    <x v="165"/>
    <s v="已收货"/>
    <x v="389"/>
    <s v="洪小姐"/>
    <m/>
    <m/>
    <s v="砂白色1.6米岩板餐桌"/>
    <s v="榉木餐桌"/>
    <s v="160cm*85cm"/>
    <s v="已结算"/>
    <s v="庄毅"/>
    <n v="1777.3"/>
    <n v="1530"/>
    <m/>
    <m/>
    <m/>
    <m/>
    <n v="244.8"/>
    <m/>
    <m/>
    <m/>
    <m/>
    <m/>
    <m/>
    <m/>
    <m/>
    <m/>
    <m/>
    <m/>
    <n v="2.5"/>
    <m/>
    <m/>
    <m/>
    <m/>
    <m/>
    <m/>
    <m/>
    <m/>
    <m/>
    <m/>
    <m/>
    <n v="148"/>
    <n v="0"/>
    <n v="65"/>
    <n v="0"/>
    <n v="0"/>
    <n v="0"/>
    <n v="0"/>
    <n v="0"/>
    <n v="1"/>
    <n v="1990.3"/>
    <n v="2688.41"/>
    <n v="0"/>
    <n v="16.13046"/>
    <n v="2672.27954"/>
    <n v="0"/>
    <n v="0"/>
    <n v="0"/>
    <n v="681.97954"/>
    <s v="洪小姐"/>
    <s v="江苏省 宿迁市 宿城区 双庄街道书香尚庭3-803"/>
    <s v="18451490174-4888"/>
    <m/>
    <m/>
  </r>
  <r>
    <x v="166"/>
    <s v="已收货"/>
    <x v="390"/>
    <s v="钱小姐"/>
    <m/>
    <m/>
    <s v="砂白色1.4米岩板餐桌，定制"/>
    <s v="榉木餐桌"/>
    <s v="140cm*80cm"/>
    <s v="已结算"/>
    <s v="江西"/>
    <n v="1732.5"/>
    <n v="1300"/>
    <m/>
    <m/>
    <m/>
    <m/>
    <n v="240"/>
    <m/>
    <m/>
    <m/>
    <m/>
    <m/>
    <m/>
    <m/>
    <m/>
    <m/>
    <m/>
    <m/>
    <n v="2.5"/>
    <m/>
    <m/>
    <m/>
    <m/>
    <m/>
    <m/>
    <m/>
    <m/>
    <n v="190"/>
    <m/>
    <m/>
    <n v="90"/>
    <n v="30"/>
    <n v="75"/>
    <n v="0"/>
    <n v="0"/>
    <n v="0"/>
    <n v="0"/>
    <n v="0"/>
    <n v="1"/>
    <n v="1927.5"/>
    <n v="2588.89"/>
    <n v="0"/>
    <n v="15.53334"/>
    <n v="2573.35666"/>
    <n v="0"/>
    <n v="0"/>
    <n v="0"/>
    <n v="645.8566599999999"/>
    <s v="钱小姐"/>
    <s v="上海 上海市 普陀区 万里街道真欣园 真金路251弄34号201室"/>
    <s v="18466859370-6654"/>
    <m/>
    <m/>
  </r>
  <r>
    <x v="166"/>
    <s v="已收货"/>
    <x v="391"/>
    <s v="崔先生"/>
    <m/>
    <m/>
    <s v="补差价"/>
    <m/>
    <m/>
    <s v="已结算"/>
    <s v="江西"/>
    <n v="0"/>
    <n v="0"/>
    <m/>
    <m/>
    <m/>
    <m/>
    <m/>
    <m/>
    <m/>
    <m/>
    <m/>
    <m/>
    <m/>
    <m/>
    <m/>
    <m/>
    <m/>
    <m/>
    <m/>
    <m/>
    <m/>
    <m/>
    <m/>
    <m/>
    <m/>
    <m/>
    <m/>
    <m/>
    <m/>
    <m/>
    <n v="0"/>
    <n v="0"/>
    <n v="0"/>
    <n v="0"/>
    <n v="0"/>
    <n v="0"/>
    <n v="0"/>
    <n v="0"/>
    <n v="1"/>
    <n v="0"/>
    <n v="195"/>
    <n v="0"/>
    <n v="1.17"/>
    <n v="193.83"/>
    <n v="0"/>
    <n v="0"/>
    <n v="0"/>
    <n v="193.83"/>
    <s v="崔先生"/>
    <s v="云南省 昆明市 盘龙区 金辰街道云南映象碧桂湾24-801"/>
    <s v="18400302778-8072"/>
    <m/>
    <m/>
  </r>
  <r>
    <x v="166"/>
    <s v="已收货"/>
    <x v="392"/>
    <s v="丁毅"/>
    <m/>
    <m/>
    <s v="样块"/>
    <s v="样块"/>
    <m/>
    <s v="已结算"/>
    <s v="杭州"/>
    <n v="7"/>
    <n v="5"/>
    <m/>
    <m/>
    <m/>
    <m/>
    <m/>
    <m/>
    <m/>
    <m/>
    <m/>
    <m/>
    <m/>
    <m/>
    <m/>
    <m/>
    <m/>
    <m/>
    <m/>
    <m/>
    <m/>
    <m/>
    <m/>
    <m/>
    <m/>
    <m/>
    <m/>
    <n v="2"/>
    <m/>
    <m/>
    <n v="5"/>
    <n v="0"/>
    <n v="0"/>
    <n v="0"/>
    <n v="0"/>
    <n v="0"/>
    <n v="0"/>
    <n v="0"/>
    <n v="1"/>
    <n v="12"/>
    <n v="21.2"/>
    <n v="0"/>
    <n v="0.1272"/>
    <n v="21.0728"/>
    <n v="0"/>
    <n v="0"/>
    <n v="0"/>
    <n v="9.072800000000001"/>
    <s v="丁毅"/>
    <s v="湖北省 武汉市 江岸区 花桥街道红星美凯龙(武汉竹叶山商场红星美凯龙店)"/>
    <s v="18627054515-6287"/>
    <m/>
    <m/>
  </r>
  <r>
    <x v="166"/>
    <s v="已收货"/>
    <x v="393"/>
    <s v="王磊"/>
    <m/>
    <m/>
    <s v="砂白色1.4米岩板餐桌（福建退货修复）"/>
    <s v="榉木餐桌"/>
    <s v="140cm*85cm"/>
    <s v="已结算"/>
    <s v="庄毅-江西"/>
    <n v="1566.7"/>
    <n v="1350"/>
    <m/>
    <m/>
    <m/>
    <m/>
    <n v="214.2"/>
    <m/>
    <m/>
    <m/>
    <m/>
    <m/>
    <m/>
    <m/>
    <m/>
    <m/>
    <m/>
    <m/>
    <n v="2.5"/>
    <m/>
    <m/>
    <m/>
    <m/>
    <m/>
    <m/>
    <m/>
    <m/>
    <m/>
    <m/>
    <m/>
    <n v="145"/>
    <n v="0"/>
    <n v="60"/>
    <n v="0"/>
    <n v="0"/>
    <n v="0"/>
    <n v="0"/>
    <n v="0"/>
    <n v="1"/>
    <n v="1771.7"/>
    <n v="2588.89"/>
    <n v="0"/>
    <n v="15.53334"/>
    <n v="2573.35666"/>
    <n v="0"/>
    <n v="0"/>
    <n v="0"/>
    <n v="801.6566599999999"/>
    <s v="王磊"/>
    <s v="湖北省 武汉市 武昌区 水果湖街道水果湖街办事处 武汉市武昌区水果湖张家湾小区41栋54号101室"/>
    <s v="15783645691-3427"/>
    <m/>
    <m/>
  </r>
  <r>
    <x v="166"/>
    <s v="未发货"/>
    <x v="394"/>
    <s v="小米"/>
    <m/>
    <m/>
    <s v="砂白色1.6米岩板餐桌"/>
    <s v="榉木餐桌"/>
    <s v="160cm*85cm"/>
    <s v="已结算"/>
    <s v="江西"/>
    <n v="1762.5"/>
    <n v="1350"/>
    <m/>
    <m/>
    <m/>
    <m/>
    <n v="220"/>
    <m/>
    <m/>
    <m/>
    <m/>
    <m/>
    <m/>
    <m/>
    <m/>
    <m/>
    <m/>
    <m/>
    <n v="2.5"/>
    <m/>
    <m/>
    <m/>
    <m/>
    <m/>
    <m/>
    <m/>
    <m/>
    <n v="190"/>
    <m/>
    <m/>
    <n v="148"/>
    <n v="0"/>
    <n v="65"/>
    <n v="0"/>
    <n v="0"/>
    <n v="0"/>
    <n v="0"/>
    <n v="0"/>
    <n v="1"/>
    <n v="1975.5"/>
    <n v="2688.41"/>
    <n v="0"/>
    <n v="16.13046"/>
    <n v="2672.27954"/>
    <n v="0"/>
    <n v="0"/>
    <n v="0"/>
    <n v="696.77954"/>
    <s v="小米"/>
    <s v="山西省 晋城市 城区 钟家庄街道德源绿洲14号楼1301"/>
    <s v="18400814414-7943"/>
    <m/>
    <m/>
  </r>
  <r>
    <x v="166"/>
    <s v="已收货"/>
    <x v="395"/>
    <s v="舟舟"/>
    <m/>
    <m/>
    <s v="升降桌：樱桃木，1.3带高台版"/>
    <s v="升降桌-2024款"/>
    <n v="1300"/>
    <m/>
    <s v="江西"/>
    <n v="2363.11"/>
    <n v="1700"/>
    <n v="88.11"/>
    <n v="63"/>
    <n v="80"/>
    <m/>
    <n v="160"/>
    <m/>
    <m/>
    <m/>
    <m/>
    <m/>
    <m/>
    <m/>
    <m/>
    <m/>
    <m/>
    <m/>
    <m/>
    <m/>
    <m/>
    <m/>
    <n v="152"/>
    <m/>
    <m/>
    <m/>
    <m/>
    <n v="120"/>
    <m/>
    <m/>
    <n v="230"/>
    <n v="30"/>
    <n v="150"/>
    <n v="0"/>
    <n v="0"/>
    <n v="0"/>
    <n v="0"/>
    <n v="0"/>
    <n v="1"/>
    <n v="2773.11"/>
    <n v="3417.19"/>
    <n v="0"/>
    <n v="20.50314"/>
    <n v="3396.68686"/>
    <n v="0"/>
    <n v="0"/>
    <n v="0"/>
    <n v="623.5768600000006"/>
    <s v="舟舟"/>
    <s v="上海 上海市 长宁区 新华路街道法华镇路751弄西镇小区18号楼601室(000000)"/>
    <s v="18466658942-6583"/>
    <m/>
    <m/>
  </r>
  <r>
    <x v="166"/>
    <s v="已收货"/>
    <x v="396"/>
    <s v="吴女士"/>
    <m/>
    <m/>
    <s v="双层式透气下柜-榉木"/>
    <s v="鞋柜"/>
    <m/>
    <s v="已结算"/>
    <s v="江西"/>
    <n v="2140"/>
    <n v="1800"/>
    <m/>
    <m/>
    <m/>
    <m/>
    <n v="200"/>
    <m/>
    <m/>
    <m/>
    <m/>
    <m/>
    <n v="20"/>
    <m/>
    <m/>
    <m/>
    <m/>
    <m/>
    <m/>
    <m/>
    <m/>
    <m/>
    <m/>
    <m/>
    <m/>
    <m/>
    <m/>
    <n v="120"/>
    <m/>
    <m/>
    <n v="117"/>
    <n v="6"/>
    <n v="50"/>
    <n v="0"/>
    <n v="0"/>
    <n v="0"/>
    <n v="0"/>
    <n v="0"/>
    <n v="1"/>
    <n v="2313"/>
    <n v="2488.16"/>
    <n v="0"/>
    <n v="14.92896"/>
    <n v="2473.23104"/>
    <n v="0"/>
    <n v="0"/>
    <n v="0"/>
    <n v="160.2310399999997"/>
    <s v="吴女士"/>
    <s v="江苏省 南通市 崇川区 城东街道东升花园北区26号楼203室"/>
    <s v="18468507982-3383"/>
    <m/>
    <m/>
  </r>
  <r>
    <x v="166"/>
    <s v="已收货"/>
    <x v="397"/>
    <s v="梦梦"/>
    <m/>
    <m/>
    <s v="砂白色1.6米岩板餐桌"/>
    <s v="榉木餐桌"/>
    <s v="160cm*85cm"/>
    <s v="已结算"/>
    <s v="江西"/>
    <n v="1782.5"/>
    <n v="1350"/>
    <m/>
    <m/>
    <m/>
    <m/>
    <n v="240"/>
    <m/>
    <m/>
    <m/>
    <m/>
    <m/>
    <m/>
    <m/>
    <m/>
    <m/>
    <m/>
    <m/>
    <n v="2.5"/>
    <m/>
    <m/>
    <m/>
    <m/>
    <m/>
    <m/>
    <m/>
    <m/>
    <n v="190"/>
    <m/>
    <m/>
    <n v="127"/>
    <n v="30"/>
    <n v="69"/>
    <n v="0"/>
    <n v="0"/>
    <n v="0"/>
    <n v="0"/>
    <n v="0"/>
    <n v="1"/>
    <n v="2008.5"/>
    <n v="2693.41"/>
    <n v="0"/>
    <n v="16.16046"/>
    <n v="2677.24954"/>
    <n v="0"/>
    <n v="0"/>
    <n v="0"/>
    <n v="668.7495399999998"/>
    <s v="梦梦"/>
    <s v="山东省 青岛市 城阳区 城阳街道万科魅力之城10号楼10-1-802"/>
    <s v="18448247967-7315"/>
    <m/>
    <m/>
  </r>
  <r>
    <x v="166"/>
    <s v="已收货"/>
    <x v="398"/>
    <s v="豆豆"/>
    <m/>
    <m/>
    <s v="砂白色1.6米岩板餐桌，定制"/>
    <s v="榉木餐桌"/>
    <s v="160cm*80cm"/>
    <s v="已结算"/>
    <s v="庄毅"/>
    <n v="1762.9"/>
    <n v="1530"/>
    <m/>
    <m/>
    <m/>
    <m/>
    <n v="230.4"/>
    <m/>
    <m/>
    <m/>
    <m/>
    <m/>
    <m/>
    <m/>
    <m/>
    <m/>
    <m/>
    <m/>
    <n v="2.5"/>
    <m/>
    <m/>
    <m/>
    <m/>
    <m/>
    <m/>
    <m/>
    <m/>
    <m/>
    <m/>
    <m/>
    <n v="149"/>
    <n v="0"/>
    <n v="88"/>
    <n v="0"/>
    <n v="0"/>
    <n v="0"/>
    <n v="0"/>
    <n v="0"/>
    <n v="1"/>
    <n v="1999.9"/>
    <n v="2693.41"/>
    <n v="0"/>
    <n v="16.16046"/>
    <n v="2677.24954"/>
    <n v="0"/>
    <n v="0"/>
    <n v="0"/>
    <n v="677.3495399999997"/>
    <s v="豆豆"/>
    <s v="浙江省 台州市 临海市 大洋街道 未来公馆3号楼1803"/>
    <s v="15786478138-9764"/>
    <m/>
    <m/>
  </r>
  <r>
    <x v="166"/>
    <s v="已收货"/>
    <x v="399"/>
    <s v="蔡天"/>
    <m/>
    <m/>
    <s v="砂白色1.8米岩板餐桌"/>
    <s v="榉木餐桌"/>
    <s v="180cm*85cm"/>
    <s v="已结算"/>
    <s v="江西"/>
    <n v="1822.5"/>
    <n v="1400"/>
    <m/>
    <m/>
    <m/>
    <m/>
    <n v="240"/>
    <m/>
    <m/>
    <m/>
    <m/>
    <m/>
    <m/>
    <m/>
    <m/>
    <m/>
    <m/>
    <m/>
    <n v="2.5"/>
    <m/>
    <m/>
    <m/>
    <m/>
    <m/>
    <m/>
    <m/>
    <m/>
    <n v="180"/>
    <m/>
    <m/>
    <n v="168"/>
    <n v="35"/>
    <n v="60"/>
    <n v="0"/>
    <n v="0"/>
    <n v="0"/>
    <n v="0"/>
    <n v="0"/>
    <n v="1"/>
    <n v="2085.5"/>
    <n v="2794.6"/>
    <n v="0"/>
    <n v="16.7676"/>
    <n v="2777.8324"/>
    <n v="0"/>
    <n v="0"/>
    <n v="0"/>
    <n v="692.3323999999998"/>
    <s v="蔡天"/>
    <s v="四川省 成都市 成华区 万年场街道双成二路158号华润悦玺4栋一单元1902"/>
    <s v="13162925454-1593"/>
    <m/>
    <m/>
  </r>
  <r>
    <x v="167"/>
    <s v="已收货"/>
    <x v="400"/>
    <s v="李星迪"/>
    <m/>
    <m/>
    <s v="样块"/>
    <s v="样块"/>
    <m/>
    <s v="已结算"/>
    <s v="杭州"/>
    <n v="7"/>
    <n v="5"/>
    <m/>
    <m/>
    <m/>
    <m/>
    <m/>
    <m/>
    <m/>
    <m/>
    <m/>
    <m/>
    <m/>
    <m/>
    <m/>
    <m/>
    <m/>
    <m/>
    <m/>
    <m/>
    <m/>
    <m/>
    <m/>
    <m/>
    <m/>
    <m/>
    <m/>
    <n v="2"/>
    <m/>
    <m/>
    <n v="5"/>
    <n v="0"/>
    <n v="0"/>
    <n v="0"/>
    <n v="0"/>
    <n v="0"/>
    <n v="0"/>
    <n v="0"/>
    <n v="1"/>
    <n v="12"/>
    <n v="25"/>
    <n v="0"/>
    <n v="0.15"/>
    <n v="24.85"/>
    <n v="0"/>
    <n v="0"/>
    <n v="0"/>
    <n v="12.85"/>
    <s v="李星迪"/>
    <s v="四川省 成都市 青羊区 草市街街道东城拐街17号院1号楼3楼3号"/>
    <s v="13183805954-4165"/>
    <m/>
    <m/>
  </r>
  <r>
    <x v="167"/>
    <s v="已收货"/>
    <x v="401"/>
    <s v="次仁卓嘎"/>
    <m/>
    <m/>
    <s v="补差价"/>
    <m/>
    <m/>
    <s v="已结算"/>
    <s v="江西"/>
    <n v="0"/>
    <n v="0"/>
    <m/>
    <m/>
    <m/>
    <m/>
    <m/>
    <m/>
    <m/>
    <m/>
    <m/>
    <m/>
    <m/>
    <m/>
    <m/>
    <m/>
    <m/>
    <m/>
    <m/>
    <m/>
    <m/>
    <m/>
    <m/>
    <m/>
    <m/>
    <m/>
    <m/>
    <n v="0"/>
    <n v="0"/>
    <n v="0"/>
    <n v="0"/>
    <n v="0"/>
    <n v="0"/>
    <n v="0"/>
    <n v="0"/>
    <n v="0"/>
    <n v="0"/>
    <n v="0"/>
    <n v="1"/>
    <n v="0"/>
    <n v="255"/>
    <n v="0"/>
    <n v="1.53"/>
    <n v="253.47"/>
    <n v="0"/>
    <n v="0"/>
    <n v="0"/>
    <n v="253.47"/>
    <s v="次仁卓嘎"/>
    <s v="青海省 西宁市 城北区 二十里铺镇绿地·国际花都1期 7 号楼 1 单元 29 楼 1292 室"/>
    <s v="15780133120-5802"/>
    <m/>
    <m/>
  </r>
  <r>
    <x v="168"/>
    <s v="已收货"/>
    <x v="402"/>
    <s v="何女士"/>
    <m/>
    <m/>
    <s v="样块"/>
    <s v="样块"/>
    <m/>
    <s v="已结算"/>
    <s v="杭州"/>
    <n v="7"/>
    <n v="5"/>
    <m/>
    <m/>
    <m/>
    <m/>
    <m/>
    <m/>
    <m/>
    <m/>
    <m/>
    <m/>
    <m/>
    <m/>
    <m/>
    <m/>
    <m/>
    <m/>
    <m/>
    <m/>
    <m/>
    <m/>
    <m/>
    <m/>
    <m/>
    <m/>
    <m/>
    <n v="2"/>
    <m/>
    <m/>
    <n v="5"/>
    <n v="0"/>
    <n v="0"/>
    <n v="0"/>
    <n v="0"/>
    <n v="0"/>
    <n v="0"/>
    <n v="0"/>
    <n v="1"/>
    <n v="12"/>
    <n v="22"/>
    <n v="0"/>
    <n v="0.132"/>
    <n v="21.868"/>
    <n v="0"/>
    <n v="0"/>
    <n v="0"/>
    <n v="9.867999999999999"/>
    <s v="何女士"/>
    <s v="江西省 九江市 浔阳区 人民路街道 名湖广场"/>
    <s v="18465608319-6752"/>
    <m/>
    <m/>
  </r>
  <r>
    <x v="169"/>
    <s v="已收货"/>
    <x v="403"/>
    <s v="谭先生"/>
    <m/>
    <m/>
    <s v="样块"/>
    <s v="样块"/>
    <m/>
    <s v="已结算"/>
    <s v="杭州"/>
    <n v="7"/>
    <n v="5"/>
    <m/>
    <m/>
    <m/>
    <m/>
    <m/>
    <m/>
    <m/>
    <m/>
    <m/>
    <m/>
    <m/>
    <m/>
    <m/>
    <m/>
    <m/>
    <m/>
    <m/>
    <m/>
    <m/>
    <m/>
    <m/>
    <m/>
    <m/>
    <m/>
    <m/>
    <n v="2"/>
    <m/>
    <m/>
    <n v="5"/>
    <n v="0"/>
    <n v="0"/>
    <n v="0"/>
    <n v="0"/>
    <n v="0"/>
    <n v="0"/>
    <n v="0"/>
    <n v="1"/>
    <n v="12"/>
    <n v="22"/>
    <n v="0"/>
    <n v="0.132"/>
    <n v="21.868"/>
    <n v="0"/>
    <n v="0"/>
    <n v="0"/>
    <n v="9.867999999999999"/>
    <s v="谭先生"/>
    <s v="广东省 深圳市 龙岗区 横岗街道横岗镇四联隆盛花园8栋901室"/>
    <s v="15794947411-4532"/>
    <m/>
    <m/>
  </r>
  <r>
    <x v="170"/>
    <s v="已收货"/>
    <x v="404"/>
    <s v="杨坤鹏转余栋"/>
    <m/>
    <m/>
    <s v="插座"/>
    <s v="配件"/>
    <m/>
    <m/>
    <s v="其他"/>
    <n v="55"/>
    <n v="55"/>
    <m/>
    <m/>
    <m/>
    <m/>
    <m/>
    <m/>
    <m/>
    <m/>
    <m/>
    <m/>
    <m/>
    <m/>
    <m/>
    <m/>
    <m/>
    <m/>
    <m/>
    <m/>
    <m/>
    <m/>
    <m/>
    <m/>
    <m/>
    <m/>
    <m/>
    <m/>
    <m/>
    <m/>
    <n v="8"/>
    <n v="0"/>
    <n v="0"/>
    <n v="0"/>
    <n v="0"/>
    <n v="0"/>
    <n v="0"/>
    <n v="0"/>
    <n v="1"/>
    <n v="63"/>
    <n v="100"/>
    <n v="0"/>
    <n v="0.6"/>
    <n v="99.40000000000001"/>
    <n v="0"/>
    <n v="0"/>
    <n v="0"/>
    <n v="36.40000000000001"/>
    <s v="杨坤鹏转余栋"/>
    <s v="广东省 广州市 白云区 江高镇夏花三路498号部队路A14仓 （YD502-SIN）"/>
    <s v="14749678969-1705"/>
    <m/>
    <m/>
  </r>
  <r>
    <x v="170"/>
    <s v="已收货"/>
    <x v="405"/>
    <s v="尚彦希"/>
    <m/>
    <m/>
    <s v="砂白色1.2米岩板餐桌，定制"/>
    <s v="榉木餐桌"/>
    <s v="120cm*80cm"/>
    <s v="已结算"/>
    <s v="江西"/>
    <n v="1652.5"/>
    <n v="1260"/>
    <m/>
    <m/>
    <m/>
    <m/>
    <n v="220"/>
    <m/>
    <m/>
    <m/>
    <m/>
    <m/>
    <m/>
    <m/>
    <m/>
    <m/>
    <m/>
    <m/>
    <n v="2.5"/>
    <m/>
    <m/>
    <m/>
    <m/>
    <m/>
    <m/>
    <m/>
    <m/>
    <n v="170"/>
    <m/>
    <m/>
    <n v="105"/>
    <n v="30"/>
    <n v="72"/>
    <n v="0"/>
    <n v="0"/>
    <n v="0"/>
    <n v="0"/>
    <n v="0"/>
    <n v="1"/>
    <n v="1859.5"/>
    <n v="2536.44"/>
    <n v="0"/>
    <n v="15.21864"/>
    <n v="2521.22136"/>
    <n v="0"/>
    <n v="0"/>
    <n v="0"/>
    <n v="661.72136"/>
    <s v="尚彦希"/>
    <s v="广东省 广州市 花都区 新华街道云山大道88号2栋1801"/>
    <s v="14749674195-8518"/>
    <m/>
    <m/>
  </r>
  <r>
    <x v="171"/>
    <s v="已收货"/>
    <x v="406"/>
    <s v="王小姐"/>
    <m/>
    <m/>
    <s v="窄柜-下柜洞石背板-0.8米-定制"/>
    <s v="樱桃木窄柜"/>
    <n v="800"/>
    <s v="已结算"/>
    <s v="江西"/>
    <n v="2448"/>
    <n v="2030"/>
    <m/>
    <m/>
    <m/>
    <m/>
    <n v="200"/>
    <m/>
    <m/>
    <m/>
    <m/>
    <m/>
    <n v="88"/>
    <m/>
    <m/>
    <m/>
    <m/>
    <m/>
    <m/>
    <m/>
    <m/>
    <m/>
    <m/>
    <m/>
    <m/>
    <m/>
    <m/>
    <n v="130"/>
    <m/>
    <m/>
    <n v="99"/>
    <n v="35"/>
    <n v="0"/>
    <n v="0"/>
    <n v="0"/>
    <n v="0"/>
    <n v="0"/>
    <n v="0"/>
    <n v="1"/>
    <n v="2582"/>
    <n v="3925"/>
    <n v="0"/>
    <n v="23.55"/>
    <n v="3901.45"/>
    <n v="0"/>
    <n v="0"/>
    <n v="0"/>
    <n v="1319.45"/>
    <s v="王小姐"/>
    <s v="浙江省 舟山市 定海区 千岛街道东北角港航国际大厦B座29楼浙江正邦船务有限公司"/>
    <s v="18413289441-8654"/>
    <m/>
    <m/>
  </r>
  <r>
    <x v="172"/>
    <s v="已收货"/>
    <x v="407"/>
    <s v="菜鸟新加坡仓SGACNFB"/>
    <m/>
    <m/>
    <s v="200*85樱桃木岩板餐桌"/>
    <s v="樱桃木米黄洞石岩板餐桌"/>
    <m/>
    <s v="已结算"/>
    <s v="江西"/>
    <n v="2262.5"/>
    <n v="1400"/>
    <n v="2.5"/>
    <n v="660"/>
    <n v="200"/>
    <m/>
    <m/>
    <m/>
    <m/>
    <m/>
    <m/>
    <m/>
    <m/>
    <m/>
    <m/>
    <m/>
    <m/>
    <m/>
    <m/>
    <m/>
    <m/>
    <m/>
    <m/>
    <m/>
    <m/>
    <m/>
    <m/>
    <n v="200"/>
    <m/>
    <m/>
    <n v="99"/>
    <n v="30"/>
    <n v="0"/>
    <n v="0"/>
    <n v="0"/>
    <n v="0"/>
    <n v="0"/>
    <n v="0"/>
    <n v="1"/>
    <n v="2391.5"/>
    <n v="2479.8"/>
    <n v="0"/>
    <n v="14.8788"/>
    <n v="2464.9212"/>
    <n v="0"/>
    <n v="0"/>
    <n v="0"/>
    <n v="73.42120000000023"/>
    <s v="菜鸟新加坡仓SGACNFB"/>
    <s v="广东省 东莞市  沙田镇进港南路SGACNFB菜鸟定制仓1栋2楼B区新加坡APP"/>
    <n v="15015421002"/>
    <m/>
    <m/>
  </r>
  <r>
    <x v="173"/>
    <s v="已收货"/>
    <x v="408"/>
    <s v="Tommy"/>
    <m/>
    <m/>
    <s v="样块*2"/>
    <s v="样块"/>
    <m/>
    <s v="已结算"/>
    <s v="杭州"/>
    <n v="12"/>
    <n v="10"/>
    <m/>
    <m/>
    <m/>
    <m/>
    <m/>
    <m/>
    <m/>
    <m/>
    <m/>
    <m/>
    <m/>
    <m/>
    <m/>
    <m/>
    <m/>
    <m/>
    <m/>
    <m/>
    <m/>
    <m/>
    <m/>
    <m/>
    <m/>
    <m/>
    <m/>
    <n v="2"/>
    <m/>
    <m/>
    <n v="5"/>
    <n v="0"/>
    <n v="0"/>
    <n v="0"/>
    <n v="0"/>
    <n v="0"/>
    <n v="0"/>
    <n v="0"/>
    <n v="1"/>
    <n v="17"/>
    <n v="50"/>
    <n v="0"/>
    <n v="0.3"/>
    <n v="49.7"/>
    <n v="0"/>
    <n v="0"/>
    <n v="0"/>
    <n v="32.7"/>
    <s v="Tommy"/>
    <s v="上海 上海市 杨浦区 大桥街道眉州路668弄馨运公寓10号楼1201室"/>
    <s v="13162834334-4929"/>
    <m/>
    <m/>
  </r>
  <r>
    <x v="173"/>
    <s v="已收货"/>
    <x v="409"/>
    <s v="萧小伍"/>
    <m/>
    <m/>
    <s v="样块"/>
    <s v="样块"/>
    <m/>
    <s v="已结算"/>
    <s v="杭州"/>
    <n v="7"/>
    <n v="5"/>
    <m/>
    <m/>
    <m/>
    <m/>
    <m/>
    <m/>
    <m/>
    <m/>
    <m/>
    <m/>
    <m/>
    <m/>
    <m/>
    <m/>
    <m/>
    <m/>
    <m/>
    <m/>
    <m/>
    <m/>
    <m/>
    <m/>
    <m/>
    <m/>
    <m/>
    <n v="2"/>
    <m/>
    <m/>
    <n v="5"/>
    <n v="0"/>
    <n v="0"/>
    <n v="0"/>
    <n v="0"/>
    <n v="0"/>
    <n v="0"/>
    <n v="0"/>
    <n v="1"/>
    <n v="12"/>
    <n v="20"/>
    <n v="0"/>
    <n v="0.12"/>
    <n v="19.88"/>
    <n v="0"/>
    <n v="0"/>
    <n v="0"/>
    <n v="7.879999999999999"/>
    <s v="萧小伍"/>
    <s v="浙江省 杭州市 拱墅区 长庆街道拱墅区长庆街道体育场路178号浙报传媒大厦浙江日报社"/>
    <s v="18413289392-6996"/>
    <m/>
    <m/>
  </r>
  <r>
    <x v="173"/>
    <s v="已收货"/>
    <x v="410"/>
    <s v="高艺玲"/>
    <m/>
    <m/>
    <s v="插座"/>
    <s v="配件"/>
    <m/>
    <m/>
    <s v="其他"/>
    <n v="55"/>
    <n v="55"/>
    <m/>
    <m/>
    <m/>
    <m/>
    <m/>
    <m/>
    <m/>
    <m/>
    <m/>
    <m/>
    <m/>
    <m/>
    <m/>
    <m/>
    <m/>
    <m/>
    <m/>
    <m/>
    <m/>
    <m/>
    <m/>
    <m/>
    <m/>
    <m/>
    <m/>
    <m/>
    <m/>
    <m/>
    <n v="8"/>
    <n v="0"/>
    <n v="0"/>
    <n v="0"/>
    <n v="0"/>
    <n v="0"/>
    <n v="0"/>
    <n v="0"/>
    <n v="1"/>
    <n v="63"/>
    <n v="100"/>
    <n v="0"/>
    <n v="0.6"/>
    <n v="99.40000000000001"/>
    <n v="0"/>
    <n v="0"/>
    <n v="0"/>
    <n v="36.40000000000001"/>
    <s v="高艺玲"/>
    <s v="云南省 昆明市 西山区 永昌街道金地九樾1-105"/>
    <s v="13124814575-9217"/>
    <m/>
    <m/>
  </r>
  <r>
    <x v="174"/>
    <s v="已收货"/>
    <x v="411"/>
    <s v="沈先生"/>
    <m/>
    <m/>
    <s v="样块*2"/>
    <s v="样块"/>
    <m/>
    <s v="已结算"/>
    <s v="杭州"/>
    <n v="12"/>
    <n v="10"/>
    <m/>
    <m/>
    <m/>
    <m/>
    <m/>
    <m/>
    <m/>
    <m/>
    <m/>
    <m/>
    <m/>
    <m/>
    <m/>
    <m/>
    <m/>
    <m/>
    <m/>
    <m/>
    <m/>
    <m/>
    <m/>
    <m/>
    <m/>
    <m/>
    <m/>
    <n v="2"/>
    <m/>
    <m/>
    <n v="5"/>
    <n v="0"/>
    <n v="0"/>
    <n v="0"/>
    <n v="0"/>
    <n v="0"/>
    <n v="0"/>
    <n v="0"/>
    <n v="1"/>
    <n v="17"/>
    <n v="44"/>
    <n v="0"/>
    <n v="0.264"/>
    <n v="43.736"/>
    <n v="0"/>
    <n v="0"/>
    <n v="0"/>
    <n v="26.736"/>
    <s v="沈先生"/>
    <s v="上海 上海市 静安区 大宁路街道宁和小区70号楼"/>
    <s v="18466707287-4268"/>
    <m/>
    <m/>
  </r>
  <r>
    <x v="175"/>
    <s v="已收货"/>
    <x v="412"/>
    <s v="cmcc"/>
    <m/>
    <m/>
    <s v="样块"/>
    <s v="样块"/>
    <m/>
    <s v="已结算"/>
    <s v="杭州"/>
    <n v="7"/>
    <n v="5"/>
    <m/>
    <m/>
    <m/>
    <m/>
    <m/>
    <m/>
    <m/>
    <m/>
    <m/>
    <m/>
    <m/>
    <m/>
    <m/>
    <m/>
    <m/>
    <m/>
    <m/>
    <m/>
    <m/>
    <m/>
    <m/>
    <m/>
    <m/>
    <m/>
    <m/>
    <n v="2"/>
    <m/>
    <m/>
    <n v="5"/>
    <n v="0"/>
    <n v="0"/>
    <n v="0"/>
    <n v="0"/>
    <n v="0"/>
    <n v="0"/>
    <n v="0"/>
    <n v="1"/>
    <n v="12"/>
    <n v="17"/>
    <n v="0"/>
    <n v="0.102"/>
    <n v="16.898"/>
    <n v="0"/>
    <n v="0"/>
    <n v="0"/>
    <n v="4.898"/>
    <s v="cmcc"/>
    <s v="浙江省 丽水市 莲都区 万象街道江南景苑10-1201"/>
    <s v="18413289402-5278"/>
    <m/>
    <m/>
  </r>
  <r>
    <x v="176"/>
    <s v="已收货"/>
    <x v="413"/>
    <s v="黄冬花"/>
    <m/>
    <m/>
    <s v="样块"/>
    <s v="样块"/>
    <m/>
    <s v="已结算"/>
    <s v="杭州"/>
    <n v="7"/>
    <n v="5"/>
    <m/>
    <m/>
    <m/>
    <m/>
    <m/>
    <m/>
    <m/>
    <m/>
    <m/>
    <m/>
    <m/>
    <m/>
    <m/>
    <m/>
    <m/>
    <m/>
    <m/>
    <m/>
    <m/>
    <m/>
    <m/>
    <m/>
    <m/>
    <m/>
    <m/>
    <n v="2"/>
    <m/>
    <m/>
    <n v="5"/>
    <n v="0"/>
    <n v="0"/>
    <n v="0"/>
    <n v="0"/>
    <n v="0"/>
    <n v="0"/>
    <n v="0"/>
    <n v="1"/>
    <n v="12"/>
    <n v="22"/>
    <n v="0"/>
    <n v="0.132"/>
    <n v="21.868"/>
    <n v="0"/>
    <n v="0"/>
    <n v="0"/>
    <n v="9.867999999999999"/>
    <s v="黄冬花"/>
    <s v="广东省 东莞市  莞城街道西隅大西路23号小物日记店"/>
    <s v="18814331329-4575"/>
    <m/>
    <m/>
  </r>
  <r>
    <x v="176"/>
    <s v="已收货"/>
    <x v="414"/>
    <s v="庄"/>
    <m/>
    <m/>
    <s v="样块*3"/>
    <s v="样块"/>
    <m/>
    <s v="已结算"/>
    <s v="杭州"/>
    <n v="17"/>
    <n v="15"/>
    <m/>
    <m/>
    <m/>
    <m/>
    <m/>
    <m/>
    <m/>
    <m/>
    <m/>
    <m/>
    <m/>
    <m/>
    <m/>
    <m/>
    <m/>
    <m/>
    <m/>
    <m/>
    <m/>
    <m/>
    <m/>
    <m/>
    <m/>
    <m/>
    <m/>
    <n v="2"/>
    <m/>
    <m/>
    <n v="5"/>
    <n v="0"/>
    <n v="0"/>
    <n v="0"/>
    <n v="0"/>
    <n v="0"/>
    <n v="0"/>
    <n v="0"/>
    <n v="1"/>
    <n v="22"/>
    <n v="66"/>
    <n v="0"/>
    <n v="0.396"/>
    <n v="65.604"/>
    <n v="0"/>
    <n v="0"/>
    <n v="0"/>
    <n v="43.604"/>
    <s v="庄"/>
    <s v="北京 北京市 丰台区 成寿寺街道北京天誉1号楼1单元2201"/>
    <s v="18400716700-9195"/>
    <m/>
    <m/>
  </r>
  <r>
    <x v="177"/>
    <s v="已收货"/>
    <x v="415"/>
    <s v="张颖"/>
    <m/>
    <m/>
    <s v="样块"/>
    <s v="样块"/>
    <m/>
    <s v="已结算"/>
    <s v="杭州"/>
    <n v="7"/>
    <n v="5"/>
    <m/>
    <m/>
    <m/>
    <m/>
    <m/>
    <m/>
    <m/>
    <m/>
    <m/>
    <m/>
    <m/>
    <m/>
    <m/>
    <m/>
    <m/>
    <m/>
    <m/>
    <m/>
    <m/>
    <m/>
    <m/>
    <m/>
    <m/>
    <m/>
    <m/>
    <n v="2"/>
    <m/>
    <m/>
    <n v="5"/>
    <n v="0"/>
    <n v="0"/>
    <n v="0"/>
    <n v="0"/>
    <n v="0"/>
    <n v="0"/>
    <n v="0"/>
    <n v="1"/>
    <n v="12"/>
    <n v="22"/>
    <n v="0"/>
    <n v="0.132"/>
    <n v="21.868"/>
    <n v="0"/>
    <n v="0"/>
    <n v="0"/>
    <n v="9.867999999999999"/>
    <s v="张颖"/>
    <s v="北京 北京市 东城区 崇文门外街道国瑞北路国瑞城中区2号楼2单元1602"/>
    <s v="17810331201-4291"/>
    <m/>
    <m/>
  </r>
  <r>
    <x v="178"/>
    <s v="已收货"/>
    <x v="416"/>
    <s v="刘小婷"/>
    <m/>
    <m/>
    <s v="样块"/>
    <s v="样块"/>
    <m/>
    <s v="已结算"/>
    <s v="杭州"/>
    <n v="7"/>
    <n v="5"/>
    <m/>
    <m/>
    <m/>
    <m/>
    <m/>
    <m/>
    <m/>
    <m/>
    <m/>
    <m/>
    <m/>
    <m/>
    <m/>
    <m/>
    <m/>
    <m/>
    <m/>
    <m/>
    <m/>
    <m/>
    <m/>
    <m/>
    <m/>
    <m/>
    <m/>
    <n v="2"/>
    <m/>
    <m/>
    <n v="5"/>
    <n v="0"/>
    <n v="0"/>
    <n v="0"/>
    <n v="0"/>
    <n v="0"/>
    <n v="0"/>
    <n v="0"/>
    <n v="1"/>
    <n v="12"/>
    <n v="22"/>
    <n v="0"/>
    <n v="0.132"/>
    <n v="21.868"/>
    <n v="0"/>
    <n v="0"/>
    <n v="0"/>
    <n v="9.867999999999999"/>
    <s v="刘小婷"/>
    <s v="浙江省 湖州市 安吉县 昌硕街道双溪口村258号"/>
    <s v="15785487857-8739"/>
    <m/>
    <m/>
  </r>
  <r>
    <x v="178"/>
    <s v="已收货"/>
    <x v="417"/>
    <s v="黄懿歆"/>
    <m/>
    <m/>
    <s v="插座*2"/>
    <s v="配件"/>
    <m/>
    <s v="已结算"/>
    <s v="其他"/>
    <n v="110"/>
    <n v="110"/>
    <m/>
    <m/>
    <m/>
    <m/>
    <m/>
    <m/>
    <m/>
    <m/>
    <m/>
    <m/>
    <m/>
    <m/>
    <m/>
    <m/>
    <m/>
    <m/>
    <m/>
    <m/>
    <m/>
    <m/>
    <m/>
    <m/>
    <m/>
    <m/>
    <m/>
    <m/>
    <m/>
    <m/>
    <n v="8"/>
    <n v="0"/>
    <n v="0"/>
    <n v="0"/>
    <n v="0"/>
    <n v="0"/>
    <n v="0"/>
    <n v="0"/>
    <n v="1"/>
    <n v="118"/>
    <n v="200"/>
    <n v="0"/>
    <n v="1.2"/>
    <n v="198.8"/>
    <n v="0"/>
    <n v="0"/>
    <n v="0"/>
    <n v="80.80000000000001"/>
    <s v="黄懿歆"/>
    <s v="贵州省 贵阳市 花溪区 溪北街道中铁·阅花溪A组团12栋17楼2号"/>
    <s v="18400314186-5233"/>
    <m/>
    <m/>
  </r>
  <r>
    <x v="178"/>
    <s v="已收货"/>
    <x v="418"/>
    <s v="王"/>
    <m/>
    <m/>
    <s v="补差价"/>
    <m/>
    <m/>
    <s v="已结算"/>
    <s v="庄毅"/>
    <n v="0"/>
    <n v="0"/>
    <m/>
    <m/>
    <m/>
    <m/>
    <m/>
    <m/>
    <m/>
    <m/>
    <m/>
    <m/>
    <m/>
    <m/>
    <m/>
    <m/>
    <m/>
    <m/>
    <m/>
    <m/>
    <m/>
    <m/>
    <m/>
    <m/>
    <m/>
    <m/>
    <m/>
    <m/>
    <m/>
    <m/>
    <n v="0"/>
    <n v="0"/>
    <n v="0"/>
    <n v="0"/>
    <n v="0"/>
    <n v="0"/>
    <n v="0"/>
    <n v="0"/>
    <n v="1"/>
    <n v="0"/>
    <n v="750"/>
    <n v="0"/>
    <n v="4.5"/>
    <n v="745.5"/>
    <n v="0"/>
    <n v="0"/>
    <n v="0"/>
    <n v="745.5"/>
    <s v="王"/>
    <s v="安徽省 亳州市 谯城区 亳州市经济技术开发区建投铂悦府20栋二单元902"/>
    <s v="18430738956-7666"/>
    <m/>
    <m/>
  </r>
  <r>
    <x v="178"/>
    <s v="已收货"/>
    <x v="419"/>
    <s v="文子"/>
    <m/>
    <m/>
    <s v="样块"/>
    <s v="样块"/>
    <m/>
    <s v="已结算"/>
    <s v="杭州"/>
    <n v="7"/>
    <n v="5"/>
    <m/>
    <m/>
    <m/>
    <m/>
    <m/>
    <m/>
    <m/>
    <m/>
    <m/>
    <m/>
    <m/>
    <m/>
    <m/>
    <m/>
    <m/>
    <m/>
    <m/>
    <m/>
    <m/>
    <m/>
    <m/>
    <m/>
    <m/>
    <m/>
    <m/>
    <n v="2"/>
    <m/>
    <m/>
    <n v="5"/>
    <n v="0"/>
    <n v="0"/>
    <n v="0"/>
    <n v="0"/>
    <n v="0"/>
    <n v="0"/>
    <n v="0"/>
    <n v="1"/>
    <n v="12"/>
    <n v="22"/>
    <n v="0"/>
    <n v="0.132"/>
    <n v="21.868"/>
    <n v="0"/>
    <n v="0"/>
    <n v="0"/>
    <n v="9.867999999999999"/>
    <s v="文子"/>
    <s v="福建省 漳州市 龙文区 步文街道龙江北路中梁远洋星海天宸3栋2601"/>
    <s v="17895965949-9669"/>
    <m/>
    <m/>
  </r>
  <r>
    <x v="179"/>
    <s v="已收货"/>
    <x v="420"/>
    <s v="张梅西"/>
    <m/>
    <m/>
    <s v="样块*2"/>
    <s v="样块"/>
    <m/>
    <s v="已结算"/>
    <s v="杭州"/>
    <n v="12"/>
    <n v="10"/>
    <m/>
    <m/>
    <m/>
    <m/>
    <m/>
    <m/>
    <m/>
    <m/>
    <m/>
    <m/>
    <m/>
    <m/>
    <m/>
    <m/>
    <m/>
    <m/>
    <m/>
    <m/>
    <m/>
    <m/>
    <m/>
    <m/>
    <m/>
    <m/>
    <m/>
    <n v="2"/>
    <m/>
    <m/>
    <n v="10"/>
    <n v="0"/>
    <n v="0"/>
    <n v="0"/>
    <n v="0"/>
    <n v="0"/>
    <n v="0"/>
    <n v="0"/>
    <n v="1"/>
    <n v="22"/>
    <n v="25"/>
    <n v="0"/>
    <n v="0.15"/>
    <n v="24.85"/>
    <n v="0"/>
    <n v="0"/>
    <n v="0"/>
    <n v="2.850000000000001"/>
    <s v="张梅西"/>
    <s v="北京 北京市 海淀区 西北旺镇栖海澐颂7号楼1单元1102"/>
    <s v="18400807481-8525"/>
    <m/>
    <m/>
  </r>
  <r>
    <x v="180"/>
    <s v="已收货"/>
    <x v="421"/>
    <s v="孟女士"/>
    <s v="单独给师傅免钉胶费用20元"/>
    <m/>
    <s v="砂白色2.0米岩板餐桌"/>
    <s v="榉木餐桌"/>
    <s v="200cm*85cm"/>
    <s v="已结算"/>
    <s v="江西"/>
    <n v="1952.5"/>
    <n v="1450"/>
    <m/>
    <m/>
    <m/>
    <m/>
    <n v="290"/>
    <m/>
    <m/>
    <m/>
    <m/>
    <m/>
    <m/>
    <m/>
    <m/>
    <m/>
    <m/>
    <m/>
    <n v="2.5"/>
    <m/>
    <m/>
    <m/>
    <m/>
    <m/>
    <m/>
    <m/>
    <m/>
    <n v="210"/>
    <m/>
    <m/>
    <n v="228"/>
    <n v="35"/>
    <n v="79"/>
    <n v="0"/>
    <n v="0"/>
    <n v="0"/>
    <n v="20"/>
    <n v="0"/>
    <n v="1"/>
    <n v="2314.5"/>
    <n v="3120.52"/>
    <n v="0"/>
    <n v="18.72312"/>
    <n v="3101.79688"/>
    <n v="0"/>
    <n v="0"/>
    <n v="0"/>
    <n v="787.2968799999999"/>
    <s v="孟女士"/>
    <s v="重庆 重庆市 沙坪坝区 土主街道龙湖熙上二组团5栋2单元501"/>
    <s v="14727238559-4604"/>
    <m/>
    <m/>
  </r>
  <r>
    <x v="180"/>
    <s v="已收货"/>
    <x v="422"/>
    <s v="甜妹子"/>
    <m/>
    <m/>
    <s v="窄柜-整柜洞石背板-1.0米"/>
    <s v="樱桃木窄柜"/>
    <n v="1000"/>
    <s v="已结算"/>
    <s v="江西"/>
    <n v="4292.74"/>
    <n v="3300"/>
    <n v="359.08"/>
    <n v="120"/>
    <m/>
    <n v="38"/>
    <n v="190"/>
    <n v="54"/>
    <n v="52"/>
    <m/>
    <n v="5"/>
    <m/>
    <m/>
    <m/>
    <m/>
    <n v="2"/>
    <n v="1.1"/>
    <n v="3.5"/>
    <m/>
    <m/>
    <m/>
    <m/>
    <m/>
    <m/>
    <m/>
    <m/>
    <m/>
    <n v="170"/>
    <m/>
    <m/>
    <n v="227"/>
    <n v="63"/>
    <n v="79"/>
    <n v="0"/>
    <n v="0"/>
    <n v="0"/>
    <n v="0"/>
    <n v="120"/>
    <n v="1"/>
    <n v="4781.74"/>
    <n v="5280.7"/>
    <n v="0"/>
    <n v="31.6842"/>
    <n v="5249.0158"/>
    <n v="0"/>
    <n v="0"/>
    <n v="0"/>
    <n v="467.2758000000003"/>
    <s v="甜妹子"/>
    <s v="广东省 深圳市 宝安区 西乡街道碧湾雅园A栋1103"/>
    <s v="15794981017-1621"/>
    <m/>
    <m/>
  </r>
  <r>
    <x v="180"/>
    <s v="已收货"/>
    <x v="423"/>
    <s v="李明"/>
    <m/>
    <m/>
    <s v="砂白色1.4米岩板餐桌"/>
    <s v="榉木餐桌"/>
    <s v="140cm*85cm"/>
    <s v="已结算"/>
    <s v="江西"/>
    <n v="1702.5"/>
    <n v="1300"/>
    <m/>
    <m/>
    <m/>
    <m/>
    <n v="220"/>
    <m/>
    <m/>
    <m/>
    <m/>
    <m/>
    <m/>
    <m/>
    <m/>
    <m/>
    <m/>
    <m/>
    <n v="2.5"/>
    <m/>
    <m/>
    <m/>
    <m/>
    <m/>
    <m/>
    <m/>
    <m/>
    <n v="180"/>
    <m/>
    <m/>
    <n v="96"/>
    <n v="0"/>
    <n v="0"/>
    <n v="0"/>
    <n v="0"/>
    <n v="0"/>
    <n v="0"/>
    <n v="0"/>
    <n v="1"/>
    <n v="1798.5"/>
    <n v="2764.36"/>
    <n v="0"/>
    <n v="16.58616"/>
    <n v="2747.77384"/>
    <n v="0"/>
    <n v="0"/>
    <n v="0"/>
    <n v="949.2738400000003"/>
    <s v="李明"/>
    <s v="广东省 广州市 白云区 太和镇广州市白云区太和镇大沥村大沥庙前路3号转(817620） 邮编：510550"/>
    <s v="13242330593-4538"/>
    <m/>
    <m/>
  </r>
  <r>
    <x v="180"/>
    <s v="未发货"/>
    <x v="424"/>
    <s v="种璐瑶"/>
    <m/>
    <m/>
    <s v="2.1洞石柜"/>
    <s v="洞石餐边柜"/>
    <n v="2100"/>
    <m/>
    <s v="江西"/>
    <n v="8933.746666666668"/>
    <n v="5700"/>
    <n v="690"/>
    <s v="52*2"/>
    <s v="2040/6/1.5"/>
    <m/>
    <n v="10"/>
    <n v="92"/>
    <n v="20"/>
    <m/>
    <m/>
    <n v="14"/>
    <n v="154"/>
    <n v="755.08"/>
    <m/>
    <m/>
    <m/>
    <m/>
    <n v="98"/>
    <n v="470"/>
    <m/>
    <m/>
    <m/>
    <m/>
    <m/>
    <m/>
    <m/>
    <n v="470"/>
    <m/>
    <m/>
    <n v="695"/>
    <n v="119"/>
    <n v="200"/>
    <n v="0"/>
    <n v="0"/>
    <n v="0"/>
    <n v="0"/>
    <n v="0"/>
    <n v="1"/>
    <n v="9947.746666666668"/>
    <n v="11045.56"/>
    <n v="0"/>
    <n v="66.27336"/>
    <n v="10979.28664"/>
    <n v="0"/>
    <n v="0"/>
    <n v="0"/>
    <n v="1031.539973333332"/>
    <s v="种璐瑶"/>
    <s v="浙江省 杭州市 余杭区 仓前街道龙湖交控西站杭与城2幢602"/>
    <s v="18413253110-5190"/>
    <m/>
    <m/>
  </r>
  <r>
    <x v="180"/>
    <s v="已收货"/>
    <x v="425"/>
    <s v="朱叶峰"/>
    <m/>
    <m/>
    <s v="1.2米榉木餐边柜"/>
    <s v="榉木餐边柜"/>
    <n v="1200"/>
    <s v="已结算"/>
    <s v="江西"/>
    <n v="5356"/>
    <n v="3500"/>
    <n v="718"/>
    <s v="22*6"/>
    <n v="52"/>
    <m/>
    <n v="10"/>
    <n v="200"/>
    <n v="280"/>
    <m/>
    <m/>
    <n v="380"/>
    <n v="84"/>
    <m/>
    <m/>
    <m/>
    <m/>
    <m/>
    <m/>
    <m/>
    <m/>
    <m/>
    <m/>
    <m/>
    <m/>
    <m/>
    <m/>
    <n v="380"/>
    <m/>
    <m/>
    <n v="242"/>
    <n v="0"/>
    <n v="109"/>
    <n v="0"/>
    <n v="0"/>
    <n v="0"/>
    <n v="0"/>
    <n v="0"/>
    <n v="1"/>
    <n v="5707"/>
    <n v="6332.62"/>
    <n v="0"/>
    <n v="37.99572"/>
    <n v="6294.62428"/>
    <n v="0"/>
    <n v="0"/>
    <n v="0"/>
    <n v="587.62428"/>
    <s v="朱叶峰"/>
    <s v="广东省 广州市 海珠区 昌岗街道 昌岗东路271号之一 403 房"/>
    <s v="18466125923-1548"/>
    <m/>
    <m/>
  </r>
  <r>
    <x v="180"/>
    <s v="已收货"/>
    <x v="426"/>
    <s v="王朝"/>
    <m/>
    <m/>
    <s v="曜黑柜-整柜-1.8米"/>
    <s v="曜黑餐边柜"/>
    <n v="1800"/>
    <s v="已结算"/>
    <s v="江西"/>
    <n v="10421.40833333333"/>
    <n v="8800"/>
    <n v="577"/>
    <n v="283.3333333333333"/>
    <m/>
    <m/>
    <n v="240"/>
    <n v="101.375"/>
    <n v="36"/>
    <n v="60"/>
    <m/>
    <n v="12"/>
    <n v="66"/>
    <n v="46"/>
    <m/>
    <n v="6"/>
    <n v="1.2"/>
    <n v="2.5"/>
    <m/>
    <m/>
    <m/>
    <m/>
    <m/>
    <m/>
    <m/>
    <m/>
    <m/>
    <n v="190"/>
    <m/>
    <m/>
    <n v="310"/>
    <n v="0"/>
    <n v="500"/>
    <n v="0"/>
    <n v="0"/>
    <n v="0"/>
    <n v="0"/>
    <n v="0"/>
    <n v="1"/>
    <n v="11231.40833333333"/>
    <n v="15108.57"/>
    <n v="0"/>
    <n v="90.65142"/>
    <n v="15017.91858"/>
    <n v="0"/>
    <n v="0"/>
    <n v="0"/>
    <n v="3786.510246666665"/>
    <s v="王朝"/>
    <s v="上海 上海市 嘉定区 马陆镇越秀保利嘉悦云上北地块35栋19号2102室"/>
    <s v="18466819837-9905"/>
    <m/>
    <m/>
  </r>
  <r>
    <x v="180"/>
    <s v="退货"/>
    <x v="427"/>
    <s v="拍拍红屁屁"/>
    <m/>
    <m/>
    <s v="砂白色1.6米岩板餐桌"/>
    <s v="榉木餐桌"/>
    <s v="160cm*85cm"/>
    <s v="已结算"/>
    <s v="江西"/>
    <n v="190"/>
    <n v="0"/>
    <m/>
    <m/>
    <m/>
    <m/>
    <m/>
    <m/>
    <m/>
    <m/>
    <m/>
    <m/>
    <m/>
    <m/>
    <m/>
    <m/>
    <m/>
    <m/>
    <m/>
    <m/>
    <m/>
    <m/>
    <m/>
    <m/>
    <m/>
    <m/>
    <m/>
    <n v="190"/>
    <m/>
    <m/>
    <n v="263"/>
    <n v="30"/>
    <n v="60"/>
    <n v="0"/>
    <n v="0"/>
    <n v="170"/>
    <n v="0"/>
    <n v="0"/>
    <n v="1"/>
    <n v="713"/>
    <n v="0"/>
    <n v="0"/>
    <n v="0"/>
    <n v="0"/>
    <n v="0"/>
    <n v="0"/>
    <n v="0"/>
    <n v="-713"/>
    <s v="拍拍红屁屁"/>
    <s v="江苏省 镇江市 句容市 华阳街道北部新城东区29栋1603（拒收韵达快递）"/>
    <s v="15784301412-1726"/>
    <m/>
    <m/>
  </r>
  <r>
    <x v="181"/>
    <s v="已收货"/>
    <x v="428"/>
    <s v="施施"/>
    <s v="1米洞石窄柜"/>
    <m/>
    <s v="窄柜-整柜洞石背板-1.0米"/>
    <s v="樱桃木窄柜"/>
    <n v="1000"/>
    <m/>
    <s v="江西"/>
    <n v="4292.74"/>
    <n v="3300"/>
    <n v="359.08"/>
    <n v="120"/>
    <m/>
    <n v="38"/>
    <n v="190"/>
    <n v="54"/>
    <n v="52"/>
    <m/>
    <n v="5"/>
    <m/>
    <m/>
    <m/>
    <m/>
    <n v="2"/>
    <n v="1.1"/>
    <n v="3.5"/>
    <m/>
    <m/>
    <m/>
    <m/>
    <m/>
    <m/>
    <m/>
    <m/>
    <m/>
    <n v="170"/>
    <m/>
    <m/>
    <n v="205"/>
    <n v="64"/>
    <n v="98"/>
    <n v="0"/>
    <n v="0"/>
    <n v="0"/>
    <n v="0"/>
    <n v="0"/>
    <n v="1"/>
    <n v="4659.74"/>
    <n v="5280.7"/>
    <n v="0"/>
    <n v="31.6842"/>
    <n v="5249.0158"/>
    <n v="0"/>
    <n v="0"/>
    <n v="0"/>
    <n v="589.2758000000003"/>
    <s v="施施"/>
    <s v="上海 上海市 浦东新区 三林镇江高路105弄前滩江悦名庭2号1101室"/>
    <s v="18466659712-1846"/>
    <m/>
    <m/>
  </r>
  <r>
    <x v="181"/>
    <s v="已收货"/>
    <x v="429"/>
    <s v="大快头ID二五二零"/>
    <m/>
    <m/>
    <s v="1.8洞石柜"/>
    <s v="洞石餐边柜"/>
    <n v="1800"/>
    <s v="已结算"/>
    <s v="江西"/>
    <n v="8887.746666666666"/>
    <n v="6100"/>
    <n v="580"/>
    <n v="80"/>
    <n v="567.08"/>
    <m/>
    <s v="2040/6/1.5"/>
    <n v="380"/>
    <n v="14"/>
    <m/>
    <m/>
    <n v="10"/>
    <n v="198"/>
    <s v="52*2"/>
    <m/>
    <m/>
    <m/>
    <m/>
    <n v="126"/>
    <n v="22"/>
    <n v="480"/>
    <m/>
    <m/>
    <m/>
    <m/>
    <m/>
    <m/>
    <n v="480"/>
    <m/>
    <m/>
    <n v="144"/>
    <n v="100"/>
    <n v="150"/>
    <n v="0"/>
    <n v="0"/>
    <n v="0"/>
    <n v="0"/>
    <n v="0"/>
    <n v="1"/>
    <n v="9281.746666666666"/>
    <n v="10854.52"/>
    <n v="0"/>
    <n v="65.12712000000001"/>
    <n v="10789.39288"/>
    <n v="0"/>
    <n v="0"/>
    <n v="0"/>
    <n v="1507.646213333335"/>
    <s v="大快头ID二五二零"/>
    <s v="广东省东莞市长安镇莞长路95号一辉大厦隔壁大快头集运ID二五二零区"/>
    <s v="大19902476417"/>
    <m/>
    <m/>
  </r>
  <r>
    <x v="181"/>
    <s v="已收货"/>
    <x v="430"/>
    <s v="大快头ID二五二零"/>
    <m/>
    <m/>
    <s v="补差价"/>
    <s v="洞石餐边柜"/>
    <m/>
    <s v="已结算"/>
    <s v="江西"/>
    <n v="0"/>
    <n v="0"/>
    <m/>
    <m/>
    <m/>
    <m/>
    <m/>
    <m/>
    <m/>
    <m/>
    <m/>
    <m/>
    <m/>
    <m/>
    <m/>
    <m/>
    <m/>
    <m/>
    <m/>
    <m/>
    <m/>
    <m/>
    <m/>
    <m/>
    <m/>
    <m/>
    <m/>
    <m/>
    <m/>
    <m/>
    <n v="0"/>
    <n v="0"/>
    <n v="0"/>
    <n v="0"/>
    <n v="0"/>
    <n v="0"/>
    <n v="0"/>
    <n v="0"/>
    <n v="1"/>
    <n v="0"/>
    <n v="455"/>
    <n v="0"/>
    <n v="2.73"/>
    <n v="452.27"/>
    <n v="0"/>
    <n v="0"/>
    <n v="0"/>
    <n v="452.27"/>
    <s v="大快头ID二五二零"/>
    <s v="广东省东莞市长安镇莞长路95号一辉大厦隔壁大快头集运ID二五二零区"/>
    <s v="大19902476417"/>
    <m/>
    <m/>
  </r>
  <r>
    <x v="182"/>
    <s v="已收货"/>
    <x v="431"/>
    <s v="王先生"/>
    <m/>
    <m/>
    <s v="1.8洞石柜"/>
    <s v="洞石餐边柜"/>
    <n v="1800"/>
    <s v="已结算"/>
    <s v="江西"/>
    <n v="8313.746666666666"/>
    <n v="6080"/>
    <n v="580"/>
    <n v="80"/>
    <n v="567.08"/>
    <m/>
    <s v="2040/6/1.5"/>
    <n v="380"/>
    <n v="14"/>
    <m/>
    <m/>
    <n v="10"/>
    <n v="198"/>
    <s v="52*2"/>
    <m/>
    <m/>
    <m/>
    <m/>
    <m/>
    <n v="74"/>
    <m/>
    <m/>
    <m/>
    <m/>
    <m/>
    <m/>
    <m/>
    <n v="380"/>
    <m/>
    <m/>
    <n v="392"/>
    <n v="112"/>
    <n v="205"/>
    <n v="0"/>
    <n v="0"/>
    <n v="0"/>
    <n v="0"/>
    <n v="0"/>
    <n v="1"/>
    <n v="9022.746666666666"/>
    <n v="10464.28"/>
    <n v="0"/>
    <n v="62.78568000000001"/>
    <n v="10401.49432"/>
    <n v="0"/>
    <n v="0"/>
    <n v="0"/>
    <n v="1378.747653333334"/>
    <s v="王先生"/>
    <s v="广东省 佛山市 禅城区 张槎街道宁泰路8号大华紫樾府2栋1901"/>
    <s v="18466323298-8523"/>
    <m/>
    <m/>
  </r>
  <r>
    <x v="183"/>
    <s v="已收货"/>
    <x v="432"/>
    <s v="刘钊岐"/>
    <m/>
    <m/>
    <s v="砂白色1.6米岩板餐桌"/>
    <s v="榉木餐桌"/>
    <s v="160cm*85cm"/>
    <s v="已结算"/>
    <s v="江西"/>
    <n v="1782.5"/>
    <n v="1350"/>
    <m/>
    <m/>
    <m/>
    <m/>
    <n v="240"/>
    <m/>
    <m/>
    <m/>
    <m/>
    <m/>
    <m/>
    <m/>
    <m/>
    <m/>
    <m/>
    <m/>
    <n v="2.5"/>
    <m/>
    <m/>
    <m/>
    <m/>
    <m/>
    <m/>
    <m/>
    <m/>
    <n v="190"/>
    <m/>
    <m/>
    <n v="90"/>
    <n v="30"/>
    <n v="75"/>
    <n v="0"/>
    <n v="0"/>
    <n v="0"/>
    <n v="0"/>
    <n v="0"/>
    <n v="1"/>
    <n v="1977.5"/>
    <n v="2854.27"/>
    <n v="0"/>
    <n v="17.12562"/>
    <n v="2837.14438"/>
    <n v="0"/>
    <n v="0"/>
    <n v="0"/>
    <n v="859.6443800000002"/>
    <s v="刘钊岐"/>
    <s v="浙江省 杭州市 余杭区 良渚街道 才泊嘉院6号楼1806室"/>
    <s v="18413250782-8216"/>
    <m/>
    <m/>
  </r>
  <r>
    <x v="183"/>
    <s v="已收货"/>
    <x v="433"/>
    <s v="树杰"/>
    <m/>
    <m/>
    <s v="追加岩板"/>
    <s v="配件"/>
    <m/>
    <m/>
    <s v="江西"/>
    <n v="0"/>
    <n v="0"/>
    <m/>
    <m/>
    <m/>
    <m/>
    <m/>
    <m/>
    <m/>
    <m/>
    <m/>
    <m/>
    <m/>
    <m/>
    <m/>
    <m/>
    <m/>
    <m/>
    <m/>
    <m/>
    <m/>
    <m/>
    <m/>
    <m/>
    <m/>
    <m/>
    <m/>
    <m/>
    <m/>
    <m/>
    <n v="0"/>
    <n v="0"/>
    <n v="0"/>
    <n v="0"/>
    <n v="0"/>
    <n v="0"/>
    <n v="0"/>
    <n v="0"/>
    <n v="1"/>
    <n v="0"/>
    <n v="533"/>
    <n v="0"/>
    <n v="3.198"/>
    <n v="529.802"/>
    <n v="0"/>
    <n v="0"/>
    <n v="0"/>
    <n v="529.802"/>
    <s v="树杰"/>
    <s v="广东省 广州市 白云区 太和镇 龙归龙河西路西南五横路4号（波屯斯鞋业一楼）启顺国际物流QS5734-SYD"/>
    <s v="14737697527-8190"/>
    <m/>
    <m/>
  </r>
  <r>
    <x v="184"/>
    <s v="已收货"/>
    <x v="434"/>
    <s v="王博"/>
    <m/>
    <m/>
    <s v="窄柜-整柜洞石背板-1.0米"/>
    <s v="樱桃木窄柜"/>
    <n v="1000"/>
    <s v="已结算"/>
    <s v="江西"/>
    <n v="4228.74"/>
    <n v="3300"/>
    <n v="359.08"/>
    <n v="120"/>
    <m/>
    <n v="38"/>
    <n v="180"/>
    <n v="54"/>
    <n v="52"/>
    <m/>
    <n v="5"/>
    <m/>
    <m/>
    <m/>
    <m/>
    <n v="2"/>
    <n v="1.1"/>
    <n v="3.5"/>
    <m/>
    <m/>
    <m/>
    <m/>
    <m/>
    <m/>
    <m/>
    <m/>
    <m/>
    <n v="170"/>
    <m/>
    <m/>
    <n v="304"/>
    <n v="58"/>
    <n v="111"/>
    <n v="0"/>
    <n v="0"/>
    <n v="0"/>
    <n v="0"/>
    <n v="0"/>
    <n v="1"/>
    <n v="4701.74"/>
    <n v="5285.7"/>
    <n v="0"/>
    <n v="31.7142"/>
    <n v="5253.985799999999"/>
    <n v="0"/>
    <n v="0"/>
    <n v="0"/>
    <n v="552.2457999999997"/>
    <s v="王博"/>
    <s v="北京 北京市 丰台区 王佐镇 山湖路6号院翡翠西湖二期5号楼2单元401"/>
    <s v="18400824173-7010"/>
    <m/>
    <m/>
  </r>
  <r>
    <x v="184"/>
    <s v="已收货"/>
    <x v="435"/>
    <s v="刘亮"/>
    <m/>
    <m/>
    <s v="砂白色1.8米岩板餐桌"/>
    <s v="榉木餐桌"/>
    <s v="180cm*85cm"/>
    <s v="已结算"/>
    <s v="江西"/>
    <n v="1832.5"/>
    <n v="1400"/>
    <m/>
    <m/>
    <m/>
    <m/>
    <n v="240"/>
    <m/>
    <m/>
    <m/>
    <m/>
    <m/>
    <m/>
    <m/>
    <m/>
    <m/>
    <m/>
    <m/>
    <n v="2.5"/>
    <m/>
    <m/>
    <m/>
    <m/>
    <m/>
    <m/>
    <m/>
    <m/>
    <n v="190"/>
    <m/>
    <m/>
    <n v="180"/>
    <n v="35"/>
    <n v="80"/>
    <n v="0"/>
    <n v="0"/>
    <n v="0"/>
    <n v="0"/>
    <n v="0"/>
    <n v="1"/>
    <n v="2127.5"/>
    <n v="3043.04"/>
    <n v="0"/>
    <n v="18.25824"/>
    <n v="3024.78176"/>
    <n v="0"/>
    <n v="0"/>
    <n v="0"/>
    <n v="897.2817599999998"/>
    <s v="刘亮"/>
    <s v="辽宁省 沈阳市 于洪区 造化街道 松山西路中铁丁香水岸44#322"/>
    <s v="17896113734-7049"/>
    <m/>
    <m/>
  </r>
  <r>
    <x v="184"/>
    <s v="已收货"/>
    <x v="436"/>
    <s v="智爱"/>
    <m/>
    <m/>
    <s v="1.8洞石柜"/>
    <s v="洞石餐边柜"/>
    <n v="1800"/>
    <s v="已结算"/>
    <s v="江西"/>
    <n v="8323.746666666666"/>
    <n v="6080"/>
    <n v="580"/>
    <n v="80"/>
    <n v="567.08"/>
    <m/>
    <s v="2040/6/1.5"/>
    <n v="380"/>
    <n v="14"/>
    <m/>
    <m/>
    <n v="10"/>
    <n v="198"/>
    <s v="52*2"/>
    <m/>
    <m/>
    <m/>
    <m/>
    <m/>
    <n v="84"/>
    <m/>
    <m/>
    <m/>
    <m/>
    <m/>
    <m/>
    <m/>
    <n v="380"/>
    <m/>
    <m/>
    <n v="590"/>
    <n v="112"/>
    <n v="200"/>
    <n v="0"/>
    <n v="0"/>
    <n v="0"/>
    <n v="0"/>
    <n v="0"/>
    <n v="1"/>
    <n v="9225.746666666666"/>
    <n v="10464.28"/>
    <n v="0"/>
    <n v="62.78568000000001"/>
    <n v="10401.49432"/>
    <n v="0"/>
    <n v="0"/>
    <n v="0"/>
    <n v="1175.747653333334"/>
    <s v="智爱"/>
    <s v="北京 北京市 通州区 通运街道 M5运河1号3号楼1111"/>
    <s v="86-15210340701"/>
    <m/>
    <m/>
  </r>
  <r>
    <x v="184"/>
    <s v="已收货"/>
    <x v="437"/>
    <s v="郑先生"/>
    <m/>
    <m/>
    <s v="砂白色1.8米岩板餐桌"/>
    <s v="榉木餐桌"/>
    <s v="180cm*85cm"/>
    <s v="已结算"/>
    <s v="江西"/>
    <n v="1902.5"/>
    <n v="1400"/>
    <m/>
    <m/>
    <m/>
    <m/>
    <n v="240"/>
    <m/>
    <m/>
    <m/>
    <m/>
    <m/>
    <m/>
    <m/>
    <m/>
    <m/>
    <m/>
    <m/>
    <n v="2.5"/>
    <m/>
    <m/>
    <m/>
    <m/>
    <m/>
    <m/>
    <m/>
    <m/>
    <n v="260"/>
    <m/>
    <m/>
    <n v="173"/>
    <n v="0"/>
    <n v="60"/>
    <n v="0"/>
    <n v="0"/>
    <n v="0"/>
    <n v="0"/>
    <n v="0"/>
    <n v="1"/>
    <n v="2135.5"/>
    <n v="2983.04"/>
    <n v="0"/>
    <n v="17.89824"/>
    <n v="2965.14176"/>
    <n v="0"/>
    <n v="0"/>
    <n v="0"/>
    <n v="829.64176"/>
    <s v="郑先生"/>
    <s v="四川省 成都市 锦江区 沙河街道 万科城市花园彩域94栋C-101"/>
    <s v="18418982494-7976"/>
    <m/>
    <m/>
  </r>
  <r>
    <x v="185"/>
    <s v="已收货"/>
    <x v="438"/>
    <s v="胡克栋"/>
    <m/>
    <m/>
    <s v="样块"/>
    <s v="样块"/>
    <m/>
    <s v="已结算"/>
    <s v="杭州"/>
    <n v="7"/>
    <n v="5"/>
    <m/>
    <m/>
    <m/>
    <m/>
    <m/>
    <m/>
    <m/>
    <m/>
    <m/>
    <m/>
    <m/>
    <m/>
    <m/>
    <m/>
    <m/>
    <m/>
    <m/>
    <m/>
    <m/>
    <m/>
    <m/>
    <m/>
    <m/>
    <m/>
    <m/>
    <n v="2"/>
    <m/>
    <m/>
    <n v="5"/>
    <n v="0"/>
    <n v="0"/>
    <n v="0"/>
    <n v="0"/>
    <n v="0"/>
    <n v="0"/>
    <n v="0"/>
    <n v="1"/>
    <n v="12"/>
    <n v="22"/>
    <n v="0"/>
    <n v="0.132"/>
    <n v="21.868"/>
    <n v="0"/>
    <n v="0"/>
    <n v="0"/>
    <n v="9.867999999999999"/>
    <s v="胡克栋"/>
    <s v="甘肃省 兰州市 榆中县 和平镇牡丹路金科公寓16栋"/>
    <s v="15619424060-1999"/>
    <m/>
    <m/>
  </r>
  <r>
    <x v="185"/>
    <s v="已收货"/>
    <x v="439"/>
    <s v="王庆红"/>
    <m/>
    <m/>
    <s v="榉木多巴胺凳子"/>
    <s v="椅子"/>
    <m/>
    <m/>
    <s v="江西"/>
    <n v="658"/>
    <n v="658"/>
    <m/>
    <m/>
    <m/>
    <m/>
    <m/>
    <m/>
    <m/>
    <m/>
    <m/>
    <m/>
    <m/>
    <m/>
    <m/>
    <m/>
    <m/>
    <m/>
    <m/>
    <m/>
    <m/>
    <m/>
    <m/>
    <m/>
    <m/>
    <m/>
    <m/>
    <m/>
    <m/>
    <m/>
    <n v="0"/>
    <n v="0"/>
    <n v="0"/>
    <n v="0"/>
    <n v="0"/>
    <n v="0"/>
    <n v="0"/>
    <n v="0"/>
    <n v="1"/>
    <n v="658"/>
    <n v="916.5"/>
    <n v="0"/>
    <n v="5.499000000000001"/>
    <n v="911.001"/>
    <n v="0"/>
    <n v="0"/>
    <n v="0"/>
    <n v="253.001"/>
    <s v="王庆红"/>
    <s v="浙江省 丽水市 莲都区 南明山街道 江南路消防救援站"/>
    <s v="18413272576-9886"/>
    <m/>
    <m/>
  </r>
  <r>
    <x v="185"/>
    <s v="已退款"/>
    <x v="440"/>
    <s v="林俊"/>
    <m/>
    <m/>
    <s v="样块"/>
    <s v="样块"/>
    <m/>
    <s v="已结算"/>
    <s v="江西"/>
    <n v="7"/>
    <n v="5"/>
    <m/>
    <m/>
    <m/>
    <m/>
    <m/>
    <m/>
    <m/>
    <m/>
    <m/>
    <m/>
    <m/>
    <m/>
    <m/>
    <m/>
    <m/>
    <m/>
    <m/>
    <m/>
    <m/>
    <m/>
    <m/>
    <m/>
    <m/>
    <m/>
    <m/>
    <n v="2"/>
    <m/>
    <m/>
    <n v="5"/>
    <n v="0"/>
    <n v="0"/>
    <n v="0"/>
    <n v="0"/>
    <n v="0"/>
    <n v="0"/>
    <n v="0"/>
    <n v="1"/>
    <n v="12"/>
    <n v="0"/>
    <n v="0"/>
    <n v="0"/>
    <n v="0"/>
    <n v="0"/>
    <n v="0"/>
    <n v="0"/>
    <n v="-12"/>
    <s v="林俊"/>
    <s v="福建省 福州市 仓山区 建新镇绿映路融侨悦江南8座1201"/>
    <s v="18480124303-7588"/>
    <m/>
    <m/>
  </r>
  <r>
    <x v="185"/>
    <s v="已收货"/>
    <x v="441"/>
    <s v="胡月月"/>
    <m/>
    <m/>
    <s v="隔板"/>
    <s v="配件"/>
    <m/>
    <s v="已结算"/>
    <s v="江西"/>
    <n v="50"/>
    <n v="50"/>
    <m/>
    <m/>
    <m/>
    <m/>
    <m/>
    <m/>
    <m/>
    <m/>
    <m/>
    <m/>
    <m/>
    <m/>
    <m/>
    <m/>
    <m/>
    <m/>
    <m/>
    <m/>
    <m/>
    <m/>
    <m/>
    <m/>
    <m/>
    <m/>
    <m/>
    <m/>
    <m/>
    <m/>
    <n v="15"/>
    <n v="0"/>
    <n v="0"/>
    <n v="0"/>
    <n v="0"/>
    <n v="0"/>
    <n v="0"/>
    <n v="0"/>
    <n v="1"/>
    <n v="65"/>
    <n v="79"/>
    <n v="0"/>
    <n v="0.474"/>
    <n v="78.526"/>
    <n v="0"/>
    <n v="0"/>
    <n v="0"/>
    <n v="13.526"/>
    <s v="胡月月"/>
    <s v="浙江省 台州市 椒江区 洪家街道 海城路荣安棠樾5幢1501 室"/>
    <s v="15786493595-4166"/>
    <m/>
    <m/>
  </r>
  <r>
    <x v="185"/>
    <s v="已收货"/>
    <x v="442"/>
    <s v="河马一"/>
    <m/>
    <m/>
    <s v="砂白色1.6米岩板餐桌"/>
    <s v="榉木餐桌"/>
    <s v="160cm*85cm"/>
    <s v="已结算"/>
    <s v="江西"/>
    <n v="1782.5"/>
    <n v="1350"/>
    <m/>
    <m/>
    <m/>
    <m/>
    <n v="240"/>
    <m/>
    <m/>
    <m/>
    <m/>
    <m/>
    <m/>
    <m/>
    <m/>
    <m/>
    <m/>
    <m/>
    <n v="2.5"/>
    <m/>
    <m/>
    <m/>
    <m/>
    <m/>
    <m/>
    <m/>
    <m/>
    <n v="190"/>
    <m/>
    <m/>
    <n v="102"/>
    <n v="30"/>
    <n v="0"/>
    <n v="0"/>
    <n v="0"/>
    <n v="0"/>
    <n v="0"/>
    <n v="0"/>
    <n v="1"/>
    <n v="1914.5"/>
    <n v="2854.27"/>
    <n v="0"/>
    <n v="17.12562"/>
    <n v="2837.14438"/>
    <n v="0"/>
    <n v="0"/>
    <n v="0"/>
    <n v="922.6443800000002"/>
    <s v="河马一"/>
    <s v="广东省 佛山市 禅城区 石湾镇街道汇银·奥林匹克花园 41 座 1402"/>
    <s v="18466322302-9218"/>
    <m/>
    <m/>
  </r>
  <r>
    <x v="186"/>
    <s v="已收货"/>
    <x v="443"/>
    <s v="晏先生"/>
    <m/>
    <m/>
    <s v="砂白色1.8米岩板餐桌"/>
    <s v="榉木餐桌"/>
    <s v="180cm*85cm"/>
    <s v="已结算"/>
    <s v="江西"/>
    <n v="1852.5"/>
    <n v="1400"/>
    <m/>
    <m/>
    <m/>
    <m/>
    <n v="240"/>
    <m/>
    <m/>
    <m/>
    <m/>
    <m/>
    <m/>
    <m/>
    <m/>
    <m/>
    <m/>
    <m/>
    <n v="2.5"/>
    <m/>
    <m/>
    <m/>
    <m/>
    <m/>
    <m/>
    <m/>
    <m/>
    <n v="210"/>
    <m/>
    <m/>
    <n v="107"/>
    <n v="35"/>
    <n v="79"/>
    <n v="0"/>
    <n v="0"/>
    <n v="0"/>
    <n v="0"/>
    <n v="0"/>
    <n v="1"/>
    <n v="2073.5"/>
    <n v="2983.04"/>
    <n v="0"/>
    <n v="17.89824"/>
    <n v="2965.14176"/>
    <n v="0"/>
    <n v="0"/>
    <n v="0"/>
    <n v="891.64176"/>
    <s v="晏先生"/>
    <s v="广东省佛山市禅城区祖庙街道东建明德城翰府4座1704"/>
    <s v="13528941041-2065"/>
    <m/>
    <m/>
  </r>
  <r>
    <x v="186"/>
    <s v="已收货"/>
    <x v="444"/>
    <s v="火山"/>
    <m/>
    <m/>
    <s v="定制1.45窄柜"/>
    <s v="樱桃木窄柜"/>
    <n v="1450"/>
    <s v="已结算"/>
    <s v="江西"/>
    <n v="5857"/>
    <n v="4400"/>
    <n v="290"/>
    <n v="405"/>
    <n v="486"/>
    <m/>
    <s v="22*5"/>
    <n v="38"/>
    <s v="52*2"/>
    <m/>
    <m/>
    <n v="10"/>
    <n v="14"/>
    <m/>
    <m/>
    <m/>
    <m/>
    <m/>
    <m/>
    <m/>
    <m/>
    <m/>
    <m/>
    <m/>
    <m/>
    <m/>
    <m/>
    <n v="405"/>
    <m/>
    <m/>
    <n v="299"/>
    <n v="86"/>
    <n v="80"/>
    <n v="0"/>
    <n v="0"/>
    <n v="0"/>
    <n v="0"/>
    <n v="0"/>
    <n v="1"/>
    <n v="6322"/>
    <n v="6775"/>
    <n v="0"/>
    <n v="40.65"/>
    <n v="6734.35"/>
    <n v="0"/>
    <n v="0"/>
    <n v="0"/>
    <n v="412.3500000000004"/>
    <s v="火山"/>
    <s v="广东省 广州市 番禺区 南村镇番禺区南村镇铂世湾f7 27"/>
    <s v="13144403461-4566"/>
    <m/>
    <m/>
  </r>
  <r>
    <x v="186"/>
    <s v="已收货"/>
    <x v="445"/>
    <s v="大宝"/>
    <m/>
    <m/>
    <s v="砂白色2.0米岩板餐桌"/>
    <s v="榉木餐桌"/>
    <s v="200cm*85cm"/>
    <s v="已结算"/>
    <s v="庄毅"/>
    <n v="1938.5"/>
    <n v="1630"/>
    <m/>
    <m/>
    <m/>
    <m/>
    <n v="306"/>
    <m/>
    <m/>
    <m/>
    <m/>
    <m/>
    <m/>
    <m/>
    <m/>
    <m/>
    <m/>
    <m/>
    <n v="2.5"/>
    <m/>
    <m/>
    <m/>
    <m/>
    <m/>
    <m/>
    <m/>
    <m/>
    <m/>
    <m/>
    <m/>
    <n v="278.5"/>
    <n v="0"/>
    <n v="188"/>
    <n v="0"/>
    <n v="0"/>
    <n v="0"/>
    <n v="0"/>
    <n v="0"/>
    <n v="1"/>
    <n v="2405"/>
    <n v="3120.52"/>
    <n v="0"/>
    <n v="18.72312"/>
    <n v="3101.79688"/>
    <n v="0"/>
    <n v="0"/>
    <n v="0"/>
    <n v="696.7968799999999"/>
    <s v="大宝"/>
    <s v="四川省 成都市 武侯区 火车南站街道芳草地3栋5单元8-15"/>
    <s v="17823176672-6914"/>
    <m/>
    <m/>
  </r>
  <r>
    <x v="186"/>
    <s v="已收货"/>
    <x v="446"/>
    <s v="林俊"/>
    <m/>
    <m/>
    <s v="砂白色1.4米岩板餐桌"/>
    <s v="榉木餐桌"/>
    <s v="140cm*85cm"/>
    <s v="已结算"/>
    <s v="江西"/>
    <n v="1722.5"/>
    <n v="1300"/>
    <m/>
    <m/>
    <m/>
    <m/>
    <n v="240"/>
    <m/>
    <m/>
    <m/>
    <m/>
    <m/>
    <m/>
    <m/>
    <m/>
    <m/>
    <m/>
    <m/>
    <n v="2.5"/>
    <m/>
    <m/>
    <m/>
    <m/>
    <m/>
    <m/>
    <m/>
    <m/>
    <n v="180"/>
    <m/>
    <m/>
    <n v="109"/>
    <n v="30"/>
    <n v="69"/>
    <n v="0"/>
    <n v="0"/>
    <n v="0"/>
    <n v="0"/>
    <n v="0"/>
    <n v="1"/>
    <n v="1930.5"/>
    <n v="2759.36"/>
    <n v="0"/>
    <n v="16.55616"/>
    <n v="2742.80384"/>
    <n v="0"/>
    <n v="0"/>
    <n v="0"/>
    <n v="812.30384"/>
    <s v="林俊"/>
    <s v="福建省 福州市 仓山区 建新镇绿映路融侨悦江南8座1201"/>
    <s v="18480124303-7588"/>
    <m/>
    <m/>
  </r>
  <r>
    <x v="187"/>
    <s v="已收货"/>
    <x v="447"/>
    <s v="陶陶"/>
    <m/>
    <m/>
    <s v="窄柜-整柜洞石背板-0.8米"/>
    <s v="樱桃木窄柜"/>
    <n v="800"/>
    <s v="已结算"/>
    <s v="江西"/>
    <n v="4103.18"/>
    <n v="3100"/>
    <n v="307.08"/>
    <n v="115"/>
    <m/>
    <n v="38"/>
    <n v="180"/>
    <n v="54"/>
    <n v="52"/>
    <m/>
    <n v="4"/>
    <m/>
    <m/>
    <m/>
    <n v="3.5"/>
    <n v="5"/>
    <n v="1.1"/>
    <n v="3.5"/>
    <m/>
    <m/>
    <m/>
    <m/>
    <m/>
    <m/>
    <m/>
    <m/>
    <n v="70"/>
    <n v="170"/>
    <m/>
    <m/>
    <n v="163"/>
    <n v="51"/>
    <n v="78"/>
    <n v="0"/>
    <n v="0"/>
    <n v="0"/>
    <n v="0"/>
    <n v="0"/>
    <n v="1"/>
    <n v="4395.18"/>
    <n v="5285.7"/>
    <n v="0"/>
    <n v="31.7142"/>
    <n v="5253.985799999999"/>
    <n v="0"/>
    <n v="0"/>
    <n v="0"/>
    <n v="858.8057999999992"/>
    <s v="陈君琳"/>
    <s v="浙江省 金华市 义乌市 稠江街道云潮府21栋22楼2201"/>
    <s v="15787479550-5122"/>
    <m/>
    <m/>
  </r>
  <r>
    <x v="187"/>
    <s v="已收货"/>
    <x v="448"/>
    <s v="香香"/>
    <m/>
    <m/>
    <s v="样块"/>
    <s v="样块"/>
    <m/>
    <s v="已结算"/>
    <s v="杭州"/>
    <n v="7"/>
    <n v="5"/>
    <m/>
    <m/>
    <m/>
    <m/>
    <m/>
    <m/>
    <m/>
    <m/>
    <m/>
    <m/>
    <m/>
    <m/>
    <m/>
    <m/>
    <m/>
    <m/>
    <m/>
    <m/>
    <m/>
    <m/>
    <m/>
    <m/>
    <m/>
    <m/>
    <m/>
    <n v="2"/>
    <m/>
    <m/>
    <n v="5"/>
    <n v="0"/>
    <n v="0"/>
    <n v="0"/>
    <n v="0"/>
    <n v="0"/>
    <n v="0"/>
    <n v="0"/>
    <n v="1"/>
    <n v="12"/>
    <n v="22"/>
    <n v="0"/>
    <n v="0.132"/>
    <n v="21.868"/>
    <n v="0"/>
    <n v="0"/>
    <n v="0"/>
    <n v="9.867999999999999"/>
    <s v="陶陶"/>
    <s v="江苏省 苏州市 常熟市 琴川街道中南林樾香庭15-2602"/>
    <s v="17895051429-6637"/>
    <m/>
    <m/>
  </r>
  <r>
    <x v="187"/>
    <s v="已收货"/>
    <x v="449"/>
    <s v="李娜"/>
    <m/>
    <m/>
    <s v="1.5基础柜aa柱子"/>
    <s v="基础餐边柜"/>
    <n v="1500"/>
    <s v="已结算"/>
    <s v="庄毅-江西"/>
    <n v="5538.6"/>
    <n v="4500"/>
    <n v="501"/>
    <n v="28"/>
    <n v="14"/>
    <m/>
    <n v="10"/>
    <s v="180*1.5*0.48"/>
    <s v="72*2"/>
    <m/>
    <m/>
    <n v="20"/>
    <s v="26*2"/>
    <n v="60"/>
    <m/>
    <m/>
    <m/>
    <m/>
    <m/>
    <n v="80"/>
    <m/>
    <m/>
    <m/>
    <m/>
    <m/>
    <m/>
    <m/>
    <n v="80"/>
    <m/>
    <m/>
    <n v="1186"/>
    <n v="40"/>
    <n v="125"/>
    <n v="0"/>
    <n v="0"/>
    <n v="0"/>
    <n v="0"/>
    <n v="0"/>
    <n v="1"/>
    <n v="6889.6"/>
    <n v="7740.9"/>
    <n v="0"/>
    <n v="46.4454"/>
    <n v="7694.4546"/>
    <n v="0"/>
    <n v="0"/>
    <n v="0"/>
    <n v="804.8545999999997"/>
    <s v="香香"/>
    <s v="浙江省 杭州市 建德市 洋溪街道江洋溪街道 一江春水一江春水"/>
    <s v="18413273034-9470"/>
    <m/>
    <m/>
  </r>
  <r>
    <x v="188"/>
    <s v="已收货"/>
    <x v="450"/>
    <s v="梁芳"/>
    <m/>
    <m/>
    <s v="砂白色1.6米岩板餐桌"/>
    <s v="榉木餐桌"/>
    <s v="160cm*85cm"/>
    <s v="已结算"/>
    <s v="江西"/>
    <n v="1782.5"/>
    <n v="1350"/>
    <m/>
    <m/>
    <m/>
    <m/>
    <n v="240"/>
    <m/>
    <m/>
    <m/>
    <m/>
    <m/>
    <m/>
    <m/>
    <m/>
    <m/>
    <m/>
    <m/>
    <n v="2.5"/>
    <m/>
    <m/>
    <m/>
    <m/>
    <m/>
    <m/>
    <m/>
    <m/>
    <n v="190"/>
    <m/>
    <m/>
    <n v="103"/>
    <n v="30"/>
    <n v="69"/>
    <n v="0"/>
    <n v="0"/>
    <n v="0"/>
    <n v="0"/>
    <n v="0"/>
    <n v="1"/>
    <n v="1984.5"/>
    <n v="2849.27"/>
    <n v="0"/>
    <n v="17.09562"/>
    <n v="2832.17438"/>
    <n v="0"/>
    <n v="0"/>
    <n v="0"/>
    <n v="847.6743799999999"/>
    <s v="李娜"/>
    <s v="海南省 三亚市 吉阳区 吉阳镇海南省三亚市吉阳区迎宾路中段万科湖畔度假公园二期万科里.G6A"/>
    <s v="17689845404-5248"/>
    <m/>
    <m/>
  </r>
  <r>
    <x v="188"/>
    <s v="已收货"/>
    <x v="451"/>
    <s v="卢欢"/>
    <m/>
    <m/>
    <s v="砂白色1.6米岩板餐桌"/>
    <s v="榉木餐桌"/>
    <s v="160cm*85cm"/>
    <s v="已结算"/>
    <s v="江西"/>
    <n v="1782.5"/>
    <n v="1350"/>
    <m/>
    <m/>
    <m/>
    <m/>
    <n v="240"/>
    <m/>
    <m/>
    <m/>
    <m/>
    <m/>
    <m/>
    <m/>
    <m/>
    <m/>
    <m/>
    <m/>
    <n v="2.5"/>
    <m/>
    <m/>
    <m/>
    <m/>
    <m/>
    <m/>
    <m/>
    <m/>
    <n v="190"/>
    <m/>
    <m/>
    <n v="93"/>
    <n v="30"/>
    <n v="118"/>
    <n v="0"/>
    <n v="0"/>
    <n v="0"/>
    <n v="0"/>
    <n v="0"/>
    <n v="1"/>
    <n v="2023.5"/>
    <n v="2849.27"/>
    <n v="0"/>
    <n v="17.09562"/>
    <n v="2832.17438"/>
    <n v="0"/>
    <n v="0"/>
    <n v="0"/>
    <n v="808.6743799999999"/>
    <s v="梁芳"/>
    <s v="湖南省 长沙市 雨花区 东山街道绿地城际空间站二期F2栋3401"/>
    <s v="15783460272-6182"/>
    <m/>
    <m/>
  </r>
  <r>
    <x v="189"/>
    <s v="已收货"/>
    <x v="452"/>
    <s v="cmcc"/>
    <m/>
    <m/>
    <s v="砂白色1.8米岩板餐桌，定制"/>
    <s v="榉木餐桌"/>
    <s v="180cm*80cm"/>
    <s v="已结算"/>
    <s v="江西"/>
    <n v="1742.5"/>
    <n v="1400"/>
    <m/>
    <m/>
    <m/>
    <m/>
    <n v="240"/>
    <m/>
    <m/>
    <m/>
    <m/>
    <m/>
    <m/>
    <m/>
    <m/>
    <m/>
    <m/>
    <m/>
    <n v="2.5"/>
    <m/>
    <m/>
    <m/>
    <m/>
    <m/>
    <m/>
    <m/>
    <m/>
    <n v="100"/>
    <m/>
    <m/>
    <n v="300"/>
    <n v="0"/>
    <n v="0"/>
    <n v="0"/>
    <n v="0"/>
    <n v="0"/>
    <n v="0"/>
    <n v="0"/>
    <n v="1"/>
    <n v="2042.5"/>
    <n v="2930"/>
    <n v="0"/>
    <n v="17.58"/>
    <n v="2912.42"/>
    <n v="0"/>
    <n v="0"/>
    <n v="0"/>
    <n v="869.9200000000001"/>
    <s v="拍拍红屁屁"/>
    <s v="江苏省 镇江市 句容市 华阳街道北部新城东区29栋1603（拒收韵达快递）"/>
    <s v="15784301412-1726"/>
    <m/>
    <m/>
  </r>
  <r>
    <x v="189"/>
    <s v="已收货"/>
    <x v="453"/>
    <s v="梁先生"/>
    <m/>
    <m/>
    <s v="窄柜-整柜洞石背板-1.0米"/>
    <s v="樱桃木窄柜"/>
    <n v="1000"/>
    <s v="已结算"/>
    <s v="庄毅"/>
    <n v="3994.71"/>
    <n v="3300"/>
    <n v="359.08"/>
    <n v="120"/>
    <m/>
    <n v="38"/>
    <n v="106.8"/>
    <n v="59.23"/>
    <m/>
    <m/>
    <n v="5"/>
    <m/>
    <m/>
    <m/>
    <m/>
    <n v="2"/>
    <n v="1.1"/>
    <n v="3.5"/>
    <m/>
    <m/>
    <m/>
    <m/>
    <m/>
    <m/>
    <m/>
    <m/>
    <m/>
    <m/>
    <m/>
    <m/>
    <n v="393"/>
    <n v="0"/>
    <n v="90"/>
    <n v="0"/>
    <n v="158"/>
    <n v="0"/>
    <n v="0"/>
    <n v="0"/>
    <n v="1"/>
    <n v="4635.71"/>
    <n v="5285.7"/>
    <n v="0"/>
    <n v="31.7142"/>
    <n v="5253.985799999999"/>
    <n v="0"/>
    <n v="0"/>
    <n v="0"/>
    <n v="618.2757999999994"/>
    <s v="梁先生"/>
    <s v="四川省成都市锦江区狮子山街道万科城市花园69栋C-102"/>
    <s v="14727239772-8108"/>
    <m/>
    <m/>
  </r>
  <r>
    <x v="189"/>
    <s v="已收货"/>
    <x v="454"/>
    <s v="李焯翾"/>
    <m/>
    <m/>
    <s v="1.8基础柜aa柱子(341拦截费用客户付)"/>
    <s v="基础餐边柜"/>
    <n v="1800"/>
    <s v="已结算"/>
    <s v="江西"/>
    <n v="0"/>
    <n v="0"/>
    <m/>
    <m/>
    <m/>
    <m/>
    <m/>
    <m/>
    <m/>
    <m/>
    <m/>
    <m/>
    <m/>
    <m/>
    <m/>
    <m/>
    <m/>
    <m/>
    <m/>
    <m/>
    <m/>
    <m/>
    <m/>
    <m/>
    <m/>
    <m/>
    <m/>
    <m/>
    <m/>
    <m/>
    <n v="0"/>
    <n v="0"/>
    <n v="0"/>
    <n v="0"/>
    <n v="0"/>
    <n v="0"/>
    <n v="0"/>
    <n v="0"/>
    <n v="1"/>
    <n v="0"/>
    <n v="442"/>
    <n v="0"/>
    <n v="2.652"/>
    <n v="439.348"/>
    <n v="0"/>
    <n v="0"/>
    <n v="0"/>
    <n v="439.348"/>
    <s v="李焯翾"/>
    <s v="河南省 郑州市 管城回族区 商都路街道国龙绿城怡园2期3号楼3单元1002"/>
    <s v="15786743099-8722"/>
    <m/>
    <m/>
  </r>
  <r>
    <x v="189"/>
    <s v="已收货"/>
    <x v="455"/>
    <s v="潘荔"/>
    <m/>
    <m/>
    <s v="砂白色1.4米岩板餐桌"/>
    <s v="榉木餐桌"/>
    <s v="140cm*85cm"/>
    <s v="已结算"/>
    <s v="江西"/>
    <n v="1722.5"/>
    <n v="1300"/>
    <m/>
    <m/>
    <m/>
    <m/>
    <n v="240"/>
    <m/>
    <m/>
    <m/>
    <m/>
    <m/>
    <m/>
    <m/>
    <m/>
    <m/>
    <m/>
    <m/>
    <n v="2.5"/>
    <m/>
    <m/>
    <m/>
    <m/>
    <m/>
    <m/>
    <m/>
    <m/>
    <n v="180"/>
    <m/>
    <m/>
    <n v="113"/>
    <n v="35"/>
    <n v="75"/>
    <n v="0"/>
    <n v="0"/>
    <n v="0"/>
    <n v="0"/>
    <n v="0"/>
    <n v="1"/>
    <n v="1945.5"/>
    <n v="2764.36"/>
    <n v="0"/>
    <n v="16.58616"/>
    <n v="2747.77384"/>
    <n v="0"/>
    <n v="0"/>
    <n v="0"/>
    <n v="802.2738400000003"/>
    <s v="潘荔"/>
    <s v="湖北省 襄阳市 襄城区 檀溪街道君临山1栋1113室"/>
    <s v="18472268908-7377"/>
    <m/>
    <m/>
  </r>
  <r>
    <x v="189"/>
    <s v="已收货"/>
    <x v="456"/>
    <s v="Tong"/>
    <m/>
    <m/>
    <s v="定制1.8洞石柜"/>
    <s v="洞石餐边柜"/>
    <n v="1800"/>
    <s v="已结算"/>
    <s v="江西"/>
    <n v="8626.746666666666"/>
    <n v="6300"/>
    <n v="660"/>
    <n v="80"/>
    <n v="567.08"/>
    <m/>
    <s v="2040/6/1.5"/>
    <n v="380"/>
    <n v="14"/>
    <m/>
    <m/>
    <n v="10"/>
    <n v="198"/>
    <s v="52*2"/>
    <m/>
    <m/>
    <m/>
    <m/>
    <m/>
    <n v="87"/>
    <m/>
    <m/>
    <m/>
    <m/>
    <m/>
    <m/>
    <m/>
    <n v="380"/>
    <m/>
    <m/>
    <n v="350"/>
    <n v="30"/>
    <n v="178"/>
    <n v="0"/>
    <n v="0"/>
    <n v="0"/>
    <n v="0"/>
    <n v="0"/>
    <n v="1"/>
    <n v="9184.746666666666"/>
    <n v="10469.28"/>
    <n v="0"/>
    <n v="62.81568000000001"/>
    <n v="10406.46432"/>
    <n v="0"/>
    <n v="0"/>
    <n v="0"/>
    <n v="1221.717653333335"/>
    <s v="Tong"/>
    <s v="广东省 惠州市 惠城区 桥东街道中海阅江府二期二栋二单元1901"/>
    <s v="18466393939-3642"/>
    <m/>
    <m/>
  </r>
  <r>
    <x v="190"/>
    <s v="已收货"/>
    <x v="457"/>
    <s v="闻智远"/>
    <m/>
    <m/>
    <s v="窄柜-整柜洞石背板-1.2米"/>
    <s v="樱桃木窄柜"/>
    <n v="1200"/>
    <s v="已结算"/>
    <s v="庄毅"/>
    <n v="4496.299999999999"/>
    <n v="3600"/>
    <n v="411.08"/>
    <n v="125"/>
    <m/>
    <n v="76"/>
    <n v="122.16"/>
    <n v="62.4"/>
    <m/>
    <m/>
    <m/>
    <n v="8"/>
    <m/>
    <n v="3"/>
    <m/>
    <m/>
    <m/>
    <n v="3.37"/>
    <m/>
    <m/>
    <s v="5*30"/>
    <m/>
    <m/>
    <n v="1.16"/>
    <n v="1.1"/>
    <n v="10"/>
    <m/>
    <m/>
    <m/>
    <m/>
    <n v="258"/>
    <n v="0"/>
    <n v="96"/>
    <n v="0"/>
    <n v="0"/>
    <n v="0"/>
    <n v="0"/>
    <n v="500"/>
    <n v="1"/>
    <n v="5350.299999999999"/>
    <n v="5782.04"/>
    <n v="0"/>
    <n v="34.69224"/>
    <n v="5747.34776"/>
    <n v="0"/>
    <n v="0"/>
    <n v="0"/>
    <n v="397.0477600000004"/>
    <s v="闻智远"/>
    <s v="上海 上海市 浦东新区 康桥镇秀沿路58弄海上溪云153-102（冰鲜产品"/>
    <s v="18466788896-5183"/>
    <m/>
    <m/>
  </r>
  <r>
    <x v="191"/>
    <s v="已收货"/>
    <x v="458"/>
    <s v="牛牛"/>
    <m/>
    <m/>
    <s v="插座"/>
    <s v="樱桃木窄柜"/>
    <m/>
    <s v="已结算"/>
    <s v="庄毅"/>
    <n v="55"/>
    <m/>
    <n v="55"/>
    <m/>
    <m/>
    <m/>
    <m/>
    <m/>
    <m/>
    <m/>
    <m/>
    <m/>
    <m/>
    <m/>
    <m/>
    <m/>
    <m/>
    <m/>
    <m/>
    <m/>
    <m/>
    <m/>
    <m/>
    <m/>
    <m/>
    <m/>
    <m/>
    <m/>
    <m/>
    <m/>
    <n v="8"/>
    <n v="0"/>
    <n v="0"/>
    <n v="0"/>
    <n v="0"/>
    <n v="0"/>
    <n v="0"/>
    <n v="0"/>
    <n v="1"/>
    <n v="63"/>
    <n v="100"/>
    <n v="0"/>
    <n v="0.6"/>
    <n v="99.40000000000001"/>
    <n v="0"/>
    <n v="0"/>
    <n v="0"/>
    <n v="36.40000000000001"/>
    <s v="牛牛"/>
    <s v="广东省 广州市 白云区 永平街道白云堡大道1号白云堡豪苑2排3号"/>
    <s v="17896421721-5810"/>
    <m/>
    <m/>
  </r>
  <r>
    <x v="191"/>
    <s v="已收货"/>
    <x v="459"/>
    <s v="章夏荷"/>
    <s v="追加抽屉轨道38"/>
    <m/>
    <s v="床头柜"/>
    <s v="床头柜"/>
    <m/>
    <s v="已结算"/>
    <s v="江西"/>
    <n v="783"/>
    <n v="700"/>
    <m/>
    <m/>
    <m/>
    <m/>
    <m/>
    <m/>
    <m/>
    <m/>
    <m/>
    <m/>
    <n v="38"/>
    <m/>
    <m/>
    <m/>
    <m/>
    <m/>
    <m/>
    <m/>
    <m/>
    <m/>
    <m/>
    <m/>
    <m/>
    <m/>
    <m/>
    <n v="45"/>
    <m/>
    <m/>
    <n v="55"/>
    <n v="0"/>
    <n v="0"/>
    <n v="0"/>
    <n v="0"/>
    <n v="0"/>
    <n v="0"/>
    <n v="0"/>
    <n v="1"/>
    <n v="838"/>
    <n v="1058"/>
    <n v="0"/>
    <n v="6.348"/>
    <n v="1051.652"/>
    <n v="0"/>
    <n v="0"/>
    <n v="0"/>
    <n v="213.652"/>
    <s v="章夏荷"/>
    <s v="浙江省 杭州市 拱墅区 和睦街道伟星星瓒颂锦府11幢2104（放家门口不要放菜鸟驿站！！！！！）"/>
    <s v="18413298804-2654"/>
    <m/>
    <m/>
  </r>
  <r>
    <x v="191"/>
    <s v="已收货"/>
    <x v="460"/>
    <s v="刘岳"/>
    <m/>
    <m/>
    <s v="1.4黑胡桃桌"/>
    <s v="黑胡桃木餐桌"/>
    <s v="140cm*85cm"/>
    <s v="已结算"/>
    <s v="江西"/>
    <n v="2682.5"/>
    <n v="2250"/>
    <n v="240"/>
    <n v="2.5"/>
    <n v="190"/>
    <m/>
    <m/>
    <m/>
    <m/>
    <m/>
    <m/>
    <m/>
    <m/>
    <m/>
    <m/>
    <m/>
    <m/>
    <m/>
    <m/>
    <m/>
    <m/>
    <m/>
    <m/>
    <m/>
    <m/>
    <m/>
    <m/>
    <n v="190"/>
    <m/>
    <m/>
    <n v="449"/>
    <n v="66"/>
    <n v="72"/>
    <n v="0"/>
    <n v="0"/>
    <n v="0"/>
    <n v="0"/>
    <n v="0"/>
    <n v="1"/>
    <n v="3269.5"/>
    <n v="3490.87"/>
    <n v="0"/>
    <n v="20.94522"/>
    <n v="3469.92478"/>
    <n v="0"/>
    <n v="0"/>
    <n v="0"/>
    <n v="200.4247799999998"/>
    <s v="刘岳"/>
    <s v="黑龙江省 哈尔滨市 南岗区 王岗镇 慧安街79号中海云麓公馆一期16号楼3单元1501"/>
    <s v="18445743915-5799"/>
    <m/>
    <m/>
  </r>
  <r>
    <x v="192"/>
    <s v="已收货"/>
    <x v="461"/>
    <s v="沈蘑菇"/>
    <m/>
    <m/>
    <s v="窄柜-整柜洞石背板-1.0米"/>
    <s v="樱桃木窄柜"/>
    <n v="1000"/>
    <s v="已结算"/>
    <s v="江西"/>
    <n v="4418.71"/>
    <n v="3300"/>
    <n v="359.08"/>
    <n v="120"/>
    <m/>
    <n v="38"/>
    <n v="190"/>
    <n v="54"/>
    <n v="52"/>
    <m/>
    <n v="5"/>
    <m/>
    <m/>
    <m/>
    <m/>
    <n v="2"/>
    <n v="1.1"/>
    <n v="3.5"/>
    <m/>
    <m/>
    <m/>
    <m/>
    <m/>
    <m/>
    <m/>
    <m/>
    <m/>
    <n v="160"/>
    <m/>
    <m/>
    <n v="350"/>
    <n v="30"/>
    <n v="100"/>
    <n v="0"/>
    <n v="0"/>
    <n v="0"/>
    <n v="0"/>
    <n v="0"/>
    <n v="1"/>
    <n v="4898.71"/>
    <n v="5285.7"/>
    <n v="0"/>
    <n v="31.7142"/>
    <n v="5253.985799999999"/>
    <n v="0"/>
    <n v="0"/>
    <n v="0"/>
    <n v="355.2757999999994"/>
    <s v="沈蘑菇"/>
    <s v="北京 北京市 东城区 北新桥街道东直门内北小街八号院一号楼一单元102"/>
    <s v="18400943218-3031"/>
    <m/>
    <m/>
  </r>
  <r>
    <x v="193"/>
    <s v="已收货"/>
    <x v="462"/>
    <s v="关利男"/>
    <m/>
    <m/>
    <s v="样块"/>
    <s v="样块"/>
    <m/>
    <s v="已结算"/>
    <s v="杭州"/>
    <n v="7"/>
    <n v="5"/>
    <m/>
    <m/>
    <m/>
    <m/>
    <m/>
    <m/>
    <m/>
    <m/>
    <m/>
    <m/>
    <m/>
    <m/>
    <m/>
    <m/>
    <m/>
    <m/>
    <m/>
    <m/>
    <m/>
    <m/>
    <m/>
    <m/>
    <m/>
    <m/>
    <m/>
    <n v="2"/>
    <m/>
    <m/>
    <n v="5"/>
    <n v="0"/>
    <n v="0"/>
    <n v="0"/>
    <n v="0"/>
    <n v="0"/>
    <n v="0"/>
    <n v="0"/>
    <n v="1"/>
    <n v="12"/>
    <n v="22"/>
    <n v="0"/>
    <n v="0.132"/>
    <n v="21.868"/>
    <n v="0"/>
    <n v="0"/>
    <n v="0"/>
    <n v="9.867999999999999"/>
    <s v="关利男"/>
    <s v="吉林省 吉林市 昌邑区 民主街道雾凇中路199号兰天国际商贸中心 5-17"/>
    <s v="17896111647-3184"/>
    <m/>
    <m/>
  </r>
  <r>
    <x v="193"/>
    <s v="已收货"/>
    <x v="463"/>
    <s v="刘"/>
    <m/>
    <m/>
    <s v="原木色1.8米餐桌"/>
    <s v="榉木餐桌"/>
    <s v="180cm*85cm"/>
    <s v="已结算"/>
    <s v="江西"/>
    <n v="2040"/>
    <n v="1900"/>
    <m/>
    <m/>
    <m/>
    <m/>
    <m/>
    <m/>
    <m/>
    <m/>
    <m/>
    <m/>
    <m/>
    <m/>
    <m/>
    <m/>
    <m/>
    <m/>
    <m/>
    <m/>
    <m/>
    <m/>
    <m/>
    <m/>
    <m/>
    <m/>
    <m/>
    <n v="140"/>
    <m/>
    <m/>
    <n v="104"/>
    <n v="30"/>
    <n v="68"/>
    <n v="0"/>
    <n v="0"/>
    <n v="0"/>
    <n v="0"/>
    <n v="0"/>
    <n v="1"/>
    <n v="2242"/>
    <n v="2988.04"/>
    <n v="0"/>
    <n v="17.92824"/>
    <n v="2970.11176"/>
    <n v="0"/>
    <n v="0"/>
    <n v="0"/>
    <n v="728.1117599999998"/>
    <s v="刘"/>
    <s v="湖北省 荆门市 东宝区 龙泉街道城控桃花源X2栋一单元802"/>
    <s v="18425149227-1227"/>
    <m/>
    <m/>
  </r>
  <r>
    <x v="193"/>
    <s v="已收货"/>
    <x v="464"/>
    <s v="刘"/>
    <m/>
    <m/>
    <s v="补差价"/>
    <s v="榉木餐桌"/>
    <m/>
    <s v="已结算"/>
    <s v="江西"/>
    <n v="0"/>
    <n v="0"/>
    <m/>
    <m/>
    <m/>
    <m/>
    <m/>
    <m/>
    <m/>
    <m/>
    <m/>
    <m/>
    <m/>
    <m/>
    <m/>
    <m/>
    <m/>
    <m/>
    <m/>
    <m/>
    <m/>
    <m/>
    <m/>
    <m/>
    <m/>
    <m/>
    <m/>
    <m/>
    <m/>
    <m/>
    <n v="0"/>
    <n v="0"/>
    <n v="0"/>
    <n v="0"/>
    <n v="0"/>
    <n v="0"/>
    <n v="0"/>
    <n v="0"/>
    <n v="1"/>
    <n v="0"/>
    <n v="354"/>
    <n v="0"/>
    <n v="2.124"/>
    <n v="351.876"/>
    <n v="0"/>
    <n v="0"/>
    <n v="0"/>
    <n v="351.876"/>
    <s v="刘"/>
    <s v="湖北省 荆门市 东宝区 龙泉街道城控桃花源X2栋一单元802"/>
    <s v="18425149227-1227"/>
    <m/>
    <m/>
  </r>
  <r>
    <x v="193"/>
    <s v="已收货"/>
    <x v="465"/>
    <s v="何玥"/>
    <m/>
    <m/>
    <s v="窄柜-整柜洞石背板-1.0米"/>
    <s v="樱桃木窄柜"/>
    <n v="1000"/>
    <s v="已结算"/>
    <s v="江西"/>
    <n v="4282.74"/>
    <n v="3300"/>
    <n v="359.08"/>
    <n v="120"/>
    <m/>
    <n v="38"/>
    <n v="180"/>
    <n v="54"/>
    <n v="52"/>
    <m/>
    <n v="5"/>
    <m/>
    <m/>
    <m/>
    <m/>
    <n v="2"/>
    <n v="1.1"/>
    <n v="3.5"/>
    <m/>
    <m/>
    <m/>
    <m/>
    <m/>
    <m/>
    <m/>
    <m/>
    <m/>
    <n v="170"/>
    <m/>
    <m/>
    <m/>
    <m/>
    <m/>
    <n v="0"/>
    <n v="0"/>
    <n v="0"/>
    <n v="0"/>
    <n v="0"/>
    <n v="1"/>
    <n v="4282.74"/>
    <n v="5285.7"/>
    <n v="0"/>
    <n v="31.7142"/>
    <n v="5253.985799999999"/>
    <n v="0"/>
    <n v="0"/>
    <n v="0"/>
    <n v="971.2457999999997"/>
    <s v="何玥"/>
    <s v="北京北京市 朝阳区 平房乡天鹅湾北区6号楼2单元508"/>
    <s v="18400824446-9383"/>
    <m/>
    <m/>
  </r>
  <r>
    <x v="194"/>
    <s v="已收货"/>
    <x v="466"/>
    <s v="张"/>
    <m/>
    <m/>
    <s v="组合柜+2.1洞洞板基础柜"/>
    <s v="组合柜"/>
    <m/>
    <s v="已结算"/>
    <s v="江西"/>
    <n v="0"/>
    <n v="0"/>
    <m/>
    <m/>
    <m/>
    <m/>
    <m/>
    <m/>
    <m/>
    <m/>
    <m/>
    <m/>
    <m/>
    <m/>
    <m/>
    <m/>
    <m/>
    <m/>
    <m/>
    <m/>
    <m/>
    <m/>
    <m/>
    <m/>
    <m/>
    <m/>
    <m/>
    <m/>
    <m/>
    <m/>
    <m/>
    <m/>
    <m/>
    <n v="0"/>
    <n v="0"/>
    <n v="0"/>
    <n v="0"/>
    <n v="0"/>
    <n v="1"/>
    <n v="0"/>
    <n v="135"/>
    <n v="0"/>
    <n v="0.8100000000000001"/>
    <n v="134.19"/>
    <n v="0"/>
    <n v="0"/>
    <n v="0"/>
    <n v="134.19"/>
    <s v="张"/>
    <s v="重庆重庆市 渝北区 龙山街道诚投天邻风景10号楼"/>
    <s v="18426538418-7851"/>
    <m/>
    <m/>
  </r>
  <r>
    <x v="194"/>
    <s v="已收货"/>
    <x v="467"/>
    <s v="张"/>
    <m/>
    <m/>
    <m/>
    <s v="组合柜"/>
    <m/>
    <s v="已结算"/>
    <s v="江西"/>
    <n v="11965.5"/>
    <n v="3330"/>
    <n v="28"/>
    <s v="22*2"/>
    <n v="5400"/>
    <m/>
    <n v="320"/>
    <n v="655"/>
    <n v="350"/>
    <m/>
    <m/>
    <n v="22"/>
    <n v="10"/>
    <n v="30.5"/>
    <m/>
    <m/>
    <m/>
    <n v="230"/>
    <n v="20.5"/>
    <n v="2.5"/>
    <n v="25"/>
    <m/>
    <m/>
    <m/>
    <n v="10"/>
    <m/>
    <m/>
    <s v="22*4"/>
    <n v="470"/>
    <n v="230"/>
    <n v="28"/>
    <n v="52"/>
    <n v="620"/>
    <n v="0"/>
    <n v="0"/>
    <n v="0"/>
    <n v="0"/>
    <n v="0"/>
    <n v="1"/>
    <n v="12665.5"/>
    <n v="13751.54"/>
    <n v="0"/>
    <n v="82.50924000000001"/>
    <n v="13669.03076"/>
    <n v="0"/>
    <n v="0"/>
    <n v="0"/>
    <n v="1003.530760000001"/>
    <s v="张"/>
    <s v="重庆重庆市 渝北区 龙山街道诚投天邻风景10号楼"/>
    <s v="18426538418-7851"/>
    <m/>
    <m/>
  </r>
  <r>
    <x v="194"/>
    <s v="已收货"/>
    <x v="468"/>
    <s v="刘淘宝"/>
    <m/>
    <m/>
    <s v="升降桌：樱桃木，1.5带高台版"/>
    <s v="升降桌-2024款"/>
    <n v="1500"/>
    <s v="已结算"/>
    <s v="江西"/>
    <n v="3268.11"/>
    <n v="1800"/>
    <m/>
    <n v="80"/>
    <m/>
    <m/>
    <m/>
    <n v="52"/>
    <n v="1050"/>
    <m/>
    <m/>
    <m/>
    <m/>
    <m/>
    <m/>
    <m/>
    <m/>
    <m/>
    <m/>
    <m/>
    <m/>
    <m/>
    <n v="152"/>
    <m/>
    <m/>
    <m/>
    <m/>
    <n v="135"/>
    <m/>
    <m/>
    <m/>
    <m/>
    <m/>
    <n v="0"/>
    <n v="0"/>
    <n v="0"/>
    <n v="0"/>
    <n v="0"/>
    <n v="1"/>
    <n v="3268.11"/>
    <n v="3638.5"/>
    <n v="0"/>
    <n v="21.831"/>
    <n v="3616.669"/>
    <n v="0"/>
    <n v="0"/>
    <n v="0"/>
    <n v="348.5589999999997"/>
    <s v="刘淘宝"/>
    <s v="福建省 福州市 闽侯县 南屿镇三盛托斯卡纳二期S2栋602室"/>
    <s v="18480118062-5621"/>
    <m/>
    <m/>
  </r>
  <r>
    <x v="194"/>
    <s v="已收货"/>
    <x v="469"/>
    <s v="Tong"/>
    <m/>
    <m/>
    <s v="补差价"/>
    <s v="洞石餐边柜"/>
    <m/>
    <m/>
    <s v="江西"/>
    <n v="0"/>
    <n v="0"/>
    <m/>
    <m/>
    <m/>
    <m/>
    <m/>
    <m/>
    <m/>
    <m/>
    <m/>
    <m/>
    <m/>
    <m/>
    <m/>
    <m/>
    <m/>
    <m/>
    <m/>
    <m/>
    <m/>
    <m/>
    <m/>
    <m/>
    <m/>
    <m/>
    <m/>
    <m/>
    <m/>
    <m/>
    <m/>
    <m/>
    <m/>
    <n v="0"/>
    <n v="0"/>
    <n v="0"/>
    <n v="0"/>
    <n v="0"/>
    <n v="1"/>
    <n v="0"/>
    <n v="534.16"/>
    <n v="0"/>
    <n v="3.20496"/>
    <n v="530.9550399999999"/>
    <n v="0"/>
    <n v="0"/>
    <n v="0"/>
    <n v="530.9550399999999"/>
    <s v="Tong"/>
    <s v="广东省 惠州市 惠城区 桥东街道中海阅江府二期二栋二单元1901"/>
    <s v="18466397997-2111"/>
    <m/>
    <m/>
  </r>
  <r>
    <x v="195"/>
    <s v="已收货"/>
    <x v="470"/>
    <s v="颗粒"/>
    <m/>
    <m/>
    <s v="样块"/>
    <s v="样块"/>
    <m/>
    <s v="已结算"/>
    <s v="杭州"/>
    <n v="7"/>
    <n v="5"/>
    <m/>
    <m/>
    <m/>
    <m/>
    <m/>
    <m/>
    <m/>
    <m/>
    <m/>
    <m/>
    <m/>
    <m/>
    <m/>
    <m/>
    <m/>
    <m/>
    <m/>
    <m/>
    <m/>
    <m/>
    <m/>
    <m/>
    <m/>
    <m/>
    <m/>
    <n v="2"/>
    <m/>
    <m/>
    <n v="5"/>
    <n v="0"/>
    <n v="0"/>
    <n v="0"/>
    <n v="0"/>
    <n v="0"/>
    <n v="0"/>
    <n v="0"/>
    <n v="1"/>
    <n v="12"/>
    <n v="17"/>
    <n v="0"/>
    <n v="0.102"/>
    <n v="16.898"/>
    <n v="0"/>
    <n v="0"/>
    <n v="0"/>
    <n v="4.898"/>
    <s v="颗粒"/>
    <s v="陕西省 西安市 雁塔区 长延堡街道世家星城1期c区35号楼"/>
    <s v="15786429259-1215"/>
    <m/>
    <m/>
  </r>
  <r>
    <x v="196"/>
    <s v="已收货"/>
    <x v="471"/>
    <s v="夏天"/>
    <m/>
    <m/>
    <s v="砂白色2米岩板餐桌"/>
    <s v="榉木餐桌"/>
    <s v="200cm*85cm"/>
    <s v="已结算"/>
    <s v="江西"/>
    <n v="1882.5"/>
    <n v="1450"/>
    <m/>
    <m/>
    <m/>
    <m/>
    <n v="290"/>
    <m/>
    <m/>
    <m/>
    <m/>
    <m/>
    <m/>
    <m/>
    <m/>
    <m/>
    <m/>
    <m/>
    <n v="2.5"/>
    <m/>
    <m/>
    <m/>
    <m/>
    <m/>
    <m/>
    <m/>
    <m/>
    <n v="140"/>
    <m/>
    <m/>
    <n v="300"/>
    <n v="100"/>
    <n v="150"/>
    <n v="0"/>
    <n v="0"/>
    <n v="0"/>
    <n v="0"/>
    <n v="0"/>
    <n v="1"/>
    <n v="2432.5"/>
    <n v="3139.5"/>
    <n v="0"/>
    <n v="18.837"/>
    <n v="3120.663"/>
    <n v="0"/>
    <n v="0"/>
    <n v="0"/>
    <n v="688.163"/>
    <s v="夏天"/>
    <s v="四川省 成都市 郫都区 合作街道新希望皇冠国际12栋1单元703"/>
    <s v="18418969594-8923"/>
    <m/>
    <m/>
  </r>
  <r>
    <x v="197"/>
    <s v="已收货"/>
    <x v="472"/>
    <s v="梁峰"/>
    <m/>
    <m/>
    <s v="单腿"/>
    <s v="配件"/>
    <m/>
    <m/>
    <s v="江西"/>
    <n v="0"/>
    <n v="0"/>
    <m/>
    <m/>
    <m/>
    <m/>
    <m/>
    <m/>
    <m/>
    <m/>
    <m/>
    <m/>
    <m/>
    <m/>
    <m/>
    <m/>
    <m/>
    <m/>
    <m/>
    <m/>
    <m/>
    <m/>
    <m/>
    <m/>
    <m/>
    <m/>
    <m/>
    <m/>
    <m/>
    <m/>
    <m/>
    <n v="100"/>
    <n v="150"/>
    <n v="0"/>
    <n v="0"/>
    <n v="0"/>
    <n v="0"/>
    <n v="0"/>
    <n v="1"/>
    <n v="250"/>
    <n v="100"/>
    <n v="0"/>
    <n v="0.6"/>
    <n v="99.40000000000001"/>
    <n v="0"/>
    <n v="0"/>
    <n v="0"/>
    <n v="-150.6"/>
    <s v="梁峰"/>
    <s v="广西壮族自治区 柳州市 城中区 静兰街道桂柳路30号碧园大城小院16栋"/>
    <s v="13078096820-3292"/>
    <m/>
    <m/>
  </r>
  <r>
    <x v="198"/>
    <s v="已收货"/>
    <x v="473"/>
    <s v="谢韬"/>
    <m/>
    <m/>
    <s v="样块*2"/>
    <s v="样块"/>
    <m/>
    <s v="已结算"/>
    <s v="杭州"/>
    <n v="12"/>
    <n v="10"/>
    <m/>
    <m/>
    <m/>
    <m/>
    <m/>
    <m/>
    <m/>
    <m/>
    <m/>
    <m/>
    <m/>
    <m/>
    <m/>
    <m/>
    <m/>
    <m/>
    <m/>
    <m/>
    <m/>
    <m/>
    <m/>
    <m/>
    <m/>
    <m/>
    <m/>
    <n v="2"/>
    <m/>
    <m/>
    <n v="5"/>
    <n v="0"/>
    <n v="0"/>
    <n v="0"/>
    <n v="0"/>
    <n v="0"/>
    <n v="0"/>
    <n v="0"/>
    <n v="1"/>
    <n v="17"/>
    <n v="50"/>
    <n v="0"/>
    <n v="0.3"/>
    <n v="49.7"/>
    <n v="0"/>
    <n v="0"/>
    <n v="0"/>
    <n v="32.7"/>
    <s v="谢韬"/>
    <s v="广东省 深圳市 宝安区 新安街道万科未来之光家园七栋1502"/>
    <s v="15767544176-6754"/>
    <m/>
    <m/>
  </r>
  <r>
    <x v="199"/>
    <s v="已退款"/>
    <x v="474"/>
    <s v="小星"/>
    <m/>
    <m/>
    <s v="样块*2"/>
    <s v="样块"/>
    <m/>
    <s v="已结算"/>
    <s v="杭州"/>
    <n v="12"/>
    <n v="10"/>
    <m/>
    <m/>
    <m/>
    <m/>
    <m/>
    <m/>
    <m/>
    <m/>
    <m/>
    <m/>
    <m/>
    <m/>
    <m/>
    <m/>
    <m/>
    <m/>
    <m/>
    <m/>
    <m/>
    <m/>
    <m/>
    <m/>
    <m/>
    <m/>
    <m/>
    <n v="2"/>
    <m/>
    <m/>
    <n v="5"/>
    <n v="0"/>
    <n v="0"/>
    <n v="0"/>
    <n v="0"/>
    <n v="0"/>
    <n v="0"/>
    <n v="0"/>
    <n v="1"/>
    <n v="17"/>
    <n v="0"/>
    <n v="0"/>
    <n v="0"/>
    <n v="0"/>
    <n v="0"/>
    <n v="0"/>
    <n v="0"/>
    <n v="-17"/>
    <s v="小星"/>
    <s v="四川省 成都市 彭州市 致和街道城投云湖5栋401"/>
    <s v="18400819593-2427"/>
    <m/>
    <m/>
  </r>
  <r>
    <x v="200"/>
    <s v="已收货"/>
    <x v="475"/>
    <s v="周先生"/>
    <m/>
    <m/>
    <s v="1.74洞洞板基础柜"/>
    <s v="基础餐边柜"/>
    <n v="1740"/>
    <s v="已结算"/>
    <s v="江西"/>
    <n v="6798"/>
    <n v="4950"/>
    <n v="300"/>
    <n v="562"/>
    <s v="52*2"/>
    <m/>
    <n v="240"/>
    <n v="420"/>
    <s v="3*22"/>
    <m/>
    <m/>
    <n v="10"/>
    <n v="22"/>
    <n v="124"/>
    <m/>
    <m/>
    <m/>
    <m/>
    <m/>
    <m/>
    <m/>
    <m/>
    <m/>
    <m/>
    <m/>
    <m/>
    <m/>
    <n v="420"/>
    <m/>
    <m/>
    <n v="400"/>
    <n v="50"/>
    <n v="130"/>
    <n v="0"/>
    <n v="0"/>
    <n v="0"/>
    <n v="0"/>
    <n v="0"/>
    <n v="1"/>
    <n v="7378"/>
    <n v="10205"/>
    <n v="0"/>
    <n v="61.23"/>
    <n v="10143.77"/>
    <n v="0"/>
    <n v="0"/>
    <n v="0"/>
    <n v="2765.77"/>
    <s v="周先生"/>
    <s v="浙江省 台州市 三门县 海游镇滨江花园7-204"/>
    <s v="15786494318-6392"/>
    <m/>
    <m/>
  </r>
  <r>
    <x v="201"/>
    <s v="已收货"/>
    <x v="476"/>
    <s v="Tong"/>
    <m/>
    <m/>
    <s v="样块"/>
    <s v="样块"/>
    <m/>
    <s v="已结算"/>
    <s v="杭州"/>
    <n v="7"/>
    <n v="5"/>
    <m/>
    <m/>
    <m/>
    <m/>
    <m/>
    <m/>
    <m/>
    <m/>
    <m/>
    <m/>
    <m/>
    <m/>
    <m/>
    <m/>
    <m/>
    <m/>
    <m/>
    <m/>
    <m/>
    <m/>
    <m/>
    <m/>
    <m/>
    <m/>
    <m/>
    <n v="2"/>
    <m/>
    <m/>
    <n v="5"/>
    <n v="0"/>
    <n v="0"/>
    <n v="0"/>
    <n v="0"/>
    <n v="0"/>
    <n v="0"/>
    <n v="0"/>
    <n v="1"/>
    <n v="12"/>
    <n v="25"/>
    <n v="0"/>
    <n v="0.15"/>
    <n v="24.85"/>
    <n v="0"/>
    <n v="0"/>
    <n v="0"/>
    <n v="12.85"/>
    <s v="Tong"/>
    <s v="广东省 惠州市 惠城区 桥东街道中海阅江府二期二栋二单元1901"/>
    <s v="17817594535-1091"/>
    <m/>
    <m/>
  </r>
  <r>
    <x v="201"/>
    <s v="已收货"/>
    <x v="477"/>
    <s v="罗先生"/>
    <m/>
    <m/>
    <s v="2插座"/>
    <s v="配件"/>
    <m/>
    <s v="已结算"/>
    <s v="其他"/>
    <n v="110"/>
    <n v="110"/>
    <m/>
    <m/>
    <m/>
    <m/>
    <m/>
    <m/>
    <m/>
    <m/>
    <m/>
    <m/>
    <m/>
    <m/>
    <m/>
    <m/>
    <m/>
    <m/>
    <m/>
    <m/>
    <m/>
    <m/>
    <m/>
    <m/>
    <m/>
    <m/>
    <m/>
    <m/>
    <m/>
    <m/>
    <n v="8"/>
    <n v="0"/>
    <n v="0"/>
    <n v="0"/>
    <n v="0"/>
    <n v="0"/>
    <n v="0"/>
    <n v="0"/>
    <n v="1"/>
    <n v="118"/>
    <n v="200"/>
    <n v="0"/>
    <n v="1.2"/>
    <n v="198.8"/>
    <n v="0"/>
    <n v="0"/>
    <n v="0"/>
    <n v="80.80000000000001"/>
    <s v="罗先生"/>
    <s v="上海 上海市 浦东新区 南汇新城镇宜浩·欧景236弄46号302室"/>
    <s v="18466800766-2389"/>
    <m/>
    <m/>
  </r>
  <r>
    <x v="201"/>
    <s v="已收货"/>
    <x v="478"/>
    <s v="项聪颖"/>
    <m/>
    <m/>
    <s v="样块"/>
    <s v="样块"/>
    <m/>
    <s v="已结算"/>
    <s v="杭州"/>
    <n v="7"/>
    <n v="5"/>
    <m/>
    <m/>
    <m/>
    <m/>
    <m/>
    <m/>
    <m/>
    <m/>
    <m/>
    <m/>
    <m/>
    <m/>
    <m/>
    <m/>
    <m/>
    <m/>
    <m/>
    <m/>
    <m/>
    <m/>
    <m/>
    <m/>
    <m/>
    <m/>
    <m/>
    <n v="2"/>
    <m/>
    <m/>
    <n v="5"/>
    <n v="0"/>
    <n v="0"/>
    <n v="0"/>
    <n v="0"/>
    <n v="0"/>
    <n v="0"/>
    <n v="0"/>
    <n v="1"/>
    <n v="12"/>
    <n v="25"/>
    <n v="0"/>
    <n v="0.15"/>
    <n v="24.85"/>
    <n v="0"/>
    <n v="0"/>
    <n v="0"/>
    <n v="12.85"/>
    <s v="项聪颖"/>
    <s v="浙江省 宁波市 鄞州区 首南街道首南中路1000号宁波博物馆"/>
    <s v="15786418722-6628"/>
    <m/>
    <m/>
  </r>
  <r>
    <x v="202"/>
    <s v="已收货"/>
    <x v="479"/>
    <s v="马"/>
    <s v="缺配件，更换所有抽屉围板为多层板"/>
    <m/>
    <s v="曜黑柜-整柜-1.97米-定制"/>
    <s v="曜黑餐边柜"/>
    <n v="1970"/>
    <s v="已结算"/>
    <s v="江西"/>
    <n v="10999.18"/>
    <n v="8800"/>
    <n v="619.08"/>
    <n v="283.3333333333333"/>
    <n v="30"/>
    <m/>
    <n v="350"/>
    <n v="20"/>
    <n v="36"/>
    <n v="14"/>
    <m/>
    <m/>
    <n v="66"/>
    <n v="410"/>
    <m/>
    <m/>
    <m/>
    <m/>
    <n v="20"/>
    <n v="44"/>
    <n v="340"/>
    <m/>
    <m/>
    <m/>
    <m/>
    <m/>
    <m/>
    <n v="410"/>
    <m/>
    <m/>
    <n v="608"/>
    <n v="126"/>
    <n v="280"/>
    <n v="0"/>
    <n v="0"/>
    <n v="0"/>
    <n v="0"/>
    <n v="0"/>
    <n v="1"/>
    <n v="12013.18"/>
    <n v="15200"/>
    <n v="0"/>
    <n v="91.2"/>
    <n v="15108.8"/>
    <n v="0"/>
    <n v="0"/>
    <n v="0"/>
    <n v="3095.619999999999"/>
    <s v="马"/>
    <s v="河南省 郑州市 中原区  翠竹街石佛祥园7-1402"/>
    <s v="18466443053-4138"/>
    <m/>
    <m/>
  </r>
  <r>
    <x v="203"/>
    <s v="已收货"/>
    <x v="480"/>
    <s v="齐檬洋"/>
    <s v="已发 背板按照一整张_x000a_产品成本+岩板+灯带+背板+电力轨道+打包+隔板轨道+雕刻+亚克力+玻璃+五金"/>
    <m/>
    <s v="定制2.4洞石柜"/>
    <s v="洞石餐边柜"/>
    <n v="2400"/>
    <s v="已结算"/>
    <s v="江西"/>
    <n v="10505.73"/>
    <n v="7600"/>
    <n v="830.08"/>
    <n v="340"/>
    <m/>
    <n v="120"/>
    <n v="920"/>
    <n v="104"/>
    <n v="98"/>
    <n v="20"/>
    <m/>
    <n v="5"/>
    <n v="154"/>
    <m/>
    <n v="17.5"/>
    <m/>
    <m/>
    <m/>
    <m/>
    <m/>
    <m/>
    <m/>
    <m/>
    <m/>
    <m/>
    <m/>
    <m/>
    <n v="460"/>
    <m/>
    <m/>
    <n v="622"/>
    <n v="195"/>
    <n v="150"/>
    <n v="0"/>
    <n v="0"/>
    <n v="0"/>
    <n v="0"/>
    <n v="0"/>
    <n v="1"/>
    <n v="11472.73"/>
    <n v="12164.52"/>
    <n v="0"/>
    <n v="72.98712"/>
    <n v="12091.53288"/>
    <n v="0"/>
    <n v="0"/>
    <n v="0"/>
    <n v="618.8028799999993"/>
    <s v="齐檬洋"/>
    <s v="浙江省 台州市 天台县 赤城街道九峰村叶家井42号"/>
    <s v="18413588743-2631"/>
    <m/>
    <m/>
  </r>
  <r>
    <x v="203"/>
    <s v="已收货"/>
    <x v="481"/>
    <s v="齐檬洋"/>
    <m/>
    <m/>
    <s v="补差价"/>
    <s v="洞石餐边柜"/>
    <m/>
    <s v="已结算"/>
    <s v="江西"/>
    <n v="0"/>
    <n v="0"/>
    <m/>
    <m/>
    <m/>
    <m/>
    <m/>
    <m/>
    <m/>
    <m/>
    <m/>
    <m/>
    <m/>
    <m/>
    <m/>
    <m/>
    <m/>
    <m/>
    <m/>
    <m/>
    <m/>
    <m/>
    <m/>
    <m/>
    <m/>
    <m/>
    <m/>
    <m/>
    <m/>
    <m/>
    <n v="0"/>
    <n v="0"/>
    <n v="0"/>
    <n v="0"/>
    <n v="0"/>
    <n v="0"/>
    <n v="0"/>
    <n v="0"/>
    <n v="1"/>
    <n v="0"/>
    <n v="2480"/>
    <n v="0"/>
    <n v="14.88"/>
    <n v="2465.12"/>
    <n v="0"/>
    <n v="0"/>
    <n v="0"/>
    <n v="2465.12"/>
    <s v="齐檬洋"/>
    <s v="浙江省 台州市 天台县 赤城街道九峰村叶家井42号"/>
    <s v="18413588743-2631"/>
    <m/>
    <m/>
  </r>
  <r>
    <x v="203"/>
    <s v="已退款"/>
    <x v="482"/>
    <s v="刘小姐"/>
    <m/>
    <m/>
    <s v="样块"/>
    <s v="样块"/>
    <m/>
    <s v="已结算"/>
    <s v="杭州"/>
    <n v="2"/>
    <n v="0"/>
    <m/>
    <m/>
    <m/>
    <m/>
    <m/>
    <m/>
    <m/>
    <m/>
    <m/>
    <m/>
    <m/>
    <m/>
    <m/>
    <m/>
    <m/>
    <m/>
    <m/>
    <m/>
    <m/>
    <m/>
    <m/>
    <m/>
    <m/>
    <m/>
    <m/>
    <n v="2"/>
    <m/>
    <m/>
    <n v="0"/>
    <n v="0"/>
    <n v="0"/>
    <n v="0"/>
    <n v="0"/>
    <n v="0"/>
    <n v="0"/>
    <n v="0"/>
    <n v="1"/>
    <n v="2"/>
    <n v="0"/>
    <n v="0"/>
    <n v="0"/>
    <n v="0"/>
    <n v="0"/>
    <n v="0"/>
    <n v="0"/>
    <n v="-2"/>
    <s v="刘小姐"/>
    <s v="广东省 深圳市 南山区 桃源街道 汉园茗院B区3栋2单元1003"/>
    <s v="13113639040-1321"/>
    <m/>
    <m/>
  </r>
  <r>
    <x v="203"/>
    <s v="已收货"/>
    <x v="483"/>
    <s v="林先生"/>
    <s v="发错两次快递，发错的板子让物流退回"/>
    <m/>
    <s v="砂白色1.6米岩板餐桌（发错两次快递，发错的板子让物流退回）"/>
    <s v="榉木餐桌"/>
    <s v="160cm*85cm"/>
    <s v="已结算"/>
    <s v="江西"/>
    <n v="1782.5"/>
    <n v="1350"/>
    <m/>
    <m/>
    <m/>
    <m/>
    <n v="240"/>
    <m/>
    <m/>
    <m/>
    <m/>
    <m/>
    <m/>
    <m/>
    <m/>
    <m/>
    <m/>
    <m/>
    <n v="2.5"/>
    <m/>
    <m/>
    <m/>
    <m/>
    <m/>
    <m/>
    <m/>
    <m/>
    <n v="190"/>
    <m/>
    <m/>
    <n v="138"/>
    <n v="35"/>
    <n v="100"/>
    <n v="0"/>
    <n v="0"/>
    <n v="0"/>
    <n v="0"/>
    <n v="0"/>
    <n v="1"/>
    <n v="2055.5"/>
    <n v="2754.55"/>
    <n v="0"/>
    <n v="16.5273"/>
    <n v="2738.0227"/>
    <n v="0"/>
    <n v="0"/>
    <n v="0"/>
    <n v="682.5227"/>
    <s v="林先生"/>
    <s v="福建省 厦门市 思明区 嘉莲街道莲秀里鹭江新城一期南门9#903"/>
    <s v="18649624307-8633"/>
    <m/>
    <m/>
  </r>
  <r>
    <x v="204"/>
    <s v="已收货"/>
    <x v="484"/>
    <s v="李冰玉"/>
    <m/>
    <m/>
    <s v="1.2窄柜"/>
    <s v="樱桃木窄柜"/>
    <n v="1200"/>
    <s v="已结算"/>
    <s v="江西"/>
    <n v="4528.54"/>
    <n v="3400"/>
    <n v="115"/>
    <m/>
    <m/>
    <m/>
    <m/>
    <m/>
    <n v="27791"/>
    <m/>
    <m/>
    <n v="8"/>
    <n v="411.08"/>
    <n v="3"/>
    <m/>
    <m/>
    <m/>
    <n v="190"/>
    <n v="52"/>
    <n v="10"/>
    <s v="300*1.2*0.48"/>
    <m/>
    <m/>
    <m/>
    <s v="5*10"/>
    <m/>
    <m/>
    <n v="54"/>
    <m/>
    <m/>
    <n v="339"/>
    <n v="76"/>
    <n v="105"/>
    <n v="0"/>
    <n v="200"/>
    <n v="0"/>
    <n v="0"/>
    <n v="0"/>
    <n v="1"/>
    <n v="5248.54"/>
    <n v="5978.95"/>
    <n v="0"/>
    <n v="35.8737"/>
    <n v="5943.0763"/>
    <n v="0"/>
    <n v="0"/>
    <n v="0"/>
    <n v="694.5362999999998"/>
    <s v="李冰玉"/>
    <s v="山东省 临沂市 兰山区 金雀山街道沂蒙路189号五金站家属院菜鸟驿站"/>
    <s v="18764962940-7786"/>
    <m/>
    <m/>
  </r>
  <r>
    <x v="204"/>
    <s v="已收货"/>
    <x v="485"/>
    <s v="細婷"/>
    <s v="福建张女士退货岩板转寄"/>
    <m/>
    <s v="砂白色1.8米岩板餐桌"/>
    <s v="榉木餐桌"/>
    <s v="180cm*85cm"/>
    <s v="已结算"/>
    <s v="庄毅"/>
    <n v="1677.9"/>
    <n v="1400"/>
    <m/>
    <m/>
    <m/>
    <m/>
    <n v="275.4"/>
    <m/>
    <m/>
    <m/>
    <m/>
    <m/>
    <m/>
    <m/>
    <m/>
    <m/>
    <m/>
    <m/>
    <n v="2.5"/>
    <m/>
    <m/>
    <m/>
    <m/>
    <m/>
    <m/>
    <m/>
    <m/>
    <m/>
    <m/>
    <m/>
    <n v="350"/>
    <n v="100"/>
    <n v="150"/>
    <n v="0"/>
    <n v="0"/>
    <n v="0"/>
    <n v="0"/>
    <n v="0"/>
    <n v="1"/>
    <n v="2277.9"/>
    <n v="2871.25"/>
    <n v="0"/>
    <n v="17.2275"/>
    <n v="2854.0225"/>
    <n v="0"/>
    <n v="0"/>
    <n v="0"/>
    <n v="576.1224999999999"/>
    <s v="細婷"/>
    <s v="广东省 佛山市 顺德区 容桂街道华丰三路11号"/>
    <s v="15015715372-5294"/>
    <m/>
    <m/>
  </r>
  <r>
    <x v="204"/>
    <s v="已收货"/>
    <x v="486"/>
    <s v="LLDS"/>
    <m/>
    <m/>
    <s v="样块"/>
    <s v="样块"/>
    <m/>
    <s v="已结算"/>
    <s v="杭州"/>
    <n v="7"/>
    <n v="5"/>
    <m/>
    <m/>
    <m/>
    <m/>
    <m/>
    <m/>
    <m/>
    <m/>
    <m/>
    <m/>
    <m/>
    <m/>
    <m/>
    <m/>
    <m/>
    <m/>
    <m/>
    <m/>
    <m/>
    <m/>
    <m/>
    <m/>
    <m/>
    <m/>
    <m/>
    <n v="2"/>
    <m/>
    <m/>
    <n v="5"/>
    <n v="0"/>
    <n v="0"/>
    <n v="0"/>
    <n v="0"/>
    <n v="0"/>
    <n v="0"/>
    <n v="0"/>
    <n v="1"/>
    <n v="12"/>
    <n v="17"/>
    <n v="0"/>
    <n v="0.102"/>
    <n v="16.898"/>
    <n v="0"/>
    <n v="0"/>
    <n v="0"/>
    <n v="4.898"/>
    <s v="LLDS"/>
    <s v="浙江省 杭州市 拱墅区 半山街道金星桃源居东苑7幢一单元1103"/>
    <s v="18413247686-1308"/>
    <m/>
    <m/>
  </r>
  <r>
    <x v="204"/>
    <s v="已收货"/>
    <x v="487"/>
    <s v="管女士"/>
    <m/>
    <m/>
    <s v="砂白色1.3米岩板餐桌，定制"/>
    <s v="榉木餐桌"/>
    <s v="130cm*70cm"/>
    <s v="已结算"/>
    <s v="江西"/>
    <n v="1672.5"/>
    <n v="1280"/>
    <m/>
    <m/>
    <m/>
    <m/>
    <n v="220"/>
    <m/>
    <m/>
    <m/>
    <m/>
    <m/>
    <m/>
    <m/>
    <m/>
    <m/>
    <m/>
    <m/>
    <n v="2.5"/>
    <m/>
    <m/>
    <m/>
    <m/>
    <m/>
    <m/>
    <m/>
    <m/>
    <n v="170"/>
    <m/>
    <m/>
    <n v="300"/>
    <n v="30"/>
    <n v="78"/>
    <n v="0"/>
    <n v="0"/>
    <n v="0"/>
    <n v="0"/>
    <n v="0"/>
    <n v="1"/>
    <n v="2080.5"/>
    <n v="2679.88"/>
    <n v="0"/>
    <n v="16.07928"/>
    <n v="2663.80072"/>
    <n v="0"/>
    <n v="0"/>
    <n v="0"/>
    <n v="583.3007200000002"/>
    <s v="管女士"/>
    <s v="北京 北京市 东城区 建国门街道禄米仓胡同67号院2号楼乙门5层14号"/>
    <s v="13161414194-6067"/>
    <m/>
    <m/>
  </r>
  <r>
    <x v="204"/>
    <s v="已收货"/>
    <x v="488"/>
    <s v="李冰玉"/>
    <s v="福建张女士退货岩板转寄"/>
    <m/>
    <s v="隔板补差价"/>
    <s v="樱桃木窄柜"/>
    <m/>
    <s v="已结算"/>
    <s v="江西"/>
    <n v="0"/>
    <n v="0"/>
    <m/>
    <m/>
    <m/>
    <m/>
    <m/>
    <m/>
    <m/>
    <m/>
    <m/>
    <m/>
    <m/>
    <m/>
    <m/>
    <m/>
    <m/>
    <m/>
    <m/>
    <m/>
    <m/>
    <m/>
    <m/>
    <m/>
    <m/>
    <m/>
    <m/>
    <m/>
    <m/>
    <m/>
    <n v="0"/>
    <n v="0"/>
    <n v="0"/>
    <n v="0"/>
    <n v="0"/>
    <n v="0"/>
    <n v="0"/>
    <n v="0"/>
    <n v="1"/>
    <n v="0"/>
    <n v="79"/>
    <n v="0"/>
    <n v="0.474"/>
    <n v="78.526"/>
    <n v="0"/>
    <n v="0"/>
    <n v="0"/>
    <n v="78.526"/>
    <s v="李冰玉"/>
    <s v="山东省 临沂市 兰山区 金雀山街道沂蒙路189号五金站家属院菜鸟驿站"/>
    <s v="18764962940-7786"/>
    <m/>
    <m/>
  </r>
  <r>
    <x v="204"/>
    <s v="已收货"/>
    <x v="489"/>
    <s v="刘小姐"/>
    <m/>
    <m/>
    <s v="洞石色1.8米岩板餐桌，定制"/>
    <s v="榉木餐桌"/>
    <s v="180cm*85cm"/>
    <s v="已结算"/>
    <s v="江西"/>
    <n v="1752.5"/>
    <n v="1400"/>
    <m/>
    <m/>
    <m/>
    <m/>
    <n v="220"/>
    <m/>
    <m/>
    <m/>
    <m/>
    <m/>
    <m/>
    <m/>
    <m/>
    <m/>
    <m/>
    <m/>
    <n v="2.5"/>
    <m/>
    <m/>
    <m/>
    <m/>
    <m/>
    <m/>
    <m/>
    <m/>
    <n v="130"/>
    <m/>
    <m/>
    <n v="300"/>
    <n v="30"/>
    <n v="88"/>
    <n v="0"/>
    <n v="0"/>
    <n v="0"/>
    <n v="0"/>
    <n v="0"/>
    <n v="1"/>
    <n v="2170.5"/>
    <n v="2871.25"/>
    <n v="0"/>
    <n v="17.2275"/>
    <n v="2854.0225"/>
    <n v="0"/>
    <n v="0"/>
    <n v="0"/>
    <n v="683.5225"/>
    <s v="刘小姐"/>
    <s v="广东省 深圳市 南山区 桃源街道 汉园茗院B区3栋2单元1003"/>
    <s v="13113639040-1321"/>
    <m/>
    <m/>
  </r>
  <r>
    <x v="204"/>
    <s v="已收货"/>
    <x v="490"/>
    <s v="星澜野"/>
    <m/>
    <m/>
    <s v="样块"/>
    <s v="样块"/>
    <m/>
    <s v="已结算"/>
    <s v="杭州"/>
    <n v="7"/>
    <n v="5"/>
    <m/>
    <m/>
    <m/>
    <m/>
    <m/>
    <m/>
    <m/>
    <m/>
    <m/>
    <m/>
    <m/>
    <m/>
    <m/>
    <m/>
    <m/>
    <m/>
    <m/>
    <m/>
    <m/>
    <m/>
    <m/>
    <m/>
    <m/>
    <m/>
    <m/>
    <n v="2"/>
    <m/>
    <m/>
    <n v="5"/>
    <n v="0"/>
    <n v="0"/>
    <n v="0"/>
    <n v="0"/>
    <n v="0"/>
    <n v="0"/>
    <n v="0"/>
    <n v="1"/>
    <n v="12"/>
    <n v="17"/>
    <n v="0"/>
    <n v="0.102"/>
    <n v="16.898"/>
    <n v="0"/>
    <n v="0"/>
    <n v="0"/>
    <n v="4.898"/>
    <s v="星澜野"/>
    <s v="浙江省 杭州市 萧山区 闻堰街道和雅闻兴府21幢1单元1502室（送货上门）"/>
    <s v="15785242625-2888"/>
    <m/>
    <m/>
  </r>
  <r>
    <x v="204"/>
    <s v="已收货"/>
    <x v="491"/>
    <s v="刘小姐"/>
    <m/>
    <m/>
    <s v="追加洞石岩板"/>
    <s v="榉木餐桌"/>
    <m/>
    <s v="已结算"/>
    <s v="江西"/>
    <n v="0"/>
    <n v="0"/>
    <m/>
    <m/>
    <m/>
    <m/>
    <m/>
    <m/>
    <m/>
    <m/>
    <m/>
    <m/>
    <m/>
    <m/>
    <m/>
    <m/>
    <m/>
    <m/>
    <m/>
    <m/>
    <m/>
    <m/>
    <m/>
    <m/>
    <m/>
    <m/>
    <m/>
    <m/>
    <m/>
    <m/>
    <n v="0"/>
    <n v="0"/>
    <n v="0"/>
    <n v="0"/>
    <n v="0"/>
    <n v="0"/>
    <n v="0"/>
    <n v="0"/>
    <n v="1"/>
    <n v="0"/>
    <n v="200"/>
    <n v="0"/>
    <n v="1.2"/>
    <n v="198.8"/>
    <n v="0"/>
    <n v="0"/>
    <n v="0"/>
    <n v="198.8"/>
    <s v="刘小姐"/>
    <s v="广东省 深圳市 南山区 桃源街道 汉园茗院B区3栋2单元1003"/>
    <s v="13113639040-1321"/>
    <m/>
    <m/>
  </r>
  <r>
    <x v="204"/>
    <s v="未发货"/>
    <x v="492"/>
    <s v="速腾#"/>
    <s v="产品成本+岩板+轨道+打包费+无线灯带"/>
    <m/>
    <s v="1.4岛台+1.8双腿餐桌，白色岩板，台湾轨道，带无线灯带"/>
    <s v="岛台"/>
    <n v="1400"/>
    <s v="已结算"/>
    <s v="江西"/>
    <n v="5850"/>
    <n v="4800"/>
    <n v="367"/>
    <m/>
    <m/>
    <m/>
    <n v="245"/>
    <n v="48"/>
    <m/>
    <m/>
    <m/>
    <m/>
    <m/>
    <m/>
    <m/>
    <m/>
    <m/>
    <m/>
    <m/>
    <m/>
    <m/>
    <m/>
    <m/>
    <m/>
    <m/>
    <m/>
    <m/>
    <n v="390"/>
    <m/>
    <m/>
    <n v="500"/>
    <n v="80"/>
    <n v="0"/>
    <n v="0"/>
    <n v="0"/>
    <n v="0"/>
    <n v="0"/>
    <n v="0"/>
    <n v="1"/>
    <n v="6430"/>
    <n v="7654.52"/>
    <n v="0"/>
    <n v="45.92712"/>
    <n v="7608.59288"/>
    <n v="0"/>
    <n v="0"/>
    <n v="0"/>
    <n v="1178.59288"/>
    <s v="速腾#"/>
    <s v="广东省 东莞市 null 洪梅镇望沙路4号#69281647#(000000)"/>
    <s v="17322162538"/>
    <m/>
    <m/>
  </r>
  <r>
    <x v="204"/>
    <s v="已收货"/>
    <x v="493"/>
    <s v="索菲"/>
    <m/>
    <m/>
    <s v="组合柜"/>
    <s v="组合柜"/>
    <m/>
    <s v="已结算"/>
    <s v="江西"/>
    <n v="2500"/>
    <n v="2300"/>
    <n v="22"/>
    <n v="28"/>
    <n v="150"/>
    <m/>
    <m/>
    <m/>
    <m/>
    <m/>
    <m/>
    <m/>
    <m/>
    <m/>
    <m/>
    <m/>
    <m/>
    <m/>
    <m/>
    <m/>
    <m/>
    <m/>
    <m/>
    <m/>
    <m/>
    <m/>
    <m/>
    <n v="150"/>
    <m/>
    <m/>
    <n v="250"/>
    <n v="33"/>
    <n v="118"/>
    <n v="0"/>
    <n v="0"/>
    <n v="0"/>
    <n v="0"/>
    <n v="0"/>
    <n v="1"/>
    <n v="2901"/>
    <n v="3644.53"/>
    <n v="0"/>
    <n v="21.86718"/>
    <n v="3622.66282"/>
    <n v="0"/>
    <n v="0"/>
    <n v="0"/>
    <n v="721.66282"/>
    <s v="索菲"/>
    <s v="北京 北京市 朝阳区 孙河乡京顺路香江花园 公寓B座107"/>
    <s v="13164211440-1287"/>
    <m/>
    <m/>
  </r>
  <r>
    <x v="205"/>
    <s v="未发货"/>
    <x v="494"/>
    <s v="龙勇光转欣蕊"/>
    <m/>
    <m/>
    <s v="组合柜年后发"/>
    <s v="组合柜"/>
    <m/>
    <s v="已结算"/>
    <s v="江西"/>
    <n v="5612"/>
    <n v="5000"/>
    <n v="120"/>
    <n v="22"/>
    <n v="28"/>
    <m/>
    <n v="150"/>
    <n v="10"/>
    <s v="22*6"/>
    <m/>
    <m/>
    <n v="150"/>
    <m/>
    <m/>
    <m/>
    <m/>
    <m/>
    <m/>
    <m/>
    <m/>
    <m/>
    <m/>
    <m/>
    <m/>
    <m/>
    <m/>
    <m/>
    <n v="150"/>
    <m/>
    <m/>
    <n v="250"/>
    <n v="33"/>
    <n v="0"/>
    <n v="0"/>
    <n v="0"/>
    <n v="0"/>
    <n v="0"/>
    <n v="0"/>
    <n v="1"/>
    <n v="5895"/>
    <n v="7748.4"/>
    <n v="0"/>
    <n v="46.4904"/>
    <n v="7701.9096"/>
    <n v="0"/>
    <n v="0"/>
    <n v="0"/>
    <n v="1806.9096"/>
    <s v="龙勇光转欣蕊"/>
    <s v="广东省 广州市 白云区 江高镇夏花三路498号部队路A14仓"/>
    <s v="17896419407-1174"/>
    <m/>
    <m/>
  </r>
  <r>
    <x v="206"/>
    <s v="已收货"/>
    <x v="495"/>
    <s v="包纸"/>
    <m/>
    <m/>
    <s v="1.7旋转柜"/>
    <s v="旋转餐边柜"/>
    <n v="1700"/>
    <s v="已结算"/>
    <s v="江西"/>
    <n v="8871"/>
    <n v="7000"/>
    <m/>
    <m/>
    <m/>
    <m/>
    <m/>
    <m/>
    <n v="44"/>
    <m/>
    <m/>
    <n v="22"/>
    <n v="565"/>
    <n v="551"/>
    <m/>
    <m/>
    <m/>
    <m/>
    <m/>
    <n v="124"/>
    <m/>
    <m/>
    <m/>
    <m/>
    <m/>
    <m/>
    <m/>
    <n v="565"/>
    <m/>
    <m/>
    <n v="650"/>
    <n v="30"/>
    <n v="239"/>
    <n v="0"/>
    <n v="0"/>
    <n v="0"/>
    <n v="0"/>
    <n v="0"/>
    <n v="1"/>
    <n v="9790"/>
    <n v="11212"/>
    <n v="0"/>
    <n v="67.27200000000001"/>
    <n v="11144.728"/>
    <n v="0"/>
    <n v="0"/>
    <n v="0"/>
    <n v="1354.727999999999"/>
    <s v="包纸"/>
    <s v="广东省 深圳市 南山区 西丽街道鼎胜金域世家AA5A"/>
    <s v="15712171392-2173"/>
    <m/>
    <m/>
  </r>
  <r>
    <x v="206"/>
    <s v="已收货"/>
    <x v="496"/>
    <s v="李照征"/>
    <m/>
    <m/>
    <s v="样块"/>
    <s v="样块"/>
    <m/>
    <s v="已结算"/>
    <s v="杭州"/>
    <n v="7"/>
    <n v="5"/>
    <m/>
    <m/>
    <m/>
    <m/>
    <m/>
    <m/>
    <m/>
    <m/>
    <m/>
    <m/>
    <m/>
    <m/>
    <m/>
    <m/>
    <m/>
    <m/>
    <m/>
    <m/>
    <m/>
    <m/>
    <m/>
    <m/>
    <m/>
    <m/>
    <m/>
    <n v="2"/>
    <m/>
    <m/>
    <n v="5"/>
    <n v="0"/>
    <n v="0"/>
    <n v="0"/>
    <n v="0"/>
    <n v="0"/>
    <n v="0"/>
    <n v="0"/>
    <n v="1"/>
    <n v="12"/>
    <n v="20"/>
    <n v="0"/>
    <n v="0.12"/>
    <n v="19.88"/>
    <n v="0"/>
    <n v="0"/>
    <n v="0"/>
    <n v="7.879999999999999"/>
    <s v="西早永日"/>
    <s v="上海 上海市 青浦区 盈浦街道富绅名邸6-602"/>
    <s v="18466665722-4607"/>
    <m/>
    <m/>
  </r>
  <r>
    <x v="206"/>
    <s v="已收货"/>
    <x v="497"/>
    <s v="西早永日"/>
    <m/>
    <m/>
    <s v="样块"/>
    <s v="样块"/>
    <m/>
    <s v="已结算"/>
    <s v="杭州"/>
    <n v="7"/>
    <n v="5"/>
    <m/>
    <m/>
    <m/>
    <m/>
    <m/>
    <m/>
    <m/>
    <m/>
    <m/>
    <m/>
    <m/>
    <m/>
    <m/>
    <m/>
    <m/>
    <m/>
    <m/>
    <m/>
    <m/>
    <m/>
    <m/>
    <m/>
    <m/>
    <m/>
    <m/>
    <n v="2"/>
    <m/>
    <m/>
    <n v="5"/>
    <n v="0"/>
    <n v="0"/>
    <n v="0"/>
    <n v="0"/>
    <n v="0"/>
    <n v="0"/>
    <n v="0"/>
    <n v="1"/>
    <n v="12"/>
    <n v="22"/>
    <n v="0"/>
    <n v="0.132"/>
    <n v="21.868"/>
    <n v="0"/>
    <n v="0"/>
    <n v="0"/>
    <n v="9.867999999999999"/>
    <s v="李照征"/>
    <s v="山东省 临沂市 兰山区 金雀山街道沂蒙路189号五金站家属院菜鸟驿站"/>
    <s v="18764962940-7786"/>
    <m/>
    <m/>
  </r>
  <r>
    <x v="206"/>
    <s v="已收货"/>
    <x v="498"/>
    <s v="王先生"/>
    <m/>
    <m/>
    <s v="砂白色1.6米岩板餐桌"/>
    <s v="榉木餐桌"/>
    <s v="160cm*85cm"/>
    <s v="已结算"/>
    <s v="江西"/>
    <n v="1782.5"/>
    <n v="1350"/>
    <m/>
    <m/>
    <m/>
    <m/>
    <n v="240"/>
    <m/>
    <m/>
    <m/>
    <m/>
    <m/>
    <m/>
    <m/>
    <m/>
    <m/>
    <m/>
    <m/>
    <n v="2.5"/>
    <m/>
    <m/>
    <m/>
    <m/>
    <m/>
    <m/>
    <m/>
    <m/>
    <n v="190"/>
    <m/>
    <m/>
    <n v="550"/>
    <n v="30"/>
    <n v="0"/>
    <n v="0"/>
    <n v="0"/>
    <n v="0"/>
    <n v="0"/>
    <n v="0"/>
    <n v="1"/>
    <n v="2362.5"/>
    <n v="2809.55"/>
    <n v="0"/>
    <n v="16.8573"/>
    <n v="2792.6927"/>
    <n v="0"/>
    <n v="0"/>
    <n v="0"/>
    <n v="430.1927000000001"/>
    <s v="王先生"/>
    <s v="内蒙古自治区 兴安盟 扎赉特旗 音德尔镇北望居4号楼1单元702"/>
    <s v="17836618571-5602"/>
    <m/>
    <m/>
  </r>
  <r>
    <x v="206"/>
    <s v="已收货"/>
    <x v="499"/>
    <s v="苓邺"/>
    <m/>
    <m/>
    <s v="洞石1.2樱桃餐桌"/>
    <s v="樱桃木餐桌"/>
    <n v="1200"/>
    <s v="已结算"/>
    <s v="江西"/>
    <n v="2222.5"/>
    <n v="1400"/>
    <n v="680"/>
    <n v="140"/>
    <n v="2.5"/>
    <m/>
    <m/>
    <m/>
    <m/>
    <m/>
    <m/>
    <m/>
    <m/>
    <m/>
    <m/>
    <m/>
    <m/>
    <m/>
    <m/>
    <m/>
    <m/>
    <m/>
    <m/>
    <m/>
    <m/>
    <m/>
    <m/>
    <n v="140"/>
    <m/>
    <m/>
    <n v="250"/>
    <n v="33"/>
    <n v="100"/>
    <n v="0"/>
    <n v="0"/>
    <n v="0"/>
    <n v="0"/>
    <n v="0"/>
    <n v="1"/>
    <n v="2605.5"/>
    <n v="3171.02"/>
    <n v="0"/>
    <n v="19.02612"/>
    <n v="3151.99388"/>
    <n v="0"/>
    <n v="0"/>
    <n v="0"/>
    <n v="546.49388"/>
    <s v="苓邺"/>
    <s v="浙江省 宁波市 鄞州区 白鹤街道中海江东兴樾4号楼202"/>
    <s v="18413305627-4768"/>
    <m/>
    <m/>
  </r>
  <r>
    <x v="207"/>
    <s v="已收货"/>
    <x v="500"/>
    <s v="印立"/>
    <m/>
    <m/>
    <s v="定制150*75樱桃木桌"/>
    <s v="樱桃木餐桌"/>
    <s v="150cm*75cm"/>
    <s v="已结算"/>
    <s v="江西"/>
    <n v="1822.5"/>
    <n v="1400"/>
    <n v="2.5"/>
    <n v="240"/>
    <n v="180"/>
    <m/>
    <m/>
    <m/>
    <m/>
    <m/>
    <m/>
    <m/>
    <m/>
    <m/>
    <m/>
    <m/>
    <m/>
    <m/>
    <m/>
    <m/>
    <m/>
    <m/>
    <m/>
    <m/>
    <m/>
    <m/>
    <m/>
    <n v="180"/>
    <m/>
    <n v="220"/>
    <n v="250"/>
    <n v="33"/>
    <n v="72"/>
    <n v="0"/>
    <n v="0"/>
    <n v="0"/>
    <n v="0"/>
    <n v="0"/>
    <n v="1"/>
    <n v="2177.5"/>
    <n v="2933.78"/>
    <n v="0"/>
    <n v="17.60268"/>
    <n v="2916.17732"/>
    <n v="0"/>
    <n v="0"/>
    <n v="0"/>
    <n v="738.6773200000002"/>
    <s v="印立"/>
    <s v="重庆 重庆市 渝北区 仙桃街道睦邻路25号海成云悦4-802"/>
    <s v="13164446229-4657"/>
    <m/>
    <m/>
  </r>
  <r>
    <x v="207"/>
    <s v="已收货"/>
    <x v="501"/>
    <s v="印立"/>
    <m/>
    <m/>
    <s v="差价"/>
    <m/>
    <m/>
    <s v="已结算"/>
    <s v="江西"/>
    <n v="0"/>
    <n v="0"/>
    <m/>
    <m/>
    <m/>
    <m/>
    <m/>
    <m/>
    <m/>
    <m/>
    <m/>
    <m/>
    <m/>
    <m/>
    <m/>
    <m/>
    <m/>
    <m/>
    <m/>
    <m/>
    <m/>
    <m/>
    <m/>
    <m/>
    <m/>
    <m/>
    <m/>
    <m/>
    <m/>
    <m/>
    <n v="0"/>
    <n v="0"/>
    <n v="0"/>
    <n v="0"/>
    <n v="0"/>
    <n v="0"/>
    <n v="0"/>
    <n v="0"/>
    <n v="1"/>
    <n v="0"/>
    <n v="507"/>
    <n v="0"/>
    <n v="3.042"/>
    <n v="503.958"/>
    <n v="0"/>
    <n v="0"/>
    <n v="0"/>
    <n v="503.958"/>
    <s v="印立"/>
    <s v="重庆 重庆市 渝北区 仙桃街道睦邻路25号海成云悦4-802"/>
    <s v="13164446229-4657"/>
    <m/>
    <m/>
  </r>
  <r>
    <x v="207"/>
    <s v="已收货"/>
    <x v="502"/>
    <s v="廖小姐"/>
    <m/>
    <m/>
    <s v="砂白色1.7米岩板餐桌，定制"/>
    <s v="榉木餐桌"/>
    <s v="170cm*85cm"/>
    <s v="已结算"/>
    <s v="江西"/>
    <n v="1832.5"/>
    <n v="1400"/>
    <m/>
    <m/>
    <m/>
    <m/>
    <n v="240"/>
    <m/>
    <m/>
    <m/>
    <m/>
    <m/>
    <m/>
    <m/>
    <m/>
    <m/>
    <m/>
    <m/>
    <n v="2.5"/>
    <m/>
    <m/>
    <m/>
    <m/>
    <m/>
    <m/>
    <m/>
    <m/>
    <n v="190"/>
    <m/>
    <m/>
    <n v="300"/>
    <n v="30"/>
    <n v="88"/>
    <n v="0"/>
    <n v="0"/>
    <n v="0"/>
    <n v="0"/>
    <n v="0"/>
    <n v="1"/>
    <n v="2250.5"/>
    <n v="2749.55"/>
    <n v="0"/>
    <n v="16.4973"/>
    <n v="2733.0527"/>
    <n v="0"/>
    <n v="0"/>
    <n v="0"/>
    <n v="482.5527000000002"/>
    <s v="廖小姐"/>
    <s v="广东省 广州市 天河区 石牌街道中山大道西55号华南师范大学高教新村C座C1704"/>
    <s v="13048048332-9829"/>
    <m/>
    <m/>
  </r>
  <r>
    <x v="208"/>
    <s v="已收货"/>
    <x v="503"/>
    <s v="廖小姐"/>
    <m/>
    <m/>
    <s v="补差价"/>
    <m/>
    <m/>
    <s v="已结算"/>
    <s v="江西"/>
    <n v="0"/>
    <n v="0"/>
    <m/>
    <m/>
    <m/>
    <m/>
    <m/>
    <m/>
    <m/>
    <m/>
    <m/>
    <m/>
    <m/>
    <m/>
    <m/>
    <m/>
    <m/>
    <m/>
    <m/>
    <m/>
    <m/>
    <m/>
    <m/>
    <m/>
    <m/>
    <m/>
    <m/>
    <m/>
    <m/>
    <m/>
    <n v="0"/>
    <n v="0"/>
    <n v="0"/>
    <n v="0"/>
    <n v="0"/>
    <n v="0"/>
    <n v="0"/>
    <n v="0"/>
    <n v="1"/>
    <n v="0"/>
    <n v="51"/>
    <n v="0"/>
    <n v="0.306"/>
    <n v="50.694"/>
    <n v="0"/>
    <n v="0"/>
    <n v="0"/>
    <n v="50.694"/>
    <s v="廖小姐"/>
    <s v="广东省 广州市 天河区 石牌街道中山大道西55号华南师范大学高教新村C1704"/>
    <s v="13145710581-9365"/>
    <m/>
    <m/>
  </r>
  <r>
    <x v="208"/>
    <s v="未发货"/>
    <x v="504"/>
    <s v="小星"/>
    <m/>
    <m/>
    <s v="砂白色1.6米岩板餐桌"/>
    <s v="榉木餐桌"/>
    <s v="160cm*85cm"/>
    <m/>
    <s v="江西"/>
    <n v="1782.5"/>
    <n v="1350"/>
    <m/>
    <m/>
    <m/>
    <m/>
    <n v="240"/>
    <m/>
    <m/>
    <m/>
    <m/>
    <m/>
    <m/>
    <m/>
    <m/>
    <m/>
    <m/>
    <m/>
    <n v="2.5"/>
    <m/>
    <m/>
    <m/>
    <m/>
    <m/>
    <m/>
    <m/>
    <m/>
    <n v="190"/>
    <m/>
    <m/>
    <n v="300"/>
    <n v="30"/>
    <n v="70"/>
    <n v="0"/>
    <n v="0"/>
    <n v="0"/>
    <n v="0"/>
    <n v="0"/>
    <n v="1"/>
    <n v="2182.5"/>
    <n v="2754.55"/>
    <n v="0"/>
    <n v="16.5273"/>
    <n v="2738.0227"/>
    <n v="0"/>
    <n v="0"/>
    <n v="0"/>
    <n v="555.5227"/>
    <s v="小星"/>
    <s v="四川省 成都市 彭州市 致和街道城投云湖5栋401(000000)"/>
    <s v="18400819593-2427"/>
    <m/>
    <m/>
  </r>
  <r>
    <x v="209"/>
    <s v="已收货"/>
    <x v="505"/>
    <s v="李"/>
    <m/>
    <m/>
    <s v="样块"/>
    <s v="样块"/>
    <m/>
    <s v="已结算"/>
    <s v="杭州"/>
    <n v="7"/>
    <n v="5"/>
    <m/>
    <m/>
    <m/>
    <m/>
    <m/>
    <m/>
    <m/>
    <m/>
    <m/>
    <m/>
    <m/>
    <m/>
    <m/>
    <m/>
    <m/>
    <m/>
    <m/>
    <m/>
    <m/>
    <m/>
    <m/>
    <m/>
    <m/>
    <m/>
    <m/>
    <n v="2"/>
    <m/>
    <m/>
    <n v="5"/>
    <n v="0"/>
    <n v="0"/>
    <n v="0"/>
    <n v="0"/>
    <n v="0"/>
    <n v="0"/>
    <n v="0"/>
    <n v="1"/>
    <n v="12"/>
    <n v="22"/>
    <n v="0"/>
    <n v="0.132"/>
    <n v="21.868"/>
    <n v="0"/>
    <n v="0"/>
    <n v="0"/>
    <n v="9.867999999999999"/>
    <s v="李"/>
    <s v="河南省 郑州市 中原区 林山寨街道工人路 于砦北街 学府一号小区 北门 4号楼"/>
    <s v="17613457026-3880"/>
    <m/>
    <m/>
  </r>
  <r>
    <x v="209"/>
    <s v="已收货"/>
    <x v="506"/>
    <s v="张梅西"/>
    <m/>
    <m/>
    <s v="样块"/>
    <s v="样块"/>
    <m/>
    <s v="已结算"/>
    <s v="杭州"/>
    <n v="7"/>
    <n v="5"/>
    <m/>
    <m/>
    <m/>
    <m/>
    <m/>
    <m/>
    <m/>
    <m/>
    <m/>
    <m/>
    <m/>
    <m/>
    <m/>
    <m/>
    <m/>
    <m/>
    <m/>
    <m/>
    <m/>
    <m/>
    <m/>
    <m/>
    <m/>
    <m/>
    <m/>
    <n v="2"/>
    <m/>
    <m/>
    <n v="5"/>
    <n v="0"/>
    <n v="0"/>
    <n v="0"/>
    <n v="0"/>
    <n v="0"/>
    <n v="0"/>
    <n v="0"/>
    <n v="1"/>
    <n v="12"/>
    <n v="22"/>
    <n v="0"/>
    <n v="0.132"/>
    <n v="21.868"/>
    <n v="0"/>
    <n v="0"/>
    <n v="0"/>
    <n v="9.867999999999999"/>
    <s v="张梅西"/>
    <s v="北京 北京市 西城区 新街口街道西直门北顺城街玉桃园2区22号楼2门302"/>
    <s v="18400868318-9643"/>
    <m/>
    <m/>
  </r>
  <r>
    <x v="210"/>
    <s v="售后处理中"/>
    <x v="507"/>
    <s v="宗雪娟"/>
    <m/>
    <m/>
    <s v="定制长2.4米，高2.35米洞石柜子"/>
    <s v="洞石餐边柜"/>
    <n v="2400"/>
    <m/>
    <s v="江西"/>
    <n v="10767.58"/>
    <n v="8200"/>
    <n v="830.08"/>
    <m/>
    <m/>
    <n v="120"/>
    <n v="750"/>
    <n v="104"/>
    <n v="98"/>
    <m/>
    <m/>
    <m/>
    <n v="154"/>
    <m/>
    <n v="17.5"/>
    <m/>
    <n v="20"/>
    <n v="14"/>
    <m/>
    <m/>
    <m/>
    <m/>
    <m/>
    <m/>
    <m/>
    <m/>
    <m/>
    <n v="460"/>
    <m/>
    <m/>
    <n v="550"/>
    <n v="50"/>
    <n v="150"/>
    <n v="0"/>
    <n v="0"/>
    <n v="0"/>
    <n v="0"/>
    <n v="0"/>
    <n v="1"/>
    <n v="11517.58"/>
    <n v="12164.52"/>
    <n v="0"/>
    <n v="72.98712"/>
    <n v="12091.53288"/>
    <n v="0"/>
    <n v="0"/>
    <n v="0"/>
    <n v="573.9528800000007"/>
    <s v="宗雪娟"/>
    <s v="河北省 石家庄市 长安区 高营镇万科翡翠书院5号院10-1-804(000000)"/>
    <s v="18920329925"/>
    <m/>
    <m/>
  </r>
  <r>
    <x v="210"/>
    <s v="售后处理中"/>
    <x v="508"/>
    <s v="宗雪娟"/>
    <m/>
    <m/>
    <s v="补差价"/>
    <s v="洞石餐边柜"/>
    <m/>
    <m/>
    <s v="江西"/>
    <n v="0"/>
    <n v="0"/>
    <m/>
    <m/>
    <m/>
    <m/>
    <m/>
    <m/>
    <m/>
    <m/>
    <m/>
    <m/>
    <m/>
    <m/>
    <m/>
    <m/>
    <m/>
    <m/>
    <m/>
    <m/>
    <m/>
    <m/>
    <m/>
    <m/>
    <m/>
    <m/>
    <m/>
    <m/>
    <m/>
    <m/>
    <n v="0"/>
    <n v="0"/>
    <n v="0"/>
    <n v="0"/>
    <n v="0"/>
    <n v="0"/>
    <n v="0"/>
    <n v="0"/>
    <n v="1"/>
    <n v="0"/>
    <n v="2334.64"/>
    <n v="0"/>
    <n v="14.00784"/>
    <n v="2320.63216"/>
    <n v="0"/>
    <n v="0"/>
    <n v="0"/>
    <n v="2320.63216"/>
    <s v="宗雪娟"/>
    <s v="河北省 石家庄市 长安区 万科翡翠书院5号院10-801(050011)"/>
    <s v="17897430591-3735"/>
    <m/>
    <m/>
  </r>
  <r>
    <x v="210"/>
    <s v="已收货"/>
    <x v="509"/>
    <s v="TENG"/>
    <m/>
    <m/>
    <s v="1.2米洞石窄柜"/>
    <s v="樱桃木窄柜"/>
    <n v="1200"/>
    <s v="已结算"/>
    <s v="江西"/>
    <n v="4510.54"/>
    <n v="3400"/>
    <n v="115"/>
    <m/>
    <m/>
    <m/>
    <m/>
    <m/>
    <n v="27791"/>
    <m/>
    <m/>
    <n v="8"/>
    <n v="411.08"/>
    <n v="3"/>
    <m/>
    <m/>
    <m/>
    <n v="190"/>
    <n v="52"/>
    <n v="10"/>
    <s v="300*1.2*0.48"/>
    <m/>
    <m/>
    <m/>
    <s v="5*10"/>
    <m/>
    <m/>
    <n v="54"/>
    <m/>
    <m/>
    <n v="300"/>
    <n v="30"/>
    <n v="68"/>
    <n v="0"/>
    <n v="0"/>
    <n v="0"/>
    <n v="0"/>
    <n v="0"/>
    <n v="1"/>
    <n v="4908.54"/>
    <n v="5978.95"/>
    <n v="0"/>
    <n v="35.8737"/>
    <n v="5943.0763"/>
    <n v="0"/>
    <n v="0"/>
    <n v="0"/>
    <n v="1034.5363"/>
    <s v="TENG"/>
    <s v="江苏省 徐州市 鼓楼区 丰财街道响山路锦绣滨湖小区三期48-2-102 （送货到门）"/>
    <s v="15780620215-7957"/>
    <m/>
    <m/>
  </r>
  <r>
    <x v="210"/>
    <s v="已收货"/>
    <x v="510"/>
    <s v="张梅西"/>
    <m/>
    <m/>
    <s v="样块"/>
    <s v="样块"/>
    <m/>
    <s v="已结算"/>
    <s v="杭州"/>
    <n v="7"/>
    <n v="5"/>
    <m/>
    <m/>
    <m/>
    <m/>
    <m/>
    <m/>
    <m/>
    <m/>
    <m/>
    <m/>
    <m/>
    <m/>
    <m/>
    <m/>
    <m/>
    <m/>
    <m/>
    <m/>
    <m/>
    <m/>
    <m/>
    <m/>
    <m/>
    <m/>
    <m/>
    <n v="2"/>
    <m/>
    <m/>
    <n v="5"/>
    <n v="0"/>
    <n v="0"/>
    <n v="0"/>
    <n v="0"/>
    <n v="0"/>
    <n v="0"/>
    <n v="0"/>
    <n v="1"/>
    <n v="12"/>
    <n v="22"/>
    <n v="0"/>
    <n v="0.132"/>
    <n v="21.868"/>
    <n v="0"/>
    <n v="0"/>
    <n v="0"/>
    <n v="9.867999999999999"/>
    <s v="张梅西"/>
    <s v="北京 北京市 西城区 新街口街道西直门北顺城街玉桃园2区22号楼2门302"/>
    <s v="18400868318-9643"/>
    <m/>
    <m/>
  </r>
  <r>
    <x v="211"/>
    <s v="已收货"/>
    <x v="511"/>
    <s v="黄梦荻"/>
    <m/>
    <m/>
    <s v="砂白色1.8米岩板餐桌"/>
    <s v="榉木餐桌"/>
    <s v="180cm*85cm"/>
    <s v="已结算"/>
    <s v="江西"/>
    <n v="1732.5"/>
    <n v="1400"/>
    <m/>
    <m/>
    <m/>
    <m/>
    <n v="240"/>
    <m/>
    <m/>
    <m/>
    <m/>
    <m/>
    <m/>
    <m/>
    <m/>
    <m/>
    <m/>
    <m/>
    <n v="2.5"/>
    <m/>
    <m/>
    <m/>
    <m/>
    <m/>
    <m/>
    <m/>
    <m/>
    <n v="90"/>
    <m/>
    <m/>
    <n v="100"/>
    <n v="0"/>
    <n v="260"/>
    <n v="0"/>
    <n v="0"/>
    <n v="0"/>
    <n v="0"/>
    <n v="0"/>
    <n v="1"/>
    <n v="2092.5"/>
    <n v="2871.25"/>
    <n v="0"/>
    <n v="17.2275"/>
    <n v="2854.0225"/>
    <n v="0"/>
    <n v="0"/>
    <n v="0"/>
    <n v="761.5225"/>
    <s v="黄梦荻"/>
    <s v="上海 上海市 浦东新区 北蔡镇开云艾尚里二期16号301室"/>
    <s v="18466706956-5622"/>
    <m/>
    <m/>
  </r>
  <r>
    <x v="212"/>
    <s v="已收货"/>
    <x v="512"/>
    <s v="冉先生"/>
    <m/>
    <m/>
    <s v="样块"/>
    <s v="样块"/>
    <m/>
    <s v="已结算"/>
    <s v="杭州"/>
    <n v="7"/>
    <n v="5"/>
    <m/>
    <m/>
    <m/>
    <m/>
    <m/>
    <m/>
    <m/>
    <m/>
    <m/>
    <m/>
    <m/>
    <m/>
    <m/>
    <m/>
    <m/>
    <m/>
    <m/>
    <m/>
    <m/>
    <m/>
    <m/>
    <m/>
    <m/>
    <m/>
    <m/>
    <n v="2"/>
    <m/>
    <m/>
    <n v="5"/>
    <n v="0"/>
    <n v="0"/>
    <n v="0"/>
    <n v="0"/>
    <n v="0"/>
    <n v="0"/>
    <n v="0"/>
    <n v="1"/>
    <n v="12"/>
    <n v="22"/>
    <n v="0"/>
    <n v="0.132"/>
    <n v="21.868"/>
    <n v="0"/>
    <n v="0"/>
    <n v="0"/>
    <n v="9.867999999999999"/>
    <s v="冉先生"/>
    <s v="重庆 重庆市 沙坪坝区 土主街道重庆融创文旅城·御铂南区9栋"/>
    <s v="18423011537-1714"/>
    <m/>
    <m/>
  </r>
  <r>
    <x v="212"/>
    <s v="已收货"/>
    <x v="513"/>
    <s v="李焯翾"/>
    <m/>
    <m/>
    <s v="返回拦截费用"/>
    <m/>
    <m/>
    <s v="已结算"/>
    <s v="江西"/>
    <n v="0"/>
    <n v="0"/>
    <m/>
    <m/>
    <m/>
    <m/>
    <m/>
    <m/>
    <m/>
    <m/>
    <m/>
    <m/>
    <m/>
    <m/>
    <m/>
    <m/>
    <m/>
    <m/>
    <m/>
    <m/>
    <m/>
    <m/>
    <m/>
    <m/>
    <m/>
    <m/>
    <m/>
    <m/>
    <m/>
    <m/>
    <n v="0"/>
    <n v="0"/>
    <n v="0"/>
    <n v="0"/>
    <n v="0"/>
    <n v="0"/>
    <n v="0"/>
    <n v="0"/>
    <n v="1"/>
    <n v="0"/>
    <n v="341"/>
    <n v="0"/>
    <n v="2.046"/>
    <n v="338.954"/>
    <n v="0"/>
    <n v="0"/>
    <n v="0"/>
    <n v="338.954"/>
    <s v="李焯翾"/>
    <s v="河南省 郑州市 管城回族区 商都路街道 国龙绿城怡园2期3号楼3单元1002分机号7154"/>
    <n v="18416726806"/>
    <m/>
    <m/>
  </r>
  <r>
    <x v="213"/>
    <s v="已收货"/>
    <x v="514"/>
    <s v="兰森尼"/>
    <m/>
    <m/>
    <s v="砂白色2.0米岩板餐桌，定制"/>
    <s v="榉木餐桌"/>
    <s v="200cm*85cm"/>
    <m/>
    <s v="江西"/>
    <n v="2222.5"/>
    <n v="1450"/>
    <m/>
    <m/>
    <m/>
    <m/>
    <n v="560"/>
    <m/>
    <m/>
    <m/>
    <m/>
    <m/>
    <m/>
    <m/>
    <m/>
    <m/>
    <m/>
    <m/>
    <n v="2.5"/>
    <m/>
    <m/>
    <m/>
    <m/>
    <m/>
    <m/>
    <m/>
    <m/>
    <n v="210"/>
    <m/>
    <m/>
    <n v="300"/>
    <n v="30"/>
    <n v="70"/>
    <n v="0"/>
    <n v="0"/>
    <n v="0"/>
    <n v="0"/>
    <n v="0"/>
    <n v="1"/>
    <n v="2622.5"/>
    <n v="3183.78"/>
    <n v="0"/>
    <n v="19.10268"/>
    <n v="3164.67732"/>
    <n v="0"/>
    <n v="0"/>
    <n v="0"/>
    <n v="542.1773200000002"/>
    <s v="兰森尼"/>
    <s v="新疆维吾尔自治区 乌鲁木齐市 新市区 二工乡新馨美寓9号楼3单元603(000000)"/>
    <s v="18466169289-9572"/>
    <m/>
    <m/>
  </r>
  <r>
    <x v="213"/>
    <s v="已收货"/>
    <x v="515"/>
    <s v="兰森尼"/>
    <m/>
    <m/>
    <s v="补差价"/>
    <s v="榉木餐桌"/>
    <m/>
    <m/>
    <s v="江西"/>
    <n v="0"/>
    <n v="0"/>
    <m/>
    <m/>
    <m/>
    <m/>
    <m/>
    <m/>
    <m/>
    <m/>
    <m/>
    <m/>
    <m/>
    <m/>
    <m/>
    <m/>
    <m/>
    <m/>
    <m/>
    <m/>
    <m/>
    <m/>
    <m/>
    <m/>
    <m/>
    <m/>
    <m/>
    <m/>
    <m/>
    <m/>
    <n v="0"/>
    <n v="0"/>
    <n v="0"/>
    <n v="0"/>
    <n v="0"/>
    <n v="0"/>
    <n v="0"/>
    <n v="0"/>
    <n v="1"/>
    <n v="0"/>
    <n v="54.56"/>
    <n v="0"/>
    <n v="0.32736"/>
    <n v="54.23264"/>
    <n v="0"/>
    <n v="0"/>
    <n v="0"/>
    <n v="54.23264"/>
    <s v="兰森尼"/>
    <s v="新疆维吾尔自治区 乌鲁木齐市 新市区 二工乡新馨美寓9号楼3单元603(000000)"/>
    <s v="18466169289-9572"/>
    <m/>
    <m/>
  </r>
  <r>
    <x v="214"/>
    <s v="已收货"/>
    <x v="516"/>
    <s v="李照征"/>
    <m/>
    <m/>
    <s v="插座"/>
    <s v="配件"/>
    <m/>
    <s v="已结算"/>
    <s v="其他"/>
    <n v="55"/>
    <n v="55"/>
    <m/>
    <m/>
    <m/>
    <m/>
    <m/>
    <m/>
    <m/>
    <m/>
    <m/>
    <m/>
    <m/>
    <m/>
    <m/>
    <m/>
    <m/>
    <m/>
    <m/>
    <m/>
    <m/>
    <m/>
    <m/>
    <m/>
    <m/>
    <m/>
    <m/>
    <m/>
    <m/>
    <m/>
    <n v="8"/>
    <n v="0"/>
    <n v="0"/>
    <n v="0"/>
    <n v="0"/>
    <n v="0"/>
    <n v="0"/>
    <n v="0"/>
    <n v="1"/>
    <n v="63"/>
    <n v="100"/>
    <n v="0"/>
    <n v="0.6"/>
    <n v="99.40000000000001"/>
    <n v="0"/>
    <n v="0"/>
    <n v="0"/>
    <n v="36.40000000000001"/>
    <s v="李照征"/>
    <s v="山东省 临沂市 兰山区 金雀山街道沂蒙路189号五金站家属院菜鸟驿站"/>
    <s v="18764962940-7786"/>
    <m/>
    <m/>
  </r>
  <r>
    <x v="214"/>
    <s v="已收货"/>
    <x v="517"/>
    <s v="崔继军"/>
    <m/>
    <m/>
    <s v="1.2米洞石窄柜"/>
    <s v="樱桃木窄柜"/>
    <n v="1200"/>
    <m/>
    <s v="江西"/>
    <n v="4664.139999999999"/>
    <n v="3200"/>
    <n v="115"/>
    <m/>
    <m/>
    <m/>
    <m/>
    <m/>
    <n v="27791"/>
    <m/>
    <m/>
    <n v="8"/>
    <n v="411.08"/>
    <n v="3"/>
    <m/>
    <m/>
    <m/>
    <m/>
    <n v="62.4"/>
    <n v="10"/>
    <n v="220"/>
    <m/>
    <m/>
    <m/>
    <m/>
    <m/>
    <m/>
    <n v="190"/>
    <m/>
    <m/>
    <n v="300"/>
    <n v="30"/>
    <n v="80"/>
    <n v="0"/>
    <n v="0"/>
    <n v="0"/>
    <n v="0"/>
    <n v="0"/>
    <n v="1"/>
    <n v="5074.139999999999"/>
    <n v="5978.95"/>
    <n v="0"/>
    <n v="35.8737"/>
    <n v="5943.0763"/>
    <n v="0"/>
    <n v="0"/>
    <n v="0"/>
    <n v="868.9363000000003"/>
    <s v="崔继军"/>
    <s v="北京 北京市 海淀区 温泉镇谭韵雅庭22号地12号楼四单元501(000000)"/>
    <s v="17810306185-8696"/>
    <m/>
    <m/>
  </r>
  <r>
    <x v="215"/>
    <s v="已收货"/>
    <x v="518"/>
    <s v="黄磊"/>
    <m/>
    <m/>
    <s v="椅子补差价"/>
    <s v="椅子"/>
    <m/>
    <s v="已结算"/>
    <s v="其他"/>
    <n v="0"/>
    <n v="0"/>
    <m/>
    <m/>
    <m/>
    <m/>
    <m/>
    <m/>
    <m/>
    <m/>
    <m/>
    <m/>
    <m/>
    <m/>
    <m/>
    <m/>
    <m/>
    <m/>
    <m/>
    <m/>
    <m/>
    <m/>
    <m/>
    <m/>
    <m/>
    <m/>
    <m/>
    <m/>
    <m/>
    <m/>
    <n v="0"/>
    <n v="0"/>
    <n v="0"/>
    <n v="0"/>
    <n v="0"/>
    <n v="0"/>
    <n v="0"/>
    <n v="0"/>
    <n v="1"/>
    <n v="0"/>
    <n v="333.52"/>
    <n v="0"/>
    <n v="2.00112"/>
    <n v="331.51888"/>
    <n v="0"/>
    <n v="0"/>
    <n v="0"/>
    <n v="331.51888"/>
    <s v="杨剑文黄磊"/>
    <s v="甘肃省 天水市 秦州区 东关街道西北角天麟金水湾小区5#楼1单元2101号"/>
    <s v="18466659098-1556"/>
    <m/>
    <m/>
  </r>
  <r>
    <x v="215"/>
    <s v="已收货"/>
    <x v="519"/>
    <s v="杨坤鹏转余栋"/>
    <m/>
    <m/>
    <s v="3个插座"/>
    <s v="配件"/>
    <m/>
    <s v="已结算"/>
    <s v="其他"/>
    <n v="165"/>
    <n v="165"/>
    <m/>
    <m/>
    <m/>
    <m/>
    <m/>
    <m/>
    <m/>
    <m/>
    <m/>
    <m/>
    <m/>
    <m/>
    <m/>
    <m/>
    <m/>
    <m/>
    <m/>
    <m/>
    <m/>
    <m/>
    <m/>
    <m/>
    <m/>
    <m/>
    <m/>
    <m/>
    <m/>
    <m/>
    <n v="8"/>
    <n v="0"/>
    <n v="0"/>
    <n v="0"/>
    <n v="0"/>
    <n v="0"/>
    <n v="0"/>
    <n v="0"/>
    <n v="1"/>
    <n v="173"/>
    <n v="300"/>
    <n v="0"/>
    <n v="1.8"/>
    <n v="298.2"/>
    <n v="0"/>
    <n v="0"/>
    <n v="0"/>
    <n v="125.2"/>
    <s v="杨坤鹏转余栋"/>
    <s v="广东省 广州市 白云区 江高镇夏花三路498号部队路A14仓 （YD502-SIN）"/>
    <s v="14749571996-2433"/>
    <m/>
    <m/>
  </r>
  <r>
    <x v="215"/>
    <s v="已收货"/>
    <x v="520"/>
    <s v="朱先生"/>
    <m/>
    <m/>
    <s v="砂白色1.4米岩板餐桌"/>
    <s v="榉木餐桌"/>
    <s v="140cm*85cm"/>
    <s v="已结算"/>
    <s v="江西"/>
    <n v="1702.5"/>
    <n v="1300"/>
    <m/>
    <m/>
    <m/>
    <m/>
    <n v="220"/>
    <m/>
    <m/>
    <m/>
    <m/>
    <m/>
    <m/>
    <m/>
    <m/>
    <m/>
    <m/>
    <m/>
    <n v="2.5"/>
    <m/>
    <m/>
    <m/>
    <m/>
    <m/>
    <m/>
    <m/>
    <m/>
    <n v="180"/>
    <m/>
    <m/>
    <n v="300"/>
    <n v="30"/>
    <n v="65"/>
    <n v="0"/>
    <n v="0"/>
    <n v="0"/>
    <n v="0"/>
    <n v="0"/>
    <n v="1"/>
    <n v="2097.5"/>
    <n v="2602.4"/>
    <n v="0"/>
    <n v="15.6144"/>
    <n v="2586.7856"/>
    <n v="0"/>
    <n v="0"/>
    <n v="0"/>
    <n v="489.2856000000002"/>
    <s v="朱先生"/>
    <s v="广东省 广州市 番禺区 沙湾街道香柏华府13栋301"/>
    <s v="18466115659-7729"/>
    <m/>
    <m/>
  </r>
  <r>
    <x v="216"/>
    <s v="已收货"/>
    <x v="521"/>
    <s v="黄金五花肉"/>
    <m/>
    <m/>
    <s v="样块"/>
    <s v="样块"/>
    <m/>
    <s v="已结算"/>
    <s v="杭州"/>
    <n v="7"/>
    <n v="5"/>
    <m/>
    <m/>
    <m/>
    <m/>
    <m/>
    <m/>
    <m/>
    <m/>
    <m/>
    <m/>
    <m/>
    <m/>
    <m/>
    <m/>
    <m/>
    <m/>
    <m/>
    <m/>
    <m/>
    <m/>
    <m/>
    <m/>
    <m/>
    <m/>
    <m/>
    <n v="2"/>
    <m/>
    <m/>
    <n v="5"/>
    <n v="0"/>
    <n v="0"/>
    <n v="0"/>
    <n v="0"/>
    <n v="0"/>
    <n v="0"/>
    <n v="0"/>
    <n v="1"/>
    <n v="12"/>
    <n v="17"/>
    <n v="0"/>
    <n v="0.102"/>
    <n v="16.898"/>
    <n v="0"/>
    <n v="0"/>
    <n v="0"/>
    <n v="4.898"/>
    <s v="黄金五花肉"/>
    <s v="江苏省 南京市 建邺区 沙洲街道雨润大街19号双和园东区4幢17楼 务必送上楼或者3幢/北门丰巢柜"/>
    <s v="15780621747-5919"/>
    <m/>
    <m/>
  </r>
  <r>
    <x v="216"/>
    <s v="已收货"/>
    <x v="522"/>
    <s v="郝全"/>
    <m/>
    <m/>
    <s v="1.6米黑胡桃木岩板餐桌"/>
    <s v="黑胡桃木餐桌"/>
    <s v="160cm*85cm"/>
    <s v="已结算"/>
    <s v="江西"/>
    <n v="2712.5"/>
    <n v="2300"/>
    <n v="2.5"/>
    <n v="220"/>
    <n v="190"/>
    <m/>
    <m/>
    <m/>
    <m/>
    <m/>
    <m/>
    <m/>
    <m/>
    <m/>
    <m/>
    <m/>
    <m/>
    <m/>
    <m/>
    <m/>
    <m/>
    <m/>
    <m/>
    <m/>
    <m/>
    <m/>
    <m/>
    <n v="190"/>
    <m/>
    <m/>
    <n v="300"/>
    <n v="30"/>
    <n v="75"/>
    <n v="0"/>
    <n v="0"/>
    <n v="0"/>
    <n v="0"/>
    <n v="0"/>
    <n v="1"/>
    <n v="3117.5"/>
    <n v="3530.77"/>
    <n v="0"/>
    <n v="21.18462"/>
    <n v="3509.58538"/>
    <n v="0"/>
    <n v="0"/>
    <n v="0"/>
    <n v="392.08538"/>
    <s v="郝全"/>
    <s v="山西省 大同市 平城区 振华街道大同市天锐华城西区3栋3单元1101"/>
    <s v="14735146645-2658"/>
    <m/>
    <m/>
  </r>
  <r>
    <x v="216"/>
    <s v="已收货"/>
    <x v="523"/>
    <s v="杨朱斌"/>
    <m/>
    <m/>
    <s v="砂白色2.0米岩板餐桌"/>
    <s v="榉木餐桌"/>
    <s v="200cm*85cm"/>
    <s v="已结算"/>
    <s v="江西"/>
    <n v="2102.5"/>
    <n v="1450"/>
    <m/>
    <m/>
    <m/>
    <m/>
    <n v="510"/>
    <m/>
    <m/>
    <m/>
    <m/>
    <m/>
    <m/>
    <m/>
    <m/>
    <m/>
    <m/>
    <m/>
    <n v="2.5"/>
    <m/>
    <m/>
    <m/>
    <m/>
    <m/>
    <m/>
    <m/>
    <m/>
    <n v="140"/>
    <m/>
    <m/>
    <n v="300"/>
    <n v="30"/>
    <n v="109"/>
    <n v="0"/>
    <n v="0"/>
    <n v="0"/>
    <n v="0"/>
    <n v="0"/>
    <n v="1"/>
    <n v="2541.5"/>
    <n v="2933.78"/>
    <n v="0"/>
    <n v="17.60268"/>
    <n v="2916.17732"/>
    <n v="0"/>
    <n v="0"/>
    <n v="0"/>
    <n v="374.6773200000002"/>
    <s v="杨朱斌"/>
    <s v="浙江省 宁波市 鄞州区 东郊街道江东金茂府14幢40单元501"/>
    <s v="18413305427-9258"/>
    <m/>
    <m/>
  </r>
  <r>
    <x v="216"/>
    <s v="已收货"/>
    <x v="524"/>
    <s v="李铭"/>
    <m/>
    <m/>
    <s v="砂白色1.4米岩板餐桌"/>
    <s v="榉木餐桌"/>
    <s v="140cm*85cm"/>
    <m/>
    <s v="江西"/>
    <n v="1732.5"/>
    <n v="1300"/>
    <m/>
    <m/>
    <m/>
    <m/>
    <n v="240"/>
    <m/>
    <m/>
    <m/>
    <m/>
    <m/>
    <m/>
    <m/>
    <m/>
    <m/>
    <m/>
    <m/>
    <n v="2.5"/>
    <m/>
    <m/>
    <m/>
    <m/>
    <m/>
    <m/>
    <m/>
    <m/>
    <n v="190"/>
    <m/>
    <m/>
    <n v="300"/>
    <n v="30"/>
    <n v="70"/>
    <n v="0"/>
    <n v="0"/>
    <n v="0"/>
    <n v="0"/>
    <n v="0"/>
    <n v="1"/>
    <n v="2132.5"/>
    <n v="2674.41"/>
    <n v="0"/>
    <n v="16.04646"/>
    <n v="2658.36354"/>
    <n v="0"/>
    <n v="0"/>
    <n v="0"/>
    <n v="525.8635399999998"/>
    <s v="李铭"/>
    <s v="河南省 郑州市 金水区 文化路街道正弘蓝堡湾2期南区4号楼2203(000000)"/>
    <s v="17864146858-6534"/>
    <m/>
    <m/>
  </r>
  <r>
    <x v="217"/>
    <s v="已收货"/>
    <x v="525"/>
    <s v="Q先生"/>
    <m/>
    <m/>
    <s v="样块"/>
    <s v="样块"/>
    <m/>
    <s v="已结算"/>
    <s v="杭州"/>
    <n v="7"/>
    <n v="5"/>
    <m/>
    <m/>
    <m/>
    <m/>
    <m/>
    <m/>
    <m/>
    <m/>
    <m/>
    <m/>
    <m/>
    <m/>
    <m/>
    <m/>
    <m/>
    <m/>
    <m/>
    <m/>
    <m/>
    <m/>
    <m/>
    <m/>
    <m/>
    <m/>
    <m/>
    <n v="2"/>
    <m/>
    <m/>
    <n v="5"/>
    <n v="0"/>
    <n v="0"/>
    <n v="0"/>
    <n v="0"/>
    <n v="0"/>
    <n v="0"/>
    <n v="0"/>
    <n v="1"/>
    <n v="12"/>
    <n v="22"/>
    <n v="0"/>
    <n v="0.132"/>
    <n v="21.868"/>
    <n v="0"/>
    <n v="0"/>
    <n v="0"/>
    <n v="9.867999999999999"/>
    <s v="Q先生"/>
    <s v="浙江省 杭州市 上城区 笕桥街道蔡阳路67号春来晓园15栋2单元102"/>
    <s v="18413255258-8444"/>
    <m/>
    <m/>
  </r>
  <r>
    <x v="217"/>
    <s v="已收货"/>
    <x v="526"/>
    <s v="唐靓靓"/>
    <m/>
    <m/>
    <s v="2个插座"/>
    <s v="配件"/>
    <m/>
    <s v="已结算"/>
    <s v="其他"/>
    <n v="110"/>
    <n v="110"/>
    <m/>
    <m/>
    <m/>
    <m/>
    <m/>
    <m/>
    <m/>
    <m/>
    <m/>
    <m/>
    <m/>
    <m/>
    <m/>
    <m/>
    <m/>
    <m/>
    <m/>
    <m/>
    <m/>
    <m/>
    <m/>
    <m/>
    <m/>
    <m/>
    <m/>
    <m/>
    <m/>
    <m/>
    <n v="8"/>
    <n v="0"/>
    <n v="0"/>
    <n v="0"/>
    <n v="0"/>
    <n v="0"/>
    <n v="0"/>
    <n v="0"/>
    <n v="1"/>
    <n v="118"/>
    <n v="200"/>
    <n v="0"/>
    <n v="1.2"/>
    <n v="198.8"/>
    <n v="0"/>
    <n v="0"/>
    <n v="0"/>
    <n v="80.80000000000001"/>
    <s v="唐靓靓"/>
    <s v="上海 上海市 浦东新区 川沙新镇市六灶镇周祝公路2352号504室"/>
    <s v="13124830879-8682"/>
    <m/>
    <m/>
  </r>
  <r>
    <x v="218"/>
    <s v="已收货"/>
    <x v="527"/>
    <s v="李大姐"/>
    <m/>
    <m/>
    <s v="样块*2"/>
    <s v="样块"/>
    <m/>
    <s v="已结算"/>
    <s v="杭州"/>
    <n v="12"/>
    <n v="10"/>
    <m/>
    <m/>
    <m/>
    <m/>
    <m/>
    <m/>
    <m/>
    <m/>
    <m/>
    <m/>
    <m/>
    <m/>
    <m/>
    <m/>
    <m/>
    <m/>
    <m/>
    <m/>
    <m/>
    <m/>
    <m/>
    <m/>
    <m/>
    <m/>
    <m/>
    <n v="2"/>
    <m/>
    <m/>
    <n v="5"/>
    <n v="0"/>
    <n v="0"/>
    <n v="0"/>
    <n v="0"/>
    <n v="0"/>
    <n v="0"/>
    <n v="0"/>
    <n v="1"/>
    <n v="17"/>
    <n v="44"/>
    <n v="0"/>
    <n v="0.264"/>
    <n v="43.736"/>
    <n v="0"/>
    <n v="0"/>
    <n v="0"/>
    <n v="26.736"/>
    <s v="李大姐"/>
    <s v="江苏省 苏州市 昆山市 玉山镇庆丰西路669号昆山智谷创意产业园D区西南角2楼006室洞见瑜伽馆"/>
    <s v="18468587687-3221"/>
    <m/>
    <m/>
  </r>
  <r>
    <x v="219"/>
    <s v="已收货"/>
    <x v="528"/>
    <s v="杨君伟"/>
    <m/>
    <m/>
    <s v="砂白色1.6米岩板餐桌"/>
    <s v="榉木餐桌"/>
    <s v="160cm*85cm"/>
    <s v="已结算"/>
    <s v="江西"/>
    <n v="1782.5"/>
    <n v="1350"/>
    <m/>
    <m/>
    <m/>
    <m/>
    <n v="240"/>
    <m/>
    <m/>
    <m/>
    <m/>
    <m/>
    <m/>
    <m/>
    <m/>
    <m/>
    <m/>
    <m/>
    <n v="2.5"/>
    <m/>
    <m/>
    <m/>
    <m/>
    <m/>
    <m/>
    <m/>
    <m/>
    <n v="190"/>
    <m/>
    <m/>
    <n v="300"/>
    <n v="30"/>
    <n v="120"/>
    <n v="0"/>
    <n v="0"/>
    <n v="0"/>
    <n v="0"/>
    <n v="0"/>
    <n v="1"/>
    <n v="2232.5"/>
    <n v="2749.55"/>
    <n v="0"/>
    <n v="16.4973"/>
    <n v="2733.0527"/>
    <n v="0"/>
    <n v="0"/>
    <n v="0"/>
    <n v="500.5527000000002"/>
    <s v="杨君伟"/>
    <s v="浙江省 温州市 龙湾区 蒲州街道开元樾品园4栋1004号"/>
    <s v="15786944344-6405"/>
    <m/>
    <m/>
  </r>
  <r>
    <x v="219"/>
    <s v="已收货"/>
    <x v="529"/>
    <s v="景巧英"/>
    <m/>
    <m/>
    <s v="0.8米黑胡桃柜定制，围板多层板"/>
    <s v="樱桃木窄柜"/>
    <n v="800"/>
    <m/>
    <s v="江西"/>
    <n v="4910.74"/>
    <n v="4000"/>
    <n v="115"/>
    <n v="180"/>
    <n v="1.16"/>
    <m/>
    <n v="3.37"/>
    <n v="1.1"/>
    <n v="1.03"/>
    <m/>
    <m/>
    <n v="8"/>
    <n v="5"/>
    <n v="307.08"/>
    <m/>
    <m/>
    <m/>
    <m/>
    <n v="3"/>
    <n v="52"/>
    <n v="90"/>
    <m/>
    <m/>
    <m/>
    <n v="54"/>
    <m/>
    <m/>
    <n v="90"/>
    <m/>
    <m/>
    <n v="150"/>
    <n v="100"/>
    <n v="300"/>
    <n v="100"/>
    <n v="0"/>
    <n v="0"/>
    <n v="0"/>
    <n v="100"/>
    <n v="1"/>
    <n v="5660.74"/>
    <n v="9098"/>
    <n v="0"/>
    <n v="54.588"/>
    <n v="9043.412"/>
    <n v="0"/>
    <n v="0"/>
    <n v="0"/>
    <n v="3382.672"/>
    <s v="景巧英"/>
    <s v="山西省 太原市 晋源区 金胜镇恒大青运城7-2-1102(000000)"/>
    <s v="13834652265"/>
    <m/>
    <m/>
  </r>
  <r>
    <x v="220"/>
    <s v="已收货"/>
    <x v="530"/>
    <s v="S887962_nsterom"/>
    <m/>
    <m/>
    <s v="样块*2"/>
    <s v="样块"/>
    <m/>
    <s v="已结算"/>
    <s v="杭州"/>
    <n v="12"/>
    <n v="10"/>
    <m/>
    <m/>
    <m/>
    <m/>
    <m/>
    <m/>
    <m/>
    <m/>
    <m/>
    <m/>
    <m/>
    <m/>
    <m/>
    <m/>
    <m/>
    <m/>
    <m/>
    <m/>
    <m/>
    <m/>
    <m/>
    <m/>
    <m/>
    <m/>
    <m/>
    <n v="2"/>
    <m/>
    <m/>
    <n v="5"/>
    <n v="0"/>
    <n v="0"/>
    <n v="0"/>
    <n v="0"/>
    <n v="0"/>
    <n v="0"/>
    <n v="0"/>
    <n v="1"/>
    <n v="17"/>
    <n v="44"/>
    <n v="0"/>
    <n v="0.264"/>
    <n v="43.736"/>
    <n v="0"/>
    <n v="0"/>
    <n v="0"/>
    <n v="26.736"/>
    <s v="S887962_nsterom"/>
    <s v="广东省 珠海市 香洲区 南屏科技园屏北一路11号eBuy仓H207A号保利达A柜S887962号"/>
    <m/>
    <m/>
    <m/>
  </r>
  <r>
    <x v="220"/>
    <s v="已收货"/>
    <x v="531"/>
    <s v="宋丹"/>
    <m/>
    <m/>
    <s v="样块"/>
    <s v="样块"/>
    <m/>
    <s v="已结算"/>
    <s v="杭州"/>
    <n v="7"/>
    <n v="5"/>
    <m/>
    <m/>
    <m/>
    <m/>
    <m/>
    <m/>
    <m/>
    <m/>
    <m/>
    <m/>
    <m/>
    <m/>
    <m/>
    <m/>
    <m/>
    <m/>
    <m/>
    <m/>
    <m/>
    <m/>
    <m/>
    <m/>
    <m/>
    <m/>
    <m/>
    <n v="2"/>
    <m/>
    <m/>
    <n v="5"/>
    <n v="0"/>
    <n v="0"/>
    <n v="0"/>
    <n v="0"/>
    <n v="0"/>
    <n v="0"/>
    <n v="0"/>
    <n v="1"/>
    <n v="12"/>
    <n v="22"/>
    <n v="0"/>
    <n v="0.132"/>
    <n v="21.868"/>
    <n v="0"/>
    <n v="0"/>
    <n v="0"/>
    <n v="9.867999999999999"/>
    <s v="宋丹"/>
    <s v="山东省 济宁市 邹城市 钢山街道货场路格林豪泰东沿街商铺优⁺Life"/>
    <m/>
    <m/>
    <m/>
  </r>
  <r>
    <x v="221"/>
    <s v="已收货"/>
    <x v="532"/>
    <s v="喻东"/>
    <m/>
    <m/>
    <s v="砂白色1.8米岩板餐桌"/>
    <s v="榉木餐桌"/>
    <s v="180cm*85cm"/>
    <s v="已结算"/>
    <s v="江西"/>
    <n v="1832.5"/>
    <n v="1400"/>
    <m/>
    <m/>
    <m/>
    <m/>
    <n v="240"/>
    <m/>
    <m/>
    <m/>
    <m/>
    <m/>
    <m/>
    <m/>
    <m/>
    <m/>
    <m/>
    <m/>
    <n v="2.5"/>
    <m/>
    <m/>
    <m/>
    <m/>
    <m/>
    <m/>
    <m/>
    <m/>
    <n v="190"/>
    <m/>
    <m/>
    <n v="300"/>
    <n v="30"/>
    <n v="70"/>
    <n v="0"/>
    <n v="0"/>
    <n v="0"/>
    <n v="0"/>
    <n v="0"/>
    <n v="1"/>
    <n v="2232.5"/>
    <n v="2871.25"/>
    <n v="0"/>
    <n v="17.2275"/>
    <n v="2854.0225"/>
    <n v="0"/>
    <n v="0"/>
    <n v="0"/>
    <n v="621.5225"/>
    <s v="喻东"/>
    <s v="重庆 重庆市 南岸区 铜元局街道中建壹品南滨星光城2-7-5"/>
    <m/>
    <m/>
    <m/>
  </r>
  <r>
    <x v="222"/>
    <s v="已收货"/>
    <x v="533"/>
    <s v="王阳"/>
    <m/>
    <m/>
    <s v="砂白色1.4米岩板餐桌"/>
    <s v="榉木餐桌"/>
    <s v="140cm*85cm"/>
    <s v="已结算"/>
    <s v="江西"/>
    <n v="1722.5"/>
    <n v="1300"/>
    <m/>
    <m/>
    <m/>
    <m/>
    <n v="240"/>
    <m/>
    <m/>
    <m/>
    <m/>
    <m/>
    <m/>
    <m/>
    <m/>
    <m/>
    <m/>
    <m/>
    <n v="2.5"/>
    <m/>
    <m/>
    <m/>
    <m/>
    <m/>
    <m/>
    <m/>
    <m/>
    <n v="180"/>
    <m/>
    <m/>
    <n v="300"/>
    <n v="30"/>
    <n v="98"/>
    <n v="0"/>
    <n v="0"/>
    <n v="0"/>
    <n v="0"/>
    <n v="0"/>
    <n v="1"/>
    <n v="2150.5"/>
    <n v="2674.41"/>
    <n v="0"/>
    <n v="16.04646"/>
    <n v="2658.36354"/>
    <n v="0"/>
    <n v="0"/>
    <n v="0"/>
    <n v="507.8635399999998"/>
    <s v="王阳"/>
    <s v="上海 上海市 嘉定区 徐行镇新建一路1800弄莫里斯花源354-602"/>
    <m/>
    <m/>
    <m/>
  </r>
  <r>
    <x v="222"/>
    <s v="已收货"/>
    <x v="534"/>
    <s v="陈胜强"/>
    <m/>
    <m/>
    <s v="1.2窄柜，下柜55cm"/>
    <s v="樱桃木窄柜"/>
    <n v="1200"/>
    <m/>
    <s v="江西"/>
    <n v="4351.48"/>
    <n v="3300"/>
    <n v="115"/>
    <m/>
    <m/>
    <m/>
    <m/>
    <m/>
    <n v="52"/>
    <m/>
    <m/>
    <n v="8"/>
    <n v="411.08"/>
    <n v="3"/>
    <m/>
    <m/>
    <m/>
    <m/>
    <n v="62.4"/>
    <n v="10"/>
    <n v="220"/>
    <m/>
    <m/>
    <m/>
    <m/>
    <m/>
    <m/>
    <n v="170"/>
    <m/>
    <m/>
    <n v="350"/>
    <n v="60"/>
    <n v="100"/>
    <n v="0"/>
    <n v="0"/>
    <n v="0"/>
    <n v="0"/>
    <n v="0"/>
    <n v="1"/>
    <n v="4861.48"/>
    <n v="5978.95"/>
    <n v="0"/>
    <n v="35.8737"/>
    <n v="5943.0763"/>
    <n v="0"/>
    <n v="0"/>
    <n v="0"/>
    <n v="1081.5963"/>
    <s v="陈胜强"/>
    <s v="福建省 厦门市 集美区 杏林街道官任豪庭官任一里10号6A804(000000)"/>
    <s v="17895922363-2120"/>
    <m/>
    <m/>
  </r>
  <r>
    <x v="222"/>
    <s v="已收货"/>
    <x v="535"/>
    <s v="陈胜强"/>
    <m/>
    <m/>
    <s v="差价"/>
    <s v="樱桃木窄柜"/>
    <m/>
    <m/>
    <s v="江西"/>
    <n v="0"/>
    <n v="0"/>
    <m/>
    <m/>
    <m/>
    <m/>
    <m/>
    <m/>
    <m/>
    <m/>
    <m/>
    <m/>
    <m/>
    <m/>
    <m/>
    <m/>
    <m/>
    <m/>
    <m/>
    <m/>
    <m/>
    <m/>
    <m/>
    <m/>
    <m/>
    <m/>
    <m/>
    <m/>
    <m/>
    <m/>
    <n v="0"/>
    <n v="0"/>
    <n v="0"/>
    <n v="0"/>
    <n v="0"/>
    <n v="0"/>
    <n v="0"/>
    <n v="0"/>
    <n v="1"/>
    <n v="0"/>
    <n v="274.56"/>
    <n v="0"/>
    <n v="1.64736"/>
    <n v="272.91264"/>
    <n v="0"/>
    <n v="0"/>
    <n v="0"/>
    <n v="272.91264"/>
    <s v="陈胜强"/>
    <s v="福建省 厦门市 集美区 杏林街道官任豪庭官任一里10号6A804(000000)"/>
    <s v="17895922363-2120"/>
    <m/>
    <m/>
  </r>
  <r>
    <x v="223"/>
    <s v="已收货"/>
    <x v="536"/>
    <s v="刘泽超"/>
    <m/>
    <m/>
    <s v="样块"/>
    <s v="样块"/>
    <m/>
    <s v="已结算"/>
    <s v="杭州"/>
    <n v="7"/>
    <n v="5"/>
    <m/>
    <m/>
    <m/>
    <m/>
    <m/>
    <m/>
    <m/>
    <m/>
    <m/>
    <m/>
    <m/>
    <m/>
    <m/>
    <m/>
    <m/>
    <m/>
    <m/>
    <m/>
    <m/>
    <m/>
    <m/>
    <m/>
    <m/>
    <m/>
    <m/>
    <n v="2"/>
    <m/>
    <m/>
    <n v="5"/>
    <n v="0"/>
    <n v="0"/>
    <n v="0"/>
    <n v="0"/>
    <n v="0"/>
    <n v="0"/>
    <n v="0"/>
    <n v="1"/>
    <n v="12"/>
    <n v="22"/>
    <n v="0"/>
    <n v="0.132"/>
    <n v="21.868"/>
    <n v="0"/>
    <n v="0"/>
    <n v="0"/>
    <n v="9.867999999999999"/>
    <s v="刘泽超"/>
    <s v="广东省 佛山市 禅城区 石湾镇街道前进路5号泷景花园8期星堤 五座1602"/>
    <s v="15112953367-7864"/>
    <m/>
    <m/>
  </r>
  <r>
    <x v="224"/>
    <s v="已收货"/>
    <x v="537"/>
    <s v="杜文皓"/>
    <m/>
    <m/>
    <s v="样块"/>
    <s v="样块"/>
    <m/>
    <s v="已结算"/>
    <s v="杭州"/>
    <n v="7"/>
    <n v="5"/>
    <m/>
    <m/>
    <m/>
    <m/>
    <m/>
    <m/>
    <m/>
    <m/>
    <m/>
    <m/>
    <m/>
    <m/>
    <m/>
    <m/>
    <m/>
    <m/>
    <m/>
    <m/>
    <m/>
    <m/>
    <m/>
    <m/>
    <m/>
    <m/>
    <m/>
    <n v="2"/>
    <m/>
    <m/>
    <n v="5"/>
    <n v="0"/>
    <n v="0"/>
    <n v="0"/>
    <n v="0"/>
    <n v="0"/>
    <n v="0"/>
    <n v="0"/>
    <n v="1"/>
    <n v="12"/>
    <n v="22"/>
    <n v="0"/>
    <n v="0.132"/>
    <n v="21.868"/>
    <n v="0"/>
    <n v="0"/>
    <n v="0"/>
    <n v="9.867999999999999"/>
    <s v="杜文皓"/>
    <s v="安徽省 芜湖市 镜湖区 天门山街道颐景湾畔36栋4单元102"/>
    <s v="13083261404-2045"/>
    <m/>
    <m/>
  </r>
  <r>
    <x v="225"/>
    <s v="已收货"/>
    <x v="538"/>
    <s v="邓施涵"/>
    <m/>
    <m/>
    <s v="窄柜-整柜洞石背板-0.8米"/>
    <s v="樱桃木窄柜"/>
    <n v="800"/>
    <s v="已结算"/>
    <s v="江西"/>
    <n v="4153.18"/>
    <n v="3300"/>
    <n v="307.08"/>
    <n v="115"/>
    <m/>
    <n v="38"/>
    <n v="180"/>
    <n v="54"/>
    <n v="52"/>
    <m/>
    <n v="4"/>
    <m/>
    <m/>
    <m/>
    <n v="3.5"/>
    <n v="5"/>
    <n v="1.1"/>
    <n v="3.5"/>
    <m/>
    <m/>
    <m/>
    <m/>
    <m/>
    <m/>
    <m/>
    <m/>
    <m/>
    <n v="90"/>
    <m/>
    <m/>
    <n v="150"/>
    <n v="0"/>
    <n v="300"/>
    <n v="0"/>
    <n v="0"/>
    <n v="0"/>
    <n v="0"/>
    <n v="0"/>
    <n v="1"/>
    <n v="4603.18"/>
    <n v="5534.16"/>
    <n v="0"/>
    <n v="33.20496"/>
    <n v="5500.95504"/>
    <n v="0"/>
    <n v="0"/>
    <n v="0"/>
    <n v="897.7750399999995"/>
    <s v="邓施涵"/>
    <s v="上海 上海市 浦东新区 花木街道锦绣路陆家嘴锦绣前城23号楼2304"/>
    <s v="13162922964-7243"/>
    <m/>
    <m/>
  </r>
  <r>
    <x v="225"/>
    <s v="已收货"/>
    <x v="539"/>
    <s v="马玮铭"/>
    <m/>
    <m/>
    <s v="样块"/>
    <s v="样块"/>
    <m/>
    <s v="已结算"/>
    <s v="杭州"/>
    <n v="7"/>
    <n v="5"/>
    <m/>
    <m/>
    <m/>
    <m/>
    <m/>
    <m/>
    <m/>
    <m/>
    <m/>
    <m/>
    <m/>
    <m/>
    <m/>
    <m/>
    <m/>
    <m/>
    <m/>
    <m/>
    <m/>
    <m/>
    <m/>
    <m/>
    <m/>
    <m/>
    <m/>
    <n v="2"/>
    <m/>
    <m/>
    <n v="5"/>
    <n v="0"/>
    <n v="0"/>
    <n v="0"/>
    <n v="0"/>
    <n v="0"/>
    <n v="0"/>
    <n v="0"/>
    <n v="1"/>
    <n v="12"/>
    <n v="22"/>
    <n v="0"/>
    <n v="0.132"/>
    <n v="21.868"/>
    <n v="0"/>
    <n v="0"/>
    <n v="0"/>
    <n v="9.867999999999999"/>
    <s v="马玮铭"/>
    <s v="湖北省 荆门市 东宝区 龙泉街道白云大道88号风华雅庭D2栋"/>
    <s v="15623465073-6582"/>
    <m/>
    <m/>
  </r>
  <r>
    <x v="226"/>
    <s v="已收货"/>
    <x v="540"/>
    <s v="郑元元"/>
    <m/>
    <m/>
    <s v="样块"/>
    <s v="样块"/>
    <m/>
    <s v="已结算"/>
    <s v="杭州"/>
    <n v="7"/>
    <n v="5"/>
    <m/>
    <m/>
    <m/>
    <m/>
    <m/>
    <m/>
    <m/>
    <m/>
    <m/>
    <m/>
    <m/>
    <m/>
    <m/>
    <m/>
    <m/>
    <m/>
    <m/>
    <m/>
    <m/>
    <m/>
    <m/>
    <m/>
    <m/>
    <m/>
    <m/>
    <n v="2"/>
    <m/>
    <m/>
    <n v="5"/>
    <n v="0"/>
    <n v="0"/>
    <n v="0"/>
    <n v="0"/>
    <n v="0"/>
    <n v="0"/>
    <n v="0"/>
    <n v="1"/>
    <n v="12"/>
    <n v="22"/>
    <n v="0"/>
    <n v="0.132"/>
    <n v="21.868"/>
    <n v="0"/>
    <n v="0"/>
    <n v="0"/>
    <n v="9.867999999999999"/>
    <s v="郑元元"/>
    <s v="浙江省 杭州市 滨江区 长河街道秋溢路228号国美设计6楼"/>
    <s v="18413290186-2917"/>
    <m/>
    <m/>
  </r>
  <r>
    <x v="226"/>
    <s v="已收货"/>
    <x v="541"/>
    <s v="曾庆锟"/>
    <m/>
    <m/>
    <s v="样块"/>
    <s v="样块"/>
    <m/>
    <s v="已结算"/>
    <s v="杭州"/>
    <n v="7"/>
    <n v="5"/>
    <m/>
    <m/>
    <m/>
    <m/>
    <m/>
    <m/>
    <m/>
    <m/>
    <m/>
    <m/>
    <m/>
    <m/>
    <m/>
    <m/>
    <m/>
    <m/>
    <m/>
    <m/>
    <m/>
    <m/>
    <m/>
    <m/>
    <m/>
    <m/>
    <m/>
    <n v="2"/>
    <m/>
    <m/>
    <n v="5"/>
    <n v="0"/>
    <n v="0"/>
    <n v="0"/>
    <n v="0"/>
    <n v="0"/>
    <n v="0"/>
    <n v="0"/>
    <n v="1"/>
    <n v="12"/>
    <n v="17"/>
    <n v="0"/>
    <n v="0.102"/>
    <n v="16.898"/>
    <n v="0"/>
    <n v="0"/>
    <n v="0"/>
    <n v="4.898"/>
    <s v="曾庆锟"/>
    <s v="广东省 佛山市 南海区 狮山镇罗村街道钜隆风度广场南门"/>
    <s v="13202480404-8249"/>
    <m/>
    <m/>
  </r>
  <r>
    <x v="227"/>
    <s v="已发"/>
    <x v="542"/>
    <s v="Zhao Yang"/>
    <m/>
    <m/>
    <s v="窄柜-整柜洞石背板-1.0米-万用插座"/>
    <s v="樱桃木窄柜"/>
    <n v="1000"/>
    <m/>
    <s v="江西"/>
    <n v="3488"/>
    <n v="3300"/>
    <m/>
    <m/>
    <m/>
    <m/>
    <m/>
    <m/>
    <m/>
    <m/>
    <m/>
    <m/>
    <n v="18"/>
    <m/>
    <m/>
    <m/>
    <m/>
    <m/>
    <m/>
    <m/>
    <m/>
    <m/>
    <m/>
    <m/>
    <m/>
    <m/>
    <m/>
    <n v="170"/>
    <m/>
    <m/>
    <n v="350"/>
    <n v="60"/>
    <n v="100"/>
    <n v="0"/>
    <n v="0"/>
    <n v="0"/>
    <n v="0"/>
    <n v="0"/>
    <n v="1"/>
    <n v="3998"/>
    <n v="5738.14"/>
    <n v="0"/>
    <n v="34.42884"/>
    <n v="5703.711160000001"/>
    <n v="0"/>
    <n v="0"/>
    <n v="0"/>
    <n v="1705.711160000001"/>
    <s v="Zhao Yang"/>
    <s v="广东省 东莞市 null 沙田镇#RVT8HV4Q#中国/广东省/东莞市/沙田镇穗丰年路启盈二楼C区（澳洲海运集运）@SF1BA7(000000)"/>
    <s v="15015421102"/>
    <m/>
    <m/>
  </r>
  <r>
    <x v="227"/>
    <s v="已收货"/>
    <x v="543"/>
    <s v="向兴"/>
    <m/>
    <m/>
    <s v="90*170窄柜"/>
    <s v="樱桃木窄柜"/>
    <n v="900"/>
    <s v="已结算"/>
    <s v="江西"/>
    <n v="4418.71"/>
    <n v="3050"/>
    <m/>
    <m/>
    <m/>
    <m/>
    <m/>
    <m/>
    <m/>
    <m/>
    <m/>
    <m/>
    <m/>
    <m/>
    <m/>
    <m/>
    <m/>
    <m/>
    <m/>
    <m/>
    <m/>
    <m/>
    <m/>
    <m/>
    <m/>
    <m/>
    <m/>
    <n v="170"/>
    <m/>
    <m/>
    <n v="350"/>
    <n v="60"/>
    <n v="100"/>
    <n v="0"/>
    <n v="0"/>
    <n v="0"/>
    <n v="0"/>
    <n v="0"/>
    <n v="1"/>
    <n v="4928.71"/>
    <n v="5546"/>
    <n v="0"/>
    <n v="33.276"/>
    <n v="5512.724"/>
    <n v="0"/>
    <n v="0"/>
    <n v="0"/>
    <n v="584.0140000000001"/>
    <s v="向兴"/>
    <s v="四川省 成都市 金牛区 金泉街道黄金东二路399号保利梧桐语速递易(610000)"/>
    <s v="18423727121-1409"/>
    <m/>
    <m/>
  </r>
  <r>
    <x v="228"/>
    <s v="已收货"/>
    <x v="544"/>
    <s v="杨小姐"/>
    <m/>
    <m/>
    <s v="1.5米榉木柜"/>
    <s v="榉木餐边柜"/>
    <n v="1500"/>
    <s v="已结算"/>
    <s v="江西"/>
    <n v="6437"/>
    <n v="3800"/>
    <n v="320"/>
    <s v="22*5"/>
    <n v="907"/>
    <m/>
    <n v="228"/>
    <n v="300"/>
    <n v="48"/>
    <m/>
    <m/>
    <n v="46"/>
    <n v="8"/>
    <n v="20"/>
    <m/>
    <m/>
    <m/>
    <m/>
    <m/>
    <n v="380"/>
    <m/>
    <m/>
    <m/>
    <m/>
    <m/>
    <m/>
    <m/>
    <n v="380"/>
    <m/>
    <m/>
    <n v="550"/>
    <n v="50"/>
    <n v="150"/>
    <n v="0"/>
    <n v="0"/>
    <n v="0"/>
    <n v="0"/>
    <n v="50"/>
    <n v="1"/>
    <n v="7237"/>
    <n v="7512.42"/>
    <n v="0"/>
    <n v="45.07452"/>
    <n v="7467.34548"/>
    <n v="0"/>
    <n v="0"/>
    <n v="0"/>
    <n v="230.34548"/>
    <s v="杨小姐"/>
    <s v="广东省 珠海市 斗门区 白藤街道湖心金茂悦C1栋1603(000000)"/>
    <s v="18466383872-4019"/>
    <m/>
    <m/>
  </r>
  <r>
    <x v="228"/>
    <s v="已收货"/>
    <x v="545"/>
    <s v="钱"/>
    <m/>
    <m/>
    <s v="榉木洞石整柜1.8米（多抽组合）（分类抽屉+玻璃移门+开门）"/>
    <s v="洞石餐边柜"/>
    <n v="1800"/>
    <m/>
    <s v="江西"/>
    <n v="7159.08"/>
    <n v="5000"/>
    <n v="580"/>
    <n v="80"/>
    <n v="567.08"/>
    <m/>
    <s v="2040/6/1.5"/>
    <n v="380"/>
    <n v="14"/>
    <m/>
    <m/>
    <n v="10"/>
    <s v="22*9"/>
    <s v="52*2"/>
    <m/>
    <m/>
    <m/>
    <m/>
    <n v="126"/>
    <n v="22"/>
    <m/>
    <m/>
    <m/>
    <m/>
    <m/>
    <m/>
    <m/>
    <n v="380"/>
    <m/>
    <m/>
    <n v="550"/>
    <n v="50"/>
    <n v="150"/>
    <n v="0"/>
    <n v="0"/>
    <n v="0"/>
    <n v="0"/>
    <n v="50"/>
    <n v="1"/>
    <n v="7959.08"/>
    <n v="10540.68"/>
    <n v="0"/>
    <n v="63.24408"/>
    <n v="10477.43592"/>
    <n v="0"/>
    <n v="0"/>
    <n v="0"/>
    <n v="2518.35592"/>
    <s v="钱"/>
    <s v="广东省 深圳市 龙华区 福城街道万科启城家园8栋二单元901(000000)"/>
    <s v="15794980538-9158"/>
    <m/>
    <m/>
  </r>
  <r>
    <x v="229"/>
    <s v="已收货"/>
    <x v="546"/>
    <s v="张元"/>
    <m/>
    <m/>
    <s v="样块"/>
    <s v="样块"/>
    <m/>
    <s v="已结算"/>
    <s v="杭州"/>
    <n v="7"/>
    <n v="5"/>
    <m/>
    <m/>
    <m/>
    <m/>
    <m/>
    <m/>
    <m/>
    <m/>
    <m/>
    <m/>
    <m/>
    <m/>
    <m/>
    <m/>
    <m/>
    <m/>
    <m/>
    <m/>
    <m/>
    <m/>
    <m/>
    <m/>
    <m/>
    <m/>
    <m/>
    <n v="2"/>
    <m/>
    <m/>
    <n v="5"/>
    <n v="0"/>
    <n v="0"/>
    <n v="0"/>
    <n v="0"/>
    <n v="0"/>
    <n v="0"/>
    <n v="0"/>
    <n v="1"/>
    <n v="12"/>
    <n v="22"/>
    <n v="0"/>
    <n v="0.132"/>
    <n v="21.868"/>
    <n v="0"/>
    <n v="0"/>
    <n v="0"/>
    <n v="9.867999999999999"/>
    <s v="张元"/>
    <s v="北京 北京市 朝阳区 左家庄街道三源里街3号楼1408"/>
    <s v="18401609341-2867"/>
    <m/>
    <m/>
  </r>
  <r>
    <x v="230"/>
    <s v="已收货"/>
    <x v="547"/>
    <s v="王可"/>
    <m/>
    <m/>
    <s v="样块"/>
    <s v="样块"/>
    <m/>
    <s v="已结算"/>
    <s v="杭州"/>
    <n v="7"/>
    <n v="5"/>
    <m/>
    <m/>
    <m/>
    <m/>
    <m/>
    <m/>
    <m/>
    <m/>
    <m/>
    <m/>
    <m/>
    <m/>
    <m/>
    <m/>
    <m/>
    <m/>
    <m/>
    <m/>
    <m/>
    <m/>
    <m/>
    <m/>
    <m/>
    <m/>
    <m/>
    <n v="2"/>
    <m/>
    <m/>
    <n v="5"/>
    <n v="0"/>
    <n v="0"/>
    <n v="0"/>
    <n v="0"/>
    <n v="0"/>
    <n v="0"/>
    <n v="0"/>
    <n v="1"/>
    <n v="12"/>
    <n v="22"/>
    <n v="0"/>
    <n v="0.132"/>
    <n v="21.868"/>
    <n v="0"/>
    <n v="0"/>
    <n v="0"/>
    <n v="9.867999999999999"/>
    <s v="王可"/>
    <s v="上海 上海市 普陀区 石泉路街道石川春晓南区4号604室"/>
    <s v="13162842154-1770"/>
    <m/>
    <m/>
  </r>
  <r>
    <x v="230"/>
    <s v="已收货"/>
    <x v="548"/>
    <s v="赵伟"/>
    <m/>
    <m/>
    <s v="样块"/>
    <s v="样块"/>
    <m/>
    <s v="已结算"/>
    <s v="杭州"/>
    <n v="7"/>
    <n v="5"/>
    <m/>
    <m/>
    <m/>
    <m/>
    <m/>
    <m/>
    <m/>
    <m/>
    <m/>
    <m/>
    <m/>
    <m/>
    <m/>
    <m/>
    <m/>
    <m/>
    <m/>
    <m/>
    <m/>
    <m/>
    <m/>
    <m/>
    <m/>
    <m/>
    <m/>
    <n v="2"/>
    <m/>
    <m/>
    <n v="5"/>
    <n v="0"/>
    <n v="0"/>
    <n v="0"/>
    <n v="0"/>
    <n v="0"/>
    <n v="0"/>
    <n v="0"/>
    <n v="1"/>
    <n v="12"/>
    <n v="44"/>
    <n v="0"/>
    <n v="0.264"/>
    <n v="43.736"/>
    <n v="0"/>
    <n v="0"/>
    <n v="0"/>
    <n v="31.736"/>
    <s v="赵伟"/>
    <s v="安徽省 合肥市 巢湖市 半汤街道琥珀新天地东苑5幢"/>
    <s v="18430787160-4256"/>
    <m/>
    <m/>
  </r>
  <r>
    <x v="231"/>
    <s v="已收货"/>
    <x v="549"/>
    <s v="刘晓宇"/>
    <m/>
    <m/>
    <s v="样块*2"/>
    <s v="样块"/>
    <m/>
    <s v="已结算"/>
    <s v="杭州"/>
    <n v="12"/>
    <n v="10"/>
    <m/>
    <m/>
    <m/>
    <m/>
    <m/>
    <m/>
    <m/>
    <m/>
    <m/>
    <m/>
    <m/>
    <m/>
    <m/>
    <m/>
    <m/>
    <m/>
    <m/>
    <m/>
    <m/>
    <m/>
    <m/>
    <m/>
    <m/>
    <m/>
    <m/>
    <n v="2"/>
    <m/>
    <m/>
    <n v="5"/>
    <n v="0"/>
    <n v="0"/>
    <n v="0"/>
    <n v="0"/>
    <n v="0"/>
    <n v="0"/>
    <n v="0"/>
    <n v="1"/>
    <n v="17"/>
    <n v="44"/>
    <n v="0"/>
    <n v="0.264"/>
    <n v="43.736"/>
    <n v="0"/>
    <n v="0"/>
    <n v="0"/>
    <n v="26.736"/>
    <s v="刘晓宇"/>
    <s v="重庆 重庆市 沙坪坝区 虎溪街道龙湖U城1组团3栋"/>
    <s v="14727234415-2964"/>
    <m/>
    <m/>
  </r>
  <r>
    <x v="231"/>
    <s v="退货"/>
    <x v="550"/>
    <s v="燕子"/>
    <m/>
    <m/>
    <s v="砂白色1.4米岩板餐桌，定制"/>
    <s v="榉木餐桌"/>
    <s v="140cm*70cm"/>
    <s v="已结算"/>
    <s v="江西"/>
    <n v="1712.5"/>
    <n v="1300"/>
    <m/>
    <m/>
    <m/>
    <m/>
    <n v="220"/>
    <m/>
    <m/>
    <m/>
    <m/>
    <m/>
    <m/>
    <m/>
    <m/>
    <m/>
    <m/>
    <m/>
    <n v="2.5"/>
    <m/>
    <m/>
    <m/>
    <m/>
    <m/>
    <m/>
    <m/>
    <m/>
    <n v="190"/>
    <m/>
    <m/>
    <n v="300"/>
    <n v="30"/>
    <n v="70"/>
    <n v="0"/>
    <n v="0"/>
    <n v="0"/>
    <n v="0"/>
    <n v="0"/>
    <n v="1"/>
    <n v="2112.5"/>
    <n v="0"/>
    <n v="0"/>
    <n v="0"/>
    <n v="0"/>
    <n v="0"/>
    <n v="0"/>
    <n v="0"/>
    <n v="-2112.5"/>
    <s v="燕子"/>
    <s v="河南省 郑州市 中原区 汝河路街道沁河路28号沁河苑2号院(000000)"/>
    <s v="18430795763-4236"/>
    <m/>
    <m/>
  </r>
  <r>
    <x v="232"/>
    <s v="已收货"/>
    <x v="551"/>
    <s v="林旭艳"/>
    <s v="样块"/>
    <s v="样块"/>
    <s v="样块"/>
    <s v="样块"/>
    <m/>
    <s v="已结算"/>
    <s v="杭州"/>
    <n v="7"/>
    <m/>
    <m/>
    <m/>
    <m/>
    <m/>
    <m/>
    <m/>
    <m/>
    <m/>
    <m/>
    <m/>
    <m/>
    <m/>
    <m/>
    <m/>
    <m/>
    <m/>
    <m/>
    <m/>
    <m/>
    <m/>
    <m/>
    <m/>
    <m/>
    <m/>
    <m/>
    <m/>
    <m/>
    <m/>
    <n v="5"/>
    <n v="0"/>
    <n v="0"/>
    <n v="0"/>
    <n v="0"/>
    <n v="0"/>
    <n v="0"/>
    <n v="0"/>
    <n v="1"/>
    <n v="12"/>
    <n v="22.5"/>
    <n v="0"/>
    <n v="0.135"/>
    <n v="22.365"/>
    <n v="0"/>
    <n v="0"/>
    <n v="0"/>
    <n v="10.365"/>
    <s v="林旭艳"/>
    <s v="浙江省 温州市 鹿城区 南汇街道上田小区20栋2101室"/>
    <s v="18413516409-9042"/>
    <m/>
    <m/>
  </r>
  <r>
    <x v="233"/>
    <s v="已收货"/>
    <x v="552"/>
    <s v="王艳"/>
    <m/>
    <m/>
    <s v="定制160*70 榉木桌"/>
    <s v="榉木餐桌"/>
    <s v="180cm*80cm"/>
    <m/>
    <s v="江西"/>
    <n v="1522.5"/>
    <n v="1400"/>
    <m/>
    <m/>
    <m/>
    <m/>
    <n v="220"/>
    <m/>
    <m/>
    <m/>
    <m/>
    <m/>
    <m/>
    <m/>
    <m/>
    <m/>
    <m/>
    <m/>
    <m/>
    <m/>
    <m/>
    <m/>
    <m/>
    <m/>
    <m/>
    <m/>
    <m/>
    <m/>
    <m/>
    <m/>
    <m/>
    <m/>
    <n v="0"/>
    <m/>
    <m/>
    <m/>
    <m/>
    <m/>
    <n v="1"/>
    <n v="1522.5"/>
    <n v="2836"/>
    <n v="0"/>
    <n v="17.016"/>
    <n v="2818.984"/>
    <n v="0"/>
    <n v="0"/>
    <n v="0"/>
    <n v="1296.484"/>
    <s v="王艳"/>
    <s v="江苏省 苏州市 昆山市 花桥镇绿地21城A区55弄11号"/>
    <s v="17851494913-6540"/>
    <m/>
    <m/>
  </r>
  <r>
    <x v="234"/>
    <s v="已收货"/>
    <x v="553"/>
    <s v="赵文燕"/>
    <m/>
    <m/>
    <s v="定制1.1米窄柜，水波纹"/>
    <s v="窄柜"/>
    <m/>
    <m/>
    <s v="江西"/>
    <n v="4158.28"/>
    <n v="3200"/>
    <m/>
    <m/>
    <m/>
    <m/>
    <n v="210"/>
    <n v="42.5"/>
    <n v="31"/>
    <m/>
    <m/>
    <m/>
    <n v="18"/>
    <m/>
    <m/>
    <m/>
    <m/>
    <m/>
    <m/>
    <m/>
    <m/>
    <m/>
    <m/>
    <m/>
    <m/>
    <m/>
    <m/>
    <m/>
    <m/>
    <m/>
    <m/>
    <m/>
    <n v="90"/>
    <m/>
    <m/>
    <m/>
    <m/>
    <n v="30"/>
    <n v="1"/>
    <n v="4278.28"/>
    <n v="5800"/>
    <n v="0"/>
    <n v="34.8"/>
    <n v="5765.2"/>
    <n v="0"/>
    <n v="0"/>
    <n v="0"/>
    <n v="1486.92"/>
    <s v="赵文燕"/>
    <s v="河北省 沧州市 黄骅市 黄骅港开发区正康·中梁渤海壹品1-3-302"/>
    <s v="18433979494-7222"/>
    <m/>
    <m/>
  </r>
  <r>
    <x v="235"/>
    <s v="已收货"/>
    <x v="554"/>
    <s v="李响"/>
    <m/>
    <m/>
    <s v="2米榉木餐桌"/>
    <s v="榉木餐桌"/>
    <s v="200cm*85cm"/>
    <s v="已结算"/>
    <s v="江西"/>
    <n v="1832.5"/>
    <n v="1450"/>
    <m/>
    <m/>
    <m/>
    <m/>
    <n v="290"/>
    <m/>
    <m/>
    <m/>
    <m/>
    <m/>
    <m/>
    <m/>
    <m/>
    <m/>
    <m/>
    <m/>
    <m/>
    <m/>
    <m/>
    <m/>
    <m/>
    <m/>
    <m/>
    <m/>
    <m/>
    <n v="90"/>
    <m/>
    <m/>
    <n v="249"/>
    <m/>
    <n v="61"/>
    <m/>
    <m/>
    <m/>
    <m/>
    <m/>
    <n v="1"/>
    <n v="2142.5"/>
    <n v="2928.78"/>
    <n v="0"/>
    <n v="17.57268"/>
    <n v="2911.20732"/>
    <n v="0"/>
    <n v="0"/>
    <n v="0"/>
    <n v="768.70732"/>
    <s v="李响"/>
    <s v="河北省 秦皇岛市 昌黎县 大蒲河镇阿那亚北岸三期38-4-301"/>
    <s v="17531191694-2939"/>
    <m/>
    <m/>
  </r>
  <r>
    <x v="236"/>
    <s v="已收货"/>
    <x v="555"/>
    <s v="姚程"/>
    <m/>
    <m/>
    <s v="定制110*70白色岩板榉木餐桌"/>
    <s v="榉木餐桌"/>
    <m/>
    <m/>
    <s v="江西"/>
    <n v="1462.5"/>
    <n v="1260"/>
    <m/>
    <m/>
    <m/>
    <m/>
    <n v="140"/>
    <m/>
    <m/>
    <m/>
    <m/>
    <m/>
    <m/>
    <m/>
    <m/>
    <m/>
    <m/>
    <m/>
    <m/>
    <m/>
    <m/>
    <m/>
    <m/>
    <m/>
    <m/>
    <m/>
    <m/>
    <n v="60"/>
    <m/>
    <m/>
    <n v="188"/>
    <m/>
    <n v="70"/>
    <m/>
    <m/>
    <m/>
    <m/>
    <m/>
    <n v="1"/>
    <n v="1720.5"/>
    <n v="2524"/>
    <n v="0"/>
    <n v="15.144"/>
    <n v="2508.856"/>
    <n v="0"/>
    <n v="0"/>
    <n v="0"/>
    <n v="788.3560000000002"/>
    <s v="有福气"/>
    <s v="山东省 菏泽市 巨野县 凤凰街道招商街文苑花园A区南门东侧有福气面包店"/>
    <s v="17854180410-9541"/>
    <m/>
    <m/>
  </r>
  <r>
    <x v="237"/>
    <s v="已收货"/>
    <x v="556"/>
    <s v="小苟"/>
    <m/>
    <m/>
    <s v="定制1800*800白色岩板"/>
    <s v="榉木餐桌"/>
    <s v="180cm*80cm"/>
    <s v="已结算"/>
    <s v="江西"/>
    <n v="1762.5"/>
    <n v="1400"/>
    <m/>
    <m/>
    <m/>
    <m/>
    <n v="270"/>
    <m/>
    <m/>
    <m/>
    <m/>
    <m/>
    <m/>
    <m/>
    <m/>
    <m/>
    <m/>
    <m/>
    <m/>
    <m/>
    <m/>
    <m/>
    <m/>
    <m/>
    <m/>
    <m/>
    <m/>
    <n v="90"/>
    <m/>
    <m/>
    <n v="185"/>
    <m/>
    <n v="70"/>
    <m/>
    <m/>
    <m/>
    <m/>
    <m/>
    <n v="1"/>
    <n v="2017.5"/>
    <n v="2876.25"/>
    <n v="0"/>
    <n v="17.2575"/>
    <n v="2858.9925"/>
    <n v="0"/>
    <n v="0"/>
    <n v="0"/>
    <n v="841.4924999999998"/>
    <s v="小苟"/>
    <s v="湖北省 武汉市 洪山区 珞南街道 雄楚大街350号幸福路武警龙港小区3-1-702"/>
    <s v="15783461230-8318"/>
    <m/>
    <m/>
  </r>
  <r>
    <x v="238"/>
    <s v="已收货"/>
    <x v="557"/>
    <s v="向兴"/>
    <m/>
    <m/>
    <s v="0.9*1.8窄柜，补差价"/>
    <s v="窄柜"/>
    <m/>
    <s v="已结算"/>
    <s v="江西"/>
    <n v="0"/>
    <n v="0"/>
    <n v="0"/>
    <m/>
    <m/>
    <m/>
    <n v="0"/>
    <m/>
    <m/>
    <m/>
    <m/>
    <m/>
    <m/>
    <m/>
    <m/>
    <m/>
    <m/>
    <m/>
    <m/>
    <m/>
    <m/>
    <m/>
    <m/>
    <m/>
    <m/>
    <m/>
    <m/>
    <n v="0"/>
    <m/>
    <m/>
    <m/>
    <m/>
    <m/>
    <m/>
    <m/>
    <m/>
    <m/>
    <m/>
    <n v="1"/>
    <n v="0"/>
    <n v="85"/>
    <n v="0"/>
    <n v="0.51"/>
    <n v="84.48999999999999"/>
    <n v="0"/>
    <n v="0"/>
    <n v="0"/>
    <n v="84.48999999999999"/>
    <s v="向兴"/>
    <s v="四川省 成都市 金牛区 金泉街道黄金东二路399号保利梧桐语速递易"/>
    <s v="18423727121-1409"/>
    <m/>
    <m/>
  </r>
  <r>
    <x v="238"/>
    <s v="已发"/>
    <x v="558"/>
    <s v="陈"/>
    <m/>
    <m/>
    <s v="1.6岩板桌常规，延迟4月"/>
    <s v="榉木餐桌"/>
    <m/>
    <s v="已结算"/>
    <s v="江西"/>
    <n v="1762.5"/>
    <n v="1350"/>
    <m/>
    <m/>
    <m/>
    <m/>
    <n v="220"/>
    <m/>
    <m/>
    <m/>
    <m/>
    <m/>
    <m/>
    <m/>
    <m/>
    <m/>
    <m/>
    <m/>
    <m/>
    <m/>
    <m/>
    <m/>
    <m/>
    <m/>
    <m/>
    <m/>
    <m/>
    <n v="190"/>
    <m/>
    <m/>
    <n v="103"/>
    <n v="30"/>
    <n v="78"/>
    <m/>
    <m/>
    <m/>
    <m/>
    <m/>
    <n v="1"/>
    <n v="1973.5"/>
    <n v="2754.55"/>
    <n v="0"/>
    <n v="16.5273"/>
    <n v="2738.0227"/>
    <n v="0"/>
    <n v="0"/>
    <n v="0"/>
    <n v="764.5227"/>
    <s v="陈"/>
    <s v="湖南省 长沙市 岳麓区 洋湖街道中海·阅山府6栋1单元1302"/>
    <s v="14749570952-1278"/>
    <m/>
    <m/>
  </r>
  <r>
    <x v="238"/>
    <s v="已收货"/>
    <x v="559"/>
    <s v="欧阳"/>
    <m/>
    <m/>
    <s v="1.8常规榉木岩板桌"/>
    <s v="榉木餐桌"/>
    <m/>
    <s v="已结算"/>
    <s v="江西"/>
    <n v="1792.5"/>
    <n v="1400"/>
    <m/>
    <m/>
    <m/>
    <m/>
    <n v="220"/>
    <m/>
    <m/>
    <m/>
    <m/>
    <m/>
    <m/>
    <m/>
    <m/>
    <m/>
    <m/>
    <m/>
    <m/>
    <m/>
    <m/>
    <m/>
    <m/>
    <m/>
    <m/>
    <m/>
    <m/>
    <m/>
    <m/>
    <m/>
    <n v="100"/>
    <n v="30"/>
    <n v="65"/>
    <n v="301.5"/>
    <m/>
    <m/>
    <m/>
    <m/>
    <n v="1"/>
    <n v="2289"/>
    <n v="2876.25"/>
    <n v="0"/>
    <n v="17.2575"/>
    <n v="2858.9925"/>
    <n v="0"/>
    <n v="0"/>
    <n v="0"/>
    <n v="569.9924999999998"/>
    <s v="欧阳"/>
    <s v="湖南省 长沙市 浏阳市 集里街道天阔5栋902"/>
    <s v="15578943204-3064"/>
    <m/>
    <m/>
  </r>
  <r>
    <x v="166"/>
    <s v="已发，灯带变压器有问题"/>
    <x v="560"/>
    <s v="舟舟"/>
    <m/>
    <m/>
    <s v="1.3米带高台"/>
    <s v="升降桌"/>
    <m/>
    <m/>
    <s v="江西"/>
    <n v="2200.87"/>
    <n v="1700"/>
    <m/>
    <m/>
    <m/>
    <m/>
    <n v="0"/>
    <n v="94"/>
    <m/>
    <m/>
    <m/>
    <m/>
    <m/>
    <m/>
    <m/>
    <m/>
    <m/>
    <m/>
    <m/>
    <m/>
    <m/>
    <m/>
    <m/>
    <m/>
    <m/>
    <m/>
    <m/>
    <n v="120"/>
    <m/>
    <m/>
    <n v="280"/>
    <m/>
    <n v="300"/>
    <m/>
    <m/>
    <m/>
    <m/>
    <m/>
    <m/>
    <m/>
    <m/>
    <n v="0"/>
    <n v="0"/>
    <n v="0"/>
    <n v="0"/>
    <n v="0"/>
    <m/>
    <m/>
    <s v="舟舟"/>
    <s v="上海 上海市 长宁区 新华路街道法华镇路751弄西镇小区18号楼601室"/>
    <s v="18466658942-6583"/>
    <m/>
    <m/>
  </r>
  <r>
    <x v="239"/>
    <s v="已发"/>
    <x v="561"/>
    <s v="舟舟"/>
    <m/>
    <m/>
    <s v="1.2米洞石窄柜"/>
    <s v="窄柜"/>
    <m/>
    <s v="已结算"/>
    <s v="江西"/>
    <n v="3836.2"/>
    <n v="3200"/>
    <n v="411.08"/>
    <m/>
    <m/>
    <m/>
    <n v="230"/>
    <n v="43.5"/>
    <n v="60"/>
    <m/>
    <m/>
    <m/>
    <n v="18"/>
    <m/>
    <m/>
    <m/>
    <m/>
    <m/>
    <m/>
    <m/>
    <m/>
    <m/>
    <m/>
    <m/>
    <m/>
    <m/>
    <m/>
    <n v="220"/>
    <m/>
    <m/>
    <n v="280"/>
    <m/>
    <m/>
    <m/>
    <m/>
    <m/>
    <m/>
    <m/>
    <n v="1"/>
    <n v="4116.2"/>
    <m/>
    <n v="0"/>
    <n v="0"/>
    <n v="0"/>
    <n v="0"/>
    <n v="0"/>
    <n v="0"/>
    <n v="-4116.2"/>
    <s v="舟舟"/>
    <s v="上海 上海市 长宁区 新华路街道法华镇路751弄西镇小区18号楼601室"/>
    <s v="18466658942-6583"/>
    <m/>
    <m/>
  </r>
  <r>
    <x v="240"/>
    <s v="已发"/>
    <x v="562"/>
    <s v="羊羊羊"/>
    <m/>
    <m/>
    <s v="2000*850*750"/>
    <s v="榉木餐桌"/>
    <s v="200cm*85cm"/>
    <s v="已结算"/>
    <s v="江西"/>
    <n v="1832.5"/>
    <n v="1450"/>
    <m/>
    <m/>
    <m/>
    <m/>
    <n v="290"/>
    <m/>
    <m/>
    <m/>
    <m/>
    <m/>
    <m/>
    <m/>
    <m/>
    <m/>
    <m/>
    <m/>
    <m/>
    <m/>
    <m/>
    <m/>
    <m/>
    <m/>
    <m/>
    <m/>
    <m/>
    <n v="90"/>
    <m/>
    <m/>
    <n v="287"/>
    <m/>
    <n v="60"/>
    <m/>
    <n v="138"/>
    <m/>
    <m/>
    <m/>
    <n v="1"/>
    <n v="2317.5"/>
    <n v="2933.78"/>
    <n v="0"/>
    <n v="17.60268"/>
    <n v="2916.17732"/>
    <n v="0"/>
    <n v="0"/>
    <n v="0"/>
    <n v="598.6773200000002"/>
    <s v="羊羊羊"/>
    <s v="云南省 昆明市 五华区 龙翔街道红菱路云南建投春城华府6栋1602"/>
    <s v="17898757089-9740"/>
    <m/>
    <m/>
  </r>
  <r>
    <x v="241"/>
    <s v="岩板歪的，换岩板，赔付150，自己安装"/>
    <x v="563"/>
    <s v="刘晓萌"/>
    <m/>
    <m/>
    <s v="1600*750*750"/>
    <s v="榉木餐桌"/>
    <s v="160cm*75cm"/>
    <s v="已结算"/>
    <s v="江西"/>
    <n v="1602.5"/>
    <n v="1350"/>
    <m/>
    <m/>
    <m/>
    <m/>
    <n v="170"/>
    <m/>
    <m/>
    <m/>
    <m/>
    <m/>
    <m/>
    <m/>
    <m/>
    <m/>
    <m/>
    <m/>
    <m/>
    <m/>
    <m/>
    <m/>
    <m/>
    <m/>
    <m/>
    <m/>
    <m/>
    <n v="80"/>
    <m/>
    <m/>
    <n v="216"/>
    <m/>
    <m/>
    <m/>
    <m/>
    <m/>
    <m/>
    <n v="150"/>
    <n v="1"/>
    <n v="1968.5"/>
    <n v="2754.55"/>
    <n v="0"/>
    <n v="16.5273"/>
    <n v="2738.0227"/>
    <n v="0"/>
    <n v="0"/>
    <n v="0"/>
    <n v="769.5227"/>
    <s v="刘晓萌"/>
    <s v="北京 北京市 朝阳区 高碑店乡兴隆家园北区11号楼2410（请送到家门口）"/>
    <s v="15501078144-9117"/>
    <m/>
    <m/>
  </r>
  <r>
    <x v="242"/>
    <s v="已发"/>
    <x v="564"/>
    <s v="黄小马"/>
    <m/>
    <m/>
    <s v="1600*850*750"/>
    <s v="榉木餐桌"/>
    <s v="160cm*85cm"/>
    <s v="已结算"/>
    <s v="江西"/>
    <n v="1762.5"/>
    <n v="1350"/>
    <m/>
    <m/>
    <m/>
    <m/>
    <n v="220"/>
    <m/>
    <m/>
    <m/>
    <m/>
    <m/>
    <m/>
    <m/>
    <m/>
    <m/>
    <m/>
    <m/>
    <m/>
    <m/>
    <m/>
    <m/>
    <m/>
    <m/>
    <m/>
    <m/>
    <m/>
    <n v="190"/>
    <m/>
    <m/>
    <n v="103"/>
    <n v="30"/>
    <n v="74"/>
    <m/>
    <m/>
    <m/>
    <m/>
    <n v="44.47"/>
    <n v="1"/>
    <n v="2013.97"/>
    <n v="2821.55"/>
    <n v="0"/>
    <n v="16.9293"/>
    <n v="2804.6207"/>
    <n v="0"/>
    <n v="0"/>
    <n v="0"/>
    <n v="790.6507000000004"/>
    <s v="黄小马"/>
    <s v="广东省 广州市 黄埔区 鱼珠街道富颐华庭r区9栋3602"/>
    <s v="14739047620-9533"/>
    <m/>
    <m/>
  </r>
  <r>
    <x v="243"/>
    <s v="已发"/>
    <x v="565"/>
    <s v="刘小姐"/>
    <m/>
    <m/>
    <s v="0.83米洞石窄柜_x000a_下柜加高10cm，顶柜追高13cm，背板追高13cm_x000a_右边顶柜无玻璃隔板"/>
    <s v="窄柜"/>
    <m/>
    <s v="已结算"/>
    <s v="江西"/>
    <n v="3703.85"/>
    <n v="3100"/>
    <n v="335"/>
    <m/>
    <m/>
    <m/>
    <n v="180"/>
    <n v="39.85"/>
    <n v="31"/>
    <m/>
    <m/>
    <m/>
    <n v="18"/>
    <m/>
    <m/>
    <m/>
    <m/>
    <m/>
    <m/>
    <m/>
    <m/>
    <m/>
    <m/>
    <m/>
    <m/>
    <m/>
    <m/>
    <m/>
    <m/>
    <m/>
    <m/>
    <m/>
    <n v="84"/>
    <m/>
    <m/>
    <m/>
    <m/>
    <m/>
    <n v="1"/>
    <n v="3787.85"/>
    <n v="5975"/>
    <n v="0"/>
    <n v="35.85"/>
    <n v="5939.15"/>
    <n v="0"/>
    <n v="0"/>
    <n v="0"/>
    <n v="2151.3"/>
    <s v="刘小姐"/>
    <s v="广东省 肇庆市 端州区 城东街道 天鹅堡2期1栋1704"/>
    <s v="14716067305-1664"/>
    <m/>
    <m/>
  </r>
  <r>
    <x v="244"/>
    <s v="已发"/>
    <x v="566"/>
    <s v="袁晓园"/>
    <m/>
    <m/>
    <s v="1米窄柜，下柜深度43，上柜38"/>
    <s v="窄柜"/>
    <m/>
    <s v="已结算"/>
    <s v="江西"/>
    <n v="3736.08"/>
    <n v="3100"/>
    <n v="359.08"/>
    <m/>
    <m/>
    <m/>
    <n v="180"/>
    <n v="49"/>
    <n v="31"/>
    <m/>
    <m/>
    <m/>
    <n v="17"/>
    <m/>
    <m/>
    <m/>
    <m/>
    <m/>
    <m/>
    <m/>
    <m/>
    <m/>
    <m/>
    <m/>
    <m/>
    <m/>
    <m/>
    <m/>
    <m/>
    <m/>
    <m/>
    <m/>
    <n v="100"/>
    <m/>
    <m/>
    <m/>
    <m/>
    <m/>
    <n v="1"/>
    <n v="3836.08"/>
    <n v="5738.14"/>
    <n v="0"/>
    <n v="34.42884"/>
    <n v="5703.711160000001"/>
    <n v="0"/>
    <n v="0"/>
    <n v="0"/>
    <n v="1867.631160000001"/>
    <s v="袁晓园"/>
    <s v="北京 北京市 朝阳区 六里屯街道北京市朝阳区甜水园北里13号楼902"/>
    <s v="18400680275-1293"/>
    <m/>
    <m/>
  </r>
  <r>
    <x v="245"/>
    <s v="已发"/>
    <x v="567"/>
    <s v="钱向华"/>
    <m/>
    <m/>
    <s v="1.2米洞石窄柜"/>
    <s v="窄柜"/>
    <m/>
    <s v="已结算"/>
    <s v="江西"/>
    <n v="1762.5"/>
    <n v="3200"/>
    <n v="411.08"/>
    <m/>
    <m/>
    <m/>
    <n v="230"/>
    <n v="43.5"/>
    <n v="31"/>
    <m/>
    <m/>
    <m/>
    <n v="18"/>
    <m/>
    <m/>
    <m/>
    <m/>
    <m/>
    <m/>
    <m/>
    <m/>
    <m/>
    <m/>
    <m/>
    <m/>
    <m/>
    <m/>
    <m/>
    <m/>
    <m/>
    <n v="210"/>
    <m/>
    <n v="240"/>
    <m/>
    <m/>
    <m/>
    <m/>
    <m/>
    <n v="1"/>
    <n v="2212.5"/>
    <n v="5978.95"/>
    <n v="0"/>
    <n v="35.8737"/>
    <n v="5943.0763"/>
    <n v="0"/>
    <n v="0"/>
    <n v="0"/>
    <n v="3730.5763"/>
    <s v="钱向华"/>
    <s v="上海 上海市 宝山区 杨行镇镇泰路111弄11号202"/>
    <s v="18466835861-1000"/>
    <m/>
    <m/>
  </r>
  <r>
    <x v="180"/>
    <s v="未发货"/>
    <x v="424"/>
    <s v="种璐瑶"/>
    <m/>
    <m/>
    <s v="2.1洞石柜"/>
    <s v="洞石柜"/>
    <m/>
    <s v="已结算"/>
    <s v="江西"/>
    <n v="6391"/>
    <n v="5700"/>
    <m/>
    <m/>
    <m/>
    <m/>
    <n v="660"/>
    <m/>
    <n v="31"/>
    <m/>
    <m/>
    <m/>
    <m/>
    <m/>
    <m/>
    <m/>
    <m/>
    <m/>
    <m/>
    <m/>
    <m/>
    <m/>
    <m/>
    <m/>
    <m/>
    <m/>
    <m/>
    <m/>
    <m/>
    <m/>
    <m/>
    <m/>
    <m/>
    <m/>
    <m/>
    <m/>
    <m/>
    <m/>
    <m/>
    <m/>
    <m/>
    <n v="0"/>
    <n v="0"/>
    <n v="0"/>
    <n v="0"/>
    <n v="0"/>
    <n v="0"/>
    <n v="0"/>
    <m/>
    <m/>
    <m/>
    <m/>
    <m/>
  </r>
  <r>
    <x v="148"/>
    <s v="售后：岩板擦不干净130上门"/>
    <x v="311"/>
    <s v="苩震子"/>
    <m/>
    <m/>
    <s v="140*80黑色岩板餐桌"/>
    <s v="榉木餐桌"/>
    <m/>
    <s v="已结算"/>
    <s v="江西"/>
    <n v="1540"/>
    <n v="1300"/>
    <m/>
    <m/>
    <m/>
    <m/>
    <n v="160"/>
    <m/>
    <m/>
    <m/>
    <m/>
    <m/>
    <m/>
    <m/>
    <m/>
    <m/>
    <m/>
    <m/>
    <m/>
    <m/>
    <m/>
    <m/>
    <m/>
    <m/>
    <m/>
    <m/>
    <m/>
    <n v="80"/>
    <m/>
    <m/>
    <n v="187"/>
    <m/>
    <n v="68"/>
    <m/>
    <n v="130"/>
    <m/>
    <m/>
    <m/>
    <m/>
    <m/>
    <m/>
    <n v="0"/>
    <n v="0"/>
    <n v="0"/>
    <n v="0"/>
    <n v="0"/>
    <n v="0"/>
    <n v="0"/>
    <m/>
    <m/>
    <m/>
    <m/>
    <m/>
  </r>
  <r>
    <x v="246"/>
    <m/>
    <x v="568"/>
    <s v="章莉萍"/>
    <m/>
    <m/>
    <s v="1600*850*750"/>
    <s v="榉木餐桌"/>
    <m/>
    <m/>
    <m/>
    <m/>
    <m/>
    <m/>
    <m/>
    <m/>
    <m/>
    <m/>
    <m/>
    <m/>
    <m/>
    <m/>
    <m/>
    <m/>
    <m/>
    <m/>
    <m/>
    <m/>
    <m/>
    <m/>
    <m/>
    <m/>
    <m/>
    <m/>
    <m/>
    <m/>
    <m/>
    <m/>
    <m/>
    <m/>
    <m/>
    <m/>
    <m/>
    <m/>
    <m/>
    <m/>
    <m/>
    <m/>
    <m/>
    <n v="1"/>
    <n v="0"/>
    <m/>
    <n v="0"/>
    <n v="0"/>
    <n v="0"/>
    <n v="0"/>
    <n v="0"/>
    <m/>
    <m/>
    <m/>
    <m/>
    <m/>
    <m/>
    <m/>
  </r>
  <r>
    <x v="247"/>
    <s v="售后：岩板边缘不平打磨150"/>
    <x v="569"/>
    <s v="周女士"/>
    <m/>
    <m/>
    <s v="1600*850*750"/>
    <s v="黑胡桃岩板餐桌"/>
    <m/>
    <s v="已结算"/>
    <s v="江西"/>
    <n v="2440"/>
    <n v="2200"/>
    <m/>
    <m/>
    <m/>
    <m/>
    <n v="160"/>
    <m/>
    <m/>
    <m/>
    <m/>
    <m/>
    <m/>
    <m/>
    <m/>
    <m/>
    <m/>
    <m/>
    <m/>
    <m/>
    <m/>
    <m/>
    <m/>
    <m/>
    <m/>
    <m/>
    <m/>
    <n v="80"/>
    <m/>
    <m/>
    <n v="252"/>
    <m/>
    <n v="69"/>
    <m/>
    <n v="150"/>
    <m/>
    <m/>
    <m/>
    <n v="1"/>
    <n v="2911"/>
    <n v="3406.63"/>
    <n v="0"/>
    <n v="20.43978"/>
    <n v="3386.19022"/>
    <n v="0"/>
    <n v="0"/>
    <n v="0"/>
    <n v="475.19022"/>
    <s v="周女士"/>
    <s v="四川省 成都市 武侯区 桂溪街道天泰路47号御府花都B区1栋-1-1-601"/>
    <s v="14727233887-6786"/>
    <m/>
    <m/>
  </r>
  <r>
    <x v="248"/>
    <s v="已发，直达"/>
    <x v="570"/>
    <s v="方菲"/>
    <m/>
    <m/>
    <s v="1.6柜+1.2单腿桌"/>
    <s v="旋转柜"/>
    <m/>
    <s v="已结算"/>
    <s v="江西"/>
    <n v="4963"/>
    <n v="4280"/>
    <m/>
    <m/>
    <m/>
    <m/>
    <n v="220"/>
    <n v="52"/>
    <n v="31"/>
    <m/>
    <m/>
    <m/>
    <m/>
    <m/>
    <m/>
    <m/>
    <m/>
    <m/>
    <m/>
    <m/>
    <m/>
    <m/>
    <m/>
    <m/>
    <m/>
    <m/>
    <m/>
    <n v="380"/>
    <m/>
    <m/>
    <n v="500"/>
    <m/>
    <n v="268"/>
    <m/>
    <n v="90"/>
    <m/>
    <m/>
    <m/>
    <n v="1"/>
    <n v="5821"/>
    <n v="8096.3"/>
    <n v="0"/>
    <n v="48.5778"/>
    <n v="8047.7222"/>
    <n v="0"/>
    <n v="0"/>
    <n v="0"/>
    <n v="2226.7222"/>
    <s v="方菲"/>
    <s v="浙江省 杭州市 桐庐县 江南镇万星悦城燕庐1号楼4单元1303"/>
    <s v="18413253022-4292"/>
    <m/>
    <m/>
  </r>
  <r>
    <x v="249"/>
    <s v="已发，顶柜开裂，赔付50+插座"/>
    <x v="571"/>
    <s v="张先生"/>
    <m/>
    <m/>
    <s v="定制2.8米柜，分独立1.8米柜+1米柜，下柜高度追加到1米，总高度2.22米；上柜顶柜做木板翻门柜，洞石背板+黑色隔板槽+黑色平板岩板"/>
    <s v="洞石柜"/>
    <m/>
    <s v="已结算"/>
    <s v="江西"/>
    <n v="11267.16"/>
    <n v="9700"/>
    <n v="926.16"/>
    <m/>
    <m/>
    <m/>
    <n v="440"/>
    <n v="75"/>
    <n v="126"/>
    <m/>
    <m/>
    <m/>
    <m/>
    <m/>
    <m/>
    <m/>
    <m/>
    <m/>
    <m/>
    <m/>
    <m/>
    <m/>
    <m/>
    <m/>
    <m/>
    <m/>
    <m/>
    <m/>
    <m/>
    <m/>
    <n v="1435"/>
    <n v="205"/>
    <n v="268"/>
    <n v="105"/>
    <n v="90"/>
    <m/>
    <m/>
    <m/>
    <n v="1"/>
    <n v="13370.16"/>
    <n v="17498"/>
    <n v="0"/>
    <n v="104.988"/>
    <n v="17393.012"/>
    <n v="0"/>
    <n v="0"/>
    <n v="0"/>
    <n v="4022.851999999999"/>
    <s v="张先生"/>
    <s v="黑龙江省 大庆市 让胡路区 银浪街道 黑龙江省大庆市让胡路区创业城14-30-1-2102"/>
    <s v="18445787607-7813"/>
    <m/>
    <m/>
  </r>
  <r>
    <x v="249"/>
    <s v="已发"/>
    <x v="572"/>
    <s v="张玲玮"/>
    <m/>
    <m/>
    <s v="1.2米洞石窄柜"/>
    <s v="窄柜"/>
    <m/>
    <s v="已结算"/>
    <s v="江西"/>
    <n v="4119.28"/>
    <n v="3200"/>
    <n v="411.08"/>
    <m/>
    <m/>
    <m/>
    <n v="230"/>
    <n v="43.5"/>
    <n v="31"/>
    <m/>
    <m/>
    <m/>
    <n v="18"/>
    <m/>
    <m/>
    <m/>
    <m/>
    <m/>
    <m/>
    <m/>
    <m/>
    <m/>
    <m/>
    <m/>
    <m/>
    <m/>
    <m/>
    <m/>
    <n v="185.7"/>
    <m/>
    <n v="235"/>
    <n v="74"/>
    <n v="119"/>
    <m/>
    <m/>
    <m/>
    <m/>
    <m/>
    <n v="1"/>
    <n v="4547.28"/>
    <n v="6130.21"/>
    <n v="0"/>
    <n v="36.78126"/>
    <n v="6093.42874"/>
    <n v="0"/>
    <n v="0"/>
    <n v="0"/>
    <n v="1546.148740000001"/>
    <s v="张玲玮"/>
    <s v="浙江省 嘉兴市 南湖区 东栅街道文贤路东方普罗旺斯141幢1单元2801室"/>
    <s v="18413441673-2828"/>
    <m/>
    <m/>
  </r>
  <r>
    <x v="250"/>
    <s v="已发"/>
    <x v="573"/>
    <s v="张雨桐"/>
    <m/>
    <m/>
    <s v="1600*850*750"/>
    <s v="榉木餐桌"/>
    <m/>
    <s v="已结算"/>
    <s v="江西"/>
    <n v="1702.5"/>
    <n v="1350"/>
    <m/>
    <m/>
    <m/>
    <m/>
    <n v="220"/>
    <m/>
    <m/>
    <m/>
    <m/>
    <m/>
    <m/>
    <m/>
    <m/>
    <m/>
    <m/>
    <m/>
    <n v="2.5"/>
    <m/>
    <m/>
    <m/>
    <m/>
    <m/>
    <m/>
    <m/>
    <m/>
    <n v="130"/>
    <m/>
    <m/>
    <n v="191"/>
    <n v="35"/>
    <n v="80"/>
    <m/>
    <m/>
    <m/>
    <m/>
    <m/>
    <n v="1"/>
    <n v="2008.5"/>
    <n v="2767.92"/>
    <n v="0"/>
    <n v="16.60752"/>
    <n v="2751.31248"/>
    <n v="0"/>
    <n v="0"/>
    <n v="0"/>
    <n v="742.8124800000001"/>
    <s v="张雨桐"/>
    <s v="山西省 运城市 盐湖区 北城街道天宝四季春城·郎园2-2-802"/>
    <s v="18400718799-5264"/>
    <m/>
    <m/>
  </r>
  <r>
    <x v="250"/>
    <s v="已发"/>
    <x v="574"/>
    <s v="巴晓元"/>
    <m/>
    <m/>
    <s v="2000*850*750"/>
    <s v="榉木餐桌"/>
    <m/>
    <s v="已结算"/>
    <s v="江西"/>
    <n v="1892.5"/>
    <n v="1400"/>
    <m/>
    <m/>
    <m/>
    <m/>
    <n v="290"/>
    <m/>
    <m/>
    <m/>
    <m/>
    <m/>
    <m/>
    <m/>
    <m/>
    <m/>
    <m/>
    <m/>
    <n v="2.5"/>
    <m/>
    <m/>
    <m/>
    <m/>
    <m/>
    <m/>
    <m/>
    <m/>
    <n v="200"/>
    <m/>
    <m/>
    <m/>
    <m/>
    <n v="80"/>
    <m/>
    <m/>
    <m/>
    <m/>
    <m/>
    <n v="1"/>
    <n v="1972.5"/>
    <n v="2952.67"/>
    <n v="0"/>
    <n v="17.71602"/>
    <n v="2934.95398"/>
    <n v="0"/>
    <n v="0"/>
    <n v="0"/>
    <n v="962.4539800000002"/>
    <s v="巴晓元"/>
    <s v="江苏省 苏州市 虎丘区 浒墅关镇首开金茂熙和悦花园15幢2单元403"/>
    <s v="18468544520-4029"/>
    <m/>
    <m/>
  </r>
  <r>
    <x v="251"/>
    <s v="售后中"/>
    <x v="575"/>
    <s v="汪凡丁"/>
    <m/>
    <m/>
    <s v="1600*750*750"/>
    <s v="榉木大板餐桌"/>
    <m/>
    <s v="已结算"/>
    <s v="江西"/>
    <n v="1900"/>
    <n v="1700"/>
    <m/>
    <m/>
    <m/>
    <m/>
    <n v="0"/>
    <m/>
    <m/>
    <m/>
    <m/>
    <m/>
    <m/>
    <m/>
    <m/>
    <m/>
    <m/>
    <m/>
    <m/>
    <m/>
    <m/>
    <m/>
    <m/>
    <m/>
    <m/>
    <m/>
    <m/>
    <n v="200"/>
    <m/>
    <m/>
    <m/>
    <m/>
    <m/>
    <m/>
    <m/>
    <m/>
    <m/>
    <m/>
    <n v="1"/>
    <n v="1900"/>
    <n v="3020"/>
    <n v="0"/>
    <n v="18.12"/>
    <n v="3001.88"/>
    <n v="0"/>
    <n v="0"/>
    <n v="0"/>
    <n v="1101.88"/>
    <s v="汪凡丁"/>
    <s v="江苏省 苏州市 吴中区 香山街道中海寰湖时代506幢305室"/>
    <s v="18468597671-7411"/>
    <m/>
    <m/>
  </r>
  <r>
    <x v="251"/>
    <s v="已发"/>
    <x v="576"/>
    <s v="胡敏洁"/>
    <m/>
    <m/>
    <s v="1800*750*750"/>
    <s v="榉木餐桌"/>
    <m/>
    <s v="已结算"/>
    <s v="江西"/>
    <n v="1772.5"/>
    <n v="1350"/>
    <m/>
    <m/>
    <m/>
    <m/>
    <n v="220"/>
    <m/>
    <m/>
    <m/>
    <m/>
    <m/>
    <m/>
    <m/>
    <m/>
    <m/>
    <m/>
    <m/>
    <n v="2.5"/>
    <m/>
    <m/>
    <m/>
    <m/>
    <m/>
    <m/>
    <m/>
    <m/>
    <n v="200"/>
    <m/>
    <m/>
    <m/>
    <m/>
    <n v="70"/>
    <m/>
    <m/>
    <m/>
    <m/>
    <m/>
    <n v="1"/>
    <n v="1842.5"/>
    <n v="2820.63"/>
    <n v="0"/>
    <n v="16.92378"/>
    <n v="2803.70622"/>
    <n v="0"/>
    <n v="0"/>
    <n v="0"/>
    <n v="961.20622"/>
    <s v="胡敏洁"/>
    <s v="湖南省 长沙市 开福区 秀峰街道北城周南学府3栋801"/>
    <s v="13126485515-1711"/>
    <m/>
    <m/>
  </r>
  <r>
    <x v="251"/>
    <s v="已发"/>
    <x v="577"/>
    <s v="卢女士"/>
    <m/>
    <m/>
    <s v="1.2米洞石窄柜"/>
    <s v="窄柜"/>
    <m/>
    <s v="已结算"/>
    <s v="江西"/>
    <n v="4079.28"/>
    <n v="3000"/>
    <n v="411.08"/>
    <m/>
    <m/>
    <m/>
    <n v="220"/>
    <n v="43.5"/>
    <n v="31"/>
    <m/>
    <m/>
    <m/>
    <n v="18"/>
    <m/>
    <m/>
    <m/>
    <m/>
    <m/>
    <m/>
    <m/>
    <m/>
    <m/>
    <m/>
    <m/>
    <m/>
    <m/>
    <m/>
    <n v="170"/>
    <n v="185.7"/>
    <m/>
    <n v="402"/>
    <n v="73"/>
    <n v="65"/>
    <m/>
    <m/>
    <m/>
    <m/>
    <m/>
    <n v="1"/>
    <n v="4619.28"/>
    <n v="5853.4"/>
    <n v="0"/>
    <n v="35.1204"/>
    <n v="5818.2796"/>
    <n v="0"/>
    <n v="0"/>
    <n v="0"/>
    <n v="1198.9996"/>
    <s v="卢女士"/>
    <s v="四川省 成都市 锦江区 柳江街道锦江区白鹭湾天府养云12栋2单元-402"/>
    <s v="15520815844-5705"/>
    <m/>
    <m/>
  </r>
  <r>
    <x v="251"/>
    <s v="已发"/>
    <x v="578"/>
    <s v="刘晓悦"/>
    <m/>
    <m/>
    <s v="1400*800*750"/>
    <s v="榉木餐桌"/>
    <m/>
    <s v="已结算"/>
    <s v="江西"/>
    <n v="1832.5"/>
    <n v="1250"/>
    <m/>
    <m/>
    <m/>
    <m/>
    <n v="420"/>
    <m/>
    <m/>
    <m/>
    <m/>
    <m/>
    <m/>
    <m/>
    <m/>
    <m/>
    <m/>
    <m/>
    <n v="2.5"/>
    <m/>
    <m/>
    <m/>
    <m/>
    <m/>
    <m/>
    <m/>
    <m/>
    <n v="160"/>
    <m/>
    <m/>
    <m/>
    <m/>
    <n v="60"/>
    <m/>
    <m/>
    <m/>
    <m/>
    <m/>
    <n v="1"/>
    <n v="1892.5"/>
    <n v="2799"/>
    <n v="0"/>
    <n v="16.794"/>
    <n v="2782.206"/>
    <n v="0"/>
    <n v="0"/>
    <n v="0"/>
    <n v="889.7060000000001"/>
    <s v="刘晓悦"/>
    <s v="广东省 韶关市 武江区 惠民街道金桂城8栋1702"/>
    <s v="17896425992-8279"/>
    <m/>
    <m/>
  </r>
  <r>
    <x v="251"/>
    <s v="已发"/>
    <x v="579"/>
    <s v="杨先生"/>
    <m/>
    <m/>
    <s v="1.2米洞洞板窄柜"/>
    <s v="窄柜"/>
    <m/>
    <s v="已结算"/>
    <s v="江西"/>
    <n v="3893.58"/>
    <n v="3000"/>
    <n v="411.08"/>
    <m/>
    <m/>
    <m/>
    <n v="220"/>
    <n v="43.5"/>
    <n v="31"/>
    <m/>
    <m/>
    <m/>
    <n v="18"/>
    <m/>
    <m/>
    <m/>
    <m/>
    <m/>
    <m/>
    <m/>
    <m/>
    <m/>
    <m/>
    <m/>
    <m/>
    <m/>
    <m/>
    <n v="170"/>
    <m/>
    <m/>
    <m/>
    <m/>
    <n v="99"/>
    <m/>
    <m/>
    <m/>
    <m/>
    <m/>
    <n v="1"/>
    <n v="3992.58"/>
    <n v="5370.6"/>
    <n v="0"/>
    <n v="32.2236"/>
    <n v="5338.3764"/>
    <n v="0"/>
    <n v="0"/>
    <n v="0"/>
    <n v="1345.7964"/>
    <s v="杨先生"/>
    <s v="湖北省 武汉市 武昌区 中南路街道 百瑞景1期1栋503室"/>
    <s v="18472269147-2444，"/>
    <m/>
    <m/>
  </r>
  <r>
    <x v="251"/>
    <s v="已发"/>
    <x v="580"/>
    <s v="花花"/>
    <m/>
    <m/>
    <s v="1800*850*750"/>
    <s v="榉木餐桌"/>
    <m/>
    <s v="已结算"/>
    <s v="江西"/>
    <n v="1792.5"/>
    <n v="1400"/>
    <m/>
    <m/>
    <m/>
    <m/>
    <n v="220"/>
    <m/>
    <m/>
    <m/>
    <m/>
    <m/>
    <m/>
    <m/>
    <m/>
    <m/>
    <m/>
    <m/>
    <n v="2.5"/>
    <m/>
    <m/>
    <m/>
    <m/>
    <m/>
    <m/>
    <m/>
    <m/>
    <n v="170"/>
    <m/>
    <m/>
    <n v="151"/>
    <n v="30"/>
    <n v="80"/>
    <m/>
    <m/>
    <m/>
    <m/>
    <m/>
    <n v="1"/>
    <n v="2053.5"/>
    <n v="2986.93"/>
    <n v="0"/>
    <n v="17.92158"/>
    <n v="2969.00842"/>
    <n v="0"/>
    <n v="0"/>
    <n v="0"/>
    <n v="915.5084199999997"/>
    <s v="花花"/>
    <s v="陕西省 西安市 雁塔区 杜城街道雁南朗境13号楼2单元8楼1号"/>
    <s v="15664724101-6918"/>
    <m/>
    <m/>
  </r>
  <r>
    <x v="252"/>
    <s v="已发"/>
    <x v="581"/>
    <s v="徐77"/>
    <m/>
    <m/>
    <m/>
    <s v="样块"/>
    <m/>
    <m/>
    <s v="江西"/>
    <m/>
    <n v="10"/>
    <m/>
    <m/>
    <m/>
    <m/>
    <m/>
    <m/>
    <m/>
    <m/>
    <m/>
    <m/>
    <m/>
    <m/>
    <m/>
    <m/>
    <m/>
    <m/>
    <m/>
    <m/>
    <m/>
    <m/>
    <m/>
    <m/>
    <m/>
    <m/>
    <m/>
    <m/>
    <m/>
    <m/>
    <m/>
    <m/>
    <n v="78"/>
    <m/>
    <m/>
    <m/>
    <m/>
    <m/>
    <n v="1"/>
    <n v="78"/>
    <n v="39"/>
    <n v="0"/>
    <n v="0.234"/>
    <n v="38.766"/>
    <n v="0"/>
    <n v="0"/>
    <m/>
    <m/>
    <s v="徐77"/>
    <s v="广东省 广州市 荔湾区 白鹤洞街道广钢新城中海锦御华庭B1栋517房"/>
    <s v="18466101780-7737"/>
    <m/>
    <m/>
  </r>
  <r>
    <x v="252"/>
    <s v="已发"/>
    <x v="582"/>
    <s v="屈野"/>
    <m/>
    <m/>
    <s v="榉木常规2cm板材2.1×0.8大板桌+1.6*0.8榉木岩板餐桌"/>
    <s v="榉木大板+岩板餐桌"/>
    <m/>
    <s v="已结算"/>
    <s v="江西"/>
    <n v="2820"/>
    <n v="2600"/>
    <m/>
    <m/>
    <m/>
    <m/>
    <n v="220"/>
    <m/>
    <m/>
    <m/>
    <m/>
    <m/>
    <m/>
    <m/>
    <m/>
    <m/>
    <m/>
    <m/>
    <m/>
    <m/>
    <m/>
    <m/>
    <m/>
    <m/>
    <m/>
    <m/>
    <m/>
    <m/>
    <m/>
    <m/>
    <m/>
    <m/>
    <m/>
    <m/>
    <m/>
    <m/>
    <m/>
    <m/>
    <n v="1"/>
    <n v="2820"/>
    <n v="2704.74"/>
    <n v="0"/>
    <n v="16.22844"/>
    <n v="2688.51156"/>
    <n v="0"/>
    <n v="0"/>
    <n v="0"/>
    <n v="-131.4884400000001"/>
    <s v="屈野"/>
    <s v="湖南省 长沙市 天心区 友谊路332号友谊路青园5栋2单元4楼西户（405）"/>
    <s v="17896414017-5291"/>
    <m/>
    <m/>
  </r>
  <r>
    <x v="253"/>
    <s v="已发"/>
    <x v="583"/>
    <s v="徒爷 "/>
    <m/>
    <m/>
    <m/>
    <s v="样块"/>
    <m/>
    <m/>
    <s v="江西"/>
    <m/>
    <n v="10"/>
    <m/>
    <m/>
    <m/>
    <m/>
    <m/>
    <m/>
    <m/>
    <m/>
    <m/>
    <m/>
    <m/>
    <m/>
    <m/>
    <m/>
    <m/>
    <m/>
    <m/>
    <m/>
    <m/>
    <m/>
    <m/>
    <m/>
    <m/>
    <m/>
    <m/>
    <m/>
    <m/>
    <m/>
    <m/>
    <m/>
    <m/>
    <m/>
    <m/>
    <m/>
    <m/>
    <m/>
    <n v="1"/>
    <n v="0"/>
    <n v="22"/>
    <n v="0"/>
    <n v="0.132"/>
    <n v="21.868"/>
    <n v="0"/>
    <n v="0"/>
    <m/>
    <m/>
    <s v="徒爷"/>
    <s v="海南省 海口市 龙华区 城西镇迎宾大道恒大文化旅游城四期20栋一单元1308房"/>
    <s v="17898966713-1048"/>
    <m/>
    <m/>
  </r>
  <r>
    <x v="253"/>
    <s v="改尺寸，1米做备货"/>
    <x v="584"/>
    <s v="KK"/>
    <m/>
    <m/>
    <s v="0.88米洞石板窄柜"/>
    <s v="窄柜"/>
    <m/>
    <s v="已结算"/>
    <s v="江西"/>
    <n v="3456"/>
    <n v="2850"/>
    <n v="335"/>
    <m/>
    <m/>
    <m/>
    <n v="190"/>
    <n v="33"/>
    <n v="31"/>
    <m/>
    <m/>
    <m/>
    <n v="17"/>
    <m/>
    <m/>
    <m/>
    <m/>
    <m/>
    <m/>
    <m/>
    <m/>
    <m/>
    <m/>
    <m/>
    <m/>
    <m/>
    <m/>
    <m/>
    <m/>
    <m/>
    <m/>
    <m/>
    <m/>
    <m/>
    <m/>
    <m/>
    <m/>
    <m/>
    <n v="1"/>
    <n v="3456"/>
    <n v="5615.6"/>
    <n v="0"/>
    <n v="33.6936"/>
    <n v="5581.906400000001"/>
    <n v="0"/>
    <n v="0"/>
    <n v="0"/>
    <n v="2125.906400000001"/>
    <s v="KK"/>
    <s v="上海 上海市 普陀区 长征镇上河湾34号701"/>
    <s v="18466943634-9347"/>
    <m/>
    <m/>
  </r>
  <r>
    <x v="253"/>
    <s v="已发"/>
    <x v="585"/>
    <s v="钱丹妮"/>
    <m/>
    <m/>
    <s v="樱桃木 组合柜72*38*36【730+680+680"/>
    <s v="组合柜"/>
    <m/>
    <s v="已结算"/>
    <s v="江西"/>
    <n v="2090"/>
    <n v="2090"/>
    <m/>
    <m/>
    <m/>
    <m/>
    <m/>
    <m/>
    <m/>
    <m/>
    <m/>
    <m/>
    <m/>
    <m/>
    <m/>
    <m/>
    <m/>
    <m/>
    <m/>
    <m/>
    <m/>
    <m/>
    <m/>
    <m/>
    <m/>
    <m/>
    <m/>
    <m/>
    <m/>
    <m/>
    <m/>
    <m/>
    <m/>
    <m/>
    <m/>
    <m/>
    <m/>
    <m/>
    <n v="1"/>
    <n v="2090"/>
    <n v="3669"/>
    <n v="0"/>
    <n v="22.014"/>
    <n v="3646.986"/>
    <n v="0"/>
    <n v="0"/>
    <n v="0"/>
    <n v="1556.986"/>
    <s v="钱女士"/>
    <s v="上海 上海市 青浦区  金字圩路436弄绿城春晓园28-702"/>
    <s v="18466666200-6306"/>
    <m/>
    <m/>
  </r>
  <r>
    <x v="254"/>
    <s v="已收货,岩板不擦不掉，找师傅"/>
    <x v="586"/>
    <s v="卢小姐"/>
    <m/>
    <m/>
    <s v="1400*850*750"/>
    <s v="榉木餐桌"/>
    <m/>
    <s v="已结算"/>
    <s v="江西"/>
    <n v="1650"/>
    <n v="1300"/>
    <m/>
    <m/>
    <m/>
    <m/>
    <n v="220"/>
    <m/>
    <m/>
    <m/>
    <m/>
    <m/>
    <m/>
    <m/>
    <m/>
    <m/>
    <m/>
    <m/>
    <m/>
    <m/>
    <m/>
    <m/>
    <m/>
    <m/>
    <m/>
    <m/>
    <m/>
    <n v="130"/>
    <m/>
    <m/>
    <m/>
    <m/>
    <n v="108"/>
    <n v="10"/>
    <n v="135"/>
    <m/>
    <n v="156"/>
    <m/>
    <n v="1"/>
    <n v="2059"/>
    <n v="2624.6"/>
    <n v="0"/>
    <n v="15.7476"/>
    <n v="2608.8524"/>
    <n v="0"/>
    <n v="0"/>
    <n v="0"/>
    <n v="549.8523999999998"/>
    <s v="卢小姐"/>
    <s v="浙江省 杭州市 萧山区 宁围街道中天大家悦潮云望府2幢1903"/>
    <s v="18413246573-5536"/>
    <m/>
    <m/>
  </r>
  <r>
    <x v="254"/>
    <s v="已发"/>
    <x v="587"/>
    <s v="周陈虹"/>
    <m/>
    <m/>
    <s v="1.2米洞石窄柜+书柜"/>
    <s v="窄柜"/>
    <m/>
    <s v="已结算"/>
    <s v="江西"/>
    <n v="3653.58"/>
    <n v="3000"/>
    <n v="411.08"/>
    <m/>
    <m/>
    <m/>
    <n v="150"/>
    <n v="43.5"/>
    <n v="31"/>
    <m/>
    <m/>
    <m/>
    <n v="18"/>
    <m/>
    <m/>
    <m/>
    <m/>
    <m/>
    <m/>
    <m/>
    <m/>
    <m/>
    <m/>
    <m/>
    <m/>
    <m/>
    <m/>
    <m/>
    <m/>
    <m/>
    <m/>
    <m/>
    <m/>
    <m/>
    <m/>
    <m/>
    <m/>
    <m/>
    <n v="1"/>
    <n v="3653.58"/>
    <n v="150"/>
    <n v="0"/>
    <n v="0.9"/>
    <n v="149.1"/>
    <n v="0"/>
    <n v="0"/>
    <n v="0"/>
    <n v="-3504.48"/>
    <s v="周陈虹"/>
    <s v="上海 上海市 浦东新区 唐镇春泉路45弄56号802"/>
    <s v="18466820883-1118"/>
    <m/>
    <m/>
  </r>
  <r>
    <x v="255"/>
    <s v="已收货"/>
    <x v="588"/>
    <s v="panda大熊猫"/>
    <m/>
    <m/>
    <s v="曜黑柜-整柜-1.8米"/>
    <s v="黑胡桃木柜"/>
    <n v="1800"/>
    <s v="已结算"/>
    <s v="江西"/>
    <n v="10188.98333333334"/>
    <n v="8200"/>
    <n v="577"/>
    <n v="283.3333333333333"/>
    <m/>
    <m/>
    <n v="240"/>
    <n v="103.95"/>
    <n v="31"/>
    <n v="60"/>
    <m/>
    <n v="12"/>
    <n v="66"/>
    <n v="46"/>
    <m/>
    <n v="6"/>
    <n v="1.2"/>
    <n v="2.5"/>
    <m/>
    <m/>
    <m/>
    <m/>
    <m/>
    <m/>
    <m/>
    <m/>
    <m/>
    <n v="560"/>
    <m/>
    <m/>
    <n v="374"/>
    <n v="117"/>
    <n v="0"/>
    <n v="0"/>
    <n v="0"/>
    <n v="0"/>
    <n v="0"/>
    <n v="0"/>
    <n v="1"/>
    <n v="10679.98333333334"/>
    <n v="14785.27"/>
    <n v="0"/>
    <n v="88.71162000000001"/>
    <n v="14696.55838"/>
    <n v="0"/>
    <n v="0"/>
    <n v="0"/>
    <n v="4016.575046666665"/>
    <s v="panda大熊猫"/>
    <s v="江苏省 苏州市 吴中区 金鸡湖街道双湖湾花园1期3幢1004室"/>
    <s v="18468540445-6096"/>
    <m/>
    <m/>
  </r>
  <r>
    <x v="255"/>
    <s v="已发"/>
    <x v="589"/>
    <s v="周陈虹"/>
    <m/>
    <m/>
    <s v="带玻璃门"/>
    <s v="书柜"/>
    <m/>
    <m/>
    <s v="江西"/>
    <m/>
    <m/>
    <m/>
    <m/>
    <m/>
    <m/>
    <m/>
    <n v="104.06"/>
    <n v="31"/>
    <m/>
    <m/>
    <m/>
    <m/>
    <m/>
    <m/>
    <m/>
    <m/>
    <m/>
    <m/>
    <m/>
    <m/>
    <m/>
    <m/>
    <m/>
    <m/>
    <m/>
    <m/>
    <m/>
    <m/>
    <m/>
    <m/>
    <m/>
    <m/>
    <m/>
    <m/>
    <m/>
    <m/>
    <m/>
    <n v="1"/>
    <n v="0"/>
    <n v="2796.94"/>
    <n v="0"/>
    <n v="16.78164"/>
    <n v="2780.15836"/>
    <n v="0"/>
    <n v="0"/>
    <m/>
    <m/>
    <s v="周陈虹"/>
    <s v="上海 上海市 浦东新区 唐镇春泉路45弄56号802"/>
    <s v="18466820883-1118"/>
    <m/>
    <m/>
  </r>
  <r>
    <x v="255"/>
    <m/>
    <x v="590"/>
    <s v="李诗明"/>
    <m/>
    <m/>
    <s v="新黑胡桃柜1.2米单下柜"/>
    <s v="黑胡桃木鎏金柜"/>
    <m/>
    <m/>
    <s v="江西"/>
    <m/>
    <m/>
    <m/>
    <m/>
    <m/>
    <m/>
    <n v="240"/>
    <m/>
    <n v="31"/>
    <m/>
    <m/>
    <m/>
    <m/>
    <m/>
    <m/>
    <m/>
    <m/>
    <m/>
    <m/>
    <m/>
    <m/>
    <m/>
    <m/>
    <m/>
    <m/>
    <m/>
    <m/>
    <m/>
    <m/>
    <m/>
    <m/>
    <m/>
    <m/>
    <m/>
    <m/>
    <m/>
    <m/>
    <m/>
    <n v="1"/>
    <n v="0"/>
    <n v="8677"/>
    <n v="0"/>
    <n v="52.062"/>
    <n v="8624.938"/>
    <n v="0"/>
    <n v="0"/>
    <m/>
    <m/>
    <s v="李诗明"/>
    <s v="广西壮族自治区 南宁市 良庆区 良庆镇 地矿春山富居1-2302"/>
    <s v="17677994360-2016"/>
    <m/>
    <m/>
  </r>
  <r>
    <x v="255"/>
    <m/>
    <x v="591"/>
    <s v="李诗明"/>
    <m/>
    <m/>
    <s v="1800*480*1950"/>
    <s v="黑胡桃木柜"/>
    <m/>
    <m/>
    <s v="江西"/>
    <m/>
    <m/>
    <m/>
    <m/>
    <m/>
    <m/>
    <n v="240"/>
    <m/>
    <n v="31"/>
    <m/>
    <m/>
    <m/>
    <m/>
    <m/>
    <m/>
    <m/>
    <m/>
    <m/>
    <m/>
    <m/>
    <m/>
    <m/>
    <m/>
    <m/>
    <m/>
    <m/>
    <m/>
    <m/>
    <m/>
    <m/>
    <m/>
    <m/>
    <m/>
    <m/>
    <m/>
    <m/>
    <m/>
    <m/>
    <n v="1"/>
    <n v="0"/>
    <n v="14790.27"/>
    <n v="0"/>
    <n v="88.74162"/>
    <n v="14701.52838"/>
    <n v="0"/>
    <n v="0"/>
    <m/>
    <m/>
    <s v="李诗明"/>
    <s v="广西壮族自治区 南宁市 良庆区 良庆镇 地矿春山富居1-2302"/>
    <s v="17677994360-2016"/>
    <m/>
    <m/>
  </r>
  <r>
    <x v="256"/>
    <s v="已发"/>
    <x v="592"/>
    <s v="彭麒"/>
    <m/>
    <m/>
    <s v="0.8米洞石窄柜"/>
    <s v="窄柜"/>
    <m/>
    <m/>
    <s v="江西"/>
    <m/>
    <m/>
    <n v="307.08"/>
    <m/>
    <m/>
    <m/>
    <n v="230"/>
    <m/>
    <n v="31"/>
    <m/>
    <m/>
    <m/>
    <n v="18"/>
    <m/>
    <m/>
    <m/>
    <m/>
    <m/>
    <m/>
    <m/>
    <m/>
    <m/>
    <m/>
    <m/>
    <m/>
    <m/>
    <m/>
    <m/>
    <m/>
    <m/>
    <m/>
    <m/>
    <m/>
    <m/>
    <m/>
    <m/>
    <m/>
    <m/>
    <n v="1"/>
    <n v="0"/>
    <n v="4978"/>
    <n v="0"/>
    <n v="29.868"/>
    <n v="4948.132"/>
    <n v="0"/>
    <n v="0"/>
    <m/>
    <m/>
    <s v="彭麒"/>
    <s v="重庆 重庆市 万州区 高笋塘街道 静园路575号好运来D2栋10-1"/>
    <s v="18418947540-2073"/>
    <m/>
    <m/>
  </r>
  <r>
    <x v="257"/>
    <s v="已发"/>
    <x v="593"/>
    <s v="备货"/>
    <m/>
    <m/>
    <s v="1.4米：140*75  1张_x000a_1.6米：160*80  1张_x000a_1.8米：180*85  2张_x000a_2.0米：200*85  1张"/>
    <s v="榉木餐桌"/>
    <m/>
    <m/>
    <s v="江西"/>
    <m/>
    <m/>
    <m/>
    <m/>
    <m/>
    <m/>
    <n v="220"/>
    <m/>
    <m/>
    <m/>
    <m/>
    <m/>
    <m/>
    <m/>
    <m/>
    <m/>
    <m/>
    <m/>
    <m/>
    <m/>
    <m/>
    <m/>
    <m/>
    <m/>
    <m/>
    <m/>
    <m/>
    <m/>
    <m/>
    <m/>
    <m/>
    <m/>
    <m/>
    <m/>
    <m/>
    <m/>
    <m/>
    <m/>
    <n v="1"/>
    <n v="0"/>
    <m/>
    <n v="0"/>
    <n v="0"/>
    <n v="0"/>
    <n v="0"/>
    <n v="0"/>
    <m/>
    <m/>
    <m/>
    <m/>
    <m/>
    <m/>
    <m/>
  </r>
  <r>
    <x v="257"/>
    <m/>
    <x v="593"/>
    <s v="备货"/>
    <m/>
    <m/>
    <s v="1米洞石窄柜"/>
    <s v="窄柜"/>
    <m/>
    <m/>
    <s v="江西"/>
    <m/>
    <m/>
    <n v="359.08"/>
    <m/>
    <m/>
    <m/>
    <n v="190"/>
    <m/>
    <n v="31"/>
    <m/>
    <m/>
    <m/>
    <n v="18"/>
    <m/>
    <m/>
    <m/>
    <m/>
    <m/>
    <m/>
    <m/>
    <m/>
    <m/>
    <m/>
    <m/>
    <m/>
    <m/>
    <m/>
    <m/>
    <m/>
    <m/>
    <m/>
    <m/>
    <m/>
    <m/>
    <m/>
    <m/>
    <m/>
    <m/>
    <n v="1"/>
    <n v="0"/>
    <m/>
    <n v="0"/>
    <n v="0"/>
    <n v="0"/>
    <n v="0"/>
    <n v="0"/>
    <m/>
    <m/>
    <m/>
    <m/>
    <m/>
    <m/>
    <m/>
  </r>
  <r>
    <x v="257"/>
    <s v="定制尺寸出错"/>
    <x v="594"/>
    <s v="李波"/>
    <m/>
    <m/>
    <s v="1600*850*750"/>
    <s v="榉木餐桌"/>
    <m/>
    <m/>
    <s v="江西"/>
    <m/>
    <m/>
    <m/>
    <m/>
    <m/>
    <m/>
    <n v="220"/>
    <m/>
    <m/>
    <m/>
    <m/>
    <m/>
    <m/>
    <m/>
    <m/>
    <m/>
    <m/>
    <m/>
    <m/>
    <m/>
    <m/>
    <m/>
    <m/>
    <m/>
    <m/>
    <m/>
    <m/>
    <m/>
    <m/>
    <m/>
    <m/>
    <m/>
    <n v="52"/>
    <m/>
    <m/>
    <m/>
    <m/>
    <m/>
    <n v="1"/>
    <n v="52"/>
    <n v="2699.74"/>
    <n v="0"/>
    <n v="16.19844"/>
    <n v="2683.54156"/>
    <n v="0"/>
    <n v="0"/>
    <m/>
    <m/>
    <s v="李波"/>
    <s v="山西省 运城市 盐湖区 姚孟街道五洲观澜B7-1402"/>
    <s v="14735146394-4103"/>
    <m/>
    <m/>
  </r>
  <r>
    <x v="258"/>
    <s v="已发"/>
    <x v="595"/>
    <s v="冯玥"/>
    <m/>
    <m/>
    <s v="2000*850*750"/>
    <s v="榉木餐桌"/>
    <m/>
    <m/>
    <s v="江西"/>
    <m/>
    <m/>
    <m/>
    <m/>
    <m/>
    <m/>
    <n v="290"/>
    <m/>
    <m/>
    <m/>
    <m/>
    <m/>
    <m/>
    <m/>
    <m/>
    <m/>
    <m/>
    <m/>
    <m/>
    <m/>
    <m/>
    <m/>
    <m/>
    <m/>
    <m/>
    <m/>
    <m/>
    <m/>
    <m/>
    <m/>
    <m/>
    <m/>
    <n v="60"/>
    <m/>
    <m/>
    <m/>
    <m/>
    <m/>
    <n v="1"/>
    <n v="60"/>
    <n v="2880.26"/>
    <n v="0"/>
    <n v="17.28156"/>
    <n v="2862.97844"/>
    <n v="0"/>
    <n v="0"/>
    <m/>
    <m/>
    <s v="冯玥"/>
    <s v="四川省 成都市 成华区 龙潭街道北湖云湾北区 5栋802"/>
    <s v="14727236096-9448"/>
    <m/>
    <m/>
  </r>
  <r>
    <x v="258"/>
    <s v="已发"/>
    <x v="596"/>
    <s v="王123"/>
    <m/>
    <m/>
    <s v="2000*850*750"/>
    <s v="黑胡桃岩板餐桌"/>
    <m/>
    <m/>
    <s v="江西"/>
    <m/>
    <m/>
    <m/>
    <m/>
    <m/>
    <m/>
    <n v="290"/>
    <m/>
    <m/>
    <m/>
    <m/>
    <m/>
    <m/>
    <m/>
    <m/>
    <m/>
    <m/>
    <m/>
    <m/>
    <m/>
    <m/>
    <m/>
    <m/>
    <m/>
    <m/>
    <m/>
    <m/>
    <m/>
    <m/>
    <m/>
    <m/>
    <m/>
    <m/>
    <m/>
    <m/>
    <m/>
    <m/>
    <m/>
    <n v="1"/>
    <n v="0"/>
    <n v="2387.19"/>
    <n v="0"/>
    <n v="14.32314"/>
    <n v="2372.86686"/>
    <n v="0"/>
    <n v="0"/>
    <m/>
    <m/>
    <s v="王123"/>
    <s v="江苏省 南京市 玄武区 红山街道南京招商局中心臻境西区3栋103"/>
    <s v="15784003558-7201"/>
    <m/>
    <m/>
  </r>
  <r>
    <x v="258"/>
    <s v="已发"/>
    <x v="597"/>
    <s v="司雪阳"/>
    <m/>
    <m/>
    <s v="1.2米洞石窄柜"/>
    <s v="窄柜"/>
    <m/>
    <m/>
    <s v="江西"/>
    <m/>
    <m/>
    <n v="411.08"/>
    <m/>
    <m/>
    <m/>
    <n v="230"/>
    <n v="43.5"/>
    <n v="31"/>
    <m/>
    <m/>
    <m/>
    <n v="18"/>
    <m/>
    <m/>
    <m/>
    <m/>
    <m/>
    <m/>
    <m/>
    <m/>
    <m/>
    <m/>
    <m/>
    <m/>
    <m/>
    <m/>
    <m/>
    <m/>
    <m/>
    <m/>
    <m/>
    <n v="95"/>
    <m/>
    <m/>
    <m/>
    <m/>
    <m/>
    <n v="1"/>
    <n v="95"/>
    <n v="5858.4"/>
    <n v="0"/>
    <n v="35.1504"/>
    <n v="5823.249599999999"/>
    <n v="0"/>
    <n v="0"/>
    <m/>
    <m/>
    <s v="司雪阳"/>
    <s v="北京 北京市 海淀区 马连洼街道梅园小区4号楼2单元402室"/>
    <s v="18400860836-9829"/>
    <m/>
    <m/>
  </r>
  <r>
    <x v="259"/>
    <s v="已发"/>
    <x v="598"/>
    <s v="张庚"/>
    <m/>
    <m/>
    <s v="1400*750*750"/>
    <s v="榉木餐桌"/>
    <m/>
    <m/>
    <s v="江西"/>
    <m/>
    <m/>
    <m/>
    <m/>
    <m/>
    <m/>
    <n v="220"/>
    <m/>
    <m/>
    <m/>
    <m/>
    <m/>
    <m/>
    <m/>
    <m/>
    <m/>
    <m/>
    <m/>
    <m/>
    <m/>
    <m/>
    <m/>
    <m/>
    <m/>
    <m/>
    <m/>
    <m/>
    <m/>
    <m/>
    <m/>
    <m/>
    <m/>
    <n v="65"/>
    <m/>
    <m/>
    <m/>
    <m/>
    <m/>
    <n v="1"/>
    <n v="65"/>
    <n v="2629.6"/>
    <n v="0"/>
    <n v="15.7776"/>
    <n v="2613.8224"/>
    <n v="0"/>
    <n v="0"/>
    <m/>
    <m/>
    <s v="张庚"/>
    <s v="安徽省 淮北市 相山区 任圩街道淮北中湖明月丁香苑5号楼1303"/>
    <s v="15784094712-3483"/>
    <m/>
    <m/>
  </r>
  <r>
    <x v="259"/>
    <m/>
    <x v="599"/>
    <s v="刘先生"/>
    <m/>
    <m/>
    <s v="2.1洞石柜，需要拆装，电梯高2米；发货前请视频确认板材质量，不要带大疤的"/>
    <s v="洞石柜"/>
    <m/>
    <m/>
    <s v="江西"/>
    <m/>
    <m/>
    <m/>
    <m/>
    <m/>
    <m/>
    <n v="680"/>
    <m/>
    <n v="31"/>
    <m/>
    <m/>
    <m/>
    <m/>
    <m/>
    <m/>
    <m/>
    <m/>
    <m/>
    <m/>
    <m/>
    <m/>
    <m/>
    <m/>
    <m/>
    <m/>
    <m/>
    <m/>
    <m/>
    <m/>
    <m/>
    <m/>
    <m/>
    <m/>
    <m/>
    <m/>
    <m/>
    <m/>
    <m/>
    <n v="1"/>
    <n v="0"/>
    <n v="12235.71"/>
    <n v="0"/>
    <n v="73.41426"/>
    <n v="12162.29574"/>
    <n v="0"/>
    <n v="0"/>
    <m/>
    <m/>
    <s v="刘先生"/>
    <s v="广东省 珠海市 香洲区 南屏镇广通物流园德邦快递轉澳門63537461劉先生"/>
    <s v="18466385061-8626"/>
    <m/>
    <m/>
  </r>
  <r>
    <x v="157"/>
    <m/>
    <x v="342"/>
    <s v="孙小力"/>
    <m/>
    <m/>
    <s v="榉木2.1米整柜+1.6米单腿餐桌"/>
    <s v="旋转柜"/>
    <m/>
    <m/>
    <s v="江西"/>
    <m/>
    <m/>
    <m/>
    <m/>
    <m/>
    <m/>
    <n v="260"/>
    <m/>
    <n v="31"/>
    <m/>
    <m/>
    <m/>
    <m/>
    <m/>
    <m/>
    <m/>
    <m/>
    <m/>
    <m/>
    <m/>
    <m/>
    <m/>
    <m/>
    <m/>
    <m/>
    <m/>
    <m/>
    <m/>
    <m/>
    <m/>
    <m/>
    <m/>
    <m/>
    <m/>
    <m/>
    <m/>
    <m/>
    <m/>
    <m/>
    <m/>
    <m/>
    <n v="0"/>
    <n v="0"/>
    <n v="0"/>
    <n v="0"/>
    <n v="0"/>
    <m/>
    <m/>
    <m/>
    <m/>
    <m/>
    <m/>
    <m/>
  </r>
  <r>
    <x v="260"/>
    <m/>
    <x v="600"/>
    <s v="王玉"/>
    <m/>
    <m/>
    <s v="0.8米洞石窄柜"/>
    <s v="窄柜"/>
    <m/>
    <m/>
    <s v="江西"/>
    <m/>
    <m/>
    <n v="307.08"/>
    <m/>
    <m/>
    <m/>
    <n v="160"/>
    <m/>
    <n v="31"/>
    <m/>
    <m/>
    <m/>
    <n v="18"/>
    <m/>
    <m/>
    <m/>
    <m/>
    <m/>
    <m/>
    <m/>
    <m/>
    <m/>
    <m/>
    <m/>
    <m/>
    <m/>
    <m/>
    <m/>
    <m/>
    <m/>
    <m/>
    <m/>
    <m/>
    <m/>
    <m/>
    <m/>
    <m/>
    <m/>
    <n v="1"/>
    <n v="0"/>
    <n v="14277.21"/>
    <n v="0"/>
    <n v="85.66325999999999"/>
    <n v="14191.54674"/>
    <n v="0"/>
    <n v="0"/>
    <m/>
    <m/>
    <s v="王玉"/>
    <s v="福建省 泉州市 鲤城区 浮桥街道新延路与规划三路交叉口北180米，源昌江南城18栋1502"/>
    <s v="18480177875-6371"/>
    <m/>
    <m/>
  </r>
  <r>
    <x v="260"/>
    <m/>
    <x v="600"/>
    <s v="王玉"/>
    <m/>
    <m/>
    <s v="1.5米AA柱基础柜"/>
    <s v="基础柜"/>
    <m/>
    <m/>
    <s v="江西"/>
    <m/>
    <m/>
    <m/>
    <m/>
    <m/>
    <m/>
    <n v="240"/>
    <m/>
    <n v="31"/>
    <m/>
    <m/>
    <m/>
    <m/>
    <m/>
    <m/>
    <m/>
    <m/>
    <m/>
    <m/>
    <m/>
    <m/>
    <m/>
    <m/>
    <m/>
    <m/>
    <m/>
    <m/>
    <m/>
    <m/>
    <m/>
    <m/>
    <m/>
    <m/>
    <m/>
    <m/>
    <m/>
    <m/>
    <m/>
    <n v="1"/>
    <n v="0"/>
    <n v="14277.21"/>
    <n v="0"/>
    <n v="85.66325999999999"/>
    <n v="14191.54674"/>
    <n v="0"/>
    <n v="0"/>
    <m/>
    <m/>
    <s v="王玉"/>
    <s v="福建省 泉州市 鲤城区 浮桥街道新延路与规划三路交叉口北180米，源昌江南城18栋1502"/>
    <s v="18480177875-6371"/>
    <m/>
    <m/>
  </r>
  <r>
    <x v="261"/>
    <s v="已发"/>
    <x v="601"/>
    <s v="活活"/>
    <m/>
    <m/>
    <s v="基础柜地脚"/>
    <s v="地脚"/>
    <m/>
    <m/>
    <s v="江西"/>
    <m/>
    <m/>
    <m/>
    <m/>
    <m/>
    <m/>
    <m/>
    <m/>
    <m/>
    <m/>
    <m/>
    <m/>
    <m/>
    <m/>
    <m/>
    <m/>
    <m/>
    <m/>
    <m/>
    <m/>
    <m/>
    <m/>
    <m/>
    <m/>
    <m/>
    <m/>
    <m/>
    <m/>
    <m/>
    <m/>
    <m/>
    <m/>
    <m/>
    <m/>
    <m/>
    <m/>
    <m/>
    <m/>
    <n v="1"/>
    <n v="0"/>
    <n v="146"/>
    <n v="0"/>
    <n v="0.876"/>
    <n v="145.124"/>
    <n v="0"/>
    <n v="0"/>
    <m/>
    <m/>
    <s v="活活"/>
    <s v="广东省 广州市 番禺区 东环街道广州番禺东环街"/>
    <s v="14745258928-9459，"/>
    <m/>
    <m/>
  </r>
  <r>
    <x v="262"/>
    <s v="已发"/>
    <x v="602"/>
    <s v="子贤"/>
    <m/>
    <m/>
    <s v="1.35*0.6洞石岩板"/>
    <s v="榉木餐桌"/>
    <m/>
    <m/>
    <s v="江西"/>
    <m/>
    <m/>
    <m/>
    <m/>
    <m/>
    <m/>
    <n v="320"/>
    <m/>
    <m/>
    <m/>
    <m/>
    <m/>
    <m/>
    <m/>
    <m/>
    <m/>
    <m/>
    <m/>
    <m/>
    <m/>
    <m/>
    <m/>
    <m/>
    <m/>
    <m/>
    <m/>
    <m/>
    <m/>
    <m/>
    <m/>
    <m/>
    <m/>
    <m/>
    <m/>
    <m/>
    <m/>
    <m/>
    <m/>
    <n v="1"/>
    <n v="0"/>
    <n v="2739"/>
    <n v="0"/>
    <n v="16.434"/>
    <n v="2722.566"/>
    <n v="0"/>
    <n v="0"/>
    <m/>
    <m/>
    <s v="子贤"/>
    <s v="广东省 广州市 越秀区 登峰街道广园东路金贵村长腰岭三街二号801"/>
    <s v="15710702774-5124"/>
    <m/>
    <m/>
  </r>
  <r>
    <x v="262"/>
    <s v="已发"/>
    <x v="603"/>
    <s v="侯雨"/>
    <m/>
    <m/>
    <s v="1米洞石窄柜"/>
    <s v="窄柜"/>
    <m/>
    <m/>
    <s v="江西"/>
    <m/>
    <m/>
    <n v="359.08"/>
    <m/>
    <m/>
    <m/>
    <n v="190"/>
    <m/>
    <n v="31"/>
    <m/>
    <m/>
    <m/>
    <n v="18"/>
    <m/>
    <m/>
    <m/>
    <m/>
    <m/>
    <m/>
    <m/>
    <m/>
    <m/>
    <m/>
    <m/>
    <m/>
    <m/>
    <m/>
    <m/>
    <m/>
    <m/>
    <m/>
    <m/>
    <m/>
    <m/>
    <m/>
    <m/>
    <m/>
    <m/>
    <n v="1"/>
    <n v="0"/>
    <n v="5620.6"/>
    <n v="0"/>
    <n v="33.7236"/>
    <n v="5586.8764"/>
    <n v="0"/>
    <n v="0"/>
    <m/>
    <m/>
    <s v="侯雨"/>
    <s v="山东省 青岛市 黄岛区 隐珠街道 黄岛区海景路398号28号楼1单元1204户"/>
    <s v="18416726225-7041"/>
    <m/>
    <m/>
  </r>
  <r>
    <x v="262"/>
    <s v="已发"/>
    <x v="604"/>
    <s v="陆宏玲"/>
    <m/>
    <m/>
    <s v="1600*850*750"/>
    <s v="黑胡桃岩板餐桌"/>
    <m/>
    <m/>
    <s v="江西"/>
    <m/>
    <m/>
    <m/>
    <m/>
    <m/>
    <m/>
    <n v="220"/>
    <m/>
    <m/>
    <m/>
    <m/>
    <m/>
    <m/>
    <m/>
    <m/>
    <m/>
    <m/>
    <m/>
    <m/>
    <m/>
    <m/>
    <m/>
    <m/>
    <m/>
    <m/>
    <m/>
    <m/>
    <m/>
    <m/>
    <m/>
    <m/>
    <m/>
    <n v="70"/>
    <m/>
    <m/>
    <m/>
    <m/>
    <m/>
    <n v="1"/>
    <n v="70"/>
    <n v="3343.07"/>
    <n v="0"/>
    <n v="20.05842"/>
    <n v="3323.01158"/>
    <n v="0"/>
    <n v="0"/>
    <m/>
    <m/>
    <s v="陆宏玲"/>
    <s v="安徽省 合肥市 瑶海区 七里塘街道新店雅苑C区12栋1701"/>
    <s v="13124814438-6705"/>
    <m/>
    <m/>
  </r>
  <r>
    <x v="263"/>
    <s v="已发"/>
    <x v="605"/>
    <s v="六某某"/>
    <m/>
    <m/>
    <s v="1600*800*750"/>
    <s v="榉木餐桌"/>
    <m/>
    <m/>
    <s v="江西"/>
    <m/>
    <m/>
    <m/>
    <m/>
    <m/>
    <m/>
    <n v="480"/>
    <m/>
    <m/>
    <m/>
    <m/>
    <m/>
    <m/>
    <m/>
    <m/>
    <m/>
    <m/>
    <m/>
    <m/>
    <m/>
    <m/>
    <m/>
    <m/>
    <m/>
    <m/>
    <m/>
    <m/>
    <m/>
    <m/>
    <m/>
    <m/>
    <m/>
    <m/>
    <m/>
    <m/>
    <m/>
    <m/>
    <m/>
    <n v="1"/>
    <n v="0"/>
    <n v="2699.74"/>
    <n v="0"/>
    <n v="16.19844"/>
    <n v="2683.54156"/>
    <n v="0"/>
    <n v="0"/>
    <m/>
    <m/>
    <s v="六某某"/>
    <s v="江西省 九江市 庐山市 南康镇庐山市城东4期1栋2单元603"/>
    <s v="18465605974-9375"/>
    <m/>
    <m/>
  </r>
  <r>
    <x v="263"/>
    <s v="已发"/>
    <x v="606"/>
    <s v="梁雪桐"/>
    <m/>
    <m/>
    <s v="1600*800*750"/>
    <s v="榉木餐桌"/>
    <m/>
    <m/>
    <s v="江西"/>
    <m/>
    <m/>
    <m/>
    <m/>
    <m/>
    <m/>
    <n v="220"/>
    <m/>
    <m/>
    <m/>
    <m/>
    <m/>
    <m/>
    <m/>
    <m/>
    <m/>
    <m/>
    <m/>
    <m/>
    <m/>
    <m/>
    <m/>
    <m/>
    <m/>
    <m/>
    <m/>
    <m/>
    <m/>
    <m/>
    <m/>
    <m/>
    <m/>
    <m/>
    <m/>
    <m/>
    <m/>
    <m/>
    <m/>
    <n v="1"/>
    <n v="0"/>
    <n v="2699.74"/>
    <n v="0"/>
    <n v="16.19844"/>
    <n v="2683.54156"/>
    <n v="0"/>
    <n v="0"/>
    <m/>
    <m/>
    <s v="梁雪桐"/>
    <s v="广西壮族自治区 北海市 海城区 高德街道中港城2期长沙湾4幢2304"/>
    <s v="15577931473-4047"/>
    <m/>
    <m/>
  </r>
  <r>
    <x v="263"/>
    <s v="已发"/>
    <x v="607"/>
    <s v="九久勼"/>
    <m/>
    <m/>
    <s v="1米洞石窄柜"/>
    <s v="窄柜"/>
    <m/>
    <m/>
    <s v="江西"/>
    <m/>
    <m/>
    <n v="359.08"/>
    <m/>
    <m/>
    <m/>
    <n v="190"/>
    <m/>
    <n v="31"/>
    <m/>
    <m/>
    <m/>
    <n v="18"/>
    <m/>
    <m/>
    <m/>
    <m/>
    <m/>
    <m/>
    <m/>
    <m/>
    <m/>
    <m/>
    <m/>
    <m/>
    <m/>
    <m/>
    <m/>
    <m/>
    <m/>
    <m/>
    <m/>
    <m/>
    <m/>
    <m/>
    <m/>
    <m/>
    <m/>
    <n v="1"/>
    <n v="0"/>
    <n v="5620.6"/>
    <n v="0"/>
    <n v="33.7236"/>
    <n v="5586.8764"/>
    <n v="0"/>
    <n v="0"/>
    <m/>
    <m/>
    <s v="九久勼"/>
    <s v="湖北省 武汉市 武昌区 中南路街道石牌岭路岭地金居B栋一单元2603"/>
    <s v="15783640114-7678"/>
    <m/>
    <m/>
  </r>
  <r>
    <x v="264"/>
    <s v="已发"/>
    <x v="608"/>
    <s v="汪(525440)"/>
    <m/>
    <m/>
    <s v="1.8*1洞石岩板"/>
    <s v="榉木餐桌"/>
    <m/>
    <m/>
    <s v="江西"/>
    <m/>
    <m/>
    <m/>
    <m/>
    <m/>
    <m/>
    <n v="680"/>
    <m/>
    <m/>
    <m/>
    <m/>
    <m/>
    <m/>
    <m/>
    <m/>
    <m/>
    <m/>
    <m/>
    <m/>
    <m/>
    <m/>
    <m/>
    <m/>
    <m/>
    <m/>
    <m/>
    <m/>
    <m/>
    <m/>
    <m/>
    <m/>
    <m/>
    <m/>
    <m/>
    <m/>
    <m/>
    <m/>
    <m/>
    <n v="1"/>
    <n v="0"/>
    <n v="3420"/>
    <n v="0"/>
    <n v="20.52"/>
    <n v="3399.48"/>
    <n v="0"/>
    <n v="0"/>
    <m/>
    <m/>
    <s v="汪(525440)"/>
    <s v="广东省 东莞市  万江街道新和帮凹村新下路5号环邮仓(525440）号"/>
    <n v="15818688186"/>
    <m/>
    <m/>
  </r>
  <r>
    <x v="265"/>
    <m/>
    <x v="609"/>
    <s v="卡卡"/>
    <m/>
    <m/>
    <s v="1.8米木背板榉木餐边柜，长红玻璃"/>
    <s v="榉木餐边柜"/>
    <m/>
    <m/>
    <s v="江西"/>
    <m/>
    <m/>
    <m/>
    <m/>
    <m/>
    <m/>
    <n v="130"/>
    <m/>
    <n v="31"/>
    <m/>
    <m/>
    <m/>
    <m/>
    <m/>
    <m/>
    <m/>
    <m/>
    <m/>
    <m/>
    <m/>
    <m/>
    <m/>
    <m/>
    <m/>
    <m/>
    <m/>
    <m/>
    <m/>
    <m/>
    <m/>
    <m/>
    <m/>
    <m/>
    <m/>
    <m/>
    <m/>
    <m/>
    <m/>
    <n v="1"/>
    <n v="0"/>
    <n v="8168.45"/>
    <n v="0"/>
    <n v="49.0107"/>
    <n v="8119.4393"/>
    <n v="0"/>
    <n v="0"/>
    <m/>
    <m/>
    <s v="卡卡"/>
    <s v="贵州省 黔南布依族苗族自治州 瓮安县 瓮水街道锦美河畔阳光b区2号楼7-3"/>
    <s v="18468541869-6407"/>
    <m/>
    <m/>
  </r>
  <r>
    <x v="265"/>
    <s v="已发"/>
    <x v="610"/>
    <s v="潘德沐"/>
    <m/>
    <m/>
    <s v="1.2米洞石窄柜"/>
    <s v="窄柜"/>
    <m/>
    <m/>
    <s v="江西"/>
    <m/>
    <m/>
    <n v="411.08"/>
    <m/>
    <m/>
    <m/>
    <n v="220"/>
    <n v="43.5"/>
    <n v="31"/>
    <m/>
    <m/>
    <m/>
    <n v="18"/>
    <m/>
    <m/>
    <m/>
    <m/>
    <m/>
    <m/>
    <m/>
    <m/>
    <m/>
    <m/>
    <m/>
    <m/>
    <m/>
    <m/>
    <m/>
    <m/>
    <m/>
    <m/>
    <m/>
    <m/>
    <m/>
    <m/>
    <m/>
    <m/>
    <m/>
    <n v="1"/>
    <n v="0"/>
    <n v="5858.4"/>
    <n v="0"/>
    <n v="35.1504"/>
    <n v="5823.249599999999"/>
    <n v="0"/>
    <n v="0"/>
    <m/>
    <m/>
    <s v="潘德沐"/>
    <s v="广东省 东莞市  万江街道天健阅江来4栋502"/>
    <s v="18824520752-8264"/>
    <m/>
    <m/>
  </r>
  <r>
    <x v="265"/>
    <m/>
    <x v="611"/>
    <s v="丁小姐"/>
    <m/>
    <m/>
    <m/>
    <s v="插座*2"/>
    <m/>
    <m/>
    <s v="江西"/>
    <m/>
    <m/>
    <m/>
    <m/>
    <m/>
    <m/>
    <m/>
    <m/>
    <m/>
    <m/>
    <m/>
    <m/>
    <m/>
    <m/>
    <m/>
    <m/>
    <m/>
    <m/>
    <m/>
    <m/>
    <m/>
    <m/>
    <m/>
    <m/>
    <m/>
    <m/>
    <m/>
    <m/>
    <m/>
    <m/>
    <m/>
    <m/>
    <m/>
    <m/>
    <m/>
    <m/>
    <m/>
    <m/>
    <n v="1"/>
    <n v="0"/>
    <n v="199.76"/>
    <n v="0"/>
    <n v="1.19856"/>
    <n v="198.56144"/>
    <n v="0"/>
    <n v="0"/>
    <m/>
    <m/>
    <s v="丁小姐"/>
    <s v="广东省 广州市 黄埔区 文冲街道文冲安置房八期H7栋203房"/>
    <s v="13242815503-8606"/>
    <m/>
    <m/>
  </r>
  <r>
    <x v="265"/>
    <s v="已发"/>
    <x v="612"/>
    <s v="刘显睿"/>
    <m/>
    <m/>
    <s v="1600*800*750"/>
    <s v="榉木餐桌"/>
    <m/>
    <m/>
    <s v="江西"/>
    <m/>
    <m/>
    <m/>
    <m/>
    <m/>
    <m/>
    <n v="220"/>
    <m/>
    <m/>
    <m/>
    <m/>
    <m/>
    <m/>
    <m/>
    <m/>
    <m/>
    <m/>
    <m/>
    <m/>
    <m/>
    <m/>
    <m/>
    <m/>
    <m/>
    <m/>
    <m/>
    <m/>
    <m/>
    <m/>
    <m/>
    <m/>
    <m/>
    <m/>
    <m/>
    <m/>
    <m/>
    <m/>
    <m/>
    <n v="1"/>
    <n v="0"/>
    <n v="2699.74"/>
    <n v="0"/>
    <n v="16.19844"/>
    <n v="2683.54156"/>
    <n v="0"/>
    <n v="0"/>
    <m/>
    <m/>
    <s v="刘显睿"/>
    <s v="湖北省 孝感市 孝南区 孝感开发区槐荫街道天纵御府2栋2单元24楼"/>
    <s v="15783646951-2723"/>
    <m/>
    <m/>
  </r>
  <r>
    <x v="266"/>
    <s v="已发"/>
    <x v="613"/>
    <s v="罗文通"/>
    <m/>
    <m/>
    <s v="2000*850*750"/>
    <s v="榉木餐桌"/>
    <m/>
    <m/>
    <s v="江西"/>
    <m/>
    <m/>
    <m/>
    <m/>
    <m/>
    <m/>
    <n v="290"/>
    <m/>
    <m/>
    <m/>
    <m/>
    <m/>
    <m/>
    <m/>
    <m/>
    <m/>
    <m/>
    <m/>
    <m/>
    <m/>
    <m/>
    <m/>
    <m/>
    <m/>
    <m/>
    <m/>
    <m/>
    <m/>
    <m/>
    <m/>
    <m/>
    <m/>
    <m/>
    <m/>
    <m/>
    <m/>
    <m/>
    <m/>
    <n v="1"/>
    <n v="0"/>
    <n v="3024.03"/>
    <n v="0"/>
    <n v="18.14418"/>
    <n v="3005.88582"/>
    <n v="0"/>
    <n v="0"/>
    <m/>
    <m/>
    <s v="罗文通"/>
    <s v="四川省 成都市 双流区 黄龙溪镇黄龙溪"/>
    <s v="13094431949-7397"/>
    <m/>
    <m/>
  </r>
  <r>
    <x v="267"/>
    <s v="已发"/>
    <x v="614"/>
    <s v="李嘉儿"/>
    <m/>
    <m/>
    <s v="1400*800*750"/>
    <s v="榉木餐桌"/>
    <m/>
    <m/>
    <s v="江西"/>
    <m/>
    <m/>
    <m/>
    <m/>
    <m/>
    <m/>
    <n v="220"/>
    <m/>
    <m/>
    <m/>
    <m/>
    <m/>
    <m/>
    <m/>
    <m/>
    <m/>
    <m/>
    <m/>
    <m/>
    <m/>
    <m/>
    <m/>
    <m/>
    <m/>
    <m/>
    <m/>
    <m/>
    <m/>
    <m/>
    <m/>
    <m/>
    <m/>
    <m/>
    <m/>
    <m/>
    <m/>
    <m/>
    <m/>
    <n v="1"/>
    <n v="0"/>
    <n v="2726.98"/>
    <n v="0"/>
    <n v="16.36188"/>
    <n v="2710.61812"/>
    <n v="0"/>
    <n v="0"/>
    <m/>
    <m/>
    <s v="李嘉儿"/>
    <s v="广东省 东莞市  东城街道海德琥珀台8栋2单元1104"/>
    <s v="18824533744-7987"/>
    <m/>
    <m/>
  </r>
  <r>
    <x v="267"/>
    <s v="已发"/>
    <x v="615"/>
    <s v="杨洁"/>
    <m/>
    <m/>
    <s v="1600*800*750"/>
    <s v="榉木餐桌"/>
    <m/>
    <m/>
    <s v="江西"/>
    <m/>
    <m/>
    <m/>
    <m/>
    <m/>
    <m/>
    <n v="220"/>
    <m/>
    <m/>
    <m/>
    <m/>
    <m/>
    <m/>
    <m/>
    <m/>
    <m/>
    <m/>
    <m/>
    <m/>
    <m/>
    <m/>
    <m/>
    <m/>
    <m/>
    <m/>
    <m/>
    <m/>
    <m/>
    <m/>
    <m/>
    <m/>
    <m/>
    <m/>
    <m/>
    <m/>
    <m/>
    <m/>
    <m/>
    <n v="1"/>
    <n v="0"/>
    <n v="2699.74"/>
    <n v="0"/>
    <n v="16.19844"/>
    <n v="2683.54156"/>
    <n v="0"/>
    <n v="0"/>
    <m/>
    <m/>
    <s v="杨洁"/>
    <s v="福建省 福州市 台江区 上海街道工业路博美诗邦5座1104室"/>
    <s v="18480100477-3298"/>
    <m/>
    <m/>
  </r>
  <r>
    <x v="267"/>
    <m/>
    <x v="616"/>
    <s v="Mickey"/>
    <m/>
    <m/>
    <s v="1.8洞石柜"/>
    <s v="洞石柜"/>
    <m/>
    <m/>
    <s v="江西"/>
    <m/>
    <m/>
    <m/>
    <m/>
    <m/>
    <m/>
    <n v="580"/>
    <m/>
    <n v="31"/>
    <m/>
    <m/>
    <m/>
    <m/>
    <m/>
    <m/>
    <m/>
    <m/>
    <m/>
    <m/>
    <m/>
    <m/>
    <m/>
    <m/>
    <m/>
    <m/>
    <m/>
    <m/>
    <m/>
    <m/>
    <m/>
    <m/>
    <m/>
    <m/>
    <m/>
    <m/>
    <m/>
    <m/>
    <m/>
    <n v="1"/>
    <n v="0"/>
    <n v="11895.39"/>
    <n v="0"/>
    <n v="71.37233999999999"/>
    <n v="11824.01766"/>
    <n v="0"/>
    <n v="0"/>
    <m/>
    <m/>
    <s v="Mickey"/>
    <s v="上海 上海市 浦东新区 金桥镇金葵路288弄18号802室"/>
    <s v="18466943104-6649"/>
    <m/>
    <m/>
  </r>
  <r>
    <x v="268"/>
    <s v="已发"/>
    <x v="617"/>
    <s v="顾立锋"/>
    <m/>
    <m/>
    <s v="组合柜地脚"/>
    <s v="组合柜"/>
    <m/>
    <m/>
    <s v="江西"/>
    <m/>
    <m/>
    <m/>
    <m/>
    <m/>
    <m/>
    <m/>
    <m/>
    <m/>
    <m/>
    <m/>
    <m/>
    <m/>
    <m/>
    <m/>
    <m/>
    <m/>
    <m/>
    <m/>
    <m/>
    <m/>
    <m/>
    <m/>
    <m/>
    <m/>
    <m/>
    <m/>
    <m/>
    <m/>
    <m/>
    <m/>
    <m/>
    <m/>
    <m/>
    <m/>
    <m/>
    <m/>
    <m/>
    <n v="1"/>
    <n v="0"/>
    <n v="142"/>
    <n v="0"/>
    <n v="0.852"/>
    <n v="141.148"/>
    <n v="0"/>
    <n v="0"/>
    <m/>
    <m/>
    <s v="顾立锋"/>
    <s v="江苏省 无锡市 锡山区"/>
    <s v="18468313590-6878"/>
    <m/>
    <m/>
  </r>
  <r>
    <x v="268"/>
    <s v="已发"/>
    <x v="618"/>
    <s v="周陈虹"/>
    <m/>
    <m/>
    <s v="1.8箱体床"/>
    <s v="箱体床"/>
    <m/>
    <m/>
    <s v="江西"/>
    <m/>
    <m/>
    <m/>
    <m/>
    <m/>
    <m/>
    <m/>
    <m/>
    <m/>
    <m/>
    <m/>
    <m/>
    <m/>
    <m/>
    <m/>
    <m/>
    <m/>
    <m/>
    <m/>
    <m/>
    <m/>
    <m/>
    <m/>
    <m/>
    <m/>
    <m/>
    <m/>
    <m/>
    <m/>
    <m/>
    <m/>
    <m/>
    <m/>
    <m/>
    <m/>
    <m/>
    <m/>
    <m/>
    <n v="1"/>
    <n v="0"/>
    <n v="142"/>
    <n v="0"/>
    <n v="0.852"/>
    <n v="141.148"/>
    <n v="0"/>
    <n v="0"/>
    <m/>
    <m/>
    <s v="周陈虹"/>
    <s v="上海 上海市 浦东新区 唐镇春泉路45弄56号802"/>
    <s v="18466820883-1118"/>
    <m/>
    <m/>
  </r>
  <r>
    <x v="269"/>
    <m/>
    <x v="619"/>
    <s v="大队长"/>
    <m/>
    <m/>
    <s v="樱桃木老款餐桌1300*800*750"/>
    <s v="樱桃木餐桌"/>
    <m/>
    <m/>
    <s v="江西"/>
    <m/>
    <m/>
    <m/>
    <m/>
    <m/>
    <m/>
    <m/>
    <m/>
    <m/>
    <m/>
    <m/>
    <m/>
    <m/>
    <m/>
    <m/>
    <m/>
    <m/>
    <m/>
    <m/>
    <m/>
    <m/>
    <m/>
    <m/>
    <m/>
    <m/>
    <m/>
    <m/>
    <m/>
    <m/>
    <m/>
    <m/>
    <m/>
    <m/>
    <m/>
    <m/>
    <m/>
    <m/>
    <m/>
    <n v="1"/>
    <n v="0"/>
    <n v="1694"/>
    <n v="0"/>
    <n v="10.164"/>
    <n v="1683.836"/>
    <n v="0"/>
    <n v="0"/>
    <m/>
    <m/>
    <s v="大队长"/>
    <s v="北京 北京市 海淀区 北下关街道学院南路甲82号院北门"/>
    <s v="18400891316-3406"/>
    <m/>
    <m/>
  </r>
  <r>
    <x v="270"/>
    <m/>
    <x v="620"/>
    <s v="韩女生"/>
    <m/>
    <m/>
    <s v="1.2米洞石窄柜，备货"/>
    <s v="窄柜"/>
    <m/>
    <m/>
    <s v="江西"/>
    <m/>
    <m/>
    <n v="411.08"/>
    <m/>
    <m/>
    <m/>
    <n v="220"/>
    <n v="43.5"/>
    <n v="31"/>
    <m/>
    <m/>
    <m/>
    <n v="18"/>
    <m/>
    <m/>
    <m/>
    <m/>
    <m/>
    <m/>
    <m/>
    <m/>
    <m/>
    <m/>
    <m/>
    <m/>
    <m/>
    <m/>
    <m/>
    <m/>
    <m/>
    <m/>
    <m/>
    <m/>
    <m/>
    <m/>
    <m/>
    <m/>
    <m/>
    <n v="1"/>
    <n v="0"/>
    <n v="5853.4"/>
    <n v="0"/>
    <n v="35.1204"/>
    <n v="5818.2796"/>
    <n v="0"/>
    <n v="0"/>
    <m/>
    <m/>
    <s v="韩女生"/>
    <s v="北京 北京市 丰台区 南苑街道建发璟院5号楼2单元101的地下室，室内二层"/>
    <s v="18400942864-8507"/>
    <m/>
    <m/>
  </r>
  <r>
    <x v="246"/>
    <m/>
    <x v="621"/>
    <m/>
    <m/>
    <m/>
    <m/>
    <m/>
    <m/>
    <m/>
    <m/>
    <m/>
    <m/>
    <m/>
    <m/>
    <m/>
    <m/>
    <m/>
    <m/>
    <m/>
    <m/>
    <m/>
    <m/>
    <m/>
    <m/>
    <m/>
    <m/>
    <m/>
    <m/>
    <m/>
    <m/>
    <m/>
    <m/>
    <m/>
    <m/>
    <m/>
    <m/>
    <m/>
    <m/>
    <m/>
    <m/>
    <m/>
    <m/>
    <m/>
    <m/>
    <m/>
    <m/>
    <m/>
    <m/>
    <n v="1"/>
    <n v="0"/>
    <m/>
    <n v="0"/>
    <n v="0"/>
    <n v="0"/>
    <n v="0"/>
    <n v="0"/>
    <m/>
    <m/>
    <m/>
    <m/>
    <m/>
    <m/>
    <m/>
  </r>
  <r>
    <x v="246"/>
    <m/>
    <x v="621"/>
    <m/>
    <m/>
    <m/>
    <m/>
    <m/>
    <m/>
    <m/>
    <m/>
    <m/>
    <m/>
    <m/>
    <m/>
    <m/>
    <m/>
    <m/>
    <m/>
    <m/>
    <m/>
    <m/>
    <m/>
    <m/>
    <m/>
    <m/>
    <m/>
    <m/>
    <m/>
    <m/>
    <m/>
    <m/>
    <m/>
    <m/>
    <m/>
    <m/>
    <m/>
    <m/>
    <m/>
    <m/>
    <m/>
    <m/>
    <m/>
    <m/>
    <m/>
    <m/>
    <m/>
    <m/>
    <m/>
    <n v="1"/>
    <n v="0"/>
    <m/>
    <n v="0"/>
    <n v="0"/>
    <n v="0"/>
    <n v="0"/>
    <n v="0"/>
    <m/>
    <m/>
    <m/>
    <m/>
    <m/>
    <m/>
    <m/>
  </r>
  <r>
    <x v="246"/>
    <m/>
    <x v="621"/>
    <m/>
    <m/>
    <m/>
    <m/>
    <m/>
    <m/>
    <m/>
    <m/>
    <m/>
    <m/>
    <m/>
    <m/>
    <m/>
    <m/>
    <m/>
    <m/>
    <m/>
    <m/>
    <m/>
    <m/>
    <m/>
    <m/>
    <m/>
    <m/>
    <m/>
    <m/>
    <m/>
    <m/>
    <m/>
    <m/>
    <m/>
    <m/>
    <m/>
    <m/>
    <m/>
    <m/>
    <m/>
    <m/>
    <m/>
    <m/>
    <m/>
    <m/>
    <m/>
    <m/>
    <m/>
    <m/>
    <n v="1"/>
    <n v="0"/>
    <m/>
    <n v="0"/>
    <n v="0"/>
    <n v="0"/>
    <n v="0"/>
    <n v="0"/>
    <m/>
    <m/>
    <m/>
    <m/>
    <m/>
    <m/>
    <m/>
  </r>
  <r>
    <x v="246"/>
    <m/>
    <x v="621"/>
    <m/>
    <m/>
    <m/>
    <m/>
    <m/>
    <m/>
    <m/>
    <m/>
    <m/>
    <m/>
    <m/>
    <m/>
    <m/>
    <m/>
    <m/>
    <m/>
    <m/>
    <m/>
    <m/>
    <m/>
    <m/>
    <m/>
    <m/>
    <m/>
    <m/>
    <m/>
    <m/>
    <m/>
    <m/>
    <m/>
    <m/>
    <m/>
    <m/>
    <m/>
    <m/>
    <m/>
    <m/>
    <m/>
    <m/>
    <m/>
    <m/>
    <m/>
    <m/>
    <m/>
    <m/>
    <m/>
    <n v="1"/>
    <n v="0"/>
    <m/>
    <n v="0"/>
    <n v="0"/>
    <n v="0"/>
    <n v="0"/>
    <n v="0"/>
    <m/>
    <m/>
    <m/>
    <m/>
    <m/>
    <m/>
    <m/>
  </r>
  <r>
    <x v="246"/>
    <m/>
    <x v="621"/>
    <m/>
    <m/>
    <m/>
    <m/>
    <m/>
    <m/>
    <m/>
    <m/>
    <m/>
    <m/>
    <m/>
    <m/>
    <m/>
    <m/>
    <m/>
    <m/>
    <m/>
    <m/>
    <m/>
    <m/>
    <m/>
    <m/>
    <m/>
    <m/>
    <m/>
    <m/>
    <m/>
    <m/>
    <m/>
    <m/>
    <m/>
    <m/>
    <m/>
    <m/>
    <m/>
    <m/>
    <m/>
    <m/>
    <m/>
    <n v="0"/>
    <n v="0"/>
    <n v="0"/>
    <n v="0"/>
    <n v="0"/>
    <n v="0"/>
    <n v="0"/>
    <n v="1"/>
    <n v="0"/>
    <m/>
    <n v="0"/>
    <n v="0"/>
    <n v="0"/>
    <n v="0"/>
    <n v="0"/>
    <m/>
    <m/>
    <m/>
    <m/>
    <m/>
    <m/>
    <m/>
  </r>
</pivotCacheRecords>
</file>

<file path=xl/pivotCache/pivotCacheRecords2.xml><?xml version="1.0" encoding="utf-8"?>
<pivotCacheRecords xmlns="http://schemas.openxmlformats.org/spreadsheetml/2006/main" count="634">
  <r>
    <x v="0"/>
    <s v="已收货"/>
    <s v="4188362256822840314"/>
    <s v="曹女士"/>
    <m/>
    <m/>
    <s v="样块"/>
    <x v="0"/>
    <m/>
    <s v="已结算"/>
    <s v="杭州"/>
    <n v="7"/>
    <n v="5"/>
    <m/>
    <m/>
    <m/>
    <m/>
    <m/>
    <m/>
    <m/>
    <m/>
    <m/>
    <m/>
    <m/>
    <m/>
    <m/>
    <m/>
    <m/>
    <m/>
    <m/>
    <m/>
    <m/>
    <m/>
    <m/>
    <m/>
    <m/>
    <m/>
    <m/>
    <n v="2"/>
    <m/>
    <m/>
    <n v="5"/>
    <n v="0"/>
    <n v="0"/>
    <n v="0"/>
    <n v="0"/>
    <n v="0"/>
    <n v="0"/>
    <n v="0"/>
    <n v="1"/>
    <n v="12"/>
    <n v="25"/>
    <n v="0"/>
    <n v="0.15"/>
    <n v="24.85"/>
    <n v="0"/>
    <n v="0"/>
    <n v="0"/>
    <n v="12.85"/>
    <s v="曹女士"/>
    <s v="浙江省 杭州市 西湖区 转塘街道德信九溪云庄17栋2单元501"/>
    <s v="18413252692-6918"/>
    <m/>
    <n v="24.85"/>
    <n v="0"/>
    <n v="0.517102615694165"/>
  </r>
  <r>
    <x v="1"/>
    <s v="已收货"/>
    <s v="4189655378140898211"/>
    <s v="章衍"/>
    <m/>
    <m/>
    <s v="榉木样块"/>
    <x v="0"/>
    <m/>
    <s v="已结算"/>
    <s v="杭州"/>
    <n v="7"/>
    <n v="5"/>
    <m/>
    <m/>
    <m/>
    <m/>
    <m/>
    <m/>
    <m/>
    <m/>
    <m/>
    <m/>
    <m/>
    <m/>
    <m/>
    <m/>
    <m/>
    <m/>
    <m/>
    <m/>
    <m/>
    <m/>
    <m/>
    <m/>
    <m/>
    <m/>
    <m/>
    <n v="2"/>
    <m/>
    <m/>
    <n v="5"/>
    <n v="0"/>
    <n v="0"/>
    <n v="0"/>
    <n v="0"/>
    <n v="0"/>
    <n v="0"/>
    <n v="0"/>
    <n v="1"/>
    <n v="12"/>
    <n v="20"/>
    <n v="0"/>
    <n v="0.12"/>
    <n v="19.88"/>
    <n v="0"/>
    <n v="0"/>
    <n v="0"/>
    <n v="7.879999999999999"/>
    <s v="章衍"/>
    <s v="江苏省 苏州市 常熟市 琴川街道香山北路9号常熟政务服务中心快递柜"/>
    <s v="15784504530-8308"/>
    <m/>
    <n v="19.88"/>
    <n v="0"/>
    <n v="0.3963782696177062"/>
  </r>
  <r>
    <x v="2"/>
    <s v="已收货"/>
    <s v="4194464581207703023"/>
    <s v="小淘"/>
    <m/>
    <m/>
    <s v="样块"/>
    <x v="0"/>
    <m/>
    <s v="已结算"/>
    <s v="杭州"/>
    <n v="7"/>
    <n v="5"/>
    <m/>
    <m/>
    <m/>
    <m/>
    <m/>
    <m/>
    <m/>
    <m/>
    <m/>
    <m/>
    <m/>
    <m/>
    <m/>
    <m/>
    <m/>
    <m/>
    <m/>
    <m/>
    <m/>
    <m/>
    <m/>
    <m/>
    <m/>
    <m/>
    <m/>
    <n v="2"/>
    <m/>
    <m/>
    <n v="5"/>
    <n v="0"/>
    <n v="0"/>
    <n v="0"/>
    <n v="0"/>
    <n v="0"/>
    <n v="0"/>
    <n v="0"/>
    <n v="1"/>
    <n v="12"/>
    <n v="20"/>
    <n v="0"/>
    <n v="0.12"/>
    <n v="19.88"/>
    <n v="0"/>
    <n v="0"/>
    <n v="0"/>
    <n v="7.879999999999999"/>
    <s v="小淘"/>
    <s v="上海 上海市 嘉定区 南翔镇德园路955弄星信名邸8号503"/>
    <s v="18466947921-6929"/>
    <m/>
    <n v="19.88"/>
    <n v="0"/>
    <n v="0.3963782696177062"/>
  </r>
  <r>
    <x v="3"/>
    <s v="退单"/>
    <s v="2434415196469020951"/>
    <s v="张浩"/>
    <m/>
    <m/>
    <s v="砂白色1.5米岩板餐桌"/>
    <x v="1"/>
    <s v="150cm*90cm"/>
    <s v="已结算"/>
    <s v="江西"/>
    <n v="0"/>
    <n v="0"/>
    <m/>
    <m/>
    <m/>
    <m/>
    <m/>
    <m/>
    <m/>
    <m/>
    <m/>
    <m/>
    <m/>
    <m/>
    <m/>
    <m/>
    <m/>
    <m/>
    <m/>
    <m/>
    <m/>
    <m/>
    <m/>
    <m/>
    <m/>
    <m/>
    <m/>
    <m/>
    <m/>
    <m/>
    <n v="0"/>
    <n v="0"/>
    <n v="0"/>
    <n v="0"/>
    <n v="0"/>
    <n v="0"/>
    <n v="0"/>
    <n v="0"/>
    <n v="1"/>
    <n v="0"/>
    <n v="0"/>
    <n v="0"/>
    <n v="0"/>
    <n v="0"/>
    <n v="0"/>
    <n v="0"/>
    <n v="0"/>
    <n v="0"/>
    <s v="张浩"/>
    <s v="安徽省 合肥市 蜀山区 小庙镇 西城兰苑B区6栋1501"/>
    <s v="13063482450-9644"/>
    <m/>
    <n v="0"/>
    <n v="0"/>
    <e v="#DIV/0!"/>
  </r>
  <r>
    <x v="4"/>
    <s v="已收货"/>
    <s v="2437280294123497978"/>
    <s v="雷光秀"/>
    <m/>
    <m/>
    <s v="样块*2"/>
    <x v="0"/>
    <m/>
    <s v="已结算"/>
    <s v="杭州"/>
    <n v="12"/>
    <n v="10"/>
    <m/>
    <m/>
    <m/>
    <m/>
    <m/>
    <m/>
    <m/>
    <m/>
    <m/>
    <m/>
    <m/>
    <m/>
    <m/>
    <m/>
    <m/>
    <m/>
    <m/>
    <m/>
    <m/>
    <m/>
    <m/>
    <m/>
    <m/>
    <m/>
    <m/>
    <n v="2"/>
    <m/>
    <m/>
    <n v="5"/>
    <n v="0"/>
    <n v="0"/>
    <n v="0"/>
    <n v="0"/>
    <n v="0"/>
    <n v="0"/>
    <n v="50"/>
    <n v="1"/>
    <n v="67"/>
    <n v="50"/>
    <n v="0"/>
    <n v="0.3"/>
    <n v="49.7"/>
    <n v="0"/>
    <n v="0"/>
    <n v="0"/>
    <n v="-17.3"/>
    <s v="雷光秀"/>
    <s v="江苏省淮安市盱眙县黄花塘镇旧铺富康路30号"/>
    <s v="18466653191-8016"/>
    <m/>
    <n v="49.7"/>
    <m/>
    <m/>
  </r>
  <r>
    <x v="4"/>
    <s v="已收货"/>
    <s v="4198524480570660217"/>
    <s v="雷光秀"/>
    <m/>
    <m/>
    <s v="样块*2"/>
    <x v="0"/>
    <m/>
    <s v="已结算"/>
    <s v="杭州"/>
    <n v="12"/>
    <n v="10"/>
    <m/>
    <m/>
    <m/>
    <m/>
    <m/>
    <m/>
    <m/>
    <m/>
    <m/>
    <m/>
    <m/>
    <m/>
    <m/>
    <m/>
    <m/>
    <m/>
    <m/>
    <m/>
    <m/>
    <m/>
    <m/>
    <m/>
    <m/>
    <m/>
    <m/>
    <n v="2"/>
    <m/>
    <m/>
    <n v="5"/>
    <n v="0"/>
    <n v="0"/>
    <n v="0"/>
    <n v="0"/>
    <n v="0"/>
    <n v="0"/>
    <n v="30"/>
    <n v="1"/>
    <n v="47"/>
    <n v="50"/>
    <n v="0"/>
    <n v="0.3"/>
    <n v="49.7"/>
    <n v="0"/>
    <n v="0"/>
    <n v="0"/>
    <n v="2.700000000000003"/>
    <s v="雷光秀"/>
    <s v="江苏省淮安市盱眙县黄花塘镇旧铺富康路30号"/>
    <s v="18466653191-8016"/>
    <m/>
    <n v="49.7"/>
    <m/>
    <m/>
  </r>
  <r>
    <x v="5"/>
    <s v="已收货"/>
    <s v="4199714859843183507"/>
    <s v="乐婷婷"/>
    <m/>
    <m/>
    <s v="样块"/>
    <x v="0"/>
    <m/>
    <s v="已结算"/>
    <s v="杭州"/>
    <n v="7"/>
    <n v="5"/>
    <m/>
    <m/>
    <m/>
    <m/>
    <m/>
    <m/>
    <m/>
    <m/>
    <m/>
    <m/>
    <m/>
    <m/>
    <m/>
    <m/>
    <m/>
    <m/>
    <m/>
    <m/>
    <m/>
    <m/>
    <m/>
    <m/>
    <m/>
    <m/>
    <m/>
    <n v="2"/>
    <m/>
    <m/>
    <n v="5"/>
    <n v="0"/>
    <n v="0"/>
    <n v="0"/>
    <n v="0"/>
    <n v="0"/>
    <n v="0"/>
    <n v="0"/>
    <n v="1"/>
    <n v="12"/>
    <n v="21.5"/>
    <n v="0"/>
    <n v="0.129"/>
    <n v="21.371"/>
    <n v="0"/>
    <n v="0"/>
    <n v="0"/>
    <n v="9.370999999999999"/>
    <s v="乐婷婷"/>
    <s v="重庆重庆市石柱土家族自治县黄水镇青岗平鑫芯农家"/>
    <s v="13140366585-2484"/>
    <m/>
    <n v="21.371"/>
    <m/>
    <m/>
  </r>
  <r>
    <x v="6"/>
    <s v="已收货"/>
    <s v="4201423670829327439"/>
    <s v="熊军"/>
    <m/>
    <m/>
    <s v="1.6柜+1.2单腿餐桌旋转餐边柜：黑胡桃木"/>
    <x v="2"/>
    <n v="1600"/>
    <s v="已结算"/>
    <s v="江西"/>
    <n v="12039"/>
    <n v="8700"/>
    <n v="910"/>
    <n v="476"/>
    <n v="38"/>
    <n v="525"/>
    <n v="22"/>
    <n v="16"/>
    <n v="370"/>
    <m/>
    <m/>
    <n v="36"/>
    <n v="176"/>
    <n v="150"/>
    <m/>
    <m/>
    <m/>
    <m/>
    <m/>
    <n v="100"/>
    <m/>
    <m/>
    <m/>
    <m/>
    <m/>
    <m/>
    <m/>
    <n v="520"/>
    <m/>
    <m/>
    <n v="411"/>
    <n v="132"/>
    <n v="168"/>
    <n v="0"/>
    <n v="0"/>
    <n v="0"/>
    <n v="0"/>
    <n v="100"/>
    <n v="1"/>
    <n v="12850"/>
    <n v="15548"/>
    <n v="0"/>
    <n v="93.288"/>
    <n v="15454.712"/>
    <n v="0"/>
    <n v="0"/>
    <n v="0"/>
    <n v="2604.712"/>
    <s v="熊军"/>
    <s v="广东省 深圳市 福田区 莲花街道彩云路盛世家园一期B座1408"/>
    <s v="15794967140-5573"/>
    <m/>
    <n v="15454.712"/>
    <n v="100"/>
    <n v="0.1685383719864854"/>
  </r>
  <r>
    <x v="7"/>
    <s v="已收货"/>
    <s v="2440984801713865851"/>
    <s v="李小冲"/>
    <m/>
    <m/>
    <s v="样块"/>
    <x v="0"/>
    <m/>
    <s v="已结算"/>
    <s v="杭州"/>
    <n v="7"/>
    <n v="5"/>
    <m/>
    <m/>
    <m/>
    <m/>
    <m/>
    <m/>
    <m/>
    <m/>
    <m/>
    <m/>
    <m/>
    <m/>
    <m/>
    <m/>
    <m/>
    <m/>
    <m/>
    <m/>
    <m/>
    <m/>
    <m/>
    <m/>
    <m/>
    <m/>
    <m/>
    <n v="2"/>
    <m/>
    <m/>
    <n v="5"/>
    <n v="0"/>
    <n v="0"/>
    <n v="0"/>
    <n v="0"/>
    <n v="0"/>
    <n v="0"/>
    <n v="0"/>
    <n v="1"/>
    <n v="10"/>
    <n v="16.27"/>
    <n v="0"/>
    <n v="0.09762"/>
    <n v="16.17238"/>
    <n v="0"/>
    <n v="0"/>
    <n v="0"/>
    <n v="6.17238"/>
    <s v="李小冲"/>
    <s v="四川省德阳市旌阳区旌东街道西湖街1号旌港花园10栋"/>
    <s v="13140292573-4724"/>
    <m/>
    <n v="16.17238"/>
    <m/>
    <m/>
  </r>
  <r>
    <x v="8"/>
    <s v="已收货"/>
    <s v="2443571942606194763"/>
    <s v="陆聪"/>
    <m/>
    <m/>
    <s v="洞石整柜2.1米-定制（多抽组合）（分类抽屉+玻璃移门+开门）"/>
    <x v="3"/>
    <n v="2100"/>
    <s v="已结算"/>
    <s v="江西"/>
    <n v="10093.16"/>
    <n v="6600"/>
    <n v="657.0799999999999"/>
    <n v="320"/>
    <n v="690"/>
    <n v="657.08"/>
    <n v="84"/>
    <n v="14"/>
    <n v="8.5"/>
    <n v="20"/>
    <m/>
    <n v="7"/>
    <n v="154"/>
    <s v="52*2"/>
    <n v="17.5"/>
    <m/>
    <m/>
    <n v="10"/>
    <n v="490"/>
    <n v="14"/>
    <n v="20"/>
    <m/>
    <m/>
    <m/>
    <m/>
    <m/>
    <m/>
    <n v="330"/>
    <m/>
    <m/>
    <n v="546"/>
    <n v="100"/>
    <n v="396"/>
    <n v="0"/>
    <n v="0"/>
    <n v="0"/>
    <n v="220"/>
    <n v="0"/>
    <n v="1"/>
    <n v="11355.16"/>
    <n v="13807"/>
    <n v="0"/>
    <n v="82.842"/>
    <n v="13724.158"/>
    <n v="0"/>
    <n v="0"/>
    <n v="0"/>
    <n v="2368.998"/>
    <s v="陆聪"/>
    <s v="广东省 深圳市 龙华区 民治街道 金亨利瑜璟苑B栋2302"/>
    <s v="18466228509-9179"/>
    <m/>
    <n v="13724.158"/>
    <n v="0"/>
    <n v="0.1726151797436316"/>
  </r>
  <r>
    <x v="8"/>
    <s v="已收货"/>
    <s v="2443497960963633060"/>
    <s v="小刘"/>
    <m/>
    <m/>
    <s v="砂白色1.6米岩板餐桌"/>
    <x v="1"/>
    <s v="160cm*85cm"/>
    <s v="已结算"/>
    <s v="江西"/>
    <n v="2032.5"/>
    <n v="1520"/>
    <m/>
    <m/>
    <m/>
    <m/>
    <n v="390"/>
    <m/>
    <m/>
    <m/>
    <m/>
    <m/>
    <m/>
    <m/>
    <m/>
    <m/>
    <m/>
    <m/>
    <n v="2.5"/>
    <m/>
    <m/>
    <m/>
    <m/>
    <m/>
    <m/>
    <m/>
    <m/>
    <n v="120"/>
    <m/>
    <m/>
    <n v="192"/>
    <n v="51"/>
    <n v="80"/>
    <n v="0"/>
    <n v="0"/>
    <n v="0"/>
    <n v="0"/>
    <n v="0"/>
    <n v="1"/>
    <n v="2355.5"/>
    <n v="2931.09"/>
    <n v="0"/>
    <n v="17.58654"/>
    <n v="2913.50346"/>
    <n v="0"/>
    <n v="0"/>
    <n v="0"/>
    <n v="558.0034600000004"/>
    <s v="小刘"/>
    <s v="广东省 广州市 天河区 珠吉街道岐山路183号珠江花城18栋502"/>
    <s v="18620586049-1339"/>
    <m/>
    <n v="2913.50346"/>
    <n v="0"/>
    <n v="0.1915231842559749"/>
  </r>
  <r>
    <x v="9"/>
    <s v="已收货"/>
    <s v="4205908980690127225"/>
    <s v="刘兆"/>
    <m/>
    <m/>
    <s v="样块*4"/>
    <x v="0"/>
    <m/>
    <s v="已结算"/>
    <s v="杭州"/>
    <n v="22"/>
    <n v="20"/>
    <m/>
    <m/>
    <m/>
    <m/>
    <m/>
    <m/>
    <m/>
    <m/>
    <m/>
    <m/>
    <m/>
    <m/>
    <m/>
    <m/>
    <m/>
    <m/>
    <m/>
    <m/>
    <m/>
    <m/>
    <m/>
    <m/>
    <m/>
    <m/>
    <m/>
    <n v="2"/>
    <m/>
    <m/>
    <n v="5"/>
    <n v="0"/>
    <n v="0"/>
    <n v="0"/>
    <n v="0"/>
    <n v="0"/>
    <n v="0"/>
    <n v="0"/>
    <n v="1"/>
    <n v="27"/>
    <n v="100"/>
    <n v="0"/>
    <n v="0.6"/>
    <n v="99.40000000000001"/>
    <n v="0"/>
    <n v="0"/>
    <n v="0"/>
    <n v="72.40000000000001"/>
    <s v="刘兆"/>
    <s v="北京北京市朝阳区建外街道大望路阳光100 a3303"/>
    <s v="13141380749-8729"/>
    <m/>
    <n v="99.40000000000001"/>
    <m/>
    <n v="0.7283702213279678"/>
  </r>
  <r>
    <x v="10"/>
    <s v="退单"/>
    <s v="4212578414312307316"/>
    <s v="郭"/>
    <m/>
    <m/>
    <s v="砂白色1.6米岩板餐桌"/>
    <x v="1"/>
    <s v="160cm*85cm"/>
    <s v="已结算"/>
    <s v="江西"/>
    <n v="0"/>
    <n v="0"/>
    <m/>
    <m/>
    <m/>
    <m/>
    <m/>
    <m/>
    <m/>
    <m/>
    <m/>
    <m/>
    <m/>
    <m/>
    <m/>
    <m/>
    <m/>
    <m/>
    <m/>
    <m/>
    <m/>
    <m/>
    <m/>
    <m/>
    <m/>
    <m/>
    <m/>
    <m/>
    <m/>
    <m/>
    <n v="0"/>
    <n v="0"/>
    <n v="0"/>
    <n v="0"/>
    <n v="0"/>
    <n v="0"/>
    <n v="0"/>
    <n v="0"/>
    <n v="1"/>
    <n v="0"/>
    <n v="0"/>
    <n v="0"/>
    <n v="0"/>
    <n v="0"/>
    <n v="0"/>
    <n v="0"/>
    <n v="0"/>
    <n v="0"/>
    <s v="郭"/>
    <s v="浙江省 杭州市 余杭区 仁和街道余杭区仁和街道余山花苑10-2701"/>
    <s v="18413283813-1269"/>
    <m/>
    <n v="0"/>
    <n v="0"/>
    <e v="#DIV/0!"/>
  </r>
  <r>
    <x v="10"/>
    <s v="已收货"/>
    <s v="2449623471695194272_x000a_2474547890505194272"/>
    <s v="纪淘淘"/>
    <m/>
    <m/>
    <s v="1.5洞石+1.2单腿桌旋转餐边柜：樱桃木，白色岩板，洞石背板，左旋"/>
    <x v="2"/>
    <n v="1500"/>
    <s v="已结算"/>
    <s v="江西"/>
    <n v="7694.5"/>
    <n v="5800"/>
    <n v="320"/>
    <n v="238"/>
    <m/>
    <m/>
    <n v="84"/>
    <n v="14"/>
    <n v="8.5"/>
    <m/>
    <m/>
    <n v="7"/>
    <n v="154"/>
    <n v="501"/>
    <m/>
    <m/>
    <m/>
    <m/>
    <n v="450"/>
    <n v="14"/>
    <s v="52*2"/>
    <m/>
    <m/>
    <m/>
    <m/>
    <m/>
    <m/>
    <n v="450"/>
    <m/>
    <m/>
    <n v="623"/>
    <n v="0"/>
    <n v="180"/>
    <n v="0"/>
    <n v="0"/>
    <n v="0"/>
    <n v="218"/>
    <n v="0"/>
    <n v="1"/>
    <n v="8715.5"/>
    <n v="11781"/>
    <n v="0"/>
    <n v="70.68600000000001"/>
    <n v="11710.314"/>
    <n v="0"/>
    <n v="180"/>
    <n v="180"/>
    <n v="3174.814"/>
    <s v="纪淘淘"/>
    <s v="北京 北京市 海淀区 上地街道 农大南路33号院4号楼108（一楼）"/>
    <s v="18400870124-5918"/>
    <m/>
    <n v="11710.314"/>
    <m/>
    <n v="0.2711126277228775"/>
  </r>
  <r>
    <x v="11"/>
    <s v="已收货"/>
    <s v="2450664192671194272"/>
    <s v="纪淘淘"/>
    <m/>
    <m/>
    <s v="补差价"/>
    <x v="4"/>
    <m/>
    <s v="已结算"/>
    <s v="江西"/>
    <n v="0"/>
    <n v="0"/>
    <m/>
    <m/>
    <m/>
    <m/>
    <m/>
    <m/>
    <m/>
    <m/>
    <m/>
    <m/>
    <m/>
    <m/>
    <m/>
    <m/>
    <m/>
    <m/>
    <m/>
    <m/>
    <m/>
    <m/>
    <m/>
    <m/>
    <m/>
    <m/>
    <m/>
    <m/>
    <m/>
    <m/>
    <m/>
    <m/>
    <m/>
    <m/>
    <m/>
    <m/>
    <m/>
    <m/>
    <n v="1"/>
    <n v="0"/>
    <n v="621"/>
    <n v="0"/>
    <n v="3.726"/>
    <n v="617.274"/>
    <n v="0"/>
    <n v="0"/>
    <n v="0"/>
    <n v="617.274"/>
    <s v="纪淘淘"/>
    <s v="北京 北京市 海淀区 上地街道 农大南路33号院4号楼108（一楼）"/>
    <s v="18400870124-5918"/>
    <m/>
    <m/>
    <m/>
    <n v="1"/>
  </r>
  <r>
    <x v="12"/>
    <s v="已收货"/>
    <s v="2455794122232796758"/>
    <s v="张嘉诚"/>
    <m/>
    <m/>
    <s v="洞石整柜2.1米（全景组合）（全景抽屉+玻璃移门+开门）"/>
    <x v="3"/>
    <n v="2100"/>
    <s v="已结算"/>
    <s v="江西"/>
    <n v="8832.58"/>
    <n v="6300"/>
    <n v="680"/>
    <n v="320"/>
    <m/>
    <n v="657.08"/>
    <n v="84"/>
    <n v="14"/>
    <n v="8.5"/>
    <m/>
    <m/>
    <n v="7"/>
    <n v="154"/>
    <s v="52*2"/>
    <n v="17.5"/>
    <m/>
    <m/>
    <m/>
    <n v="490"/>
    <n v="14"/>
    <m/>
    <m/>
    <m/>
    <m/>
    <m/>
    <m/>
    <m/>
    <n v="490"/>
    <m/>
    <m/>
    <n v="731"/>
    <n v="0"/>
    <n v="150"/>
    <n v="0"/>
    <n v="100"/>
    <n v="0"/>
    <n v="100"/>
    <n v="0"/>
    <n v="1"/>
    <n v="9913.58"/>
    <n v="13701.47"/>
    <n v="0"/>
    <n v="82.20882"/>
    <n v="13619.26118"/>
    <n v="0"/>
    <n v="0"/>
    <n v="0"/>
    <n v="3705.68118"/>
    <s v="张嘉诚"/>
    <s v="山东省 青岛市 市北区 海伦路街道重庆南路128号，海尔玫瑰兰亭4号楼102户"/>
    <s v="15165424810-2674"/>
    <m/>
    <n v="13619.26118"/>
    <m/>
    <n v="0.272091204583243"/>
  </r>
  <r>
    <x v="12"/>
    <s v="已收货"/>
    <s v="4219241761048127225"/>
    <s v="刘兆"/>
    <m/>
    <m/>
    <s v="砂白色1.4米岩板餐桌"/>
    <x v="1"/>
    <s v="140cm*75cm"/>
    <s v="已结算"/>
    <s v="江西"/>
    <n v="2227.5"/>
    <n v="1450"/>
    <m/>
    <m/>
    <m/>
    <m/>
    <n v="655"/>
    <m/>
    <m/>
    <m/>
    <m/>
    <m/>
    <m/>
    <m/>
    <m/>
    <m/>
    <m/>
    <m/>
    <n v="2.5"/>
    <m/>
    <m/>
    <m/>
    <m/>
    <m/>
    <m/>
    <m/>
    <m/>
    <n v="120"/>
    <m/>
    <m/>
    <n v="127"/>
    <n v="46"/>
    <n v="90"/>
    <n v="0"/>
    <n v="0"/>
    <n v="0"/>
    <n v="0"/>
    <n v="0"/>
    <n v="1"/>
    <n v="2490.5"/>
    <n v="3896"/>
    <n v="0"/>
    <n v="23.376"/>
    <n v="3872.624"/>
    <n v="0"/>
    <n v="0"/>
    <n v="0"/>
    <n v="1382.124"/>
    <s v="刘兆"/>
    <s v="北京 北京市 朝阳区 建外街道大望路阳光100 a3303"/>
    <s v="18400848396-1175"/>
    <m/>
    <n v="3872.624"/>
    <m/>
    <n v="0.356895996099802"/>
  </r>
  <r>
    <x v="13"/>
    <s v="已收货"/>
    <s v="4220756859706036044"/>
    <s v="李剑"/>
    <m/>
    <m/>
    <s v="砂白色1.6米岩板餐桌"/>
    <x v="1"/>
    <s v="160cm*85cm"/>
    <s v="已结算"/>
    <s v="江西"/>
    <n v="2032.5"/>
    <n v="1520"/>
    <m/>
    <m/>
    <m/>
    <m/>
    <n v="390"/>
    <m/>
    <m/>
    <m/>
    <m/>
    <m/>
    <m/>
    <m/>
    <m/>
    <m/>
    <m/>
    <m/>
    <n v="2.5"/>
    <m/>
    <m/>
    <m/>
    <m/>
    <m/>
    <m/>
    <m/>
    <m/>
    <n v="120"/>
    <m/>
    <m/>
    <n v="140"/>
    <n v="60"/>
    <n v="77"/>
    <n v="0"/>
    <n v="0"/>
    <n v="0"/>
    <n v="0"/>
    <n v="0"/>
    <n v="1"/>
    <n v="2309.5"/>
    <n v="2763"/>
    <n v="0"/>
    <n v="16.578"/>
    <n v="2746.422"/>
    <n v="0"/>
    <n v="0"/>
    <n v="0"/>
    <n v="436.922"/>
    <s v="李剑"/>
    <s v="安徽省 黄山市 黄山区 甘棠镇浦园大道天都浦溪苑13栋404"/>
    <s v="13167642634-2686"/>
    <m/>
    <n v="2746.422"/>
    <m/>
    <n v="0.1590877148522696"/>
  </r>
  <r>
    <x v="13"/>
    <s v="已收货"/>
    <s v="2457826537019769870"/>
    <s v="莱莱"/>
    <m/>
    <m/>
    <s v="砂白色1.8米岩板餐桌"/>
    <x v="1"/>
    <s v="180cm*85cm"/>
    <s v="已结算"/>
    <s v="江西"/>
    <n v="2132.5"/>
    <n v="1560"/>
    <m/>
    <m/>
    <m/>
    <m/>
    <n v="450"/>
    <m/>
    <m/>
    <m/>
    <m/>
    <m/>
    <m/>
    <m/>
    <m/>
    <m/>
    <m/>
    <m/>
    <n v="2.5"/>
    <m/>
    <m/>
    <m/>
    <m/>
    <m/>
    <m/>
    <m/>
    <m/>
    <n v="120"/>
    <m/>
    <m/>
    <n v="162"/>
    <n v="51"/>
    <n v="60"/>
    <n v="0"/>
    <n v="99"/>
    <n v="0"/>
    <n v="0"/>
    <n v="0"/>
    <n v="1"/>
    <n v="2504.5"/>
    <n v="3150.92"/>
    <n v="0"/>
    <n v="18.90552"/>
    <n v="3132.01448"/>
    <n v="0"/>
    <n v="0"/>
    <n v="0"/>
    <n v="627.5144800000003"/>
    <s v="莱莱"/>
    <s v="四川省 成都市 双流区 兴隆街道保水逸苑e区"/>
    <s v="18418974728-7191"/>
    <m/>
    <n v="3132.01448"/>
    <m/>
    <n v="0.2003549102365581"/>
  </r>
  <r>
    <x v="14"/>
    <s v="已收货"/>
    <s v="4221458319291293932"/>
    <s v="小明"/>
    <m/>
    <m/>
    <s v="2个插座"/>
    <x v="5"/>
    <m/>
    <s v="已结算"/>
    <s v="其他"/>
    <n v="110"/>
    <n v="110"/>
    <m/>
    <m/>
    <m/>
    <m/>
    <m/>
    <m/>
    <m/>
    <m/>
    <m/>
    <m/>
    <m/>
    <m/>
    <m/>
    <m/>
    <m/>
    <m/>
    <m/>
    <m/>
    <m/>
    <m/>
    <m/>
    <m/>
    <m/>
    <m/>
    <m/>
    <m/>
    <m/>
    <m/>
    <n v="8"/>
    <n v="0"/>
    <n v="0"/>
    <n v="0"/>
    <n v="0"/>
    <n v="0"/>
    <n v="0"/>
    <n v="0"/>
    <n v="1"/>
    <n v="118"/>
    <n v="200"/>
    <n v="0"/>
    <n v="1.2"/>
    <n v="198.8"/>
    <n v="0"/>
    <n v="0"/>
    <n v="0"/>
    <n v="80.80000000000001"/>
    <s v="小明"/>
    <s v="广东省 广州市 海珠区 南石头街道 保利海棠花园海棠2街6号802"/>
    <s v="17896419607-6815"/>
    <m/>
    <n v="198.8"/>
    <m/>
    <m/>
  </r>
  <r>
    <x v="15"/>
    <s v="已收货"/>
    <s v="2457947751416389683"/>
    <s v="黄先森"/>
    <m/>
    <m/>
    <s v="樱桃木旋转餐边柜：1.6米整柜+1.2双腿餐桌 _x000a_送木蜡油+洞洞板挂篮"/>
    <x v="2"/>
    <n v="1600"/>
    <s v="已结算"/>
    <s v="江西"/>
    <n v="8357.799999999999"/>
    <n v="5700"/>
    <m/>
    <m/>
    <m/>
    <m/>
    <m/>
    <n v="9.800000000000001"/>
    <n v="289"/>
    <m/>
    <m/>
    <n v="52"/>
    <n v="198"/>
    <n v="20"/>
    <m/>
    <m/>
    <m/>
    <m/>
    <n v="36"/>
    <n v="20"/>
    <n v="440"/>
    <m/>
    <m/>
    <m/>
    <n v="70"/>
    <m/>
    <m/>
    <n v="510"/>
    <m/>
    <m/>
    <n v="464"/>
    <n v="110"/>
    <n v="95"/>
    <n v="0"/>
    <n v="0"/>
    <n v="0"/>
    <n v="37.8"/>
    <n v="0"/>
    <n v="1"/>
    <n v="9064.599999999999"/>
    <n v="11396.69"/>
    <n v="0"/>
    <n v="68.38014000000001"/>
    <n v="11328.30986"/>
    <n v="0"/>
    <n v="0"/>
    <n v="0"/>
    <n v="2263.709860000003"/>
    <s v="黄先森"/>
    <s v="福建省 福州市 晋安区 鼓山镇 目鱼山路3号中海晋安湖三号院B区11栋2楼西"/>
    <s v="18480118448-9551"/>
    <m/>
    <n v="11328.30986"/>
    <m/>
    <n v="0.1998276784424047"/>
  </r>
  <r>
    <x v="16"/>
    <s v="已收货"/>
    <s v="4224115441455164930"/>
    <s v="陈康"/>
    <m/>
    <m/>
    <s v="樱桃木单腿追加"/>
    <x v="5"/>
    <m/>
    <m/>
    <s v="江西"/>
    <n v="300"/>
    <n v="300"/>
    <m/>
    <m/>
    <m/>
    <m/>
    <m/>
    <m/>
    <m/>
    <m/>
    <m/>
    <m/>
    <m/>
    <m/>
    <m/>
    <m/>
    <m/>
    <m/>
    <m/>
    <m/>
    <m/>
    <m/>
    <m/>
    <m/>
    <m/>
    <m/>
    <m/>
    <m/>
    <m/>
    <m/>
    <n v="55"/>
    <n v="0"/>
    <n v="0"/>
    <n v="0"/>
    <n v="0"/>
    <n v="0"/>
    <n v="0"/>
    <n v="0"/>
    <n v="1"/>
    <n v="355"/>
    <n v="400"/>
    <n v="0"/>
    <n v="2.4"/>
    <n v="397.6"/>
    <n v="0"/>
    <n v="0"/>
    <n v="0"/>
    <n v="42.60000000000002"/>
    <s v="陈康"/>
    <s v="湖南省 长沙市 天心区 裕南街街道天心区江山云著13栋2502"/>
    <s v="14737698886-5404"/>
    <m/>
    <n v="397.6"/>
    <m/>
    <n v="0.1071428571428572"/>
  </r>
  <r>
    <x v="17"/>
    <s v="退货"/>
    <s v="2465587707209040275"/>
    <s v="哞哞崽"/>
    <s v="退货，需要厂里赔付退回运费，打包费用240"/>
    <m/>
    <s v="书柜：60cm+90cm定制带瓷白玻璃"/>
    <x v="6"/>
    <m/>
    <s v="已结算"/>
    <s v="江西"/>
    <n v="260"/>
    <n v="260"/>
    <m/>
    <m/>
    <m/>
    <m/>
    <m/>
    <m/>
    <m/>
    <m/>
    <m/>
    <m/>
    <m/>
    <m/>
    <m/>
    <m/>
    <m/>
    <m/>
    <m/>
    <m/>
    <m/>
    <m/>
    <m/>
    <m/>
    <m/>
    <m/>
    <m/>
    <m/>
    <m/>
    <m/>
    <n v="0"/>
    <n v="0"/>
    <n v="0"/>
    <n v="0"/>
    <n v="0"/>
    <n v="690"/>
    <n v="0"/>
    <n v="0"/>
    <n v="1"/>
    <n v="950"/>
    <n v="0"/>
    <n v="0"/>
    <n v="0"/>
    <n v="0"/>
    <n v="690"/>
    <n v="0"/>
    <n v="690"/>
    <n v="-260"/>
    <s v="哞哞崽"/>
    <s v="北京 北京市 朝阳区 奥运村街道 林萃路10号院2-14-301 "/>
    <s v="18400986216-4176"/>
    <m/>
    <m/>
    <m/>
    <e v="#DIV/0!"/>
  </r>
  <r>
    <x v="18"/>
    <s v="已收货"/>
    <s v="4229536934396727449"/>
    <s v="邵先生"/>
    <m/>
    <m/>
    <s v="软木板上柜+带抽屉隐藏把手下柜+4条透气孔"/>
    <x v="7"/>
    <m/>
    <s v="已结算"/>
    <s v="江西"/>
    <n v="2580"/>
    <n v="2220"/>
    <m/>
    <n v="30"/>
    <m/>
    <m/>
    <n v="120"/>
    <m/>
    <m/>
    <m/>
    <m/>
    <m/>
    <n v="60"/>
    <m/>
    <m/>
    <m/>
    <m/>
    <m/>
    <m/>
    <m/>
    <m/>
    <m/>
    <m/>
    <m/>
    <m/>
    <m/>
    <m/>
    <n v="150"/>
    <m/>
    <m/>
    <n v="148"/>
    <n v="51"/>
    <n v="0"/>
    <n v="0"/>
    <n v="0"/>
    <n v="0"/>
    <n v="0"/>
    <n v="0"/>
    <n v="1"/>
    <n v="2779"/>
    <n v="3700"/>
    <n v="0"/>
    <n v="22.2"/>
    <n v="3677.8"/>
    <n v="0"/>
    <n v="0"/>
    <n v="0"/>
    <n v="898.8000000000002"/>
    <s v="邵先生"/>
    <s v="北京 北京市 朝阳区 劲松街道南磨房路禧福汇小区3号楼1902"/>
    <s v="18400941348-5336"/>
    <m/>
    <n v="3677.8"/>
    <m/>
    <n v="0.2443852303007233"/>
  </r>
  <r>
    <x v="19"/>
    <s v="已收货"/>
    <s v="4237734926263367845"/>
    <s v="元子"/>
    <m/>
    <m/>
    <s v="1.5洞石柜：樱桃木，洞石下挂岩板，洞石背板"/>
    <x v="3"/>
    <n v="1500"/>
    <s v="已结算"/>
    <s v="江西"/>
    <n v="7946.18"/>
    <n v="5400"/>
    <n v="549.6"/>
    <n v="320"/>
    <s v="22*7"/>
    <n v="501.08"/>
    <n v="84"/>
    <n v="104"/>
    <n v="8.5"/>
    <m/>
    <m/>
    <m/>
    <n v="501.08"/>
    <m/>
    <n v="17.5"/>
    <m/>
    <m/>
    <n v="7"/>
    <n v="450"/>
    <m/>
    <m/>
    <m/>
    <m/>
    <m/>
    <m/>
    <m/>
    <m/>
    <n v="340"/>
    <m/>
    <m/>
    <n v="633"/>
    <n v="95"/>
    <n v="100"/>
    <n v="0"/>
    <n v="0"/>
    <n v="0"/>
    <n v="100"/>
    <n v="0"/>
    <n v="1"/>
    <n v="8874.18"/>
    <n v="11384"/>
    <n v="0"/>
    <n v="68.304"/>
    <n v="11315.696"/>
    <n v="0"/>
    <n v="0"/>
    <n v="0"/>
    <n v="2441.516"/>
    <s v="元子"/>
    <s v="北京 北京市 朝阳区 酒仙桥街道万红西街9号银河湾6号楼2单元903"/>
    <s v="18401156869-5251"/>
    <m/>
    <n v="11315.696"/>
    <m/>
    <n v="0.2157636613779656"/>
  </r>
  <r>
    <x v="20"/>
    <s v="已收货"/>
    <s v="2470075035963769870"/>
    <s v="李"/>
    <m/>
    <m/>
    <s v="升降桌：樱桃木，1.5米（抽屉+腿+置物架+插排+底部+E361+E360）"/>
    <x v="8"/>
    <n v="1500"/>
    <s v="已结算"/>
    <s v="江西"/>
    <n v="2773.9"/>
    <n v="1250"/>
    <n v="115"/>
    <n v="32"/>
    <n v="990"/>
    <m/>
    <n v="94"/>
    <n v="70"/>
    <m/>
    <m/>
    <m/>
    <m/>
    <m/>
    <m/>
    <m/>
    <m/>
    <m/>
    <m/>
    <m/>
    <m/>
    <m/>
    <m/>
    <n v="63"/>
    <m/>
    <m/>
    <m/>
    <m/>
    <n v="160"/>
    <m/>
    <m/>
    <n v="64"/>
    <n v="46"/>
    <n v="89"/>
    <n v="0"/>
    <n v="0"/>
    <n v="0"/>
    <n v="0"/>
    <n v="0"/>
    <n v="1"/>
    <n v="2972.9"/>
    <n v="4590"/>
    <n v="0"/>
    <n v="27.54"/>
    <n v="4562.46"/>
    <n v="0"/>
    <n v="0"/>
    <n v="0"/>
    <n v="1589.56"/>
    <s v="李"/>
    <s v="上海 上海市 松江区 九里亭街道九亭中心北区7号楼214"/>
    <s v="18466704899-8626"/>
    <m/>
    <n v="4562.46"/>
    <m/>
    <n v="0.348399766792476"/>
  </r>
  <r>
    <x v="21"/>
    <s v="已收货"/>
    <s v="2472268404657361765"/>
    <s v="李铭仪"/>
    <m/>
    <m/>
    <s v="榉木餐边柜：白色岩板 120cm*45*192cm"/>
    <x v="9"/>
    <n v="1200"/>
    <s v="已结算，灰色玻璃"/>
    <s v="江西"/>
    <n v="5202.5"/>
    <n v="3500"/>
    <n v="160"/>
    <n v="828"/>
    <n v="15"/>
    <m/>
    <n v="8.5"/>
    <n v="330"/>
    <n v="40"/>
    <m/>
    <m/>
    <n v="181"/>
    <s v="22*4"/>
    <n v="52"/>
    <m/>
    <m/>
    <m/>
    <m/>
    <m/>
    <m/>
    <m/>
    <m/>
    <m/>
    <m/>
    <m/>
    <m/>
    <m/>
    <n v="330"/>
    <m/>
    <m/>
    <n v="230"/>
    <n v="71"/>
    <n v="168"/>
    <n v="0"/>
    <n v="0"/>
    <n v="0"/>
    <n v="100"/>
    <n v="0"/>
    <n v="1"/>
    <n v="5771.5"/>
    <n v="7371"/>
    <n v="0"/>
    <n v="44.226"/>
    <n v="7326.774"/>
    <n v="0"/>
    <n v="0"/>
    <n v="0"/>
    <n v="1555.274"/>
    <s v="李铭仪"/>
    <s v="广东省 中山市  小榄镇维港湾19栋1203"/>
    <s v="18466424112-8126"/>
    <m/>
    <n v="7326.774"/>
    <m/>
    <n v="0.2122726864510902"/>
  </r>
  <r>
    <x v="21"/>
    <s v="已收货"/>
    <s v="3836690209026259538"/>
    <s v="大王"/>
    <m/>
    <m/>
    <s v="售后单：腿重做"/>
    <x v="5"/>
    <m/>
    <s v="已结算"/>
    <s v="江西"/>
    <n v="30"/>
    <n v="31"/>
    <m/>
    <m/>
    <m/>
    <m/>
    <m/>
    <m/>
    <m/>
    <m/>
    <m/>
    <m/>
    <m/>
    <m/>
    <m/>
    <m/>
    <m/>
    <m/>
    <m/>
    <m/>
    <m/>
    <m/>
    <m/>
    <m/>
    <m/>
    <m/>
    <m/>
    <n v="30"/>
    <m/>
    <m/>
    <n v="55"/>
    <n v="0"/>
    <n v="0"/>
    <n v="0"/>
    <n v="0"/>
    <n v="0"/>
    <n v="0"/>
    <n v="0"/>
    <n v="1"/>
    <n v="85"/>
    <n v="0"/>
    <n v="0"/>
    <n v="0"/>
    <n v="0"/>
    <n v="0"/>
    <n v="0"/>
    <n v="0"/>
    <n v="-85"/>
    <s v="大王"/>
    <s v="江苏省 无锡市 锡山区 东北塘街道无锡旭辉城5-9-301"/>
    <s v="17200913776-6535"/>
    <m/>
    <n v="0"/>
    <m/>
    <e v="#DIV/0!"/>
  </r>
  <r>
    <x v="22"/>
    <s v="已收货"/>
    <s v="2475930109279018364"/>
    <s v="发仔"/>
    <s v="赔付了客户3000，线上2500，线下500，物流抵扣500"/>
    <m/>
    <s v="香港洞石餐边柜：樱桃木 上柜1800*420*1120  下柜1800*460*880"/>
    <x v="3"/>
    <n v="1800"/>
    <s v="已结算，灰色玻璃"/>
    <s v="江西"/>
    <n v="7960.2"/>
    <n v="5700"/>
    <n v="560"/>
    <n v="320"/>
    <n v="577"/>
    <m/>
    <n v="5.2"/>
    <n v="84"/>
    <n v="10"/>
    <m/>
    <m/>
    <n v="30"/>
    <n v="66"/>
    <n v="20"/>
    <m/>
    <m/>
    <m/>
    <m/>
    <n v="14"/>
    <s v="52*2"/>
    <m/>
    <m/>
    <m/>
    <m/>
    <m/>
    <m/>
    <m/>
    <n v="470"/>
    <m/>
    <m/>
    <n v="555"/>
    <n v="0"/>
    <n v="0"/>
    <n v="0"/>
    <n v="0"/>
    <n v="0"/>
    <n v="100"/>
    <n v="3000"/>
    <n v="1"/>
    <n v="11615.2"/>
    <n v="12200.12"/>
    <n v="0"/>
    <n v="73.20072"/>
    <n v="12126.91928"/>
    <n v="0"/>
    <n v="500"/>
    <n v="500"/>
    <n v="1011.719279999999"/>
    <s v="发仔"/>
    <s v="广东省 东莞市  虎门镇怀德社区大茂高新工业园2号1栋（轉loyinyan23)"/>
    <s v="18825744679-4644"/>
    <m/>
    <n v="12126.91928"/>
    <m/>
    <n v="0.08342755951782004"/>
  </r>
  <r>
    <x v="22"/>
    <s v="已收货"/>
    <s v="2476406137101431288"/>
    <s v="尹燕青"/>
    <s v="第一次发过来的岩板貌似少了一块，重新定的，还在跟岩板厂售后"/>
    <m/>
    <s v="旋转柜立柱：1.55米白色岩板整柜+1.2白色岩板双腿餐桌"/>
    <x v="2"/>
    <n v="1550"/>
    <s v="已结算，茶色玻璃"/>
    <s v="江西"/>
    <n v="7820.400000000001"/>
    <n v="5600"/>
    <m/>
    <m/>
    <m/>
    <m/>
    <m/>
    <n v="512"/>
    <n v="9.800000000000001"/>
    <m/>
    <m/>
    <n v="52"/>
    <n v="198"/>
    <n v="31"/>
    <m/>
    <m/>
    <m/>
    <m/>
    <m/>
    <n v="18.6"/>
    <n v="490"/>
    <m/>
    <m/>
    <m/>
    <n v="20"/>
    <m/>
    <m/>
    <n v="490"/>
    <m/>
    <m/>
    <n v="621"/>
    <n v="132"/>
    <n v="168"/>
    <n v="0"/>
    <n v="0"/>
    <n v="0"/>
    <n v="63"/>
    <n v="0"/>
    <n v="1"/>
    <n v="8804.400000000001"/>
    <n v="11609"/>
    <n v="0"/>
    <n v="69.654"/>
    <n v="11539.346"/>
    <n v="0"/>
    <n v="0"/>
    <n v="0"/>
    <n v="2734.945999999998"/>
    <s v="尹燕青"/>
    <s v="四川省 成都市 青羊区 苏坡街道龙欣苑"/>
    <s v="18400754574-1678"/>
    <m/>
    <n v="11539.346"/>
    <m/>
    <n v="0.2370104856895701"/>
  </r>
  <r>
    <x v="23"/>
    <s v="已收货"/>
    <s v="4242527496528443244"/>
    <s v="李小毛"/>
    <s v="第一次发过来的岩板破损，重新定了，还在跟岩板厂售后"/>
    <m/>
    <s v="旋转柜：1.6米黑色岩板整柜+1.2黑色岩板双腿餐桌"/>
    <x v="2"/>
    <n v="1600"/>
    <s v="已结算，茶色玻璃"/>
    <s v="江西"/>
    <n v="8199.799999999999"/>
    <n v="5700"/>
    <m/>
    <m/>
    <m/>
    <m/>
    <m/>
    <n v="229"/>
    <n v="9.800000000000001"/>
    <m/>
    <m/>
    <n v="52"/>
    <n v="198"/>
    <m/>
    <m/>
    <m/>
    <m/>
    <m/>
    <n v="490"/>
    <n v="36"/>
    <n v="20"/>
    <m/>
    <m/>
    <m/>
    <m/>
    <m/>
    <m/>
    <n v="490"/>
    <m/>
    <m/>
    <n v="612"/>
    <n v="295"/>
    <n v="133"/>
    <n v="0"/>
    <n v="0"/>
    <n v="0"/>
    <n v="0"/>
    <n v="0"/>
    <n v="1"/>
    <n v="9239.799999999999"/>
    <n v="11848"/>
    <n v="0"/>
    <n v="71.08800000000001"/>
    <n v="11776.912"/>
    <n v="0"/>
    <n v="0"/>
    <n v="0"/>
    <n v="2537.112000000001"/>
    <s v="李小毛"/>
    <s v="陕西省 西安市 灞桥区 洪庆街道同心路2号东苑小区"/>
    <s v="18400692449-1118"/>
    <m/>
    <n v="11776.912"/>
    <m/>
    <n v="0.2154310060226315"/>
  </r>
  <r>
    <x v="24"/>
    <s v="已收货"/>
    <s v="2477420222284908495"/>
    <s v="侯世伟"/>
    <s v="给客户划伤大门500+破损，修复+2次上门230（30元包含在了105安装里面）_x000a_退差价94"/>
    <m/>
    <s v="砂白色1.6米岩板餐桌"/>
    <x v="1"/>
    <s v="160cm*75cm"/>
    <s v="已结算"/>
    <s v="江西"/>
    <n v="1982.5"/>
    <n v="1500"/>
    <m/>
    <m/>
    <m/>
    <m/>
    <n v="300"/>
    <m/>
    <m/>
    <m/>
    <m/>
    <m/>
    <m/>
    <m/>
    <m/>
    <m/>
    <m/>
    <m/>
    <n v="2.5"/>
    <m/>
    <m/>
    <m/>
    <m/>
    <m/>
    <m/>
    <m/>
    <m/>
    <n v="180"/>
    <m/>
    <m/>
    <n v="56"/>
    <n v="46"/>
    <n v="105"/>
    <n v="500"/>
    <n v="200"/>
    <n v="0"/>
    <n v="0"/>
    <n v="94"/>
    <n v="1"/>
    <n v="2983.5"/>
    <n v="2953.37"/>
    <n v="0"/>
    <n v="17.72022"/>
    <n v="2935.64978"/>
    <n v="0"/>
    <n v="730"/>
    <n v="730"/>
    <n v="682.1497799999997"/>
    <s v="侯世伟"/>
    <s v="浙江省 杭州市 临安区 青山湖街道如沐清晖城72-2-804"/>
    <s v="18413298717-2178"/>
    <m/>
    <n v="2935.64978"/>
    <m/>
    <n v="0.2323675612286421"/>
  </r>
  <r>
    <x v="25"/>
    <s v="已收货"/>
    <s v="4243799089138297716"/>
    <s v="王爱婷"/>
    <m/>
    <m/>
    <s v="旋转柜：樱桃1.75米整柜+1.4单腿餐桌"/>
    <x v="2"/>
    <n v="1750"/>
    <s v="已结算，茶色玻璃"/>
    <s v="江西"/>
    <n v="7728.5"/>
    <n v="5700"/>
    <m/>
    <m/>
    <m/>
    <m/>
    <m/>
    <n v="22"/>
    <n v="42.5"/>
    <m/>
    <m/>
    <n v="240"/>
    <n v="198"/>
    <n v="36"/>
    <m/>
    <m/>
    <m/>
    <m/>
    <m/>
    <m/>
    <m/>
    <m/>
    <m/>
    <m/>
    <m/>
    <m/>
    <m/>
    <n v="470"/>
    <m/>
    <m/>
    <n v="395"/>
    <n v="97"/>
    <n v="139"/>
    <n v="0"/>
    <n v="0"/>
    <n v="0"/>
    <n v="0"/>
    <n v="0"/>
    <n v="1"/>
    <n v="8359.5"/>
    <n v="12112"/>
    <n v="0"/>
    <n v="72.672"/>
    <n v="12039.328"/>
    <n v="0"/>
    <n v="0"/>
    <n v="0"/>
    <n v="3679.828"/>
    <s v="王爱婷"/>
    <s v="浙江省 温州市 瓯海区 娄桥街道 今汇路奥体华府3栋104室"/>
    <s v="18413514738-9198"/>
    <m/>
    <n v="12039.328"/>
    <m/>
    <n v="0.3056506143864508"/>
  </r>
  <r>
    <x v="26"/>
    <s v="已收货"/>
    <s v="4248322203263223405"/>
    <s v="林叶"/>
    <m/>
    <m/>
    <s v="榉木样块"/>
    <x v="0"/>
    <m/>
    <s v="已结算"/>
    <s v="杭州"/>
    <n v="7"/>
    <n v="5"/>
    <m/>
    <m/>
    <m/>
    <m/>
    <m/>
    <m/>
    <m/>
    <m/>
    <m/>
    <m/>
    <m/>
    <m/>
    <m/>
    <m/>
    <m/>
    <m/>
    <m/>
    <m/>
    <m/>
    <m/>
    <m/>
    <m/>
    <m/>
    <m/>
    <m/>
    <n v="2"/>
    <m/>
    <m/>
    <n v="5"/>
    <n v="0"/>
    <n v="0"/>
    <n v="0"/>
    <n v="0"/>
    <n v="0"/>
    <n v="0"/>
    <n v="0"/>
    <n v="1"/>
    <n v="12"/>
    <n v="25"/>
    <n v="0"/>
    <n v="0.15"/>
    <n v="24.85"/>
    <n v="0"/>
    <n v="0"/>
    <n v="0"/>
    <n v="12.85"/>
    <s v="林叶"/>
    <m/>
    <m/>
    <m/>
    <n v="24.85"/>
    <m/>
    <n v="0.517102615694165"/>
  </r>
  <r>
    <x v="27"/>
    <s v="已收货"/>
    <s v="4253006991866515844"/>
    <s v="邓先生"/>
    <s v="破损修复280，物流承担100"/>
    <m/>
    <s v="玻璃上柜900*220+隐藏把手抽屉下柜900*341+洞石背板"/>
    <x v="7"/>
    <m/>
    <s v="已结算"/>
    <s v="江西"/>
    <n v="3070"/>
    <n v="2500"/>
    <m/>
    <m/>
    <m/>
    <m/>
    <n v="350"/>
    <m/>
    <m/>
    <m/>
    <m/>
    <m/>
    <n v="60"/>
    <m/>
    <m/>
    <m/>
    <m/>
    <m/>
    <m/>
    <m/>
    <m/>
    <m/>
    <m/>
    <m/>
    <m/>
    <m/>
    <m/>
    <n v="160"/>
    <m/>
    <m/>
    <n v="357"/>
    <n v="61"/>
    <n v="197"/>
    <n v="0"/>
    <n v="280"/>
    <n v="0"/>
    <n v="0"/>
    <n v="0"/>
    <n v="1"/>
    <n v="3965"/>
    <n v="5226.66"/>
    <n v="0"/>
    <n v="31.35996"/>
    <n v="5195.30004"/>
    <n v="0"/>
    <n v="100"/>
    <n v="100"/>
    <n v="1330.30004"/>
    <s v="邓先生"/>
    <s v="海南省 三亚市 天涯区 天涯镇中粮红塘悦海18号楼401"/>
    <s v="13034964114-8878"/>
    <m/>
    <n v="5195.30004"/>
    <m/>
    <n v="0.256058366168973"/>
  </r>
  <r>
    <x v="28"/>
    <s v="已收货"/>
    <s v="2487616536606006086"/>
    <s v="魏仁江"/>
    <s v="打包费130"/>
    <m/>
    <s v="砂白色2.0米岩板餐桌"/>
    <x v="1"/>
    <s v="200cm*85cm"/>
    <s v="已结算"/>
    <s v="江西"/>
    <n v="2292.5"/>
    <n v="1650"/>
    <m/>
    <m/>
    <m/>
    <m/>
    <n v="510"/>
    <m/>
    <m/>
    <m/>
    <m/>
    <m/>
    <m/>
    <m/>
    <m/>
    <m/>
    <m/>
    <m/>
    <n v="2.5"/>
    <m/>
    <m/>
    <m/>
    <m/>
    <m/>
    <m/>
    <m/>
    <m/>
    <n v="130"/>
    <m/>
    <m/>
    <n v="363"/>
    <n v="0"/>
    <n v="68"/>
    <n v="0"/>
    <n v="0"/>
    <n v="0"/>
    <n v="0"/>
    <n v="0"/>
    <n v="1"/>
    <n v="2723.5"/>
    <n v="3689.67"/>
    <n v="0"/>
    <n v="22.13802"/>
    <n v="3667.53198"/>
    <n v="0"/>
    <n v="0"/>
    <n v="0"/>
    <n v="944.0319800000002"/>
    <s v="魏仁江"/>
    <s v="广东省 惠州市 惠城区 河南岸街道广东华宁装饰集团·全案设计中心"/>
    <s v="17806517350-5849"/>
    <m/>
    <n v="3667.53198"/>
    <m/>
    <n v="0.2574025216816242"/>
  </r>
  <r>
    <x v="28"/>
    <s v="已收货"/>
    <s v="4254271203977463835"/>
    <s v="草莓"/>
    <m/>
    <m/>
    <s v="榉木  樱桃  白橡木  白蜡木  黑胡桃木"/>
    <x v="0"/>
    <m/>
    <s v="已结算"/>
    <s v="杭州"/>
    <n v="22"/>
    <n v="20"/>
    <m/>
    <m/>
    <m/>
    <m/>
    <m/>
    <m/>
    <m/>
    <m/>
    <m/>
    <m/>
    <m/>
    <m/>
    <m/>
    <m/>
    <m/>
    <m/>
    <m/>
    <m/>
    <m/>
    <m/>
    <m/>
    <m/>
    <m/>
    <m/>
    <m/>
    <n v="2"/>
    <m/>
    <m/>
    <n v="5"/>
    <n v="0"/>
    <n v="0"/>
    <n v="0"/>
    <n v="0"/>
    <n v="0"/>
    <n v="0"/>
    <n v="0"/>
    <n v="1"/>
    <n v="27"/>
    <n v="75"/>
    <n v="0"/>
    <n v="0.45"/>
    <n v="74.55"/>
    <n v="0"/>
    <n v="0"/>
    <n v="0"/>
    <n v="47.55"/>
    <s v="草莓"/>
    <s v="江苏省 盐城市 东台市 东台镇范公中路176号蓝色港湾彩票店"/>
    <s v="18468482930-6355"/>
    <m/>
    <n v="74.55"/>
    <m/>
    <n v="0.6378269617706237"/>
  </r>
  <r>
    <x v="29"/>
    <s v="已收货"/>
    <s v="2489611802335418055"/>
    <s v="许小风"/>
    <s v="已发，侧板磕碰，不修复，赔付150扣物流100"/>
    <m/>
    <s v="2.1洞石整柜：左边改多抽"/>
    <x v="3"/>
    <n v="2100"/>
    <s v="已结算"/>
    <s v="江西"/>
    <n v="9232.58"/>
    <n v="6700"/>
    <n v="660"/>
    <n v="320"/>
    <s v="22*7"/>
    <m/>
    <n v="84"/>
    <n v="14"/>
    <n v="8.5"/>
    <n v="20"/>
    <m/>
    <n v="7"/>
    <n v="657.08"/>
    <s v="52*2"/>
    <n v="17.5"/>
    <m/>
    <m/>
    <m/>
    <m/>
    <n v="14"/>
    <n v="20"/>
    <m/>
    <m/>
    <m/>
    <m/>
    <m/>
    <m/>
    <n v="490"/>
    <m/>
    <m/>
    <n v="583"/>
    <n v="100"/>
    <n v="0"/>
    <n v="0"/>
    <n v="0"/>
    <n v="0"/>
    <n v="100"/>
    <n v="0"/>
    <n v="1"/>
    <n v="10015.58"/>
    <n v="12900"/>
    <n v="0"/>
    <n v="77.40000000000001"/>
    <n v="12822.6"/>
    <n v="0"/>
    <n v="100"/>
    <n v="100"/>
    <n v="2907.02"/>
    <s v="许小风"/>
    <s v="广东省 东莞市  高埗镇华侨城天鹅堡15栋2202"/>
    <s v="18824528469-7662"/>
    <m/>
    <n v="12822.6"/>
    <m/>
    <n v="0.2267106515059349"/>
  </r>
  <r>
    <x v="30"/>
    <s v="已收货"/>
    <s v="4256408485953503038"/>
    <s v="李浩"/>
    <m/>
    <m/>
    <s v="樱桃木洞石柜：1.5米整柜"/>
    <x v="3"/>
    <n v="1500"/>
    <s v="已结算"/>
    <s v="江西"/>
    <n v="7390.58"/>
    <n v="5400"/>
    <n v="510"/>
    <n v="320"/>
    <s v="22*4"/>
    <m/>
    <n v="84"/>
    <n v="104"/>
    <n v="8.5"/>
    <m/>
    <m/>
    <m/>
    <n v="501.08"/>
    <m/>
    <n v="17.5"/>
    <m/>
    <m/>
    <n v="7"/>
    <m/>
    <n v="20"/>
    <m/>
    <m/>
    <m/>
    <m/>
    <m/>
    <m/>
    <m/>
    <n v="320"/>
    <m/>
    <m/>
    <n v="635"/>
    <n v="95"/>
    <n v="158"/>
    <n v="0"/>
    <n v="0"/>
    <n v="0"/>
    <n v="178"/>
    <n v="0"/>
    <n v="1"/>
    <n v="8456.58"/>
    <n v="10764"/>
    <n v="0"/>
    <n v="64.584"/>
    <n v="10699.416"/>
    <n v="0"/>
    <n v="0"/>
    <n v="0"/>
    <n v="2242.835999999999"/>
    <s v="李浩"/>
    <s v="四川省 成都市 武侯区 桂溪街道高新区天环街719号1-2-1703"/>
    <s v="18418944710-6262"/>
    <m/>
    <n v="10699.416"/>
    <m/>
    <n v="0.2096222821881119"/>
  </r>
  <r>
    <x v="30"/>
    <s v="已收货"/>
    <s v="4256996186507659814"/>
    <s v="王先生"/>
    <m/>
    <m/>
    <s v="白橡木洞石旋转柜：1.5柜+1.2桌洞石背板+洞石平板岩板。高度2.03米"/>
    <x v="2"/>
    <n v="1500"/>
    <s v="已结算"/>
    <s v="江西"/>
    <n v="8278.25"/>
    <n v="6300"/>
    <n v="320"/>
    <n v="501"/>
    <s v="22*9"/>
    <m/>
    <n v="14"/>
    <n v="84"/>
    <n v="14"/>
    <m/>
    <m/>
    <n v="84"/>
    <n v="325"/>
    <n v="340"/>
    <m/>
    <m/>
    <m/>
    <m/>
    <n v="40.5"/>
    <n v="42.2"/>
    <n v="7.22"/>
    <m/>
    <m/>
    <m/>
    <n v="8.33"/>
    <m/>
    <m/>
    <n v="340"/>
    <m/>
    <m/>
    <n v="780"/>
    <n v="0"/>
    <n v="150"/>
    <n v="0"/>
    <n v="0"/>
    <n v="0"/>
    <n v="0"/>
    <n v="125"/>
    <n v="1"/>
    <n v="9333.25"/>
    <n v="12000"/>
    <n v="0"/>
    <n v="72"/>
    <n v="11928"/>
    <n v="300"/>
    <n v="0"/>
    <n v="300"/>
    <n v="2894.75"/>
    <s v="王先生"/>
    <s v="浙江省 杭州市 余杭区 良渚街道未来之光7幢1502"/>
    <s v="18413280402-1391"/>
    <m/>
    <n v="11928"/>
    <m/>
    <n v="0.2426852783366868"/>
  </r>
  <r>
    <x v="31"/>
    <s v="已收货"/>
    <s v="2491247784207265250"/>
    <s v="p35725kj"/>
    <m/>
    <m/>
    <s v="2.1米榉木旋转柜+1.6米双腿餐桌：白色岩板+白色洞洞板"/>
    <x v="2"/>
    <n v="2100"/>
    <s v="已结算，茶色玻璃"/>
    <s v="江西"/>
    <n v="7817.4"/>
    <n v="5220"/>
    <m/>
    <m/>
    <m/>
    <m/>
    <m/>
    <n v="655"/>
    <n v="385.44"/>
    <m/>
    <m/>
    <m/>
    <n v="198"/>
    <n v="77.09999999999999"/>
    <m/>
    <m/>
    <m/>
    <m/>
    <n v="350"/>
    <n v="24.86"/>
    <m/>
    <m/>
    <m/>
    <m/>
    <m/>
    <m/>
    <m/>
    <n v="570"/>
    <m/>
    <m/>
    <n v="524"/>
    <n v="0"/>
    <n v="0"/>
    <n v="0"/>
    <n v="0"/>
    <n v="0"/>
    <n v="0"/>
    <n v="0"/>
    <n v="1"/>
    <n v="8341.4"/>
    <n v="9450.950000000001"/>
    <n v="0"/>
    <n v="56.70570000000001"/>
    <n v="9394.2443"/>
    <n v="0"/>
    <n v="0"/>
    <n v="0"/>
    <n v="1052.844300000001"/>
    <s v="p35725kj"/>
    <s v="福建省 福州市 平潭县 海坛街道台集运(111793)\n18319011167\n350499\n福建省福州市平潭县海坛街道澳前镇澳前西路邮政大厅B区808仓台集运(111793)"/>
    <s v="18319011167"/>
    <m/>
    <n v="9394.2443"/>
    <m/>
    <n v="0.1120733362235428"/>
  </r>
  <r>
    <x v="32"/>
    <s v="已收货"/>
    <s v="4258795141352759326"/>
    <s v="彤子彤"/>
    <m/>
    <m/>
    <s v="连柜书桌1.09上柜-定制"/>
    <x v="10"/>
    <n v="1090"/>
    <s v="已结算"/>
    <s v="庄毅"/>
    <n v="1180"/>
    <n v="1180"/>
    <m/>
    <m/>
    <m/>
    <m/>
    <m/>
    <m/>
    <m/>
    <m/>
    <m/>
    <m/>
    <m/>
    <m/>
    <m/>
    <m/>
    <m/>
    <m/>
    <m/>
    <m/>
    <m/>
    <m/>
    <m/>
    <m/>
    <m/>
    <m/>
    <m/>
    <m/>
    <m/>
    <m/>
    <n v="166"/>
    <n v="50"/>
    <n v="0"/>
    <n v="0"/>
    <n v="0"/>
    <n v="0"/>
    <n v="0"/>
    <n v="0"/>
    <n v="1"/>
    <n v="1396"/>
    <n v="1855"/>
    <n v="0"/>
    <n v="11.13"/>
    <n v="1843.87"/>
    <n v="0"/>
    <n v="0"/>
    <n v="0"/>
    <n v="447.8699999999999"/>
    <s v="彤子彤"/>
    <s v="河南省 平顶山市 新华区 湖滨路街道新城区 水岸豪庭（祥云路北150米）西门快递柜"/>
    <s v="16696108134-8557"/>
    <m/>
    <n v="1843.87"/>
    <m/>
    <m/>
  </r>
  <r>
    <x v="32"/>
    <s v="已收货"/>
    <s v="2491940714754460056"/>
    <s v="胡"/>
    <m/>
    <m/>
    <s v="1.5米榉木餐边柜"/>
    <x v="9"/>
    <m/>
    <s v="已结算，茶色玻璃"/>
    <s v="江西"/>
    <n v="6076.5"/>
    <n v="4200"/>
    <n v="229"/>
    <n v="907"/>
    <n v="15"/>
    <m/>
    <n v="8.5"/>
    <n v="360"/>
    <s v="22*8"/>
    <m/>
    <m/>
    <n v="181"/>
    <m/>
    <m/>
    <m/>
    <m/>
    <m/>
    <m/>
    <m/>
    <m/>
    <m/>
    <m/>
    <m/>
    <m/>
    <m/>
    <m/>
    <m/>
    <n v="360"/>
    <m/>
    <m/>
    <n v="224"/>
    <n v="71"/>
    <n v="79"/>
    <n v="0"/>
    <n v="0"/>
    <n v="0"/>
    <n v="320.4"/>
    <n v="0"/>
    <n v="1"/>
    <n v="6770.9"/>
    <n v="8267"/>
    <n v="0"/>
    <n v="49.602"/>
    <n v="8217.397999999999"/>
    <n v="0"/>
    <n v="0"/>
    <n v="0"/>
    <n v="1446.498"/>
    <s v="胡"/>
    <s v="江西省 景德镇市 珠山区 竟成镇陶阳北路166号碧桂园昌南府3栋2102室"/>
    <s v="17507980645-1980"/>
    <m/>
    <n v="8217.397999999999"/>
    <m/>
    <m/>
  </r>
  <r>
    <x v="33"/>
    <s v="已收货"/>
    <s v="4261809278853893135"/>
    <s v="向女士"/>
    <m/>
    <m/>
    <s v="原木色1.6米餐桌"/>
    <x v="1"/>
    <s v="160cm*85cm"/>
    <s v="已结算"/>
    <s v="江西"/>
    <n v="1930"/>
    <n v="1800"/>
    <m/>
    <m/>
    <m/>
    <m/>
    <m/>
    <m/>
    <m/>
    <m/>
    <m/>
    <m/>
    <m/>
    <m/>
    <m/>
    <m/>
    <m/>
    <m/>
    <m/>
    <m/>
    <m/>
    <m/>
    <m/>
    <m/>
    <m/>
    <m/>
    <m/>
    <n v="130"/>
    <m/>
    <m/>
    <n v="89"/>
    <n v="51"/>
    <n v="70"/>
    <n v="0"/>
    <n v="0"/>
    <n v="0"/>
    <n v="0"/>
    <n v="0"/>
    <n v="1"/>
    <n v="2140"/>
    <n v="3000"/>
    <n v="0"/>
    <n v="18"/>
    <n v="2982"/>
    <n v="0"/>
    <n v="0"/>
    <n v="0"/>
    <n v="842"/>
    <s v="向女士"/>
    <s v="湖北省 宜昌市 西陵区 西陵街道东山大道99号万佳幸福花园A座1503室"/>
    <s v="18472175596-9424"/>
    <m/>
    <n v="2982"/>
    <m/>
    <n v="0.2823608316566063"/>
  </r>
  <r>
    <x v="34"/>
    <s v="已收货"/>
    <s v="2498039005704365166"/>
    <s v="坤-李锦坤(陈雨恒)"/>
    <m/>
    <m/>
    <s v="砂白色1.3米岩板餐桌，定制"/>
    <x v="1"/>
    <s v="130cm*80cm"/>
    <s v="已结算"/>
    <s v="江西"/>
    <n v="1827.5"/>
    <n v="1450"/>
    <m/>
    <m/>
    <m/>
    <m/>
    <n v="255"/>
    <m/>
    <m/>
    <m/>
    <m/>
    <m/>
    <m/>
    <m/>
    <m/>
    <m/>
    <m/>
    <m/>
    <n v="2.5"/>
    <m/>
    <m/>
    <m/>
    <m/>
    <m/>
    <m/>
    <m/>
    <m/>
    <n v="120"/>
    <m/>
    <m/>
    <n v="93"/>
    <n v="0"/>
    <n v="0"/>
    <n v="0"/>
    <n v="0"/>
    <n v="0"/>
    <n v="0"/>
    <n v="0"/>
    <n v="1"/>
    <n v="1920.5"/>
    <n v="2730"/>
    <n v="0"/>
    <n v="16.38"/>
    <n v="2713.62"/>
    <n v="0"/>
    <n v="0"/>
    <n v="0"/>
    <n v="793.1199999999999"/>
    <s v="坤-李锦坤(陈雨恒)"/>
    <s v="广东省 广州市 白云区 大源街道石湖村镇东路148号+KA250208E,陈雨恒"/>
    <s v="18466101944-8682"/>
    <m/>
    <n v="2713.62"/>
    <m/>
    <n v="0.2922737892556806"/>
  </r>
  <r>
    <x v="35"/>
    <s v="已收货"/>
    <s v="2498412612251020886"/>
    <s v="孙先生"/>
    <m/>
    <m/>
    <s v="1.5榉木旋转柜：1.5米+1.2米单腿岩板餐桌"/>
    <x v="2"/>
    <n v="1500"/>
    <s v="已结算，茶色玻璃"/>
    <s v="江西"/>
    <n v="6672"/>
    <n v="4600"/>
    <m/>
    <m/>
    <m/>
    <m/>
    <m/>
    <n v="50"/>
    <n v="38"/>
    <m/>
    <m/>
    <n v="499"/>
    <n v="198"/>
    <n v="36"/>
    <m/>
    <m/>
    <m/>
    <m/>
    <n v="490"/>
    <n v="20"/>
    <m/>
    <m/>
    <m/>
    <m/>
    <m/>
    <m/>
    <m/>
    <n v="490"/>
    <m/>
    <m/>
    <n v="399"/>
    <n v="90"/>
    <n v="158"/>
    <n v="0"/>
    <n v="0"/>
    <n v="0"/>
    <n v="0"/>
    <n v="0"/>
    <n v="1"/>
    <n v="7319"/>
    <n v="8500"/>
    <n v="0"/>
    <n v="51"/>
    <n v="8449"/>
    <n v="0"/>
    <n v="0"/>
    <n v="0"/>
    <n v="1130"/>
    <s v="孙先生"/>
    <s v="上海 上海市 闵行区 七宝镇紫琅路 188号 天安1号 C区 5号楼 302室"/>
    <s v="18466655154-6826"/>
    <m/>
    <n v="8449"/>
    <m/>
    <m/>
  </r>
  <r>
    <x v="36"/>
    <s v="已收货"/>
    <s v="4266274177185591234"/>
    <s v="夏两"/>
    <m/>
    <m/>
    <s v="1.34米洞石整柜 "/>
    <x v="3"/>
    <n v="1340"/>
    <s v="已结算，灰色玻璃"/>
    <s v="江西"/>
    <n v="7790.48"/>
    <n v="5450"/>
    <n v="460"/>
    <n v="320"/>
    <s v="22*9"/>
    <m/>
    <n v="84"/>
    <n v="14"/>
    <n v="7"/>
    <m/>
    <m/>
    <n v="459.48"/>
    <s v="52*2"/>
    <n v="14"/>
    <m/>
    <m/>
    <m/>
    <m/>
    <n v="280"/>
    <n v="340"/>
    <n v="60"/>
    <m/>
    <m/>
    <m/>
    <m/>
    <m/>
    <m/>
    <n v="340"/>
    <m/>
    <m/>
    <n v="611"/>
    <n v="88"/>
    <n v="136"/>
    <n v="0"/>
    <n v="0"/>
    <n v="0"/>
    <n v="100"/>
    <n v="0"/>
    <n v="1"/>
    <n v="8725.48"/>
    <n v="10480"/>
    <n v="0"/>
    <n v="62.88"/>
    <n v="10417.12"/>
    <n v="0"/>
    <n v="0"/>
    <n v="0"/>
    <n v="1691.640000000001"/>
    <s v="夏两"/>
    <s v="北京 北京市 海淀区 上地街道朱房路上地南路6号院小区 2号楼10单元602"/>
    <s v="18400847404-3162"/>
    <m/>
    <n v="10417.12"/>
    <m/>
    <m/>
  </r>
  <r>
    <x v="36"/>
    <s v="已收货"/>
    <s v="4267294310334579044"/>
    <s v="李媛媛"/>
    <s v="已发  7.8是赠送的木蜡油"/>
    <m/>
    <s v="樱桃木黑色岩板餐桌"/>
    <x v="11"/>
    <s v="180cm*85cm"/>
    <s v="已结算"/>
    <s v="江西"/>
    <n v="1414.32"/>
    <n v="1000"/>
    <m/>
    <m/>
    <m/>
    <m/>
    <n v="224.02"/>
    <m/>
    <m/>
    <m/>
    <m/>
    <m/>
    <m/>
    <m/>
    <m/>
    <m/>
    <m/>
    <m/>
    <n v="2.5"/>
    <m/>
    <m/>
    <m/>
    <m/>
    <m/>
    <n v="7.8"/>
    <m/>
    <m/>
    <n v="180"/>
    <m/>
    <m/>
    <n v="105"/>
    <n v="0"/>
    <n v="75"/>
    <n v="0"/>
    <n v="0"/>
    <n v="0"/>
    <n v="0"/>
    <n v="495"/>
    <n v="1"/>
    <n v="2089.32"/>
    <n v="2478.5"/>
    <n v="0"/>
    <n v="14.871"/>
    <n v="2463.629"/>
    <n v="0"/>
    <n v="0"/>
    <n v="0"/>
    <n v="374.3090000000002"/>
    <s v="李媛媛"/>
    <s v="贵州省 贵阳市 观山湖区 长岭街道阅山湖越麓E组团7栋2单元25层4号房"/>
    <s v="18400306338-829"/>
    <m/>
    <n v="2463.629"/>
    <m/>
    <m/>
  </r>
  <r>
    <x v="37"/>
    <s v="已收货"/>
    <s v="4267108009842534503"/>
    <s v="卓子越"/>
    <m/>
    <m/>
    <s v="旋转柜右旋：1.8米+1.4米单腿餐桌，樱桃木，黑色洞洞板，黑色岩板台面"/>
    <x v="2"/>
    <n v="1800"/>
    <s v="已结算，茶色玻璃"/>
    <s v="江西"/>
    <n v="8057.5"/>
    <n v="5700"/>
    <m/>
    <m/>
    <m/>
    <m/>
    <m/>
    <n v="22"/>
    <n v="42.5"/>
    <m/>
    <m/>
    <n v="229"/>
    <n v="198"/>
    <n v="36"/>
    <m/>
    <m/>
    <m/>
    <m/>
    <n v="400"/>
    <n v="52"/>
    <m/>
    <m/>
    <m/>
    <m/>
    <m/>
    <m/>
    <m/>
    <n v="400"/>
    <m/>
    <m/>
    <n v="537"/>
    <n v="100"/>
    <n v="128"/>
    <n v="0"/>
    <n v="0"/>
    <n v="0"/>
    <n v="487.7"/>
    <n v="0"/>
    <n v="1"/>
    <n v="9310.200000000001"/>
    <n v="11265.46"/>
    <n v="0"/>
    <n v="67.59276"/>
    <n v="11197.86724"/>
    <n v="0"/>
    <n v="0"/>
    <n v="0"/>
    <n v="1887.667239999999"/>
    <s v="卓子越"/>
    <s v="广东省 广州市 增城区 中新镇御溪世家二期24栋1505室(已交楼 送上门)"/>
    <s v="15821368355"/>
    <m/>
    <n v="11197.86724"/>
    <m/>
    <m/>
  </r>
  <r>
    <x v="37"/>
    <s v="已收货"/>
    <s v="2501645484948556694"/>
    <s v="07569海外客户"/>
    <m/>
    <m/>
    <s v="旋转柜左旋：欧标电源+2国际通用插座，1.6 洞洞板餐边柜+1.2单腿餐桌，樱桃木"/>
    <x v="2"/>
    <n v="1600"/>
    <s v="已结算，茶色玻璃"/>
    <s v="江西"/>
    <n v="7625.86"/>
    <n v="5600"/>
    <m/>
    <m/>
    <m/>
    <m/>
    <m/>
    <n v="24.86"/>
    <n v="630"/>
    <m/>
    <m/>
    <n v="22"/>
    <n v="198"/>
    <n v="45"/>
    <m/>
    <m/>
    <m/>
    <m/>
    <m/>
    <m/>
    <m/>
    <m/>
    <m/>
    <m/>
    <m/>
    <m/>
    <m/>
    <n v="630"/>
    <m/>
    <m/>
    <n v="405"/>
    <n v="100"/>
    <n v="0"/>
    <n v="0"/>
    <n v="0"/>
    <n v="0"/>
    <n v="118"/>
    <n v="0"/>
    <n v="1"/>
    <n v="8248.860000000001"/>
    <n v="10388"/>
    <n v="0"/>
    <n v="62.328"/>
    <n v="10325.672"/>
    <n v="0"/>
    <n v="0"/>
    <n v="0"/>
    <n v="2076.812"/>
    <s v="07569海外客户"/>
    <s v="广东省 深圳市 宝安区 福海街道安讯海通电商产业园9号楼D单元403（07569）"/>
    <s v="15794934808-7446"/>
    <m/>
    <n v="10325.672"/>
    <m/>
    <m/>
  </r>
  <r>
    <x v="37"/>
    <s v="已收货"/>
    <s v="2501750678269683659"/>
    <s v="李"/>
    <m/>
    <m/>
    <s v="旋转柜左旋：3个插座，1.6 洞石背板餐边柜+1.2洞石岩板餐桌（9mm薄板），樱桃木"/>
    <x v="2"/>
    <n v="1600"/>
    <s v="已结算，茶色玻璃"/>
    <s v="江西"/>
    <n v="8074.08"/>
    <n v="5700"/>
    <m/>
    <m/>
    <m/>
    <m/>
    <m/>
    <s v="50*2"/>
    <m/>
    <m/>
    <m/>
    <n v="36"/>
    <n v="198"/>
    <n v="270"/>
    <m/>
    <m/>
    <m/>
    <m/>
    <n v="360"/>
    <n v="410"/>
    <m/>
    <m/>
    <m/>
    <m/>
    <m/>
    <m/>
    <m/>
    <n v="410"/>
    <m/>
    <m/>
    <n v="649"/>
    <n v="96"/>
    <n v="128"/>
    <n v="0"/>
    <n v="0"/>
    <n v="0"/>
    <n v="0"/>
    <n v="0"/>
    <n v="1"/>
    <n v="8947.08"/>
    <n v="11450"/>
    <n v="0"/>
    <n v="68.7"/>
    <n v="11381.3"/>
    <n v="0"/>
    <n v="0"/>
    <n v="0"/>
    <n v="2434.219999999999"/>
    <s v="李"/>
    <s v="北京 北京市 昌平区 东小口镇建材城东路奥海明月南区B6号楼3单元902室"/>
    <s v="13164247864-9866"/>
    <m/>
    <n v="11381.3"/>
    <m/>
    <m/>
  </r>
  <r>
    <x v="38"/>
    <s v="已收货"/>
    <s v="2502828337751731567"/>
    <s v="好傢裝46337"/>
    <m/>
    <m/>
    <s v="1.2榉木白色岩板餐边柜+62cm白色岩板鞋柜"/>
    <x v="9"/>
    <m/>
    <s v="已结算，茶色玻璃"/>
    <s v="江西"/>
    <n v="6474"/>
    <n v="4750"/>
    <n v="140"/>
    <n v="60"/>
    <n v="300"/>
    <m/>
    <n v="421"/>
    <s v="60*2"/>
    <n v="330"/>
    <m/>
    <m/>
    <n v="140"/>
    <n v="59"/>
    <s v="22*7"/>
    <m/>
    <m/>
    <m/>
    <m/>
    <m/>
    <m/>
    <m/>
    <m/>
    <m/>
    <m/>
    <m/>
    <m/>
    <m/>
    <n v="470"/>
    <m/>
    <m/>
    <n v="299"/>
    <n v="92"/>
    <n v="0"/>
    <n v="0"/>
    <n v="0"/>
    <n v="0"/>
    <n v="0"/>
    <n v="0"/>
    <n v="1"/>
    <n v="6865"/>
    <n v="11350"/>
    <n v="0"/>
    <n v="68.09999999999999"/>
    <n v="11281.9"/>
    <n v="0"/>
    <n v="0"/>
    <n v="0"/>
    <n v="4416.9"/>
    <s v="好傢裝46337"/>
    <s v="广东省深圳市龙岗区布吉街道金运路储巷138号云储大厦好家装集运+#     46337(須提供包裝圖、件數、子單號(如有)及在包裝上寫好傢裝#46337)"/>
    <s v="13823547788"/>
    <m/>
    <n v="11281.9"/>
    <m/>
    <m/>
  </r>
  <r>
    <x v="38"/>
    <s v="已收货"/>
    <s v="4270703076089677809"/>
    <s v="梁先生"/>
    <s v="材料费2200已经抵扣，打包费用没出"/>
    <m/>
    <s v="樱桃木，5行3列加厚书柜"/>
    <x v="12"/>
    <m/>
    <s v="已结算"/>
    <s v="江西"/>
    <n v="7708.2"/>
    <n v="5000"/>
    <n v="178.2"/>
    <n v="30"/>
    <n v="300"/>
    <m/>
    <n v="2200"/>
    <m/>
    <m/>
    <m/>
    <m/>
    <m/>
    <m/>
    <m/>
    <m/>
    <m/>
    <m/>
    <m/>
    <m/>
    <m/>
    <m/>
    <m/>
    <m/>
    <m/>
    <m/>
    <m/>
    <m/>
    <n v="110"/>
    <m/>
    <m/>
    <n v="323"/>
    <n v="92"/>
    <n v="328"/>
    <n v="0"/>
    <n v="0"/>
    <n v="0"/>
    <n v="20"/>
    <n v="0"/>
    <n v="1"/>
    <n v="8471.200000000001"/>
    <n v="18400"/>
    <n v="0"/>
    <n v="110.4"/>
    <n v="18289.6"/>
    <n v="60"/>
    <n v="0"/>
    <n v="60"/>
    <n v="9878.399999999998"/>
    <s v="梁先生"/>
    <s v="山东省 济宁市 任城区许庄街道济宁大道与火炬南路交汇处青建·白鹭洲 C8-3 "/>
    <s v="17895472356-2776"/>
    <m/>
    <n v="18289.6"/>
    <m/>
    <m/>
  </r>
  <r>
    <x v="38"/>
    <s v="已收货"/>
    <s v="4270703076089677809"/>
    <s v="梁先生"/>
    <s v="已发，发新桌面，手控，打包费用没出"/>
    <m/>
    <s v="升降桌：樱桃木，1.9带高台版"/>
    <x v="8"/>
    <n v="1900"/>
    <s v="已结算"/>
    <s v="江西"/>
    <n v="3647.4"/>
    <n v="1900"/>
    <n v="90"/>
    <n v="68.59999999999999"/>
    <n v="32"/>
    <m/>
    <n v="990"/>
    <n v="110"/>
    <n v="66.90000000000001"/>
    <m/>
    <m/>
    <n v="79.90000000000001"/>
    <n v="10"/>
    <n v="300"/>
    <m/>
    <m/>
    <m/>
    <m/>
    <m/>
    <m/>
    <m/>
    <m/>
    <n v="152"/>
    <m/>
    <m/>
    <m/>
    <m/>
    <n v="30"/>
    <m/>
    <m/>
    <n v="0"/>
    <n v="0"/>
    <n v="0"/>
    <n v="0"/>
    <n v="0"/>
    <n v="0"/>
    <n v="61.9"/>
    <n v="0"/>
    <n v="1"/>
    <n v="3709.3"/>
    <n v="0"/>
    <n v="0"/>
    <n v="0"/>
    <n v="0"/>
    <n v="0"/>
    <n v="0"/>
    <n v="0"/>
    <n v="-3709.3"/>
    <s v="梁先生"/>
    <s v="山东省 济宁市 任城区许庄街道济宁大道与火炬南路交汇处青建·白鹭洲 C8-3 "/>
    <s v="17895472356-2776"/>
    <m/>
    <n v="0"/>
    <m/>
    <m/>
  </r>
  <r>
    <x v="38"/>
    <s v="已收货"/>
    <s v="4272738159694403130"/>
    <s v="田先生"/>
    <m/>
    <m/>
    <s v="旋转柜左旋，1.55 洞石背板上柜+1.35双腿白色岩板餐桌"/>
    <x v="2"/>
    <n v="1550"/>
    <s v="已结算，灰色玻璃"/>
    <s v="江西"/>
    <n v="8414.58"/>
    <n v="6150"/>
    <m/>
    <m/>
    <m/>
    <m/>
    <m/>
    <n v="14"/>
    <n v="8.5"/>
    <m/>
    <m/>
    <n v="7"/>
    <n v="132"/>
    <s v="52*2"/>
    <m/>
    <m/>
    <m/>
    <m/>
    <n v="490"/>
    <n v="14"/>
    <n v="42"/>
    <m/>
    <m/>
    <m/>
    <m/>
    <m/>
    <m/>
    <n v="490"/>
    <m/>
    <m/>
    <n v="478"/>
    <n v="152"/>
    <n v="238"/>
    <n v="0"/>
    <n v="0"/>
    <n v="0"/>
    <n v="100"/>
    <n v="0"/>
    <n v="1"/>
    <n v="9382.58"/>
    <n v="12000"/>
    <n v="0"/>
    <n v="72"/>
    <n v="11928"/>
    <n v="0"/>
    <n v="0"/>
    <n v="0"/>
    <n v="2545.42"/>
    <s v="田先生"/>
    <s v="广东省 珠海市 香洲区 湾仔街道琴澳新城6期3栋703"/>
    <s v="18466384163-8432"/>
    <m/>
    <n v="11928"/>
    <m/>
    <m/>
  </r>
  <r>
    <x v="39"/>
    <s v="退单"/>
    <s v="2507040841116417481"/>
    <s v="陈柳"/>
    <m/>
    <m/>
    <s v="黑色岩板榉木餐桌：180*85"/>
    <x v="4"/>
    <s v="180cm*85cm"/>
    <m/>
    <s v="江西"/>
    <n v="0"/>
    <n v="0"/>
    <m/>
    <m/>
    <m/>
    <m/>
    <m/>
    <m/>
    <m/>
    <m/>
    <m/>
    <m/>
    <m/>
    <m/>
    <m/>
    <m/>
    <m/>
    <m/>
    <m/>
    <m/>
    <m/>
    <m/>
    <m/>
    <m/>
    <m/>
    <m/>
    <m/>
    <m/>
    <m/>
    <m/>
    <m/>
    <m/>
    <m/>
    <n v="0"/>
    <n v="0"/>
    <n v="0"/>
    <n v="0"/>
    <n v="0"/>
    <n v="1"/>
    <n v="0"/>
    <n v="0"/>
    <n v="0"/>
    <n v="0"/>
    <n v="0"/>
    <n v="0"/>
    <n v="0"/>
    <n v="0"/>
    <n v="0"/>
    <s v="陈柳"/>
    <s v="浙江省 湖州市 德清县 新市镇新市振兴路120号"/>
    <s v="15785482755-1425"/>
    <m/>
    <m/>
    <m/>
    <m/>
  </r>
  <r>
    <x v="40"/>
    <s v="已收货"/>
    <s v="2507920933320711398"/>
    <s v="小王"/>
    <m/>
    <m/>
    <s v="1.5榉木餐边柜"/>
    <x v="9"/>
    <n v="1500"/>
    <s v="已结算"/>
    <s v="江西"/>
    <n v="5869.5"/>
    <n v="3900"/>
    <n v="229"/>
    <n v="907"/>
    <n v="50"/>
    <m/>
    <n v="370"/>
    <n v="15"/>
    <n v="8.5"/>
    <m/>
    <m/>
    <s v="22*5"/>
    <n v="280"/>
    <m/>
    <m/>
    <m/>
    <m/>
    <m/>
    <m/>
    <m/>
    <m/>
    <m/>
    <m/>
    <m/>
    <m/>
    <m/>
    <m/>
    <n v="280"/>
    <m/>
    <m/>
    <n v="521"/>
    <n v="71"/>
    <n v="128"/>
    <n v="0"/>
    <n v="240"/>
    <n v="0"/>
    <n v="8.33"/>
    <n v="215"/>
    <n v="1"/>
    <n v="7052.83"/>
    <n v="7443.97"/>
    <n v="0"/>
    <n v="44.66382"/>
    <n v="7399.30618"/>
    <n v="0"/>
    <n v="100"/>
    <n v="100"/>
    <n v="446.4761800000006"/>
    <s v="小王"/>
    <s v="吉林省 长春市 南关区 幸福乡国信中央新城峯境1期3-1-701"/>
    <s v="17896111870-2708"/>
    <m/>
    <n v="7399.30618"/>
    <m/>
    <m/>
  </r>
  <r>
    <x v="40"/>
    <s v="已收货"/>
    <s v="2507242332351111585"/>
    <s v="王晴宇"/>
    <m/>
    <m/>
    <s v="榉木洞石下柜：2100*500*880"/>
    <x v="3"/>
    <n v="2100"/>
    <s v="已结算，灰色玻璃"/>
    <s v="江西"/>
    <n v="5454.4"/>
    <n v="3800"/>
    <s v="22*7"/>
    <n v="8.5"/>
    <n v="665.4"/>
    <m/>
    <n v="427"/>
    <m/>
    <n v="250"/>
    <m/>
    <m/>
    <n v="90"/>
    <n v="20"/>
    <m/>
    <m/>
    <m/>
    <m/>
    <m/>
    <m/>
    <m/>
    <m/>
    <m/>
    <m/>
    <m/>
    <m/>
    <m/>
    <m/>
    <n v="250"/>
    <m/>
    <m/>
    <n v="664"/>
    <n v="0"/>
    <n v="268"/>
    <n v="0"/>
    <n v="0"/>
    <n v="0"/>
    <n v="112.06"/>
    <n v="0"/>
    <n v="1"/>
    <n v="6498.46"/>
    <n v="8689"/>
    <n v="0"/>
    <n v="52.134"/>
    <n v="8636.866"/>
    <n v="0"/>
    <n v="0"/>
    <n v="0"/>
    <n v="2138.406"/>
    <s v="王晴宇"/>
    <s v="北京 北京市 昌平区 龙泽园街道科星西路90号院国风美唐二期19号楼13层3单元1303"/>
    <s v="18400985984-6930"/>
    <m/>
    <n v="8636.866"/>
    <m/>
    <m/>
  </r>
  <r>
    <x v="40"/>
    <s v="已收货"/>
    <s v="2507463876424111585"/>
    <s v="王晴宇"/>
    <s v="已发，189磕碰需要抵扣给物流"/>
    <m/>
    <s v="砂白色2.0米岩板餐桌"/>
    <x v="1"/>
    <s v="200cm*85cm"/>
    <s v="已结算"/>
    <s v="江西"/>
    <n v="2272.5"/>
    <n v="1630"/>
    <m/>
    <m/>
    <m/>
    <m/>
    <n v="510"/>
    <m/>
    <m/>
    <m/>
    <m/>
    <m/>
    <m/>
    <m/>
    <m/>
    <m/>
    <m/>
    <m/>
    <n v="2.5"/>
    <m/>
    <m/>
    <m/>
    <m/>
    <m/>
    <m/>
    <m/>
    <m/>
    <n v="130"/>
    <m/>
    <m/>
    <n v="250"/>
    <n v="50"/>
    <n v="0"/>
    <n v="0"/>
    <n v="189"/>
    <n v="0"/>
    <n v="0"/>
    <n v="0"/>
    <n v="1"/>
    <n v="2761.5"/>
    <n v="3688.92"/>
    <n v="0"/>
    <n v="22.13352"/>
    <n v="3666.78648"/>
    <n v="0"/>
    <n v="0"/>
    <n v="0"/>
    <n v="905.2864800000002"/>
    <s v="王晴宇"/>
    <s v="北京 北京市 昌平区 龙泽园街道科星西路90号院国风美唐二期19号楼13层3单元1303"/>
    <s v="18400985984-6930"/>
    <m/>
    <n v="3666.78648"/>
    <m/>
    <m/>
  </r>
  <r>
    <x v="41"/>
    <s v="退单"/>
    <s v="4275888336746434127"/>
    <s v="杨女士"/>
    <m/>
    <m/>
    <s v="樱桃木实木餐桌：120cm*85cm*75cm"/>
    <x v="13"/>
    <s v="120cm*85cm"/>
    <s v="已结算"/>
    <s v="江西"/>
    <n v="0"/>
    <n v="0"/>
    <m/>
    <m/>
    <m/>
    <m/>
    <m/>
    <m/>
    <m/>
    <m/>
    <m/>
    <m/>
    <m/>
    <m/>
    <m/>
    <m/>
    <m/>
    <m/>
    <m/>
    <m/>
    <m/>
    <m/>
    <m/>
    <m/>
    <m/>
    <m/>
    <m/>
    <m/>
    <m/>
    <m/>
    <m/>
    <m/>
    <m/>
    <m/>
    <m/>
    <m/>
    <m/>
    <m/>
    <n v="1"/>
    <n v="0"/>
    <m/>
    <n v="0"/>
    <n v="0"/>
    <n v="0"/>
    <n v="0"/>
    <n v="0"/>
    <n v="0"/>
    <m/>
    <s v="杨女士"/>
    <s v="上海 上海市 闵行区 莘庄镇景和茗苑1号301室"/>
    <s v="18466705746-2776"/>
    <m/>
    <m/>
    <m/>
    <m/>
  </r>
  <r>
    <x v="42"/>
    <s v="已收货"/>
    <s v="4277572347353875902"/>
    <s v="歐陽泳逸"/>
    <m/>
    <m/>
    <s v="樱桃木旋转柜：洞洞板1.6 黑色岩板台面整柜+1.1单腿白色岩板餐桌"/>
    <x v="2"/>
    <n v="1600"/>
    <s v="已结算，茶色玻璃"/>
    <s v="江西"/>
    <n v="7547"/>
    <n v="5600"/>
    <m/>
    <m/>
    <m/>
    <m/>
    <m/>
    <n v="229"/>
    <n v="160"/>
    <m/>
    <m/>
    <n v="22"/>
    <n v="132"/>
    <n v="280"/>
    <m/>
    <m/>
    <m/>
    <m/>
    <m/>
    <n v="52"/>
    <m/>
    <m/>
    <m/>
    <m/>
    <m/>
    <m/>
    <m/>
    <n v="450"/>
    <m/>
    <m/>
    <n v="370"/>
    <n v="0"/>
    <n v="139"/>
    <n v="0"/>
    <n v="0"/>
    <n v="0"/>
    <n v="0"/>
    <n v="0"/>
    <n v="1"/>
    <n v="8056"/>
    <n v="10707.05"/>
    <n v="0"/>
    <n v="64.2423"/>
    <n v="10642.8077"/>
    <n v="0"/>
    <n v="0"/>
    <n v="0"/>
    <n v="2586.807699999999"/>
    <s v="歐陽泳逸"/>
    <s v="广东省 深圳市 龙岗区 宝龙街道龍新社區大圍二區13號和興公司"/>
    <s v="13143970527"/>
    <m/>
    <n v="10642.8077"/>
    <m/>
    <m/>
  </r>
  <r>
    <x v="43"/>
    <s v="已收货"/>
    <s v="4278801566206989926"/>
    <s v="陈宇星"/>
    <m/>
    <m/>
    <s v="樱桃木旋转柜：洞洞板1.8 白色岩板台面整柜+1.5单腿白色岩板餐桌"/>
    <x v="2"/>
    <n v="1800"/>
    <s v="已结算，茶色玻璃"/>
    <s v="江西"/>
    <n v="7969"/>
    <n v="5800"/>
    <m/>
    <m/>
    <m/>
    <m/>
    <m/>
    <n v="229"/>
    <n v="229"/>
    <m/>
    <m/>
    <n v="52"/>
    <n v="198"/>
    <n v="22"/>
    <m/>
    <m/>
    <m/>
    <m/>
    <m/>
    <n v="300"/>
    <m/>
    <m/>
    <m/>
    <m/>
    <m/>
    <m/>
    <m/>
    <n v="410"/>
    <m/>
    <m/>
    <n v="613"/>
    <n v="100"/>
    <n v="179"/>
    <n v="0"/>
    <n v="0"/>
    <n v="0"/>
    <n v="0"/>
    <n v="0"/>
    <n v="1"/>
    <n v="8861"/>
    <n v="11905"/>
    <n v="0"/>
    <n v="71.43000000000001"/>
    <n v="11833.57"/>
    <n v="0"/>
    <n v="0"/>
    <n v="0"/>
    <n v="2972.57"/>
    <s v="陈宇星"/>
    <s v="河北省 石家庄市 长安区 跃进街道安馨佳苑(建设中)5-2-2603"/>
    <s v="15511683474-8547"/>
    <m/>
    <n v="11833.57"/>
    <m/>
    <m/>
  </r>
  <r>
    <x v="43"/>
    <s v="已收货"/>
    <s v="4279235833499286423"/>
    <s v="马妍"/>
    <m/>
    <m/>
    <s v="洞石色1.8米岩板餐桌，蜜蜡色"/>
    <x v="1"/>
    <m/>
    <s v="已结算"/>
    <s v="江西"/>
    <n v="2172"/>
    <n v="1580"/>
    <m/>
    <m/>
    <m/>
    <m/>
    <n v="459.5"/>
    <m/>
    <m/>
    <m/>
    <m/>
    <m/>
    <m/>
    <m/>
    <m/>
    <m/>
    <m/>
    <m/>
    <n v="2.5"/>
    <m/>
    <m/>
    <m/>
    <m/>
    <m/>
    <m/>
    <m/>
    <m/>
    <n v="130"/>
    <m/>
    <m/>
    <n v="106"/>
    <n v="56"/>
    <n v="60"/>
    <n v="0"/>
    <n v="0"/>
    <n v="0"/>
    <n v="0"/>
    <n v="0"/>
    <n v="1"/>
    <n v="2394"/>
    <n v="3110.79"/>
    <n v="0"/>
    <n v="18.66474"/>
    <n v="3092.12526"/>
    <n v="0"/>
    <n v="0"/>
    <n v="0"/>
    <n v="698.1252599999998"/>
    <s v="马妍"/>
    <s v="江苏省 镇江市 句容市 华阳街道高骊山路旭辉宸品1-401"/>
    <s v="18466821279-6194"/>
    <m/>
    <n v="3092.12526"/>
    <m/>
    <m/>
  </r>
  <r>
    <x v="43"/>
    <s v="已收货"/>
    <s v="4279515048968286423"/>
    <s v="马妍"/>
    <m/>
    <m/>
    <s v="蜜蜡色样块"/>
    <x v="0"/>
    <m/>
    <s v="已结算"/>
    <s v="杭州"/>
    <n v="7"/>
    <n v="5"/>
    <m/>
    <m/>
    <m/>
    <m/>
    <m/>
    <m/>
    <m/>
    <m/>
    <m/>
    <m/>
    <m/>
    <m/>
    <m/>
    <m/>
    <m/>
    <m/>
    <m/>
    <m/>
    <m/>
    <m/>
    <m/>
    <m/>
    <m/>
    <m/>
    <m/>
    <n v="2"/>
    <m/>
    <m/>
    <n v="5"/>
    <n v="0"/>
    <n v="0"/>
    <n v="0"/>
    <n v="0"/>
    <n v="0"/>
    <n v="0"/>
    <n v="0"/>
    <n v="1"/>
    <n v="12"/>
    <n v="25"/>
    <n v="0"/>
    <n v="0.15"/>
    <n v="24.85"/>
    <n v="0"/>
    <n v="0"/>
    <n v="0"/>
    <n v="12.85"/>
    <s v="马妍"/>
    <s v="江苏省 镇江市 句容市 华阳街道高骊山路旭辉宸品1-401"/>
    <s v="18466821279-6194"/>
    <m/>
    <n v="24.85"/>
    <m/>
    <m/>
  </r>
  <r>
    <x v="44"/>
    <s v="已收货"/>
    <s v="4279402837029500549"/>
    <s v=" Jenny Li"/>
    <m/>
    <m/>
    <s v="樱桃木样块"/>
    <x v="0"/>
    <m/>
    <s v="已结算"/>
    <s v="杭州"/>
    <n v="7"/>
    <n v="5"/>
    <m/>
    <m/>
    <m/>
    <m/>
    <m/>
    <m/>
    <m/>
    <m/>
    <m/>
    <m/>
    <m/>
    <m/>
    <m/>
    <m/>
    <m/>
    <m/>
    <m/>
    <m/>
    <m/>
    <m/>
    <m/>
    <m/>
    <m/>
    <m/>
    <m/>
    <n v="2"/>
    <m/>
    <m/>
    <n v="5"/>
    <n v="0"/>
    <n v="0"/>
    <n v="0"/>
    <n v="0"/>
    <n v="0"/>
    <n v="0"/>
    <n v="0"/>
    <n v="1"/>
    <n v="12"/>
    <n v="25"/>
    <n v="0"/>
    <n v="0.15"/>
    <n v="24.85"/>
    <n v="0"/>
    <n v="0"/>
    <n v="0"/>
    <n v="12.85"/>
    <s v=" Jenny Li"/>
    <s v="江苏省苏州市昆山市花桥镇悦城b座103菜鸟驿站"/>
    <s v="17895040260-2562"/>
    <m/>
    <n v="24.85"/>
    <m/>
    <m/>
  </r>
  <r>
    <x v="44"/>
    <s v="已收货"/>
    <s v="2511883848333357899"/>
    <s v="张s"/>
    <s v="已发，岩板破损补发240"/>
    <m/>
    <s v="砂白色1.6米岩板餐桌"/>
    <x v="1"/>
    <s v="160cm*85cm"/>
    <s v="已结算"/>
    <s v="江西"/>
    <n v="2182.5"/>
    <n v="1520"/>
    <m/>
    <m/>
    <m/>
    <m/>
    <n v="480"/>
    <m/>
    <m/>
    <m/>
    <m/>
    <m/>
    <m/>
    <m/>
    <m/>
    <m/>
    <m/>
    <m/>
    <n v="2.5"/>
    <m/>
    <m/>
    <m/>
    <m/>
    <m/>
    <m/>
    <m/>
    <m/>
    <n v="180"/>
    <m/>
    <m/>
    <n v="138"/>
    <n v="61"/>
    <n v="96"/>
    <n v="0"/>
    <n v="0"/>
    <n v="0"/>
    <n v="0"/>
    <n v="163"/>
    <n v="1"/>
    <n v="2640.5"/>
    <n v="2940"/>
    <n v="0"/>
    <n v="17.64"/>
    <n v="2922.36"/>
    <n v="0"/>
    <n v="0"/>
    <n v="0"/>
    <n v="281.8600000000001"/>
    <s v="张s"/>
    <s v="江苏省 苏州市 虎丘区 狮山街道君地风华1幢801"/>
    <s v="17851499129-1856"/>
    <m/>
    <n v="2922.36"/>
    <m/>
    <m/>
  </r>
  <r>
    <x v="44"/>
    <s v="已收货"/>
    <s v="2512708861489474265"/>
    <s v="刘斌"/>
    <s v="已发，搬运125"/>
    <m/>
    <s v="2.1米整柜不带桌?2插座"/>
    <x v="2"/>
    <n v="2100"/>
    <s v="已结算"/>
    <s v="江西"/>
    <n v="8249"/>
    <n v="5600"/>
    <m/>
    <m/>
    <m/>
    <m/>
    <m/>
    <n v="22"/>
    <n v="52"/>
    <m/>
    <m/>
    <n v="300"/>
    <n v="198"/>
    <n v="440"/>
    <m/>
    <m/>
    <m/>
    <m/>
    <m/>
    <n v="42"/>
    <m/>
    <m/>
    <m/>
    <m/>
    <m/>
    <m/>
    <m/>
    <n v="440"/>
    <m/>
    <m/>
    <n v="389"/>
    <n v="225"/>
    <n v="258"/>
    <n v="0"/>
    <n v="0"/>
    <n v="0"/>
    <n v="0"/>
    <n v="0"/>
    <n v="1"/>
    <n v="9121"/>
    <n v="11195"/>
    <n v="0"/>
    <n v="67.17"/>
    <n v="11127.83"/>
    <n v="0"/>
    <n v="0"/>
    <n v="0"/>
    <n v="2006.83"/>
    <s v="刘斌"/>
    <s v="浙江省 湖州市 安吉县 孝丰镇 苕源路88号五峰山运动村松月半岛31-2"/>
    <s v="15785477594-8634"/>
    <m/>
    <n v="11127.83"/>
    <m/>
    <m/>
  </r>
  <r>
    <x v="45"/>
    <s v="已收货"/>
    <s v="2513235325476258466"/>
    <s v="张悦"/>
    <m/>
    <m/>
    <s v="洞石色1.4米岩板餐桌"/>
    <x v="1"/>
    <s v="140cm*85cm"/>
    <s v="已结算"/>
    <s v="江西"/>
    <n v="2112.5"/>
    <n v="1480"/>
    <m/>
    <m/>
    <m/>
    <m/>
    <n v="460"/>
    <m/>
    <m/>
    <m/>
    <m/>
    <m/>
    <m/>
    <m/>
    <m/>
    <m/>
    <m/>
    <m/>
    <n v="2.5"/>
    <m/>
    <m/>
    <m/>
    <m/>
    <m/>
    <m/>
    <m/>
    <m/>
    <n v="170"/>
    <m/>
    <m/>
    <n v="86"/>
    <n v="72"/>
    <n v="78"/>
    <n v="0"/>
    <n v="0"/>
    <n v="0"/>
    <n v="0"/>
    <n v="0"/>
    <n v="1"/>
    <n v="2348.5"/>
    <n v="2775"/>
    <n v="0"/>
    <n v="16.65"/>
    <n v="2758.35"/>
    <n v="0"/>
    <n v="0"/>
    <n v="0"/>
    <n v="409.8499999999999"/>
    <s v="张悦"/>
    <s v="上海上海市 静安区 彭浦镇大华阳城花园22号楼401室"/>
    <s v="18466652930-9645"/>
    <m/>
    <n v="2758.35"/>
    <m/>
    <m/>
  </r>
  <r>
    <x v="46"/>
    <s v="已收货"/>
    <s v="2515408356519648755"/>
    <s v="大陈"/>
    <m/>
    <m/>
    <s v="樱桃木样块"/>
    <x v="0"/>
    <m/>
    <s v="已结算"/>
    <s v="杭州"/>
    <n v="7"/>
    <n v="5"/>
    <m/>
    <m/>
    <m/>
    <m/>
    <m/>
    <m/>
    <m/>
    <m/>
    <m/>
    <m/>
    <m/>
    <m/>
    <m/>
    <m/>
    <m/>
    <m/>
    <m/>
    <m/>
    <m/>
    <m/>
    <m/>
    <m/>
    <m/>
    <m/>
    <m/>
    <n v="2"/>
    <m/>
    <m/>
    <n v="5"/>
    <n v="0"/>
    <n v="0"/>
    <n v="0"/>
    <n v="0"/>
    <n v="0"/>
    <n v="0"/>
    <n v="0"/>
    <n v="1"/>
    <n v="12"/>
    <n v="25"/>
    <n v="0"/>
    <n v="0.15"/>
    <n v="24.85"/>
    <n v="0"/>
    <n v="0"/>
    <n v="0"/>
    <n v="12.85"/>
    <s v="大陈"/>
    <s v="湖南省 长沙市 长沙县 湘龙街道荣盛·锦绣学府3栋"/>
    <s v="18448200100-2139"/>
    <m/>
    <n v="24.85"/>
    <m/>
    <m/>
  </r>
  <r>
    <x v="47"/>
    <s v="已收货"/>
    <s v="4285807167380220435"/>
    <s v="陈先生"/>
    <s v="已发，岩板黑色客户不满意换了新的，旧的后面可以用480"/>
    <m/>
    <s v="榉木旋转：210柜子+150餐桌，多层板隔板背板"/>
    <x v="2"/>
    <n v="2100"/>
    <s v="已结算"/>
    <s v="江西"/>
    <n v="8520.08"/>
    <n v="6080"/>
    <m/>
    <m/>
    <m/>
    <m/>
    <m/>
    <s v="52*2"/>
    <n v="84"/>
    <m/>
    <m/>
    <n v="14"/>
    <n v="52"/>
    <n v="480"/>
    <m/>
    <m/>
    <m/>
    <m/>
    <n v="55"/>
    <n v="755.08"/>
    <n v="42"/>
    <m/>
    <m/>
    <m/>
    <m/>
    <m/>
    <m/>
    <n v="480"/>
    <m/>
    <m/>
    <n v="474"/>
    <n v="0"/>
    <n v="288"/>
    <n v="0"/>
    <n v="0"/>
    <n v="0"/>
    <n v="100"/>
    <n v="21.75"/>
    <n v="1"/>
    <n v="9403.83"/>
    <n v="11452"/>
    <n v="0"/>
    <n v="68.712"/>
    <n v="11383.288"/>
    <n v="0"/>
    <n v="0"/>
    <n v="0"/>
    <n v="1979.458000000001"/>
    <s v="陈先生"/>
    <s v="广东省 深圳市 龙华区 观湖街道龙馨家园三单元3116"/>
    <s v="18466249853-3919"/>
    <m/>
    <n v="11383.288"/>
    <m/>
    <m/>
  </r>
  <r>
    <x v="48"/>
    <s v="已收货"/>
    <s v="4288529522838077625"/>
    <s v="王婷"/>
    <m/>
    <m/>
    <s v="榉木餐边柜：1450（长）*350（宽）*1560（高），下柜高度900"/>
    <x v="9"/>
    <n v="1450"/>
    <s v="已结算"/>
    <s v="江西"/>
    <n v="3782.5"/>
    <n v="2850"/>
    <n v="130"/>
    <n v="337"/>
    <n v="28887"/>
    <m/>
    <s v="22*2"/>
    <n v="52"/>
    <n v="330"/>
    <m/>
    <m/>
    <m/>
    <m/>
    <m/>
    <m/>
    <m/>
    <m/>
    <m/>
    <m/>
    <m/>
    <m/>
    <m/>
    <m/>
    <m/>
    <m/>
    <m/>
    <m/>
    <n v="330"/>
    <m/>
    <m/>
    <n v="292"/>
    <n v="71"/>
    <n v="65"/>
    <n v="0"/>
    <n v="0"/>
    <n v="0"/>
    <n v="80"/>
    <n v="0"/>
    <n v="1"/>
    <n v="4290.5"/>
    <n v="5888"/>
    <n v="0"/>
    <n v="35.328"/>
    <n v="5852.672"/>
    <n v="0"/>
    <n v="0"/>
    <n v="0"/>
    <n v="1562.172"/>
    <s v="王婷"/>
    <s v="四川省 成都市 龙泉驿区 龙泉街道北泉路1068号艺锦湾"/>
    <s v="18418974196-9478"/>
    <m/>
    <n v="5852.672"/>
    <m/>
    <m/>
  </r>
  <r>
    <x v="49"/>
    <s v="已收货"/>
    <s v="4288839625202367737"/>
    <s v="呼先生"/>
    <m/>
    <m/>
    <s v="旋转柜：左旋樱桃木茶色玻璃常规1.6柜+1.2单腿餐桌"/>
    <x v="2"/>
    <n v="1600"/>
    <s v="已结算"/>
    <s v="江西"/>
    <n v="7329"/>
    <n v="5600"/>
    <m/>
    <m/>
    <m/>
    <m/>
    <m/>
    <m/>
    <n v="52"/>
    <m/>
    <m/>
    <n v="22"/>
    <n v="198"/>
    <m/>
    <m/>
    <m/>
    <m/>
    <m/>
    <m/>
    <m/>
    <m/>
    <m/>
    <m/>
    <m/>
    <m/>
    <m/>
    <m/>
    <n v="370"/>
    <m/>
    <m/>
    <n v="631"/>
    <n v="86"/>
    <n v="200"/>
    <n v="0"/>
    <n v="0"/>
    <n v="0"/>
    <n v="0"/>
    <n v="219.64"/>
    <n v="1"/>
    <n v="8465.639999999999"/>
    <n v="10386.52"/>
    <n v="0"/>
    <n v="62.31912000000001"/>
    <n v="10324.20088"/>
    <n v="0"/>
    <n v="0"/>
    <n v="0"/>
    <n v="1858.560880000001"/>
    <s v="呼先生"/>
    <s v="北京 北京市 丰台区 看丹街道富丰园东路1号院泽信公馆北门1号楼2单元1304"/>
    <s v="18401165286-4966"/>
    <m/>
    <n v="10324.20088"/>
    <m/>
    <m/>
  </r>
  <r>
    <x v="50"/>
    <s v="已收货"/>
    <s v="4290836292118972631"/>
    <s v="李晓云"/>
    <m/>
    <m/>
    <s v="洞石餐边柜：樱桃木1.6 +1.2洞石岩板餐桌+4个插座"/>
    <x v="3"/>
    <n v="1600"/>
    <s v="已结算"/>
    <s v="江西"/>
    <n v="8355.08"/>
    <n v="5800"/>
    <n v="50"/>
    <s v="22*9"/>
    <s v="52*2"/>
    <m/>
    <n v="84"/>
    <n v="14"/>
    <n v="625.08"/>
    <m/>
    <m/>
    <n v="450"/>
    <n v="350"/>
    <n v="360"/>
    <m/>
    <m/>
    <m/>
    <m/>
    <m/>
    <n v="320"/>
    <m/>
    <m/>
    <m/>
    <m/>
    <m/>
    <m/>
    <m/>
    <n v="450"/>
    <m/>
    <m/>
    <n v="642"/>
    <n v="110"/>
    <n v="150"/>
    <n v="0"/>
    <n v="0"/>
    <n v="0"/>
    <n v="100"/>
    <n v="0"/>
    <n v="1"/>
    <n v="9357.08"/>
    <n v="12678"/>
    <n v="0"/>
    <n v="76.068"/>
    <n v="12601.932"/>
    <n v="0"/>
    <n v="0"/>
    <n v="0"/>
    <n v="3244.852000000001"/>
    <s v="李晓云"/>
    <s v="辽宁省 大连市 甘井子区 凌水街道 清恬园6号楼四单元302"/>
    <s v="13074167454-5578"/>
    <m/>
    <n v="12601.932"/>
    <m/>
    <m/>
  </r>
  <r>
    <x v="50"/>
    <s v="已收货"/>
    <s v="2522287489024393797"/>
    <s v="张先生"/>
    <m/>
    <m/>
    <s v="2.1旋转柜：黑胡桃材质，右，2.1洞洞板餐边柜+1.6单腿餐桌"/>
    <x v="2"/>
    <n v="2100"/>
    <s v="已结算"/>
    <s v="江西"/>
    <n v="12093.93"/>
    <n v="10300"/>
    <m/>
    <m/>
    <m/>
    <m/>
    <m/>
    <n v="340"/>
    <n v="42"/>
    <m/>
    <m/>
    <n v="655"/>
    <n v="198"/>
    <m/>
    <m/>
    <m/>
    <m/>
    <m/>
    <m/>
    <m/>
    <m/>
    <m/>
    <m/>
    <m/>
    <m/>
    <m/>
    <m/>
    <n v="480"/>
    <m/>
    <m/>
    <n v="461"/>
    <n v="80"/>
    <n v="389"/>
    <n v="0"/>
    <n v="0"/>
    <n v="0"/>
    <n v="163"/>
    <n v="0"/>
    <n v="1"/>
    <n v="13186.93"/>
    <n v="17150"/>
    <n v="0"/>
    <n v="102.9"/>
    <n v="17047.1"/>
    <n v="0"/>
    <n v="0"/>
    <n v="0"/>
    <n v="3860.169999999998"/>
    <s v="张先生"/>
    <s v="江苏省 苏州市 吴江区 松陵街道松陵大道188号朗诗太湖绿郡15栋604"/>
    <s v="18468588334-8172"/>
    <m/>
    <n v="17047.1"/>
    <m/>
    <m/>
  </r>
  <r>
    <x v="51"/>
    <s v="已收货"/>
    <s v="4292639571283541410"/>
    <s v="倪先生"/>
    <m/>
    <m/>
    <s v="原木色1.8米餐桌"/>
    <x v="1"/>
    <s v="180cm*85cm"/>
    <s v="已结算"/>
    <s v="江西"/>
    <n v="2052.5"/>
    <n v="1540"/>
    <m/>
    <m/>
    <m/>
    <m/>
    <n v="380"/>
    <m/>
    <m/>
    <m/>
    <m/>
    <m/>
    <m/>
    <m/>
    <m/>
    <m/>
    <m/>
    <m/>
    <n v="2.5"/>
    <m/>
    <m/>
    <m/>
    <m/>
    <m/>
    <m/>
    <m/>
    <m/>
    <n v="130"/>
    <m/>
    <m/>
    <n v="93"/>
    <n v="51"/>
    <n v="69"/>
    <n v="0"/>
    <n v="0"/>
    <n v="0"/>
    <n v="20"/>
    <n v="0"/>
    <n v="1"/>
    <n v="2285.5"/>
    <n v="3145.25"/>
    <n v="0"/>
    <n v="18.8715"/>
    <n v="3126.3785"/>
    <n v="0"/>
    <n v="0"/>
    <n v="0"/>
    <n v="840.8784999999998"/>
    <s v="倪先生"/>
    <s v="江苏省 苏州市 昆山市 锦溪镇同周公路99号尚滨花园10-403"/>
    <s v="18468587701-5445"/>
    <m/>
    <n v="3126.3785"/>
    <m/>
    <m/>
  </r>
  <r>
    <x v="50"/>
    <s v="已收货"/>
    <s v="4292124842052179613"/>
    <s v="李娜"/>
    <m/>
    <m/>
    <s v="连柜书桌-定制（榉木，长度1100*深度650*高度1700）"/>
    <x v="10"/>
    <n v="1100"/>
    <s v="已结算"/>
    <s v="江西"/>
    <n v="2936"/>
    <n v="2600"/>
    <m/>
    <m/>
    <m/>
    <m/>
    <m/>
    <m/>
    <n v="52"/>
    <m/>
    <m/>
    <m/>
    <n v="44"/>
    <m/>
    <m/>
    <m/>
    <m/>
    <m/>
    <m/>
    <m/>
    <m/>
    <m/>
    <m/>
    <m/>
    <m/>
    <m/>
    <m/>
    <n v="240"/>
    <m/>
    <m/>
    <n v="124"/>
    <n v="61"/>
    <n v="69"/>
    <n v="0"/>
    <n v="0"/>
    <n v="0"/>
    <n v="100"/>
    <n v="0"/>
    <n v="1"/>
    <n v="3290"/>
    <n v="3475"/>
    <n v="0"/>
    <n v="20.85"/>
    <n v="3454.15"/>
    <n v="0"/>
    <n v="0"/>
    <n v="0"/>
    <n v="164.1500000000001"/>
    <s v="李娜"/>
    <s v="江苏省 南京市 江宁区 秣陵街道 日新路8号百家臻园1栋2单元404"/>
    <s v="15784255126-6277"/>
    <m/>
    <n v="3454.15"/>
    <m/>
    <m/>
  </r>
  <r>
    <x v="52"/>
    <s v="已收货"/>
    <s v="4294317096636955039"/>
    <s v="顾立锋"/>
    <m/>
    <m/>
    <s v="樱桃木材质，6个组合柜+2个木脚"/>
    <x v="14"/>
    <m/>
    <s v="已结算"/>
    <s v="江西"/>
    <n v="5933.691000000001"/>
    <n v="5600"/>
    <s v="6.97/20*6"/>
    <s v="22*4"/>
    <s v="18/20*4"/>
    <m/>
    <n v="240"/>
    <m/>
    <m/>
    <m/>
    <m/>
    <m/>
    <m/>
    <m/>
    <m/>
    <m/>
    <m/>
    <m/>
    <m/>
    <m/>
    <m/>
    <m/>
    <m/>
    <m/>
    <m/>
    <m/>
    <m/>
    <n v="240"/>
    <m/>
    <m/>
    <n v="152"/>
    <n v="115"/>
    <n v="178"/>
    <n v="0"/>
    <n v="0"/>
    <n v="0"/>
    <n v="100"/>
    <n v="0"/>
    <n v="1"/>
    <n v="6478.691000000001"/>
    <n v="8132"/>
    <n v="0"/>
    <n v="48.792"/>
    <n v="8083.208"/>
    <n v="0"/>
    <n v="0"/>
    <n v="0"/>
    <n v="1604.516999999999"/>
    <s v="顾立锋"/>
    <s v="江苏省 无锡市 锡山区 安镇街道无锡市锡山区安镇街道豪景东苑62幢502"/>
    <s v="18468321452-2048"/>
    <m/>
    <n v="8083.208"/>
    <m/>
    <m/>
  </r>
  <r>
    <x v="52"/>
    <s v="已收货"/>
    <s v="4294602252278156045"/>
    <s v="胡月月"/>
    <m/>
    <m/>
    <s v="1.8洞石岩板柜"/>
    <x v="3"/>
    <n v="1800"/>
    <s v="已结算，灰色玻璃"/>
    <s v="江西"/>
    <n v="8386.08"/>
    <n v="6080"/>
    <s v="22*9"/>
    <s v="52*2"/>
    <n v="84"/>
    <m/>
    <n v="14"/>
    <n v="20"/>
    <n v="14"/>
    <m/>
    <m/>
    <n v="14"/>
    <n v="320"/>
    <n v="320"/>
    <m/>
    <m/>
    <m/>
    <m/>
    <n v="567.08"/>
    <n v="580"/>
    <n v="71"/>
    <m/>
    <m/>
    <m/>
    <m/>
    <m/>
    <m/>
    <n v="320"/>
    <m/>
    <m/>
    <n v="430"/>
    <n v="360"/>
    <n v="258"/>
    <n v="0"/>
    <n v="0"/>
    <n v="0"/>
    <n v="180"/>
    <n v="0"/>
    <n v="1"/>
    <n v="9614.08"/>
    <n v="12000"/>
    <n v="0"/>
    <n v="72"/>
    <n v="11928"/>
    <n v="0"/>
    <n v="0"/>
    <n v="0"/>
    <n v="2313.92"/>
    <s v="胡月月"/>
    <s v="浙江省 台州市 椒江区 洪家街道 海城路荣安棠樾5幢1501 室"/>
    <s v="15786479215-6378"/>
    <m/>
    <n v="11928"/>
    <m/>
    <m/>
  </r>
  <r>
    <x v="53"/>
    <s v="已收货"/>
    <s v="4301246162128646345"/>
    <s v="陈生"/>
    <m/>
    <m/>
    <s v="砂白色1.6米岩板餐桌"/>
    <x v="1"/>
    <s v="160cm*85cm"/>
    <s v="已结算"/>
    <s v="江西"/>
    <n v="1912.5"/>
    <n v="1540"/>
    <m/>
    <m/>
    <m/>
    <m/>
    <n v="240"/>
    <m/>
    <m/>
    <m/>
    <m/>
    <m/>
    <m/>
    <m/>
    <m/>
    <m/>
    <m/>
    <m/>
    <n v="2.5"/>
    <m/>
    <m/>
    <m/>
    <m/>
    <m/>
    <m/>
    <m/>
    <m/>
    <n v="130"/>
    <m/>
    <m/>
    <n v="95"/>
    <n v="51"/>
    <n v="85"/>
    <n v="0"/>
    <n v="0"/>
    <n v="0"/>
    <n v="20"/>
    <n v="191.67"/>
    <n v="1"/>
    <n v="2355.17"/>
    <n v="2944.04"/>
    <n v="0"/>
    <n v="17.66424"/>
    <n v="2926.37576"/>
    <n v="0"/>
    <n v="0"/>
    <n v="0"/>
    <n v="571.2057599999998"/>
    <s v="陈生"/>
    <s v="广东省 佛山市 禅城区 祖庙街道福贤路81号(猫咖左边)"/>
    <s v="18466322929-6711"/>
    <m/>
    <n v="2926.37576"/>
    <m/>
    <m/>
  </r>
  <r>
    <x v="54"/>
    <s v="已收货"/>
    <s v="2531508170164940173"/>
    <s v="Poppy"/>
    <m/>
    <m/>
    <s v="砂白色2.4米岩板餐桌，定制+6把椅子"/>
    <x v="1"/>
    <s v="240cm*85cm"/>
    <s v="已结算"/>
    <s v="江西"/>
    <n v="3401.06"/>
    <n v="1720"/>
    <m/>
    <m/>
    <m/>
    <m/>
    <n v="775"/>
    <m/>
    <m/>
    <m/>
    <m/>
    <m/>
    <m/>
    <m/>
    <m/>
    <m/>
    <m/>
    <m/>
    <n v="2.5"/>
    <m/>
    <n v="763.5599999999999"/>
    <m/>
    <m/>
    <m/>
    <m/>
    <m/>
    <m/>
    <n v="140"/>
    <m/>
    <m/>
    <n v="94"/>
    <n v="51"/>
    <n v="0"/>
    <n v="0"/>
    <n v="0"/>
    <n v="0"/>
    <n v="50"/>
    <n v="0"/>
    <n v="1"/>
    <n v="3596.06"/>
    <n v="6559"/>
    <n v="0"/>
    <n v="39.354"/>
    <n v="6519.646"/>
    <n v="0"/>
    <n v="0"/>
    <n v="0"/>
    <n v="2923.586"/>
    <s v="Poppy"/>
    <s v="浙江省 杭州市 上城区 九堡街道 宣田巷1号得力中心E幢11楼杭州丁于服饰有限公司"/>
    <s v="18413213042-3083"/>
    <m/>
    <n v="6519.646"/>
    <m/>
    <m/>
  </r>
  <r>
    <x v="54"/>
    <s v="已收货"/>
    <s v="2531029731479940173"/>
    <s v="Poppy"/>
    <m/>
    <m/>
    <s v="6把椅子"/>
    <x v="15"/>
    <m/>
    <s v="已结算"/>
    <s v="其他"/>
    <n v="763.5599999999999"/>
    <n v="764.5599999999999"/>
    <m/>
    <m/>
    <m/>
    <m/>
    <m/>
    <m/>
    <m/>
    <m/>
    <m/>
    <m/>
    <m/>
    <m/>
    <m/>
    <m/>
    <m/>
    <m/>
    <m/>
    <m/>
    <m/>
    <m/>
    <m/>
    <m/>
    <m/>
    <m/>
    <m/>
    <m/>
    <m/>
    <m/>
    <n v="0"/>
    <n v="0"/>
    <n v="0"/>
    <n v="0"/>
    <n v="0"/>
    <n v="0"/>
    <n v="0"/>
    <n v="0"/>
    <n v="1"/>
    <n v="763.5599999999999"/>
    <n v="1083.5"/>
    <n v="0"/>
    <n v="6.501"/>
    <n v="1076.999"/>
    <n v="0"/>
    <n v="0"/>
    <n v="0"/>
    <n v="313.4390000000001"/>
    <s v="Poppy"/>
    <s v="浙江省 杭州市 上城区 九堡街道 宣田巷1号得力中心E幢11楼杭州丁于服饰有限公司"/>
    <s v="18413213042-3083"/>
    <m/>
    <n v="1076.999"/>
    <m/>
    <m/>
  </r>
  <r>
    <x v="55"/>
    <s v="已收货"/>
    <s v="4304030007248935911"/>
    <s v="吴徐安"/>
    <s v="已发，板子不好赔偿"/>
    <m/>
    <s v="组合柜带五金地脚：双移门+竖隔板"/>
    <x v="14"/>
    <m/>
    <s v="已结算"/>
    <s v="江西"/>
    <n v="2312"/>
    <n v="1780"/>
    <s v="260/2"/>
    <n v="80"/>
    <n v="121"/>
    <m/>
    <n v="201"/>
    <m/>
    <m/>
    <m/>
    <m/>
    <m/>
    <m/>
    <m/>
    <m/>
    <m/>
    <m/>
    <m/>
    <m/>
    <m/>
    <m/>
    <m/>
    <m/>
    <m/>
    <m/>
    <m/>
    <m/>
    <n v="201"/>
    <m/>
    <m/>
    <n v="151"/>
    <n v="50"/>
    <n v="0"/>
    <n v="0"/>
    <n v="0"/>
    <n v="0"/>
    <n v="0"/>
    <n v="120.99"/>
    <n v="1"/>
    <n v="2633.99"/>
    <n v="1606.5"/>
    <n v="0"/>
    <n v="9.638999999999999"/>
    <n v="1596.861"/>
    <n v="0"/>
    <n v="0"/>
    <n v="0"/>
    <n v="-1037.129"/>
    <s v="吴徐安"/>
    <s v="四川省 成都市 武侯区 石羊街道南城都汇四期9幢702（放门口）"/>
    <s v="17882967480-4027"/>
    <m/>
    <n v="1596.861"/>
    <m/>
    <m/>
  </r>
  <r>
    <x v="55"/>
    <s v="已收货"/>
    <s v="4304276388107230730"/>
    <s v="孔翎"/>
    <m/>
    <m/>
    <s v="1.5洞石餐边柜：复古色，1.5洞石岩板柜，茶色玻璃"/>
    <x v="3"/>
    <n v="1500"/>
    <s v="已结算"/>
    <s v="江西"/>
    <n v="7183.05"/>
    <n v="5200"/>
    <n v="489.08"/>
    <n v="320"/>
    <n v="240"/>
    <m/>
    <n v="42"/>
    <n v="52"/>
    <n v="22"/>
    <m/>
    <m/>
    <n v="300"/>
    <n v="198"/>
    <m/>
    <n v="17.5"/>
    <m/>
    <m/>
    <n v="7"/>
    <m/>
    <m/>
    <m/>
    <m/>
    <m/>
    <m/>
    <m/>
    <m/>
    <m/>
    <n v="320"/>
    <m/>
    <m/>
    <n v="380"/>
    <n v="119"/>
    <n v="85"/>
    <n v="0"/>
    <n v="0"/>
    <n v="0"/>
    <n v="80"/>
    <n v="0"/>
    <n v="1"/>
    <n v="7847.05"/>
    <n v="10750"/>
    <n v="0"/>
    <n v="64.5"/>
    <n v="10685.5"/>
    <n v="0"/>
    <n v="0"/>
    <n v="0"/>
    <n v="2838.45"/>
    <s v="孔翎"/>
    <s v="江苏省 南京市 江宁区 东山街道天柱座2幢2单元301"/>
    <s v="15784015894-3237"/>
    <m/>
    <n v="10685.5"/>
    <m/>
    <m/>
  </r>
  <r>
    <x v="56"/>
    <s v="已收货"/>
    <s v="4304393712669935911"/>
    <s v="吴徐安"/>
    <s v="已发，板子不好赔偿"/>
    <m/>
    <s v="组合柜带五金地脚：双移门+竖隔板"/>
    <x v="14"/>
    <m/>
    <s v="已结算"/>
    <s v="江西"/>
    <n v="0"/>
    <n v="1"/>
    <m/>
    <m/>
    <m/>
    <m/>
    <m/>
    <m/>
    <m/>
    <m/>
    <m/>
    <m/>
    <m/>
    <m/>
    <m/>
    <m/>
    <m/>
    <m/>
    <m/>
    <m/>
    <m/>
    <m/>
    <m/>
    <m/>
    <m/>
    <m/>
    <m/>
    <m/>
    <m/>
    <m/>
    <n v="0"/>
    <n v="0"/>
    <n v="0"/>
    <n v="0"/>
    <n v="0"/>
    <n v="0"/>
    <n v="0"/>
    <n v="0"/>
    <n v="1"/>
    <n v="0"/>
    <n v="1218.25"/>
    <n v="0"/>
    <n v="7.3095"/>
    <n v="1210.9405"/>
    <n v="0"/>
    <n v="0"/>
    <n v="0"/>
    <n v="1210.9405"/>
    <s v="吴徐安"/>
    <s v="四川省 成都市 武侯区 石羊街道南城都汇四期9幢702（放门口）"/>
    <s v="17882967480-4027"/>
    <m/>
    <n v="1210.9405"/>
    <m/>
    <m/>
  </r>
  <r>
    <x v="57"/>
    <s v="已收货"/>
    <s v="4307999222573347608"/>
    <s v="蜥蜴"/>
    <m/>
    <m/>
    <s v="1.4榉木餐边柜：上柜1400*312*1040   下柜1400*450*880"/>
    <x v="9"/>
    <n v="1400"/>
    <s v="已结算，灰色玻璃"/>
    <s v="江西"/>
    <n v="5204"/>
    <n v="3800"/>
    <n v="240"/>
    <n v="350"/>
    <n v="392"/>
    <m/>
    <s v="22*5"/>
    <n v="52"/>
    <n v="260"/>
    <m/>
    <m/>
    <m/>
    <m/>
    <m/>
    <m/>
    <m/>
    <m/>
    <m/>
    <m/>
    <m/>
    <m/>
    <m/>
    <m/>
    <m/>
    <m/>
    <m/>
    <m/>
    <n v="350"/>
    <m/>
    <m/>
    <n v="355"/>
    <n v="81"/>
    <n v="83"/>
    <n v="0"/>
    <n v="0"/>
    <n v="0"/>
    <n v="180"/>
    <n v="0"/>
    <n v="1"/>
    <n v="5903"/>
    <n v="6650"/>
    <n v="0"/>
    <n v="39.9"/>
    <n v="6610.1"/>
    <n v="0"/>
    <n v="0"/>
    <n v="0"/>
    <n v="707.1000000000004"/>
    <s v="蜥蜴"/>
    <s v="山东省 东营市 东营区 东城街道东三路69号安和南区46-2-101"/>
    <s v="15784503685-6057"/>
    <m/>
    <n v="6610.1"/>
    <m/>
    <m/>
  </r>
  <r>
    <x v="58"/>
    <s v="已收货"/>
    <s v="2538036051332427289"/>
    <s v="朱珂瑶"/>
    <s v="已发，物流磕碰承担100"/>
    <m/>
    <s v="组合柜：3个柜+2个脚"/>
    <x v="14"/>
    <m/>
    <s v="已结算"/>
    <s v="江西"/>
    <n v="2999.4"/>
    <n v="2830"/>
    <s v="22*2"/>
    <s v="18/20*6"/>
    <n v="120"/>
    <m/>
    <m/>
    <m/>
    <m/>
    <m/>
    <m/>
    <m/>
    <m/>
    <m/>
    <m/>
    <m/>
    <m/>
    <m/>
    <m/>
    <m/>
    <m/>
    <m/>
    <m/>
    <m/>
    <m/>
    <m/>
    <m/>
    <n v="120"/>
    <m/>
    <m/>
    <n v="78"/>
    <n v="87"/>
    <n v="0"/>
    <n v="0"/>
    <n v="263"/>
    <n v="0"/>
    <n v="0"/>
    <n v="100"/>
    <n v="1"/>
    <n v="3527.4"/>
    <n v="3900"/>
    <n v="0"/>
    <n v="23.4"/>
    <n v="3876.6"/>
    <n v="0"/>
    <n v="100"/>
    <n v="100"/>
    <n v="449.1999999999998"/>
    <s v="朱珂瑶"/>
    <s v="浙江省 杭州市 临平区 临平街道临平区金都夏宫排屋3-1"/>
    <s v="18413283892-2854"/>
    <m/>
    <n v="3876.6"/>
    <m/>
    <m/>
  </r>
  <r>
    <x v="59"/>
    <s v="已收货"/>
    <s v="2549048773128116570"/>
    <s v="大民"/>
    <m/>
    <m/>
    <s v="榉木旋转柜：1.8米+1.4米双腿餐桌,4个插座左旋"/>
    <x v="2"/>
    <n v="1800"/>
    <s v="已结算，茶色玻璃"/>
    <s v="江西"/>
    <n v="6451"/>
    <n v="5000"/>
    <m/>
    <m/>
    <m/>
    <m/>
    <m/>
    <n v="260"/>
    <n v="300"/>
    <m/>
    <m/>
    <n v="577"/>
    <n v="198"/>
    <m/>
    <m/>
    <m/>
    <m/>
    <m/>
    <m/>
    <m/>
    <m/>
    <m/>
    <m/>
    <m/>
    <m/>
    <m/>
    <m/>
    <m/>
    <m/>
    <m/>
    <n v="657"/>
    <n v="274"/>
    <n v="160"/>
    <n v="0"/>
    <n v="0"/>
    <n v="0"/>
    <n v="100"/>
    <n v="0"/>
    <n v="1"/>
    <n v="7642"/>
    <n v="9716"/>
    <n v="0"/>
    <n v="58.296"/>
    <n v="9657.704"/>
    <n v="0"/>
    <n v="0"/>
    <n v="0"/>
    <n v="2015.704"/>
    <s v="大民"/>
    <s v="北京 北京市 朝阳区 管庄乡塔营东路城志畅悦园5-1-501"/>
    <s v="18400738127-4051"/>
    <m/>
    <n v="9657.704"/>
    <m/>
    <m/>
  </r>
  <r>
    <x v="60"/>
    <s v="已收货"/>
    <s v="4321637065842596637"/>
    <s v="荣夏"/>
    <m/>
    <m/>
    <s v="砂白色1.4米岩板餐桌，r20圆角"/>
    <x v="1"/>
    <s v="140cm*85cm"/>
    <s v="已结算"/>
    <s v="江西"/>
    <n v="1892.5"/>
    <n v="1480"/>
    <m/>
    <m/>
    <m/>
    <m/>
    <n v="240"/>
    <m/>
    <m/>
    <m/>
    <m/>
    <m/>
    <m/>
    <m/>
    <m/>
    <m/>
    <m/>
    <m/>
    <n v="2.5"/>
    <m/>
    <m/>
    <m/>
    <m/>
    <m/>
    <m/>
    <m/>
    <m/>
    <n v="170"/>
    <m/>
    <m/>
    <n v="148"/>
    <n v="51"/>
    <n v="68"/>
    <n v="0"/>
    <n v="0"/>
    <n v="0"/>
    <n v="0"/>
    <n v="0"/>
    <n v="1"/>
    <n v="2159.5"/>
    <n v="2750"/>
    <n v="0"/>
    <n v="16.5"/>
    <n v="2733.5"/>
    <n v="0"/>
    <n v="0"/>
    <n v="0"/>
    <n v="574"/>
    <s v="荣夏"/>
    <s v="四川省 眉山市 东坡区 大石桥街道双凤街锦绣滨江华府"/>
    <s v="18418945135-3158"/>
    <m/>
    <n v="2733.5"/>
    <m/>
    <m/>
  </r>
  <r>
    <x v="61"/>
    <s v="已收货"/>
    <s v="2555723821784972165"/>
    <s v="王君良"/>
    <m/>
    <m/>
    <s v="洞石色1.6米岩板餐桌"/>
    <x v="1"/>
    <s v="160cm*85cm"/>
    <s v="已结算"/>
    <s v="江西"/>
    <n v="2172.5"/>
    <n v="1520"/>
    <m/>
    <m/>
    <m/>
    <m/>
    <n v="520"/>
    <m/>
    <m/>
    <m/>
    <m/>
    <m/>
    <m/>
    <m/>
    <m/>
    <m/>
    <m/>
    <m/>
    <n v="2.5"/>
    <m/>
    <m/>
    <m/>
    <m/>
    <m/>
    <m/>
    <m/>
    <m/>
    <n v="130"/>
    <m/>
    <m/>
    <n v="70"/>
    <n v="46"/>
    <n v="95"/>
    <n v="0"/>
    <n v="0"/>
    <n v="0"/>
    <n v="20"/>
    <n v="0"/>
    <n v="1"/>
    <n v="2403.5"/>
    <n v="3105"/>
    <n v="0"/>
    <n v="18.63"/>
    <n v="3086.37"/>
    <n v="0"/>
    <n v="0"/>
    <n v="0"/>
    <n v="682.8699999999999"/>
    <s v="王君良"/>
    <s v="江苏省 苏州市 吴中区 苏州工业园区直属镇汀兰巷199号联创时代（凤里街门卫处）"/>
    <s v="18468547492-2419"/>
    <m/>
    <n v="3086.37"/>
    <m/>
    <m/>
  </r>
  <r>
    <x v="62"/>
    <s v="已收货"/>
    <s v="4391748864422223405"/>
    <s v="林叶"/>
    <m/>
    <m/>
    <s v="1.5榉木餐边柜"/>
    <x v="9"/>
    <n v="1500"/>
    <s v="已结算，灰色玻璃"/>
    <s v="江西"/>
    <n v="5226"/>
    <n v="5226"/>
    <m/>
    <m/>
    <m/>
    <m/>
    <m/>
    <m/>
    <m/>
    <m/>
    <m/>
    <m/>
    <m/>
    <m/>
    <m/>
    <m/>
    <m/>
    <m/>
    <m/>
    <m/>
    <m/>
    <m/>
    <m/>
    <m/>
    <m/>
    <m/>
    <m/>
    <m/>
    <m/>
    <m/>
    <n v="275"/>
    <n v="86"/>
    <n v="168"/>
    <n v="0"/>
    <n v="0"/>
    <n v="0"/>
    <n v="180"/>
    <n v="0"/>
    <n v="1"/>
    <n v="5935"/>
    <n v="7208.69"/>
    <n v="0"/>
    <n v="43.25214"/>
    <n v="7165.43786"/>
    <n v="0"/>
    <n v="0"/>
    <n v="0"/>
    <n v="1230.43786"/>
    <s v="林叶"/>
    <s v="浙江省 杭州市 萧山区 新街街道 黎端路山澜桂语轩2幢1801室"/>
    <s v="13063491894-4806"/>
    <m/>
    <n v="7165.43786"/>
    <m/>
    <m/>
  </r>
  <r>
    <x v="63"/>
    <s v="已收货"/>
    <s v="4340705076373951010"/>
    <s v="郑先生"/>
    <s v="已发，打包费没出，补发玻璃20"/>
    <m/>
    <s v="1.727米+1.4米单腿餐桌樱桃木，下柜45cm"/>
    <x v="2"/>
    <n v="1727"/>
    <s v="已结算，茶色玻璃"/>
    <s v="江西"/>
    <n v="7595"/>
    <n v="5700"/>
    <m/>
    <m/>
    <m/>
    <m/>
    <m/>
    <n v="52"/>
    <n v="42"/>
    <m/>
    <m/>
    <n v="22"/>
    <n v="470"/>
    <n v="551"/>
    <m/>
    <m/>
    <m/>
    <m/>
    <m/>
    <m/>
    <m/>
    <m/>
    <m/>
    <m/>
    <m/>
    <m/>
    <m/>
    <m/>
    <m/>
    <m/>
    <n v="465"/>
    <n v="111"/>
    <n v="158"/>
    <n v="0"/>
    <n v="0"/>
    <n v="0"/>
    <n v="100"/>
    <n v="0"/>
    <n v="1"/>
    <n v="8429"/>
    <n v="10800"/>
    <n v="0"/>
    <n v="64.8"/>
    <n v="10735.2"/>
    <n v="0"/>
    <n v="0"/>
    <n v="0"/>
    <n v="2306.200000000001"/>
    <s v="郑先生"/>
    <s v="福建省 厦门市 思明区 梧村街道厦禾路1120之二 1002"/>
    <s v="13030847760-1482"/>
    <m/>
    <n v="10735.2"/>
    <m/>
    <m/>
  </r>
  <r>
    <x v="63"/>
    <s v="退货退款"/>
    <s v="2567708726466810854"/>
    <s v="橙咬金"/>
    <s v="修改安装换底脚，底脚打包60"/>
    <m/>
    <s v="组合柜：3个木底脚+单移门柜+双抽屉柜+横竖隔板柜"/>
    <x v="4"/>
    <m/>
    <m/>
    <s v="江西"/>
    <n v="60"/>
    <n v="60"/>
    <m/>
    <m/>
    <m/>
    <m/>
    <m/>
    <m/>
    <m/>
    <m/>
    <m/>
    <m/>
    <m/>
    <m/>
    <m/>
    <m/>
    <m/>
    <m/>
    <m/>
    <m/>
    <m/>
    <m/>
    <m/>
    <m/>
    <m/>
    <m/>
    <m/>
    <n v="60"/>
    <m/>
    <m/>
    <n v="123"/>
    <n v="55"/>
    <n v="100"/>
    <n v="0"/>
    <n v="0"/>
    <n v="0"/>
    <n v="0"/>
    <n v="0"/>
    <n v="1"/>
    <n v="338"/>
    <m/>
    <m/>
    <m/>
    <n v="0"/>
    <m/>
    <m/>
    <n v="0"/>
    <n v="-338"/>
    <s v="橙咬金"/>
    <s v="江苏省 苏州市 吴江区 松陵街道悦欣华庭5号楼1101"/>
    <s v="17895043562-7657"/>
    <m/>
    <m/>
    <m/>
    <m/>
  </r>
  <r>
    <x v="63"/>
    <s v="已收货"/>
    <s v="2568314533240134565"/>
    <s v="徐婷婷"/>
    <m/>
    <m/>
    <s v="藤编椅子：樱桃木色"/>
    <x v="15"/>
    <m/>
    <s v="已结算"/>
    <s v="其他"/>
    <n v="310"/>
    <n v="310"/>
    <m/>
    <m/>
    <m/>
    <m/>
    <m/>
    <m/>
    <m/>
    <m/>
    <m/>
    <m/>
    <m/>
    <m/>
    <m/>
    <m/>
    <m/>
    <m/>
    <m/>
    <m/>
    <m/>
    <m/>
    <m/>
    <m/>
    <m/>
    <m/>
    <m/>
    <m/>
    <m/>
    <m/>
    <n v="0"/>
    <n v="0"/>
    <n v="0"/>
    <n v="0"/>
    <n v="0"/>
    <n v="0"/>
    <n v="0"/>
    <n v="0"/>
    <n v="1"/>
    <n v="310"/>
    <n v="386.57"/>
    <n v="0"/>
    <n v="2.31942"/>
    <n v="384.25058"/>
    <n v="0"/>
    <n v="0"/>
    <n v="0"/>
    <n v="74.25058000000001"/>
    <s v="徐婷婷"/>
    <s v="浙江省 金华市 金东区 多湖街道 阅云台2-1-1401 "/>
    <s v="15787420103-1877"/>
    <m/>
    <n v="384.25058"/>
    <m/>
    <m/>
  </r>
  <r>
    <x v="63"/>
    <s v="已收货"/>
    <s v="2567842574763215275"/>
    <s v="清水镜"/>
    <m/>
    <m/>
    <s v="1.8榉木白色岩板下柜+1.4岩板单腿餐桌，左旋"/>
    <x v="2"/>
    <n v="1800"/>
    <s v="已结算，茶色玻璃"/>
    <s v="江西"/>
    <n v="5185"/>
    <n v="3700"/>
    <m/>
    <m/>
    <m/>
    <m/>
    <m/>
    <n v="355"/>
    <n v="410"/>
    <m/>
    <m/>
    <m/>
    <n v="198"/>
    <m/>
    <m/>
    <m/>
    <m/>
    <m/>
    <m/>
    <m/>
    <m/>
    <m/>
    <m/>
    <m/>
    <m/>
    <m/>
    <m/>
    <n v="410"/>
    <m/>
    <m/>
    <n v="537"/>
    <n v="87"/>
    <n v="84"/>
    <n v="0"/>
    <n v="0"/>
    <n v="0"/>
    <n v="100"/>
    <n v="150"/>
    <n v="1"/>
    <n v="6143"/>
    <n v="6625"/>
    <n v="0"/>
    <n v="39.75"/>
    <n v="6585.25"/>
    <n v="0"/>
    <n v="0"/>
    <n v="0"/>
    <n v="442.25"/>
    <s v="清水镜"/>
    <s v="辽宁省 大连市 旅顺口区 龙王塘街道高新园区国宝星月湾2期"/>
    <s v="13019130363-5313"/>
    <m/>
    <n v="6585.25"/>
    <m/>
    <m/>
  </r>
  <r>
    <x v="64"/>
    <s v="已收货"/>
    <s v="2567938191344525077"/>
    <s v="苗妈"/>
    <m/>
    <m/>
    <s v="2.1樱桃木旋转柜：2.1米+1.6米双腿餐桌"/>
    <x v="2"/>
    <n v="2100"/>
    <s v="已结算，茶色玻璃"/>
    <s v="江西"/>
    <n v="8361"/>
    <n v="6200"/>
    <m/>
    <m/>
    <m/>
    <m/>
    <m/>
    <n v="42"/>
    <m/>
    <m/>
    <m/>
    <n v="52"/>
    <n v="198"/>
    <n v="42"/>
    <m/>
    <m/>
    <m/>
    <m/>
    <m/>
    <n v="22"/>
    <m/>
    <m/>
    <m/>
    <m/>
    <m/>
    <m/>
    <m/>
    <n v="220"/>
    <m/>
    <m/>
    <n v="350"/>
    <n v="0"/>
    <n v="400"/>
    <n v="0"/>
    <n v="0"/>
    <n v="0"/>
    <n v="100"/>
    <n v="0"/>
    <n v="1"/>
    <n v="9211"/>
    <n v="12849.78"/>
    <n v="0"/>
    <n v="77.09868"/>
    <n v="12772.68132"/>
    <n v="0"/>
    <n v="0"/>
    <n v="0"/>
    <n v="3561.681320000002"/>
    <s v="苗妈"/>
    <s v="上海 上海市 黄浦区 小东门街道中华路185号东业大厦科普楼1202室"/>
    <s v="18466666238-7733"/>
    <m/>
    <n v="12772.68132"/>
    <m/>
    <m/>
  </r>
  <r>
    <x v="64"/>
    <s v="已收货"/>
    <s v="2570695827681809986"/>
    <s v="橙子"/>
    <m/>
    <m/>
    <s v="砂白色1.4米岩板餐桌"/>
    <x v="1"/>
    <s v="140cm*85cm"/>
    <s v="已结算"/>
    <s v="江西"/>
    <n v="1902.5"/>
    <n v="1480"/>
    <m/>
    <m/>
    <m/>
    <m/>
    <n v="240"/>
    <m/>
    <m/>
    <m/>
    <m/>
    <m/>
    <m/>
    <m/>
    <m/>
    <m/>
    <m/>
    <m/>
    <n v="2.5"/>
    <m/>
    <m/>
    <m/>
    <m/>
    <m/>
    <m/>
    <m/>
    <m/>
    <n v="180"/>
    <m/>
    <m/>
    <n v="143"/>
    <n v="51"/>
    <n v="88"/>
    <n v="0"/>
    <n v="160"/>
    <n v="0"/>
    <n v="0"/>
    <n v="0"/>
    <n v="1"/>
    <n v="2344.5"/>
    <n v="2650"/>
    <n v="0"/>
    <n v="15.9"/>
    <n v="2634.1"/>
    <n v="0"/>
    <n v="0"/>
    <n v="0"/>
    <n v="289.5999999999999"/>
    <s v="橙子"/>
    <s v="四川省 成都市 双流区 怡心街道天府新区祥鹤一街299号川发·天府上城A区4栋1单元1407"/>
    <s v="18425131458-9355"/>
    <m/>
    <n v="2634.1"/>
    <m/>
    <m/>
  </r>
  <r>
    <x v="65"/>
    <s v="已收货"/>
    <s v="4349166949811358113"/>
    <s v="胡洁"/>
    <m/>
    <m/>
    <s v="1.8米整柜+1.4米单腿餐桌"/>
    <x v="2"/>
    <n v="1800"/>
    <s v="已结算，茶色玻璃"/>
    <s v="江西"/>
    <n v="7044"/>
    <n v="5700"/>
    <m/>
    <m/>
    <m/>
    <m/>
    <m/>
    <n v="42"/>
    <n v="22"/>
    <m/>
    <m/>
    <n v="300"/>
    <n v="198"/>
    <m/>
    <m/>
    <m/>
    <m/>
    <m/>
    <m/>
    <m/>
    <m/>
    <m/>
    <m/>
    <m/>
    <m/>
    <m/>
    <m/>
    <n v="470"/>
    <m/>
    <m/>
    <n v="575"/>
    <n v="325.2"/>
    <n v="88"/>
    <n v="0"/>
    <n v="0"/>
    <n v="0"/>
    <n v="100"/>
    <n v="0"/>
    <n v="1"/>
    <n v="8132.2"/>
    <n v="11326.08"/>
    <n v="0"/>
    <n v="67.95648"/>
    <n v="11258.12352"/>
    <n v="0"/>
    <n v="0"/>
    <n v="0"/>
    <n v="3125.923519999999"/>
    <s v="胡洁"/>
    <s v="山东省 东营市 东营区 辛店街道山东东营聚龙亨天池嘉园4号楼1单元202"/>
    <s v="18466665757-8827"/>
    <m/>
    <n v="11258.12352"/>
    <m/>
    <m/>
  </r>
  <r>
    <x v="66"/>
    <s v="已收货"/>
    <s v="2576819175877920187"/>
    <s v="王宇"/>
    <m/>
    <m/>
    <s v="砂白色1.8米岩板餐桌"/>
    <x v="1"/>
    <s v="180cm*85cm"/>
    <s v="已结算"/>
    <s v="江西"/>
    <n v="1972.5"/>
    <n v="1540"/>
    <m/>
    <m/>
    <m/>
    <m/>
    <n v="240"/>
    <m/>
    <m/>
    <m/>
    <m/>
    <m/>
    <m/>
    <m/>
    <m/>
    <m/>
    <m/>
    <m/>
    <n v="2.5"/>
    <m/>
    <m/>
    <m/>
    <m/>
    <m/>
    <m/>
    <m/>
    <m/>
    <n v="190"/>
    <m/>
    <m/>
    <n v="151"/>
    <n v="51"/>
    <n v="0"/>
    <n v="0"/>
    <n v="0"/>
    <n v="0"/>
    <n v="0"/>
    <n v="374.79"/>
    <n v="1"/>
    <n v="2549.29"/>
    <n v="3146.01"/>
    <n v="0"/>
    <n v="18.87606"/>
    <n v="3127.13394"/>
    <n v="0"/>
    <n v="0"/>
    <n v="0"/>
    <n v="577.8439400000002"/>
    <s v="王宇"/>
    <s v="河北省 保定市 莲池区 五尧乡 爱情万象 5号楼2单元702 "/>
    <s v="18433965774-6722"/>
    <m/>
    <n v="3127.13394"/>
    <m/>
    <m/>
  </r>
  <r>
    <x v="67"/>
    <s v="已收货"/>
    <s v="2577710930842633079"/>
    <s v="黄大大"/>
    <s v="已发货，洞石岩板309.8_x000a_产品成本+洞石岩板+纯白岩板+电力轨道+轨道运费+抽屉轨道+玻璃"/>
    <m/>
    <s v="0.9米洞石岩板岛台+1.8米白色岩板餐桌-定制"/>
    <x v="16"/>
    <n v="900"/>
    <s v="已结算"/>
    <s v="江西"/>
    <n v="4811.8"/>
    <n v="3700"/>
    <n v="212"/>
    <n v="240"/>
    <m/>
    <m/>
    <n v="309.8"/>
    <m/>
    <n v="350"/>
    <m/>
    <m/>
    <m/>
    <m/>
    <m/>
    <m/>
    <m/>
    <m/>
    <m/>
    <m/>
    <m/>
    <m/>
    <m/>
    <m/>
    <m/>
    <m/>
    <m/>
    <m/>
    <n v="970"/>
    <m/>
    <n v="309.8"/>
    <n v="400"/>
    <n v="100"/>
    <n v="150"/>
    <n v="0"/>
    <n v="0"/>
    <n v="0"/>
    <n v="100"/>
    <n v="0"/>
    <n v="1"/>
    <n v="5561.8"/>
    <n v="7719"/>
    <n v="0"/>
    <n v="46.314"/>
    <n v="7672.686"/>
    <n v="0"/>
    <n v="0"/>
    <n v="0"/>
    <n v="2110.886"/>
    <s v="黄大大"/>
    <s v="江苏省 常州市 钟楼区 北港街道星港路88号  钟楼区政府东门"/>
    <s v="18425149598-2481"/>
    <m/>
    <n v="7672.686"/>
    <m/>
    <m/>
  </r>
  <r>
    <x v="67"/>
    <s v="已收货"/>
    <s v="2577710930842633079"/>
    <s v="黄大大"/>
    <s v="已发货，小黑板_x000a_成本+灯带+无线开关+磁吸小黑板+打包+玻璃"/>
    <m/>
    <s v="樱桃木，带底座书架 ：上柜3570*310*1950  底座：3570*550*350  总高度2300"/>
    <x v="12"/>
    <m/>
    <s v="已结算"/>
    <s v="江西"/>
    <n v="15300"/>
    <n v="14200"/>
    <m/>
    <n v="108"/>
    <n v="500"/>
    <m/>
    <n v="180"/>
    <n v="312"/>
    <m/>
    <m/>
    <m/>
    <m/>
    <m/>
    <m/>
    <m/>
    <m/>
    <m/>
    <m/>
    <m/>
    <m/>
    <m/>
    <m/>
    <m/>
    <m/>
    <m/>
    <m/>
    <m/>
    <n v="0"/>
    <m/>
    <m/>
    <n v="300"/>
    <n v="200"/>
    <n v="350"/>
    <n v="0"/>
    <n v="0"/>
    <n v="0"/>
    <n v="150"/>
    <n v="0"/>
    <n v="1"/>
    <n v="16300"/>
    <n v="22740"/>
    <n v="0"/>
    <n v="136.44"/>
    <n v="22603.56"/>
    <n v="0"/>
    <n v="0"/>
    <n v="0"/>
    <n v="6303.560000000001"/>
    <s v="黄大大"/>
    <s v="江苏省 常州市 钟楼区 北港街道星港路88号  钟楼区政府东门"/>
    <s v="18425149598-2481"/>
    <m/>
    <n v="22603.56"/>
    <m/>
    <m/>
  </r>
  <r>
    <x v="67"/>
    <s v="已收货"/>
    <s v="2577710930842633079"/>
    <s v="黄大大"/>
    <s v="已发货，定把手，黄铜棒_x000a_成本+铝合金把手定制+铝合金把手定制+黄铜棒+玻璃+抽屉轨道"/>
    <m/>
    <s v="樱桃木，2.04长电视柜+0.6电视柜边台"/>
    <x v="17"/>
    <n v="2040"/>
    <s v="已结算"/>
    <s v="江西"/>
    <n v="3346.8"/>
    <n v="3200"/>
    <n v="20"/>
    <n v="40"/>
    <n v="48"/>
    <m/>
    <n v="38.8"/>
    <m/>
    <m/>
    <m/>
    <m/>
    <m/>
    <m/>
    <m/>
    <m/>
    <m/>
    <m/>
    <m/>
    <m/>
    <m/>
    <m/>
    <m/>
    <m/>
    <m/>
    <m/>
    <m/>
    <m/>
    <n v="0"/>
    <m/>
    <m/>
    <n v="200"/>
    <n v="200"/>
    <n v="100"/>
    <n v="0"/>
    <n v="0"/>
    <n v="0"/>
    <n v="150"/>
    <n v="0"/>
    <n v="1"/>
    <n v="3996.8"/>
    <n v="5541"/>
    <n v="0"/>
    <n v="33.246"/>
    <n v="5507.754"/>
    <n v="0"/>
    <n v="0"/>
    <n v="0"/>
    <n v="1510.954"/>
    <s v="黄大大"/>
    <s v="江苏省 常州市 钟楼区 北港街道星港路88号  钟楼区政府东门"/>
    <s v="18425149598-2481"/>
    <m/>
    <n v="5507.754"/>
    <m/>
    <m/>
  </r>
  <r>
    <x v="68"/>
    <s v="已收货"/>
    <s v="2584800627058853266"/>
    <s v="王佳曦"/>
    <s v="已发，客户自己安装，雕刻费用单独算120"/>
    <m/>
    <s v="樱桃木实木餐桌"/>
    <x v="13"/>
    <s v="180cm*85cm"/>
    <s v="已结算"/>
    <s v="江西"/>
    <n v="2200"/>
    <n v="2070"/>
    <m/>
    <m/>
    <m/>
    <m/>
    <m/>
    <m/>
    <m/>
    <m/>
    <m/>
    <m/>
    <m/>
    <m/>
    <m/>
    <m/>
    <m/>
    <m/>
    <m/>
    <m/>
    <m/>
    <m/>
    <m/>
    <m/>
    <m/>
    <m/>
    <m/>
    <n v="130"/>
    <m/>
    <m/>
    <n v="111"/>
    <n v="0"/>
    <n v="0"/>
    <n v="0"/>
    <n v="0"/>
    <n v="0"/>
    <n v="20"/>
    <n v="0"/>
    <n v="1"/>
    <n v="2331"/>
    <n v="2602.77"/>
    <n v="0"/>
    <n v="15.61662"/>
    <n v="2587.15338"/>
    <n v="0"/>
    <n v="0"/>
    <n v="0"/>
    <n v="256.1533800000002"/>
    <s v="王佳曦"/>
    <s v="北京 北京市 海淀区 马连洼街道 肖家河燕秀园3区14号楼4单元101"/>
    <s v="18400998382-1997"/>
    <m/>
    <n v="2587.15338"/>
    <m/>
    <m/>
  </r>
  <r>
    <x v="68"/>
    <s v="已收货"/>
    <s v="4360288863946581626"/>
    <s v="冯刚"/>
    <m/>
    <m/>
    <s v="砂白色1.4米岩板餐桌"/>
    <x v="1"/>
    <s v="140cm*85cm"/>
    <s v="已结算"/>
    <s v="江西"/>
    <n v="1892.5"/>
    <n v="1480"/>
    <m/>
    <m/>
    <m/>
    <m/>
    <n v="240"/>
    <m/>
    <m/>
    <m/>
    <m/>
    <m/>
    <m/>
    <m/>
    <m/>
    <m/>
    <m/>
    <m/>
    <n v="2.5"/>
    <m/>
    <m/>
    <m/>
    <m/>
    <m/>
    <m/>
    <m/>
    <m/>
    <n v="170"/>
    <m/>
    <m/>
    <n v="195"/>
    <n v="30"/>
    <n v="0"/>
    <n v="0"/>
    <n v="0"/>
    <n v="0"/>
    <n v="16"/>
    <n v="0"/>
    <n v="1"/>
    <n v="2133.5"/>
    <n v="2445"/>
    <n v="0"/>
    <n v="14.67"/>
    <n v="2430.33"/>
    <n v="0"/>
    <n v="0"/>
    <n v="0"/>
    <n v="296.8299999999999"/>
    <s v="冯刚"/>
    <s v="四川省 南充市 顺庆区 华凤街道 潆华北路二段科华北辰天璞订单"/>
    <s v="18418948775-5818"/>
    <m/>
    <n v="2430.33"/>
    <m/>
    <m/>
  </r>
  <r>
    <x v="68"/>
    <s v="已收货"/>
    <s v="2611795440204512190"/>
    <s v="肖清真"/>
    <m/>
    <m/>
    <s v="窄柜-整柜洞石背板-1.2米"/>
    <x v="18"/>
    <n v="1200"/>
    <s v="已结算"/>
    <s v="庄毅"/>
    <n v="4605.216666666667"/>
    <n v="3600"/>
    <n v="411.08"/>
    <n v="125"/>
    <m/>
    <n v="76"/>
    <n v="316.6666666666667"/>
    <n v="62.4"/>
    <m/>
    <m/>
    <m/>
    <n v="8"/>
    <m/>
    <m/>
    <m/>
    <m/>
    <m/>
    <n v="3.37"/>
    <m/>
    <m/>
    <m/>
    <m/>
    <m/>
    <n v="1.6"/>
    <n v="1.1"/>
    <m/>
    <m/>
    <m/>
    <m/>
    <m/>
    <n v="246"/>
    <n v="0"/>
    <n v="198"/>
    <n v="0"/>
    <n v="0"/>
    <n v="0"/>
    <n v="0"/>
    <n v="0"/>
    <n v="1"/>
    <n v="5049.216666666667"/>
    <n v="5180.54"/>
    <n v="0"/>
    <n v="31.08324"/>
    <n v="5149.45676"/>
    <n v="0"/>
    <n v="0"/>
    <n v="0"/>
    <n v="100.2400933333329"/>
    <s v="肖清真"/>
    <s v="福建省 福州市 鼓楼区 南街街道 灵响小区5座102"/>
    <s v="18480100105-9795"/>
    <m/>
    <n v="5149.45676"/>
    <m/>
    <m/>
  </r>
  <r>
    <x v="69"/>
    <s v="已收货"/>
    <s v="4365977906407605641"/>
    <s v="金俊"/>
    <m/>
    <m/>
    <s v="砂白色1.4米岩板餐桌"/>
    <x v="1"/>
    <s v="140cm*85cm"/>
    <s v="已结算"/>
    <s v="江西"/>
    <n v="1892.5"/>
    <n v="1480"/>
    <m/>
    <m/>
    <m/>
    <m/>
    <n v="240"/>
    <m/>
    <m/>
    <m/>
    <m/>
    <m/>
    <m/>
    <m/>
    <m/>
    <m/>
    <m/>
    <m/>
    <n v="2.5"/>
    <m/>
    <m/>
    <m/>
    <m/>
    <m/>
    <m/>
    <m/>
    <m/>
    <n v="170"/>
    <m/>
    <m/>
    <n v="99"/>
    <n v="30"/>
    <n v="100"/>
    <n v="0"/>
    <n v="0"/>
    <n v="0"/>
    <n v="16"/>
    <n v="0"/>
    <n v="1"/>
    <n v="2137.5"/>
    <n v="2445"/>
    <n v="0"/>
    <n v="14.67"/>
    <n v="2430.33"/>
    <n v="0"/>
    <n v="0"/>
    <n v="0"/>
    <n v="292.8299999999999"/>
    <s v="金俊"/>
    <s v="上海 上海市 青浦区 徐泾镇象屿招商蟠龙府2期17栋43-801"/>
    <s v="18466822540-3486"/>
    <m/>
    <n v="2430.33"/>
    <m/>
    <m/>
  </r>
  <r>
    <x v="69"/>
    <s v="已收货"/>
    <s v="2590520199862214699"/>
    <s v="丁先生"/>
    <m/>
    <m/>
    <s v="定制鞋柜1000*350*1620   500*350*1620"/>
    <x v="7"/>
    <m/>
    <s v="已结算"/>
    <s v="江西"/>
    <n v="4670"/>
    <n v="4300"/>
    <m/>
    <m/>
    <m/>
    <m/>
    <n v="130"/>
    <m/>
    <m/>
    <m/>
    <m/>
    <m/>
    <n v="60"/>
    <m/>
    <m/>
    <m/>
    <m/>
    <m/>
    <m/>
    <m/>
    <m/>
    <m/>
    <m/>
    <m/>
    <m/>
    <m/>
    <m/>
    <n v="180"/>
    <m/>
    <m/>
    <n v="371"/>
    <n v="70"/>
    <n v="0"/>
    <n v="0"/>
    <n v="0"/>
    <n v="0"/>
    <n v="0"/>
    <n v="0"/>
    <n v="1"/>
    <n v="5111"/>
    <n v="8600"/>
    <n v="0"/>
    <n v="51.6"/>
    <n v="8548.4"/>
    <n v="0"/>
    <n v="0"/>
    <n v="0"/>
    <n v="3437.4"/>
    <s v="丁先生"/>
    <s v="北京 北京市 朝阳区 金盏乡金盏北路8号晴翠园185号"/>
    <s v="18400828302-4451"/>
    <m/>
    <n v="8548.4"/>
    <m/>
    <m/>
  </r>
  <r>
    <x v="69"/>
    <s v="已收货"/>
    <s v="2590124953979294357"/>
    <s v="瑞媚"/>
    <m/>
    <m/>
    <s v="榫卯书架：柜1：800*425*550    柜2：615*280*780   柜3：880*230*780"/>
    <x v="6"/>
    <m/>
    <s v="已结算"/>
    <s v="江西"/>
    <n v="2351"/>
    <n v="2670"/>
    <s v="160-479"/>
    <m/>
    <m/>
    <m/>
    <m/>
    <m/>
    <m/>
    <m/>
    <m/>
    <m/>
    <m/>
    <m/>
    <m/>
    <m/>
    <m/>
    <m/>
    <m/>
    <m/>
    <m/>
    <m/>
    <m/>
    <m/>
    <m/>
    <m/>
    <m/>
    <n v="160"/>
    <m/>
    <m/>
    <n v="140"/>
    <n v="40"/>
    <n v="0"/>
    <n v="0"/>
    <n v="359"/>
    <n v="0"/>
    <n v="0"/>
    <n v="0"/>
    <n v="1"/>
    <n v="2890"/>
    <n v="3615"/>
    <n v="0"/>
    <n v="21.69"/>
    <n v="3593.31"/>
    <n v="0"/>
    <n v="0"/>
    <n v="0"/>
    <n v="703.3099999999999"/>
    <s v="瑞媚"/>
    <s v="广东省 深圳市 龙岗区 吉华街道松源路1号茵悦之生花园14a栋3F"/>
    <s v="15728352403-3074"/>
    <m/>
    <n v="3593.31"/>
    <m/>
    <m/>
  </r>
  <r>
    <x v="70"/>
    <s v="已收货"/>
    <s v="2595896220277631661"/>
    <s v="陈婉玲"/>
    <m/>
    <m/>
    <s v="砂白色2.0米岩板餐桌，定制"/>
    <x v="1"/>
    <s v="200cm*78cm"/>
    <s v="已结算"/>
    <s v="江西"/>
    <n v="2272.5"/>
    <n v="1630"/>
    <m/>
    <m/>
    <m/>
    <m/>
    <n v="510"/>
    <m/>
    <m/>
    <m/>
    <m/>
    <m/>
    <m/>
    <m/>
    <m/>
    <m/>
    <m/>
    <m/>
    <n v="2.5"/>
    <m/>
    <m/>
    <m/>
    <m/>
    <m/>
    <m/>
    <m/>
    <m/>
    <n v="130"/>
    <m/>
    <m/>
    <n v="143"/>
    <n v="35"/>
    <n v="68"/>
    <n v="0"/>
    <n v="139"/>
    <n v="0"/>
    <n v="28"/>
    <n v="64.8"/>
    <n v="1"/>
    <n v="2750.3"/>
    <n v="3210"/>
    <n v="0"/>
    <n v="19.26"/>
    <n v="3190.74"/>
    <n v="0"/>
    <n v="0"/>
    <n v="0"/>
    <n v="440.4399999999996"/>
    <s v="陈婉玲"/>
    <s v="河南省 洛阳市 涧西区 南昌路街道吉安南街恒顺幸福堡小区一号楼2单元301"/>
    <s v="18238844560-4998"/>
    <m/>
    <n v="3190.74"/>
    <m/>
    <m/>
  </r>
  <r>
    <x v="70"/>
    <s v="已收货"/>
    <s v="4397177991629821109"/>
    <s v="陈晨"/>
    <m/>
    <m/>
    <s v="窄柜-整柜洞石背板-0.8米-定制"/>
    <x v="18"/>
    <n v="800"/>
    <s v="已结算"/>
    <s v="江西"/>
    <n v="4422.74"/>
    <n v="3600"/>
    <n v="307.08"/>
    <n v="115"/>
    <m/>
    <n v="30"/>
    <n v="240"/>
    <m/>
    <m/>
    <m/>
    <m/>
    <m/>
    <m/>
    <m/>
    <m/>
    <m/>
    <m/>
    <m/>
    <m/>
    <m/>
    <m/>
    <m/>
    <m/>
    <m/>
    <m/>
    <m/>
    <m/>
    <n v="120"/>
    <m/>
    <m/>
    <n v="130"/>
    <n v="0"/>
    <n v="300"/>
    <n v="0"/>
    <n v="0"/>
    <n v="0"/>
    <n v="133"/>
    <n v="0"/>
    <n v="1"/>
    <n v="4985.74"/>
    <n v="4756.44"/>
    <n v="0"/>
    <n v="28.53864"/>
    <n v="4727.90136"/>
    <n v="0"/>
    <n v="0"/>
    <n v="0"/>
    <n v="-257.8386399999999"/>
    <s v="陈晨"/>
    <s v="上海 上海市 嘉定区 南翔镇 栖林路265弄高尔夫公馆5号202室"/>
    <s v="18466657871-7230"/>
    <m/>
    <n v="4727.90136"/>
    <m/>
    <m/>
  </r>
  <r>
    <x v="71"/>
    <s v="已收货"/>
    <s v="4378503493203959116"/>
    <s v="小鱼干"/>
    <m/>
    <m/>
    <s v="1.95餐边柜带1.5餐桌"/>
    <x v="2"/>
    <n v="1950"/>
    <s v="已结算"/>
    <s v="江西"/>
    <n v="8623.299999999999"/>
    <n v="6300"/>
    <m/>
    <m/>
    <m/>
    <m/>
    <m/>
    <n v="52"/>
    <n v="22"/>
    <m/>
    <m/>
    <n v="240"/>
    <n v="198"/>
    <n v="14.5"/>
    <m/>
    <m/>
    <m/>
    <m/>
    <m/>
    <n v="150"/>
    <m/>
    <m/>
    <m/>
    <m/>
    <m/>
    <m/>
    <m/>
    <n v="240"/>
    <m/>
    <n v="379.8"/>
    <n v="340"/>
    <n v="0"/>
    <n v="500"/>
    <n v="0"/>
    <n v="0"/>
    <n v="0"/>
    <n v="153"/>
    <n v="0"/>
    <n v="1"/>
    <n v="9616.299999999999"/>
    <n v="12035"/>
    <n v="0"/>
    <n v="72.21000000000001"/>
    <n v="11962.79"/>
    <n v="0"/>
    <n v="0"/>
    <n v="0"/>
    <n v="2346.490000000002"/>
    <s v="小鱼干"/>
    <s v="上海 上海市 浦东新区 三林镇钟萃苑3号2704"/>
    <s v="18466835686-4460"/>
    <m/>
    <n v="11962.79"/>
    <m/>
    <m/>
  </r>
  <r>
    <x v="71"/>
    <s v="已收货"/>
    <s v="2602167891014881656"/>
    <s v="仇宁"/>
    <m/>
    <m/>
    <s v="砂白色1.8米岩板餐桌"/>
    <x v="1"/>
    <s v="180cm*85cm"/>
    <s v="已结算"/>
    <s v="江西"/>
    <n v="1972.5"/>
    <n v="1540"/>
    <m/>
    <m/>
    <m/>
    <m/>
    <n v="240"/>
    <m/>
    <m/>
    <m/>
    <m/>
    <m/>
    <m/>
    <m/>
    <m/>
    <m/>
    <m/>
    <m/>
    <n v="2.5"/>
    <m/>
    <m/>
    <m/>
    <m/>
    <m/>
    <m/>
    <m/>
    <m/>
    <n v="190"/>
    <m/>
    <m/>
    <n v="124"/>
    <n v="30"/>
    <n v="85"/>
    <n v="0"/>
    <n v="0"/>
    <n v="0"/>
    <n v="24"/>
    <n v="0"/>
    <n v="1"/>
    <n v="2235.5"/>
    <n v="2766.22"/>
    <n v="0"/>
    <n v="16.59732"/>
    <n v="2749.62268"/>
    <n v="0"/>
    <n v="0"/>
    <n v="0"/>
    <n v="514.1226799999999"/>
    <s v="仇宁"/>
    <s v="山东省 济南市 市中区十六里河街道漫山香墅宸麓5号楼一单元1001室"/>
    <s v="15664702043-6521"/>
    <m/>
    <n v="2749.62268"/>
    <m/>
    <m/>
  </r>
  <r>
    <x v="72"/>
    <s v="已收货"/>
    <s v="2608275180604207296"/>
    <s v="舟舟"/>
    <m/>
    <m/>
    <s v="样块"/>
    <x v="0"/>
    <m/>
    <s v="已结算"/>
    <s v="杭州"/>
    <n v="7"/>
    <n v="5"/>
    <m/>
    <m/>
    <m/>
    <m/>
    <m/>
    <m/>
    <m/>
    <m/>
    <m/>
    <m/>
    <m/>
    <m/>
    <m/>
    <m/>
    <m/>
    <m/>
    <m/>
    <m/>
    <m/>
    <m/>
    <m/>
    <m/>
    <m/>
    <m/>
    <m/>
    <n v="2"/>
    <m/>
    <m/>
    <n v="5"/>
    <n v="0"/>
    <n v="0"/>
    <n v="0"/>
    <n v="0"/>
    <n v="0"/>
    <n v="0"/>
    <n v="0"/>
    <n v="1"/>
    <n v="12"/>
    <n v="21.2"/>
    <n v="0"/>
    <n v="0.1272"/>
    <n v="21.0728"/>
    <n v="0"/>
    <n v="0"/>
    <n v="0"/>
    <n v="9.072800000000001"/>
    <s v="舟舟"/>
    <s v="上海 上海市 长宁区 新华路街道法华镇路751弄西镇小区18号楼601室(000000)"/>
    <s v="18466658942-6583"/>
    <m/>
    <m/>
    <m/>
    <m/>
  </r>
  <r>
    <x v="73"/>
    <s v="已收货"/>
    <s v="4385826938000656000"/>
    <s v="邵光鹏"/>
    <m/>
    <m/>
    <s v="曜黑柜-整柜-1.96米-定制"/>
    <x v="19"/>
    <n v="1960"/>
    <s v="已结算"/>
    <s v="江西"/>
    <n v="11522.16"/>
    <n v="220"/>
    <n v="9800"/>
    <n v="285"/>
    <n v="638"/>
    <m/>
    <n v="92"/>
    <n v="14.5"/>
    <n v="1.16"/>
    <m/>
    <m/>
    <n v="3.37"/>
    <n v="1.1"/>
    <n v="1.03"/>
    <m/>
    <m/>
    <m/>
    <m/>
    <s v="22*3"/>
    <n v="30"/>
    <n v="370"/>
    <m/>
    <m/>
    <m/>
    <m/>
    <m/>
    <m/>
    <n v="370"/>
    <m/>
    <m/>
    <n v="295"/>
    <n v="67.5"/>
    <n v="765"/>
    <n v="0"/>
    <n v="168"/>
    <n v="0"/>
    <n v="250"/>
    <n v="0"/>
    <n v="1"/>
    <n v="13067.66"/>
    <n v="14367"/>
    <n v="0"/>
    <n v="373.542"/>
    <n v="13993.458"/>
    <n v="0"/>
    <n v="0"/>
    <n v="0"/>
    <n v="925.7979999999989"/>
    <s v="邵光鹏"/>
    <s v="山东省 青岛市 李沧区 浮山路街道 君一云谷金茂府5-2-302"/>
    <s v="18416727884-6350"/>
    <m/>
    <n v="13993.458"/>
    <m/>
    <m/>
  </r>
  <r>
    <x v="74"/>
    <s v="已收货"/>
    <s v="4369733928678123817"/>
    <s v="赖炜钦"/>
    <m/>
    <m/>
    <s v="组合柜，常规2cm板材"/>
    <x v="14"/>
    <m/>
    <s v="已结算"/>
    <s v="江西"/>
    <n v="5250"/>
    <n v="4900"/>
    <n v="350"/>
    <m/>
    <m/>
    <m/>
    <m/>
    <m/>
    <m/>
    <m/>
    <m/>
    <m/>
    <m/>
    <m/>
    <m/>
    <m/>
    <m/>
    <m/>
    <m/>
    <m/>
    <m/>
    <m/>
    <m/>
    <m/>
    <m/>
    <m/>
    <m/>
    <n v="350"/>
    <m/>
    <m/>
    <n v="268"/>
    <n v="75"/>
    <n v="88"/>
    <n v="0"/>
    <n v="0"/>
    <n v="0"/>
    <n v="80"/>
    <n v="500"/>
    <n v="1"/>
    <n v="6261"/>
    <n v="9300"/>
    <n v="0"/>
    <n v="241.8"/>
    <n v="9058.200000000001"/>
    <n v="0"/>
    <n v="0"/>
    <n v="0"/>
    <n v="2797.200000000001"/>
    <s v="赖炜钦"/>
    <s v="广东省 广州市 白云区 永平街道白云大道北1689号岭南新世界c10栋404"/>
    <s v="13242778146-6012"/>
    <m/>
    <n v="9058.200000000001"/>
    <m/>
    <m/>
  </r>
  <r>
    <x v="74"/>
    <s v="已收货"/>
    <s v="2612533477684521872"/>
    <s v="戚玲佩"/>
    <s v="2个五孔插座+1个USB插座+下柜微波炉内嵌插座"/>
    <m/>
    <s v="曜黑柜-整柜-2.2米-定制"/>
    <x v="19"/>
    <n v="2200"/>
    <s v="已结算"/>
    <s v="江西"/>
    <n v="12723.24"/>
    <n v="10500"/>
    <n v="430"/>
    <n v="739.08"/>
    <n v="285"/>
    <m/>
    <n v="92"/>
    <n v="14.5"/>
    <n v="1.16"/>
    <m/>
    <m/>
    <n v="3.37"/>
    <n v="1.1"/>
    <n v="1.03"/>
    <m/>
    <m/>
    <m/>
    <m/>
    <s v="22*3"/>
    <n v="30"/>
    <n v="560"/>
    <m/>
    <m/>
    <m/>
    <m/>
    <m/>
    <m/>
    <n v="560"/>
    <m/>
    <m/>
    <n v="453.2"/>
    <n v="77.8"/>
    <n v="188"/>
    <n v="0"/>
    <n v="199"/>
    <n v="0"/>
    <n v="189"/>
    <n v="0"/>
    <n v="1"/>
    <n v="13830.24"/>
    <n v="14919.19"/>
    <n v="0"/>
    <n v="387.89894"/>
    <n v="14531.29106"/>
    <n v="0"/>
    <n v="0"/>
    <n v="0"/>
    <n v="701.0510599999998"/>
    <s v="戚玲佩"/>
    <s v="浙江省 温州市 鹿城区 五马街道江滨西路东江锦园10栋2401室"/>
    <s v="18413500443-6429"/>
    <m/>
    <n v="14531.29106"/>
    <m/>
    <m/>
  </r>
  <r>
    <x v="74"/>
    <s v="已收货"/>
    <s v="2611965686619521872"/>
    <s v="戚玲佩"/>
    <m/>
    <m/>
    <s v="补差价"/>
    <x v="4"/>
    <m/>
    <s v="已结算"/>
    <s v="江西"/>
    <n v="0"/>
    <n v="0"/>
    <m/>
    <m/>
    <m/>
    <m/>
    <m/>
    <m/>
    <m/>
    <m/>
    <m/>
    <m/>
    <m/>
    <m/>
    <m/>
    <m/>
    <m/>
    <m/>
    <m/>
    <m/>
    <m/>
    <m/>
    <m/>
    <m/>
    <m/>
    <m/>
    <m/>
    <m/>
    <m/>
    <m/>
    <m/>
    <m/>
    <m/>
    <m/>
    <m/>
    <m/>
    <m/>
    <m/>
    <n v="1"/>
    <n v="0"/>
    <n v="981"/>
    <n v="0"/>
    <n v="25.506"/>
    <n v="955.494"/>
    <n v="0"/>
    <n v="0"/>
    <n v="0"/>
    <n v="955.494"/>
    <s v="戚玲佩"/>
    <s v="浙江省 温州市 鹿城区 五马街道江滨西路东江锦园10栋2401室"/>
    <s v="18413500443-6429"/>
    <m/>
    <n v="955.494"/>
    <m/>
    <m/>
  </r>
  <r>
    <x v="74"/>
    <s v="已收货"/>
    <s v="2611918598403512190"/>
    <s v="肖清真"/>
    <m/>
    <m/>
    <s v="床头柜*2"/>
    <x v="20"/>
    <m/>
    <s v="已结算"/>
    <s v="江西"/>
    <n v="1618"/>
    <n v="1450"/>
    <m/>
    <m/>
    <m/>
    <m/>
    <m/>
    <m/>
    <m/>
    <m/>
    <m/>
    <m/>
    <n v="68"/>
    <m/>
    <m/>
    <m/>
    <m/>
    <m/>
    <m/>
    <m/>
    <m/>
    <m/>
    <m/>
    <m/>
    <m/>
    <m/>
    <m/>
    <n v="100"/>
    <m/>
    <m/>
    <n v="55"/>
    <n v="35"/>
    <n v="0"/>
    <n v="0"/>
    <n v="0"/>
    <n v="0"/>
    <n v="0"/>
    <n v="0"/>
    <n v="1"/>
    <n v="1708"/>
    <n v="1548.81"/>
    <n v="0"/>
    <n v="40.26906"/>
    <n v="1508.54094"/>
    <n v="0"/>
    <n v="0"/>
    <n v="0"/>
    <n v="-199.4590600000001"/>
    <s v="肖清真"/>
    <s v="福建省 福州市 鼓楼区 南街街道灵响小区5座102"/>
    <s v="18480123078-8105"/>
    <m/>
    <n v="1508.54094"/>
    <m/>
    <m/>
  </r>
  <r>
    <x v="74"/>
    <s v="已收货"/>
    <s v="4388151891512083503  4387728493120083503"/>
    <s v="水太"/>
    <m/>
    <m/>
    <s v="1米玻璃门柜"/>
    <x v="4"/>
    <n v="1000"/>
    <s v="已结算,超透玻璃+瓷白玻璃"/>
    <s v="江西"/>
    <n v="2748.6"/>
    <n v="2180"/>
    <n v="200"/>
    <n v="180"/>
    <s v="23.55*2"/>
    <m/>
    <n v="30"/>
    <n v="2.5"/>
    <n v="25"/>
    <m/>
    <m/>
    <n v="84"/>
    <m/>
    <m/>
    <m/>
    <m/>
    <m/>
    <m/>
    <m/>
    <m/>
    <m/>
    <m/>
    <m/>
    <m/>
    <m/>
    <m/>
    <m/>
    <n v="180"/>
    <m/>
    <m/>
    <n v="224.6"/>
    <n v="33.4"/>
    <n v="118"/>
    <n v="0"/>
    <n v="0"/>
    <n v="0"/>
    <n v="100"/>
    <n v="0"/>
    <n v="1"/>
    <n v="3224.6"/>
    <n v="4128.45"/>
    <n v="0"/>
    <n v="107.3397"/>
    <n v="4021.1103"/>
    <n v="0"/>
    <n v="0"/>
    <n v="0"/>
    <n v="796.5102999999999"/>
    <s v="水太"/>
    <s v="广东省 深圳市 龙华区 民治街道卓越皇后道1栋B单元3D"/>
    <s v="14704489771-3895"/>
    <m/>
    <n v="4021.1103"/>
    <m/>
    <m/>
  </r>
  <r>
    <x v="74"/>
    <s v="已收货"/>
    <s v="4387013569762069929   4387086973368069929   2610510927354548573  2610913442416548573"/>
    <s v="邓靓"/>
    <m/>
    <m/>
    <s v="2.4洞石平板下柜"/>
    <x v="3"/>
    <n v="2400"/>
    <s v="已结算"/>
    <s v="江西"/>
    <n v="5682.5"/>
    <n v="4670"/>
    <m/>
    <m/>
    <m/>
    <m/>
    <n v="540"/>
    <m/>
    <n v="50"/>
    <m/>
    <m/>
    <n v="5"/>
    <n v="110"/>
    <m/>
    <n v="17.5"/>
    <m/>
    <m/>
    <m/>
    <m/>
    <m/>
    <m/>
    <m/>
    <m/>
    <m/>
    <m/>
    <m/>
    <m/>
    <n v="290"/>
    <m/>
    <m/>
    <n v="504.8"/>
    <n v="43.2"/>
    <n v="0"/>
    <n v="0"/>
    <n v="0"/>
    <n v="0"/>
    <n v="50"/>
    <n v="260"/>
    <n v="1"/>
    <n v="6540.5"/>
    <n v="9681.26"/>
    <n v="0"/>
    <n v="251.71276"/>
    <n v="9429.54724"/>
    <n v="0"/>
    <n v="0"/>
    <n v="0"/>
    <n v="2889.04724"/>
    <s v="邓靓"/>
    <s v="四川省 成都市 金牛区 西华街道兴城人居鎏林语 6 栋 2 单元 202"/>
    <s v="17897685895-8685"/>
    <m/>
    <n v="9429.54724"/>
    <m/>
    <m/>
  </r>
  <r>
    <x v="74"/>
    <s v="已收货"/>
    <s v="2611510862435774457"/>
    <s v="汤冰清"/>
    <s v="上楼，说是返40，_x000a_已调整：产品成本+背板+岩板+岩板打孔+电力轨道+隔板轨道+灯带+其他五金"/>
    <m/>
    <s v="窄柜-整柜洞石背板-0.8米"/>
    <x v="18"/>
    <n v="800"/>
    <s v="已结算"/>
    <s v="庄毅"/>
    <n v="3855.346666666666"/>
    <n v="3100"/>
    <n v="307.08"/>
    <n v="115"/>
    <m/>
    <n v="30"/>
    <n v="236.6666666666667"/>
    <n v="54.9"/>
    <m/>
    <m/>
    <n v="4"/>
    <m/>
    <m/>
    <m/>
    <m/>
    <m/>
    <m/>
    <n v="3.5"/>
    <m/>
    <n v="3"/>
    <m/>
    <m/>
    <m/>
    <m/>
    <n v="1.2"/>
    <m/>
    <m/>
    <m/>
    <m/>
    <m/>
    <n v="200"/>
    <n v="0"/>
    <n v="120"/>
    <n v="0"/>
    <n v="0"/>
    <n v="0"/>
    <n v="0"/>
    <n v="0"/>
    <n v="1"/>
    <n v="4175.346666666666"/>
    <n v="4761.44"/>
    <n v="0"/>
    <n v="123.79744"/>
    <n v="4637.642559999999"/>
    <n v="0"/>
    <n v="0"/>
    <n v="0"/>
    <n v="462.295893333333"/>
    <s v="汤冰清"/>
    <s v="上海 上海市 浦东新区 洋泾街道沈家弄路900弄7号502室"/>
    <s v="18466954105-8816"/>
    <m/>
    <n v="4637.642559999999"/>
    <m/>
    <m/>
  </r>
  <r>
    <x v="74"/>
    <s v="已收货"/>
    <s v="4387258548731296616"/>
    <s v="韩劲松"/>
    <m/>
    <m/>
    <s v="窄柜-整柜洞石背板-1.2米"/>
    <x v="18"/>
    <n v="1200"/>
    <s v="已结算"/>
    <s v="庄毅"/>
    <n v="4410.71"/>
    <n v="3600"/>
    <n v="411.08"/>
    <n v="125"/>
    <m/>
    <n v="76"/>
    <n v="122.16"/>
    <n v="62.4"/>
    <m/>
    <m/>
    <m/>
    <n v="8"/>
    <m/>
    <m/>
    <m/>
    <m/>
    <m/>
    <n v="3.37"/>
    <m/>
    <m/>
    <m/>
    <m/>
    <m/>
    <n v="1.6"/>
    <n v="1.1"/>
    <m/>
    <m/>
    <m/>
    <m/>
    <m/>
    <n v="315"/>
    <n v="0"/>
    <n v="130"/>
    <n v="0"/>
    <n v="0"/>
    <n v="0"/>
    <n v="0"/>
    <n v="100.78"/>
    <n v="1"/>
    <n v="4956.49"/>
    <n v="5175.54"/>
    <n v="0"/>
    <n v="134.56404"/>
    <n v="5040.97596"/>
    <n v="0"/>
    <n v="0"/>
    <n v="0"/>
    <n v="84.48595999999998"/>
    <s v="韩劲松"/>
    <s v="上海 上海市 浦东新区 洋泾街道张杨路1515弄16号2702室"/>
    <s v="18466612586-6483"/>
    <m/>
    <n v="5040.97596"/>
    <m/>
    <m/>
  </r>
  <r>
    <x v="75"/>
    <s v="已收货"/>
    <s v="4389154706062722936"/>
    <s v="小张老师"/>
    <s v="已调整，追加上了椅子价格，去掉了180"/>
    <m/>
    <s v="砂白色1.6米岩板餐桌+餐椅"/>
    <x v="1"/>
    <s v="160cm*85cm"/>
    <s v="已结算"/>
    <s v="江西"/>
    <n v="2584.5"/>
    <n v="1520"/>
    <m/>
    <m/>
    <m/>
    <m/>
    <n v="240"/>
    <m/>
    <m/>
    <m/>
    <m/>
    <m/>
    <m/>
    <m/>
    <m/>
    <m/>
    <m/>
    <m/>
    <n v="2.5"/>
    <m/>
    <n v="632"/>
    <m/>
    <m/>
    <m/>
    <m/>
    <m/>
    <m/>
    <n v="190"/>
    <m/>
    <m/>
    <n v="163"/>
    <n v="30"/>
    <n v="88"/>
    <n v="0"/>
    <n v="0"/>
    <n v="0"/>
    <n v="20"/>
    <n v="0"/>
    <n v="1"/>
    <n v="2885.5"/>
    <n v="4033.03"/>
    <n v="0"/>
    <n v="104.85878"/>
    <n v="3928.17122"/>
    <n v="0"/>
    <n v="0"/>
    <n v="0"/>
    <n v="1042.67122"/>
    <s v="小张老师"/>
    <s v="河北省 廊坊市 大厂回族自治县 祁各庄镇厂通路孔雀城紫涵园2-2-402"/>
    <s v="17897564039-8019"/>
    <m/>
    <n v="3928.17122"/>
    <m/>
    <m/>
  </r>
  <r>
    <x v="75"/>
    <s v="已收货"/>
    <s v="4397071320910934938"/>
    <s v="黎生"/>
    <m/>
    <m/>
    <s v="砂白色1.8米岩板餐桌"/>
    <x v="1"/>
    <s v="180cm*85cm"/>
    <s v="已结算"/>
    <s v="江西"/>
    <n v="1962.5"/>
    <n v="1540"/>
    <m/>
    <m/>
    <m/>
    <m/>
    <n v="240"/>
    <m/>
    <m/>
    <m/>
    <m/>
    <m/>
    <m/>
    <m/>
    <m/>
    <m/>
    <m/>
    <m/>
    <n v="2.5"/>
    <m/>
    <m/>
    <m/>
    <m/>
    <m/>
    <m/>
    <m/>
    <m/>
    <n v="180"/>
    <m/>
    <m/>
    <n v="107"/>
    <n v="30"/>
    <n v="75"/>
    <n v="0"/>
    <n v="100"/>
    <n v="0"/>
    <n v="0"/>
    <n v="0"/>
    <n v="1"/>
    <n v="2274.5"/>
    <n v="2766.22"/>
    <n v="0"/>
    <n v="71.92171999999999"/>
    <n v="2694.29828"/>
    <n v="0"/>
    <n v="0"/>
    <n v="0"/>
    <n v="419.79828"/>
    <s v="黎生"/>
    <s v="广东省 江门市 新会区 会城街道新会碧桂园盛世名门二街七座1402"/>
    <s v="18466449590-3787"/>
    <m/>
    <n v="2694.29828"/>
    <m/>
    <m/>
  </r>
  <r>
    <x v="75"/>
    <s v="退单"/>
    <s v="2612946255183028471"/>
    <s v="小洛"/>
    <m/>
    <m/>
    <s v="1.2洞石窄柜 48cm"/>
    <x v="4"/>
    <m/>
    <m/>
    <s v="庄毅"/>
    <n v="0"/>
    <n v="0"/>
    <m/>
    <m/>
    <m/>
    <m/>
    <m/>
    <m/>
    <m/>
    <m/>
    <m/>
    <m/>
    <m/>
    <m/>
    <m/>
    <m/>
    <m/>
    <m/>
    <m/>
    <m/>
    <m/>
    <m/>
    <m/>
    <m/>
    <m/>
    <m/>
    <m/>
    <m/>
    <m/>
    <m/>
    <n v="0"/>
    <n v="0"/>
    <n v="0"/>
    <n v="0"/>
    <n v="0"/>
    <n v="0"/>
    <n v="0"/>
    <n v="0"/>
    <n v="0"/>
    <n v="0"/>
    <n v="0"/>
    <n v="0"/>
    <n v="0"/>
    <n v="0"/>
    <n v="0"/>
    <n v="0"/>
    <n v="0"/>
    <n v="0"/>
    <s v="小洛"/>
    <s v="山西省 阳泉市 城区 北大街街道 洪城北路大通御景3-1-903 "/>
    <s v="14735147651-4070"/>
    <m/>
    <m/>
    <m/>
    <m/>
  </r>
  <r>
    <x v="75"/>
    <s v="已收货"/>
    <s v="2613409107778504458"/>
    <s v="刘颖"/>
    <m/>
    <m/>
    <s v="1.4旋转柜+1.1单腿左旋"/>
    <x v="2"/>
    <n v="1400"/>
    <s v="已结算,茶色玻璃"/>
    <s v="江西"/>
    <n v="5857.51"/>
    <n v="4500"/>
    <m/>
    <m/>
    <m/>
    <m/>
    <m/>
    <m/>
    <n v="22"/>
    <m/>
    <m/>
    <n v="55"/>
    <n v="198"/>
    <n v="37"/>
    <m/>
    <m/>
    <m/>
    <m/>
    <m/>
    <n v="469"/>
    <m/>
    <m/>
    <m/>
    <m/>
    <m/>
    <m/>
    <m/>
    <n v="400"/>
    <m/>
    <n v="260"/>
    <n v="490"/>
    <n v="90"/>
    <n v="118"/>
    <n v="0"/>
    <n v="0"/>
    <n v="0"/>
    <n v="107"/>
    <n v="0"/>
    <n v="1"/>
    <n v="6662.51"/>
    <n v="8383"/>
    <n v="0"/>
    <n v="217.958"/>
    <n v="8165.042"/>
    <n v="0"/>
    <n v="0"/>
    <n v="0"/>
    <n v="1502.532"/>
    <s v="刘颖"/>
    <s v="北京 北京市 昌平区 城北街道彩璟玉宸小区2号楼1单元1702"/>
    <s v="13241706946-2222"/>
    <m/>
    <n v="8165.042"/>
    <m/>
    <m/>
  </r>
  <r>
    <x v="76"/>
    <s v="已收货"/>
    <s v="2615325745764257399"/>
    <s v="李铮"/>
    <m/>
    <m/>
    <s v="窄柜-整柜洞石背板-1.0米"/>
    <x v="18"/>
    <n v="1000"/>
    <s v="已结算"/>
    <s v="庄毅"/>
    <n v="4064.576666666666"/>
    <n v="3200"/>
    <n v="359.08"/>
    <n v="120"/>
    <m/>
    <n v="38"/>
    <n v="276.6666666666667"/>
    <n v="59.23"/>
    <m/>
    <m/>
    <n v="5"/>
    <m/>
    <m/>
    <m/>
    <m/>
    <n v="2"/>
    <n v="1.1"/>
    <n v="3.5"/>
    <m/>
    <m/>
    <m/>
    <m/>
    <m/>
    <m/>
    <m/>
    <m/>
    <m/>
    <m/>
    <m/>
    <m/>
    <n v="382"/>
    <n v="0"/>
    <n v="100"/>
    <n v="0"/>
    <n v="80"/>
    <n v="0"/>
    <n v="0"/>
    <n v="0"/>
    <n v="1"/>
    <n v="4626.576666666666"/>
    <n v="4976.26"/>
    <n v="0"/>
    <n v="129.38276"/>
    <n v="4846.87724"/>
    <n v="80"/>
    <n v="0"/>
    <n v="80"/>
    <n v="300.3005733333339"/>
    <s v="李铮"/>
    <s v="北京 北京市 通州区 永顺镇北京通州区物资学院路3号院22号楼2单元102"/>
    <s v="18400946285-8237"/>
    <m/>
    <n v="4846.87724"/>
    <m/>
    <m/>
  </r>
  <r>
    <x v="77"/>
    <s v="已收货"/>
    <s v="4394280531812125427"/>
    <s v="美少女"/>
    <m/>
    <m/>
    <s v="砂白色1.6米岩板餐桌"/>
    <x v="1"/>
    <s v="160cm*85cm"/>
    <s v="已结算"/>
    <s v="江西"/>
    <n v="1942.5"/>
    <n v="1520"/>
    <m/>
    <m/>
    <m/>
    <m/>
    <n v="240"/>
    <m/>
    <m/>
    <m/>
    <m/>
    <m/>
    <m/>
    <m/>
    <m/>
    <m/>
    <m/>
    <m/>
    <n v="2.5"/>
    <m/>
    <m/>
    <m/>
    <m/>
    <m/>
    <m/>
    <m/>
    <m/>
    <n v="180"/>
    <m/>
    <m/>
    <n v="128"/>
    <n v="0"/>
    <n v="85"/>
    <n v="0"/>
    <n v="199"/>
    <n v="0"/>
    <n v="19"/>
    <n v="0"/>
    <n v="1"/>
    <n v="2373.5"/>
    <n v="2595.03"/>
    <n v="0"/>
    <n v="67.47078"/>
    <n v="2527.55922"/>
    <n v="0"/>
    <n v="0"/>
    <n v="0"/>
    <n v="154.0592200000001"/>
    <s v="美少女"/>
    <s v="广东省 广州市 天河区 五山街道华南农业大学嵩山区56栋102房"/>
    <s v="18466115819-5615"/>
    <m/>
    <n v="2527.55922"/>
    <m/>
    <m/>
  </r>
  <r>
    <x v="77"/>
    <s v="已收货"/>
    <s v="4393971903227265822"/>
    <s v="叶子"/>
    <s v="已发，对灯带62.4，已调整"/>
    <m/>
    <s v="窄柜-整柜洞石背板-1.2米"/>
    <x v="18"/>
    <n v="1200"/>
    <s v="已结算"/>
    <s v="庄毅"/>
    <n v="4605.216666666667"/>
    <n v="3600"/>
    <n v="411.08"/>
    <n v="125"/>
    <m/>
    <n v="76"/>
    <n v="316.6666666666667"/>
    <n v="62.4"/>
    <m/>
    <m/>
    <m/>
    <n v="8"/>
    <m/>
    <m/>
    <m/>
    <m/>
    <m/>
    <n v="3.37"/>
    <m/>
    <m/>
    <m/>
    <m/>
    <m/>
    <n v="1.6"/>
    <n v="1.1"/>
    <m/>
    <m/>
    <m/>
    <m/>
    <m/>
    <n v="290"/>
    <n v="0"/>
    <n v="98"/>
    <n v="0"/>
    <n v="0"/>
    <n v="0"/>
    <n v="0"/>
    <n v="0"/>
    <n v="1"/>
    <n v="4993.216666666667"/>
    <n v="5175.54"/>
    <n v="0"/>
    <n v="134.56404"/>
    <n v="5040.97596"/>
    <n v="0"/>
    <n v="0"/>
    <n v="0"/>
    <n v="47.75929333333261"/>
    <s v="叶子"/>
    <s v="上海 上海市 静安区 南京西路街道石门一路333弄7号1703室"/>
    <s v="18466788891-4516"/>
    <m/>
    <n v="5040.97596"/>
    <m/>
    <m/>
  </r>
  <r>
    <x v="77"/>
    <s v="已收货"/>
    <s v="4393482805198963549"/>
    <s v="何妍"/>
    <m/>
    <m/>
    <s v="洞石色1.5米岩板餐桌，定制"/>
    <x v="1"/>
    <s v="150cm*85cm"/>
    <s v="已结算"/>
    <s v="江西"/>
    <n v="2112.5"/>
    <n v="1500"/>
    <m/>
    <m/>
    <m/>
    <m/>
    <n v="490"/>
    <m/>
    <m/>
    <m/>
    <m/>
    <m/>
    <m/>
    <m/>
    <m/>
    <m/>
    <m/>
    <m/>
    <n v="2.5"/>
    <m/>
    <m/>
    <m/>
    <m/>
    <m/>
    <m/>
    <m/>
    <m/>
    <n v="120"/>
    <m/>
    <m/>
    <n v="90"/>
    <n v="30"/>
    <n v="0"/>
    <n v="0"/>
    <n v="0"/>
    <n v="0"/>
    <n v="19"/>
    <n v="0"/>
    <n v="1"/>
    <n v="2251.5"/>
    <n v="2460"/>
    <n v="0"/>
    <n v="63.95999999999999"/>
    <n v="2396.04"/>
    <n v="0"/>
    <n v="0"/>
    <n v="0"/>
    <n v="144.54"/>
    <s v="何妍"/>
    <s v="浙江省 宁波市 江北区 洪塘街道江来上府4-1102"/>
    <s v="18413321272-6390"/>
    <m/>
    <n v="2396.04"/>
    <m/>
    <m/>
  </r>
  <r>
    <x v="78"/>
    <s v="已收货"/>
    <s v="2618001086371603292"/>
    <s v="花好月圆"/>
    <m/>
    <m/>
    <s v="窄柜-整柜洞石背板-1.0米"/>
    <x v="18"/>
    <n v="1000"/>
    <s v="已结算"/>
    <s v="庄毅"/>
    <n v="4064.576666666666"/>
    <n v="3200"/>
    <n v="359.08"/>
    <n v="120"/>
    <m/>
    <n v="38"/>
    <n v="276.6666666666667"/>
    <n v="59.23"/>
    <m/>
    <m/>
    <n v="5"/>
    <m/>
    <m/>
    <m/>
    <m/>
    <n v="2"/>
    <n v="1.1"/>
    <n v="3.5"/>
    <m/>
    <m/>
    <m/>
    <m/>
    <m/>
    <m/>
    <m/>
    <m/>
    <m/>
    <m/>
    <m/>
    <m/>
    <n v="353"/>
    <n v="0"/>
    <n v="150"/>
    <n v="0"/>
    <n v="0"/>
    <n v="0"/>
    <n v="0"/>
    <n v="0"/>
    <n v="1"/>
    <n v="4567.576666666666"/>
    <n v="4976.26"/>
    <n v="0"/>
    <n v="129.38276"/>
    <n v="4846.87724"/>
    <n v="0"/>
    <n v="0"/>
    <n v="0"/>
    <n v="279.3005733333339"/>
    <s v="花好月圆"/>
    <s v="北京 北京市 丰台区 马家堡街道马家堡东路七克拉小区7号楼222"/>
    <s v="18400812384-1683"/>
    <m/>
    <n v="4846.87724"/>
    <m/>
    <m/>
  </r>
  <r>
    <x v="78"/>
    <s v="已收货"/>
    <s v="2617814931937603292"/>
    <s v="谷芳芳"/>
    <m/>
    <m/>
    <s v="1.6樱桃木洞石岩板桌"/>
    <x v="21"/>
    <s v="160cm*85cm"/>
    <s v="已结算"/>
    <s v="江西"/>
    <n v="1962.5"/>
    <n v="1260"/>
    <m/>
    <m/>
    <m/>
    <m/>
    <n v="520"/>
    <m/>
    <m/>
    <m/>
    <m/>
    <m/>
    <m/>
    <m/>
    <m/>
    <m/>
    <m/>
    <m/>
    <n v="2.5"/>
    <m/>
    <m/>
    <m/>
    <m/>
    <m/>
    <m/>
    <m/>
    <m/>
    <n v="180"/>
    <m/>
    <m/>
    <n v="114"/>
    <n v="10"/>
    <n v="0"/>
    <n v="0"/>
    <n v="0"/>
    <n v="0"/>
    <n v="19"/>
    <n v="0"/>
    <n v="1"/>
    <n v="2105.5"/>
    <n v="2192.1"/>
    <n v="0"/>
    <n v="56.9946"/>
    <n v="2135.1054"/>
    <n v="0"/>
    <n v="0"/>
    <n v="0"/>
    <n v="29.60539999999992"/>
    <s v="谷芳芳"/>
    <s v="北京 北京市 丰台区 花乡街道郭公庄蓝沁家园4单元1号楼1502室"/>
    <s v="18400997105-7193"/>
    <m/>
    <n v="2135.1054"/>
    <m/>
    <m/>
  </r>
  <r>
    <x v="78"/>
    <s v="已收货"/>
    <s v="2618108367380124264"/>
    <s v="熊遇全"/>
    <m/>
    <m/>
    <s v="砂白色1.8米岩板餐桌"/>
    <x v="1"/>
    <s v="180cm*85cm"/>
    <s v="已结算"/>
    <s v="江西"/>
    <n v="1972.5"/>
    <n v="1540"/>
    <m/>
    <m/>
    <m/>
    <m/>
    <n v="240"/>
    <m/>
    <m/>
    <m/>
    <m/>
    <m/>
    <m/>
    <m/>
    <m/>
    <m/>
    <m/>
    <m/>
    <n v="2.5"/>
    <m/>
    <m/>
    <m/>
    <m/>
    <m/>
    <m/>
    <m/>
    <m/>
    <n v="190"/>
    <m/>
    <m/>
    <n v="109"/>
    <n v="30"/>
    <n v="100"/>
    <n v="0"/>
    <n v="0"/>
    <n v="0"/>
    <n v="24"/>
    <n v="0"/>
    <n v="1"/>
    <n v="2235.5"/>
    <n v="2766.22"/>
    <n v="0"/>
    <n v="71.92171999999999"/>
    <n v="2694.29828"/>
    <n v="0"/>
    <n v="0"/>
    <n v="0"/>
    <n v="458.79828"/>
    <s v="熊遇全"/>
    <s v="湖南省 湘潭市 雨湖区 城正街街道 观湘门路58号城发潭州壹号院A6栋1502"/>
    <s v="18472629383-8705"/>
    <m/>
    <n v="2694.29828"/>
    <m/>
    <m/>
  </r>
  <r>
    <x v="79"/>
    <s v="已收货"/>
    <s v="4397620932758818005"/>
    <s v="台集运(932463)"/>
    <m/>
    <m/>
    <s v="1.5榉木旋转柜： 1.5整柜+1.1单腿岩板餐桌"/>
    <x v="2"/>
    <n v="1500"/>
    <s v="已结算,长虹玻璃"/>
    <s v="江西"/>
    <n v="6442.08"/>
    <n v="4600"/>
    <m/>
    <m/>
    <m/>
    <m/>
    <m/>
    <m/>
    <n v="38"/>
    <m/>
    <m/>
    <n v="22"/>
    <n v="198"/>
    <n v="52"/>
    <m/>
    <m/>
    <m/>
    <m/>
    <n v="61"/>
    <n v="22"/>
    <m/>
    <m/>
    <m/>
    <m/>
    <m/>
    <m/>
    <m/>
    <n v="450"/>
    <m/>
    <n v="260"/>
    <n v="366"/>
    <n v="40"/>
    <n v="0"/>
    <n v="0"/>
    <n v="0"/>
    <n v="0"/>
    <n v="107"/>
    <n v="457.55"/>
    <n v="1"/>
    <n v="7412.63"/>
    <n v="9398.549999999999"/>
    <n v="0"/>
    <n v="244.3623"/>
    <n v="9154.187699999999"/>
    <n v="0"/>
    <n v="0"/>
    <n v="0"/>
    <n v="1741.557699999998"/>
    <s v="台集运(932463)"/>
    <s v="福建省 漳州市 龙海区 东园镇 仓里路888号龙海普洛斯物流园A2库二层台集运"/>
    <s v="886-18319011167"/>
    <m/>
    <n v="9154.187699999999"/>
    <m/>
    <m/>
  </r>
  <r>
    <x v="79"/>
    <s v="已收货"/>
    <s v="2620018383473935652"/>
    <s v="HohengG3935"/>
    <m/>
    <m/>
    <s v="1.5樱桃木洞石餐边柜"/>
    <x v="3"/>
    <n v="1500"/>
    <s v="已结算,灰色玻璃"/>
    <s v="江西"/>
    <n v="7697.21"/>
    <n v="5400"/>
    <n v="501.08"/>
    <m/>
    <n v="540"/>
    <m/>
    <n v="38"/>
    <n v="104"/>
    <n v="14.5"/>
    <m/>
    <m/>
    <n v="300"/>
    <n v="88"/>
    <n v="280"/>
    <n v="17.5"/>
    <m/>
    <m/>
    <n v="7"/>
    <n v="3.37"/>
    <n v="1.16"/>
    <n v="1.1"/>
    <m/>
    <m/>
    <m/>
    <n v="1.03"/>
    <m/>
    <m/>
    <n v="300"/>
    <m/>
    <m/>
    <n v="403"/>
    <n v="115"/>
    <n v="0"/>
    <n v="0"/>
    <n v="0"/>
    <n v="0"/>
    <n v="107"/>
    <n v="0"/>
    <n v="1"/>
    <n v="8322.209999999999"/>
    <n v="10080.01"/>
    <n v="0"/>
    <n v="262.08026"/>
    <n v="9817.92974"/>
    <n v="0"/>
    <n v="0"/>
    <n v="0"/>
    <n v="1495.71974"/>
    <s v="HohengG3935"/>
    <s v="广东省 佛山市 南海区 狮山镇广东省 佛山市 南海区 狮山镇 塘新三路12号C区 G3935单元"/>
    <s v="13202484957-9910，"/>
    <m/>
    <n v="9817.92974"/>
    <m/>
    <m/>
  </r>
  <r>
    <x v="79"/>
    <s v="已收货"/>
    <s v="4397891655342861633"/>
    <s v="刘鑫"/>
    <m/>
    <m/>
    <s v="1.5樱桃木背板餐边柜*2"/>
    <x v="3"/>
    <m/>
    <s v="已结算,灰色玻璃"/>
    <s v="江西"/>
    <n v="13363.42"/>
    <n v="10400"/>
    <s v="(499.05"/>
    <n v="240"/>
    <n v="38"/>
    <m/>
    <s v="52*2"/>
    <s v="14.5*2"/>
    <s v="22*4"/>
    <m/>
    <m/>
    <n v="1.16"/>
    <n v="3.37"/>
    <n v="1.1"/>
    <m/>
    <m/>
    <m/>
    <n v="700"/>
    <n v="5"/>
    <n v="1.03"/>
    <n v="22"/>
    <m/>
    <m/>
    <m/>
    <s v="100)*2"/>
    <m/>
    <m/>
    <n v="700"/>
    <m/>
    <m/>
    <n v="1237.7"/>
    <n v="107.3"/>
    <n v="188"/>
    <n v="0"/>
    <n v="0"/>
    <n v="0"/>
    <n v="214"/>
    <n v="0"/>
    <n v="1"/>
    <n v="15110.42"/>
    <n v="19727"/>
    <n v="0"/>
    <n v="512.9019999999999"/>
    <n v="19214.098"/>
    <n v="0"/>
    <n v="0"/>
    <n v="0"/>
    <n v="4103.678000000002"/>
    <s v="刘鑫"/>
    <s v="陕西省 西安市 长安区 郭杜街道 星虹路与启创路交叉口云熙港东区3栋"/>
    <s v="15623546008-6701"/>
    <m/>
    <n v="19214.098"/>
    <m/>
    <m/>
  </r>
  <r>
    <x v="79"/>
    <s v="已收货"/>
    <s v="2620643556167471270"/>
    <s v="郑先生"/>
    <m/>
    <m/>
    <s v="窄柜-整柜洞石背板-0.8米"/>
    <x v="18"/>
    <n v="800"/>
    <s v="已结算"/>
    <s v="庄毅"/>
    <n v="3855.346666666666"/>
    <n v="3100"/>
    <n v="307.08"/>
    <n v="115"/>
    <m/>
    <n v="30"/>
    <n v="236.6666666666667"/>
    <n v="54.9"/>
    <m/>
    <m/>
    <n v="4"/>
    <m/>
    <m/>
    <m/>
    <m/>
    <m/>
    <m/>
    <n v="3.5"/>
    <m/>
    <n v="3"/>
    <m/>
    <m/>
    <m/>
    <m/>
    <n v="1.2"/>
    <m/>
    <m/>
    <m/>
    <m/>
    <m/>
    <n v="274"/>
    <n v="0"/>
    <n v="80"/>
    <n v="0"/>
    <n v="260"/>
    <n v="0"/>
    <n v="0"/>
    <n v="0"/>
    <n v="1"/>
    <n v="4469.346666666666"/>
    <n v="4756.44"/>
    <n v="0"/>
    <n v="123.66744"/>
    <n v="4632.772559999999"/>
    <n v="260"/>
    <n v="0"/>
    <n v="260"/>
    <n v="423.4258933333331"/>
    <s v="郑先生"/>
    <s v="江苏省 南京市 浦口区 江浦街道 横江大道中海左岸澜庭7栋2402"/>
    <s v="15780620259-3880"/>
    <m/>
    <n v="4632.772559999999"/>
    <m/>
    <m/>
  </r>
  <r>
    <x v="80"/>
    <s v="已收货"/>
    <s v="2621548488649521872"/>
    <s v="戚玲佩"/>
    <m/>
    <m/>
    <s v="补拼柜差价"/>
    <x v="4"/>
    <m/>
    <s v="已结算"/>
    <s v="江西"/>
    <n v="0"/>
    <n v="0"/>
    <m/>
    <m/>
    <m/>
    <m/>
    <m/>
    <m/>
    <m/>
    <m/>
    <m/>
    <m/>
    <m/>
    <m/>
    <m/>
    <m/>
    <m/>
    <m/>
    <m/>
    <m/>
    <m/>
    <m/>
    <m/>
    <m/>
    <m/>
    <m/>
    <m/>
    <m/>
    <m/>
    <m/>
    <m/>
    <m/>
    <m/>
    <m/>
    <m/>
    <m/>
    <m/>
    <m/>
    <n v="1"/>
    <n v="0"/>
    <n v="355"/>
    <n v="0"/>
    <n v="9.23"/>
    <n v="345.77"/>
    <n v="0"/>
    <n v="0"/>
    <n v="0"/>
    <n v="345.77"/>
    <s v="戚玲佩"/>
    <s v="浙江省 温州市 鹿城区 五马街道江滨西路东江锦园10栋2401室"/>
    <s v="18413500443-6429"/>
    <m/>
    <n v="345.77"/>
    <m/>
    <m/>
  </r>
  <r>
    <x v="81"/>
    <s v="已收货"/>
    <s v="2626561669627771776"/>
    <s v="谭小姐"/>
    <m/>
    <m/>
    <s v="曜黑柜-整柜-2.065米-定制"/>
    <x v="19"/>
    <n v="2065"/>
    <s v="已结算,超透玻璃"/>
    <s v="江西"/>
    <n v="11477.60833333333"/>
    <n v="9800"/>
    <n v="360"/>
    <s v="22*3"/>
    <n v="652.4"/>
    <m/>
    <n v="44"/>
    <n v="46"/>
    <n v="20"/>
    <m/>
    <m/>
    <s v="2550/6/1.5"/>
    <s v="2.025*15"/>
    <n v="30"/>
    <m/>
    <m/>
    <m/>
    <n v="52"/>
    <m/>
    <n v="25"/>
    <n v="30"/>
    <m/>
    <m/>
    <m/>
    <s v="12*3"/>
    <m/>
    <m/>
    <n v="370"/>
    <m/>
    <m/>
    <n v="210.2"/>
    <n v="68.40000000000001"/>
    <n v="168"/>
    <n v="0"/>
    <n v="552"/>
    <n v="0"/>
    <n v="132"/>
    <n v="100"/>
    <n v="1"/>
    <n v="12708.20833333333"/>
    <n v="14700"/>
    <n v="0"/>
    <n v="382.2"/>
    <n v="14317.8"/>
    <n v="0"/>
    <n v="0"/>
    <n v="0"/>
    <n v="1609.591666666665"/>
    <s v="谭小姐"/>
    <s v="广东省 湛江市 赤坎区 经济技术开发区人民大道北2号大中城市花园1号楼2单元304房"/>
    <s v="13249637062-8184"/>
    <m/>
    <n v="14317.8"/>
    <m/>
    <m/>
  </r>
  <r>
    <x v="82"/>
    <s v="已收货"/>
    <s v="2806684896045714861"/>
    <s v="高丽"/>
    <m/>
    <m/>
    <s v="洞石樱桃木柜：2100*500"/>
    <x v="3"/>
    <n v="2100"/>
    <s v="已结算,灰色玻璃"/>
    <s v="江西"/>
    <n v="7965.066666666667"/>
    <n v="6300"/>
    <n v="40"/>
    <n v="115"/>
    <n v="320"/>
    <m/>
    <s v="22*7"/>
    <n v="14"/>
    <n v="8.5"/>
    <m/>
    <m/>
    <n v="7"/>
    <n v="657.08"/>
    <s v="52*2"/>
    <n v="17.5"/>
    <m/>
    <m/>
    <m/>
    <s v="2040/6/1.5"/>
    <n v="14"/>
    <n v="4.82"/>
    <m/>
    <m/>
    <m/>
    <m/>
    <m/>
    <m/>
    <n v="320"/>
    <m/>
    <m/>
    <n v="0"/>
    <n v="0"/>
    <n v="498"/>
    <n v="0"/>
    <n v="0"/>
    <n v="0"/>
    <n v="132"/>
    <n v="250"/>
    <n v="1"/>
    <n v="8845.066666666666"/>
    <n v="11896"/>
    <n v="0"/>
    <n v="71.376"/>
    <n v="11824.624"/>
    <n v="0"/>
    <n v="0"/>
    <n v="0"/>
    <n v="2979.557333333334"/>
    <s v="高丽"/>
    <s v="湖南省 长沙市 岳麓区 洋湖街道六亩丘路国宸府小区5栋一单元1002房"/>
    <s v="18472625695-4631"/>
    <m/>
    <n v="11824.624"/>
    <m/>
    <m/>
  </r>
  <r>
    <x v="82"/>
    <s v="已收货"/>
    <s v="4606805486162332040"/>
    <s v="洪先生"/>
    <m/>
    <m/>
    <s v="榉木洞石柜子+餐桌：上柜1560*400*1070  下柜：1560*400*850"/>
    <x v="3"/>
    <n v="1560"/>
    <s v="已结算,灰色玻璃"/>
    <s v="江西"/>
    <n v="6590.246666666667"/>
    <n v="4800"/>
    <s v="22*5"/>
    <n v="8.5"/>
    <s v="2040/6/1.5"/>
    <m/>
    <n v="38"/>
    <n v="14"/>
    <n v="509.08"/>
    <m/>
    <m/>
    <s v="52*3"/>
    <n v="38"/>
    <n v="220"/>
    <m/>
    <m/>
    <m/>
    <m/>
    <n v="25"/>
    <n v="220"/>
    <n v="190"/>
    <m/>
    <m/>
    <m/>
    <n v="35"/>
    <m/>
    <m/>
    <n v="190"/>
    <m/>
    <m/>
    <n v="260"/>
    <n v="0"/>
    <n v="500"/>
    <n v="0"/>
    <n v="0"/>
    <n v="0"/>
    <n v="107"/>
    <n v="0"/>
    <n v="1"/>
    <n v="7457.246666666667"/>
    <n v="9076"/>
    <n v="0"/>
    <n v="54.456"/>
    <n v="9021.544"/>
    <n v="0"/>
    <n v="0"/>
    <n v="0"/>
    <n v="1564.297333333333"/>
    <s v="洪先生"/>
    <s v="上海 上海市 普陀区 宜川路街道交通路1517弄和丰苑1号楼402"/>
    <s v="18466965930-8588"/>
    <m/>
    <n v="9021.544"/>
    <m/>
    <m/>
  </r>
  <r>
    <x v="82"/>
    <s v="已收货"/>
    <s v="2807695777143058273"/>
    <s v="小王"/>
    <m/>
    <m/>
    <s v="砂白色2.0米岩板餐桌"/>
    <x v="1"/>
    <s v="200cm*85cm"/>
    <s v="已结算"/>
    <s v="江西"/>
    <n v="2402.5"/>
    <n v="1630"/>
    <m/>
    <m/>
    <m/>
    <m/>
    <n v="640"/>
    <m/>
    <m/>
    <m/>
    <m/>
    <m/>
    <m/>
    <m/>
    <m/>
    <m/>
    <m/>
    <m/>
    <n v="2.5"/>
    <m/>
    <m/>
    <m/>
    <m/>
    <m/>
    <m/>
    <m/>
    <m/>
    <n v="130"/>
    <m/>
    <m/>
    <n v="163"/>
    <n v="35"/>
    <n v="79"/>
    <n v="0"/>
    <n v="0"/>
    <n v="0"/>
    <n v="28"/>
    <n v="50"/>
    <n v="1"/>
    <n v="2757.5"/>
    <n v="3417.85"/>
    <n v="0"/>
    <n v="20.5071"/>
    <n v="3397.3429"/>
    <n v="0"/>
    <n v="0"/>
    <n v="0"/>
    <n v="639.8429000000001"/>
    <s v="小王"/>
    <s v="山东省 烟台市 莱山区 马山街道马山寨·海景豪庭13号楼402"/>
    <s v="18454590832-8163"/>
    <m/>
    <m/>
    <m/>
    <m/>
  </r>
  <r>
    <x v="83"/>
    <s v="退单"/>
    <s v="2819964975824127989"/>
    <s v="杨洁"/>
    <s v="已发货"/>
    <m/>
    <s v="0.8洞石窄柜 48cm"/>
    <x v="18"/>
    <n v="800"/>
    <m/>
    <s v="庄毅"/>
    <n v="0"/>
    <n v="0"/>
    <m/>
    <m/>
    <m/>
    <m/>
    <m/>
    <m/>
    <m/>
    <m/>
    <m/>
    <m/>
    <m/>
    <m/>
    <m/>
    <m/>
    <m/>
    <m/>
    <m/>
    <m/>
    <m/>
    <m/>
    <m/>
    <m/>
    <m/>
    <m/>
    <m/>
    <m/>
    <m/>
    <m/>
    <n v="0"/>
    <n v="0"/>
    <n v="0"/>
    <n v="0"/>
    <n v="0"/>
    <n v="0"/>
    <n v="0"/>
    <n v="0"/>
    <n v="1"/>
    <n v="0"/>
    <n v="0"/>
    <n v="0"/>
    <n v="0"/>
    <n v="0"/>
    <n v="0"/>
    <n v="0"/>
    <n v="0"/>
    <n v="0"/>
    <s v="杨洁"/>
    <s v="贵州省 遵义市 红花岗区 新蒲街道贵州省遵义市新蒲新区金科集美天宸18栋2单元701"/>
    <s v="18400328953-7541"/>
    <m/>
    <n v="0"/>
    <m/>
    <m/>
  </r>
  <r>
    <x v="84"/>
    <s v="已收货"/>
    <s v="4623524894183212321"/>
    <s v="孙女士"/>
    <s v="已发货"/>
    <m/>
    <s v="原木色1.8米餐桌，定制"/>
    <x v="1"/>
    <s v="180cm*90cm"/>
    <s v="已结算"/>
    <s v="江西"/>
    <n v="2180"/>
    <n v="2050"/>
    <m/>
    <m/>
    <m/>
    <m/>
    <m/>
    <m/>
    <m/>
    <m/>
    <m/>
    <m/>
    <m/>
    <m/>
    <m/>
    <m/>
    <m/>
    <m/>
    <m/>
    <m/>
    <m/>
    <m/>
    <m/>
    <m/>
    <m/>
    <m/>
    <m/>
    <n v="130"/>
    <m/>
    <m/>
    <n v="171"/>
    <n v="10"/>
    <n v="69"/>
    <n v="0"/>
    <n v="0"/>
    <n v="0"/>
    <n v="24"/>
    <n v="0"/>
    <n v="1"/>
    <n v="2454"/>
    <n v="3045"/>
    <n v="0"/>
    <n v="18.27"/>
    <n v="3026.73"/>
    <n v="0"/>
    <n v="0"/>
    <n v="0"/>
    <n v="572.73"/>
    <s v="孙女士"/>
    <s v="四川省 成都市 双流区 华阳街道 阳光城半山悦2期33-2-1204"/>
    <s v="18426541470-5744"/>
    <m/>
    <n v="3026.73"/>
    <m/>
    <m/>
  </r>
  <r>
    <x v="85"/>
    <s v="已收货"/>
    <s v="2824293072107737468"/>
    <s v="沈思"/>
    <m/>
    <m/>
    <s v="黑胡桃样块"/>
    <x v="0"/>
    <m/>
    <s v="已结算"/>
    <s v="杭州"/>
    <n v="12"/>
    <n v="10"/>
    <m/>
    <m/>
    <m/>
    <m/>
    <m/>
    <m/>
    <m/>
    <m/>
    <m/>
    <m/>
    <m/>
    <m/>
    <m/>
    <m/>
    <m/>
    <m/>
    <m/>
    <m/>
    <m/>
    <m/>
    <m/>
    <m/>
    <m/>
    <m/>
    <m/>
    <n v="2"/>
    <m/>
    <m/>
    <n v="5"/>
    <n v="0"/>
    <n v="0"/>
    <n v="0"/>
    <n v="0"/>
    <n v="0"/>
    <n v="0"/>
    <n v="0"/>
    <n v="1"/>
    <n v="17"/>
    <n v="50"/>
    <n v="0"/>
    <n v="0.3"/>
    <n v="49.7"/>
    <n v="0"/>
    <n v="0"/>
    <n v="0"/>
    <n v="32.7"/>
    <s v="沈思"/>
    <s v="江西省 景德镇市 浮梁县 臧湾乡寒溪村"/>
    <s v="17507981492-9408"/>
    <m/>
    <n v="49.7"/>
    <m/>
    <m/>
  </r>
  <r>
    <x v="85"/>
    <s v="已收货"/>
    <s v="2823699903775617583"/>
    <s v="杨周"/>
    <m/>
    <m/>
    <s v="2米旋转柜+1.35岩板桌，高度220"/>
    <x v="2"/>
    <n v="2000"/>
    <s v="已结算,茶色玻璃"/>
    <s v="江西"/>
    <n v="9026"/>
    <n v="6770"/>
    <m/>
    <m/>
    <m/>
    <m/>
    <m/>
    <n v="42"/>
    <m/>
    <m/>
    <m/>
    <n v="52"/>
    <n v="198"/>
    <n v="22"/>
    <m/>
    <m/>
    <m/>
    <m/>
    <n v="27"/>
    <n v="76"/>
    <m/>
    <m/>
    <m/>
    <m/>
    <m/>
    <m/>
    <m/>
    <n v="470"/>
    <m/>
    <m/>
    <n v="912"/>
    <n v="100"/>
    <n v="100"/>
    <n v="0"/>
    <n v="100"/>
    <n v="0"/>
    <n v="107"/>
    <n v="100"/>
    <n v="1"/>
    <n v="10445"/>
    <n v="12500"/>
    <n v="0"/>
    <n v="75"/>
    <n v="12425"/>
    <n v="0"/>
    <n v="0"/>
    <n v="0"/>
    <n v="1980"/>
    <s v="杨周"/>
    <s v="天津 天津市 津南区 海河教育园区 中海南开郡35-3-201"/>
    <s v="17822665967-2049"/>
    <m/>
    <n v="12425"/>
    <m/>
    <m/>
  </r>
  <r>
    <x v="85"/>
    <s v="已收货"/>
    <s v="4625677188195996849"/>
    <s v="孙先生"/>
    <s v="洞石背板"/>
    <m/>
    <s v="曜黑柜-整柜-2.1米-定制"/>
    <x v="19"/>
    <n v="2100"/>
    <s v="已结算,长虹玻璃"/>
    <s v="江西"/>
    <n v="13012.28833333333"/>
    <n v="9000"/>
    <n v="850"/>
    <n v="400"/>
    <n v="490"/>
    <m/>
    <s v="22*3"/>
    <n v="379"/>
    <n v="319"/>
    <m/>
    <m/>
    <n v="288"/>
    <n v="657.08"/>
    <n v="44"/>
    <m/>
    <m/>
    <m/>
    <n v="30"/>
    <n v="20"/>
    <n v="46"/>
    <s v="2550/6/1.5"/>
    <m/>
    <m/>
    <m/>
    <s v="2.025*15"/>
    <m/>
    <m/>
    <n v="25"/>
    <n v="2.5"/>
    <n v="30"/>
    <n v="52"/>
    <n v="0"/>
    <n v="0"/>
    <n v="0"/>
    <n v="0"/>
    <n v="0"/>
    <n v="100"/>
    <n v="0"/>
    <n v="1"/>
    <n v="13164.28833333333"/>
    <n v="16400"/>
    <n v="0"/>
    <n v="98.40000000000001"/>
    <n v="16301.6"/>
    <n v="0"/>
    <n v="0"/>
    <n v="0"/>
    <n v="3137.311666666666"/>
    <s v="孙先生"/>
    <s v="浙江省 杭州市 拱墅区 康桥街道锦翠金宸府19栋402室"/>
    <s v="18413212041-5305"/>
    <m/>
    <n v="16301.6"/>
    <m/>
    <m/>
  </r>
  <r>
    <x v="86"/>
    <s v="已收货"/>
    <s v="2823966552061496360"/>
    <s v="丁海生"/>
    <m/>
    <m/>
    <s v="黑胡桃岩板餐桌2米，定制（可可蛋奶岩板：200*80*76）"/>
    <x v="22"/>
    <s v="200cm*80cm"/>
    <s v="已结算"/>
    <s v="江西"/>
    <n v="3072.5"/>
    <n v="2400"/>
    <m/>
    <m/>
    <m/>
    <m/>
    <n v="480"/>
    <m/>
    <m/>
    <m/>
    <m/>
    <m/>
    <m/>
    <m/>
    <m/>
    <m/>
    <m/>
    <m/>
    <n v="2.5"/>
    <m/>
    <m/>
    <m/>
    <m/>
    <m/>
    <m/>
    <m/>
    <m/>
    <n v="190"/>
    <m/>
    <m/>
    <n v="269"/>
    <n v="84"/>
    <n v="88"/>
    <n v="0"/>
    <n v="180"/>
    <n v="0"/>
    <n v="28"/>
    <n v="50"/>
    <n v="1"/>
    <n v="3771.5"/>
    <n v="4400"/>
    <n v="0"/>
    <n v="26.4"/>
    <n v="4373.6"/>
    <n v="0"/>
    <n v="0"/>
    <n v="0"/>
    <n v="602.1000000000004"/>
    <s v="丁海生"/>
    <s v="浙江省 宁波市 镇海区 骆驼街道金华北路和镇骆西路三里风荷府4号8单元2001室"/>
    <s v="14757344386-2125"/>
    <m/>
    <n v="4373.6"/>
    <m/>
    <m/>
  </r>
  <r>
    <x v="87"/>
    <s v="已收货"/>
    <s v="4635418069906417215"/>
    <s v="鹿小鸭"/>
    <m/>
    <m/>
    <s v="樱桃木款洞石背板2米长，1.7高，无顶柜，下柜深度45cm，背板追加一个木隔板"/>
    <x v="3"/>
    <n v="2000"/>
    <s v="已结算"/>
    <s v="江西"/>
    <n v="6671.746666666667"/>
    <n v="4600"/>
    <s v="52*2"/>
    <n v="360"/>
    <n v="55"/>
    <m/>
    <n v="340"/>
    <n v="618.08"/>
    <s v="2040/6/1.5"/>
    <m/>
    <m/>
    <n v="100"/>
    <n v="92"/>
    <s v="22*8"/>
    <m/>
    <m/>
    <m/>
    <m/>
    <m/>
    <m/>
    <m/>
    <m/>
    <m/>
    <m/>
    <m/>
    <m/>
    <m/>
    <m/>
    <m/>
    <m/>
    <m/>
    <n v="80"/>
    <n v="200"/>
    <n v="0"/>
    <n v="0"/>
    <n v="0"/>
    <n v="100"/>
    <n v="0"/>
    <n v="1"/>
    <n v="7051.746666666667"/>
    <n v="10719"/>
    <n v="0"/>
    <n v="64.31400000000001"/>
    <n v="10654.686"/>
    <n v="0"/>
    <n v="0"/>
    <n v="0"/>
    <n v="3602.939333333333"/>
    <s v="鹿小鸭"/>
    <s v="北京 北京市 东城区 东直门街道香河园路1号万国城moma12号楼1603室"/>
    <s v="13141001147-5032"/>
    <m/>
    <m/>
    <m/>
    <m/>
  </r>
  <r>
    <x v="88"/>
    <s v="已收货"/>
    <s v="2836400379682254163"/>
    <s v="李增洁"/>
    <m/>
    <m/>
    <s v="砂白色1.6米岩板餐桌"/>
    <x v="1"/>
    <s v="160cm*85cm"/>
    <s v="已结算"/>
    <s v="江西"/>
    <n v="1922.5"/>
    <n v="1520"/>
    <m/>
    <m/>
    <m/>
    <m/>
    <n v="220"/>
    <m/>
    <m/>
    <m/>
    <m/>
    <m/>
    <m/>
    <m/>
    <m/>
    <m/>
    <m/>
    <m/>
    <n v="2.5"/>
    <m/>
    <m/>
    <m/>
    <m/>
    <m/>
    <m/>
    <m/>
    <m/>
    <n v="180"/>
    <m/>
    <m/>
    <n v="267"/>
    <n v="30"/>
    <n v="70"/>
    <n v="0"/>
    <n v="0"/>
    <n v="0"/>
    <n v="19"/>
    <n v="0"/>
    <n v="1"/>
    <n v="2308.5"/>
    <n v="2782.06"/>
    <n v="0"/>
    <n v="16.69236"/>
    <n v="2765.36764"/>
    <n v="0"/>
    <n v="0"/>
    <n v="0"/>
    <n v="456.8676399999999"/>
    <s v="李增洁"/>
    <s v="海南省 海口市 美兰区 白沙街道玉海豪庭3号楼1单元601号"/>
    <s v="17589171914-2292"/>
    <m/>
    <m/>
    <m/>
    <m/>
  </r>
  <r>
    <x v="89"/>
    <s v="已收货"/>
    <s v="2836912334073082291"/>
    <s v="陈逸翔"/>
    <m/>
    <m/>
    <s v="榉木餐边柜：1.2"/>
    <x v="9"/>
    <m/>
    <s v="已结算"/>
    <s v="江西"/>
    <n v="5004"/>
    <n v="3500"/>
    <n v="320"/>
    <n v="200"/>
    <n v="52"/>
    <m/>
    <s v="22*4"/>
    <n v="68"/>
    <n v="752"/>
    <m/>
    <m/>
    <n v="24"/>
    <m/>
    <m/>
    <m/>
    <m/>
    <m/>
    <m/>
    <m/>
    <m/>
    <m/>
    <m/>
    <m/>
    <m/>
    <m/>
    <m/>
    <m/>
    <n v="320"/>
    <m/>
    <m/>
    <n v="216"/>
    <n v="68"/>
    <n v="99"/>
    <n v="0"/>
    <n v="0"/>
    <n v="0"/>
    <n v="79"/>
    <n v="0"/>
    <n v="1"/>
    <n v="5466"/>
    <n v="7726.47"/>
    <n v="0"/>
    <n v="46.35882"/>
    <n v="7680.11118"/>
    <n v="0"/>
    <n v="0"/>
    <n v="0"/>
    <n v="2214.11118"/>
    <s v="陈逸翔"/>
    <s v="浙江省 衢州市 柯城区 白云街道 云澜府25幢1单元501"/>
    <s v="18413290012-4008"/>
    <m/>
    <m/>
    <m/>
    <m/>
  </r>
  <r>
    <x v="89"/>
    <s v="已收货"/>
    <s v="2837909715358786675"/>
    <s v="杨鹏"/>
    <m/>
    <m/>
    <s v="砂白色1.4米岩板餐桌，定制"/>
    <x v="1"/>
    <s v="140cm*80cm"/>
    <s v="已结算"/>
    <s v="江西"/>
    <n v="1872.5"/>
    <n v="1480"/>
    <m/>
    <m/>
    <m/>
    <m/>
    <n v="220"/>
    <m/>
    <m/>
    <m/>
    <m/>
    <m/>
    <m/>
    <m/>
    <m/>
    <m/>
    <m/>
    <m/>
    <n v="2.5"/>
    <m/>
    <m/>
    <m/>
    <m/>
    <m/>
    <m/>
    <m/>
    <m/>
    <n v="170"/>
    <m/>
    <m/>
    <n v="150"/>
    <n v="10"/>
    <n v="75"/>
    <n v="0"/>
    <n v="0"/>
    <n v="0"/>
    <n v="16"/>
    <n v="0"/>
    <n v="1"/>
    <n v="2123.5"/>
    <n v="2672.86"/>
    <n v="0"/>
    <n v="16.03716"/>
    <n v="2656.82284"/>
    <n v="0"/>
    <n v="0"/>
    <n v="0"/>
    <n v="533.3228400000003"/>
    <s v="杨鹏"/>
    <s v="广西壮族自治区 桂林市 秀峰区 甲山街道 阳江北路大龙湾15栋3单元302"/>
    <s v="15578352246-6259"/>
    <m/>
    <m/>
    <m/>
    <m/>
  </r>
  <r>
    <x v="89"/>
    <s v="已收货"/>
    <s v="4640273568695129940"/>
    <s v="王子艳"/>
    <s v="已发货"/>
    <m/>
    <s v="定制2.1米洞石整柜-补差价"/>
    <x v="3"/>
    <m/>
    <s v="已结算"/>
    <s v="江西"/>
    <n v="0"/>
    <n v="0"/>
    <m/>
    <m/>
    <m/>
    <m/>
    <m/>
    <m/>
    <m/>
    <m/>
    <m/>
    <m/>
    <m/>
    <m/>
    <m/>
    <m/>
    <m/>
    <m/>
    <m/>
    <m/>
    <m/>
    <m/>
    <m/>
    <m/>
    <m/>
    <m/>
    <m/>
    <m/>
    <m/>
    <m/>
    <n v="0"/>
    <n v="0"/>
    <n v="0"/>
    <n v="0"/>
    <n v="0"/>
    <n v="0"/>
    <n v="0"/>
    <n v="0"/>
    <n v="1"/>
    <n v="0"/>
    <n v="65"/>
    <n v="0"/>
    <n v="0.39"/>
    <n v="64.61"/>
    <n v="0"/>
    <n v="0"/>
    <n v="0"/>
    <n v="64.61"/>
    <s v="王子艳"/>
    <s v="四川省 成都市 龙泉驿区 东安街道保利云上锦苑6栋1单元302号"/>
    <s v="18423730325-8441"/>
    <m/>
    <m/>
    <m/>
    <m/>
  </r>
  <r>
    <x v="90"/>
    <s v="已收货"/>
    <s v="4645557648596959014"/>
    <s v="猫十七"/>
    <m/>
    <m/>
    <s v="砂白色1.8米岩板餐桌"/>
    <x v="1"/>
    <s v="180cm*85cm"/>
    <s v="已结算"/>
    <s v="江西"/>
    <n v="1942.5"/>
    <n v="1540"/>
    <m/>
    <m/>
    <m/>
    <m/>
    <n v="220"/>
    <m/>
    <m/>
    <m/>
    <m/>
    <m/>
    <m/>
    <m/>
    <m/>
    <m/>
    <m/>
    <m/>
    <n v="2.5"/>
    <m/>
    <m/>
    <m/>
    <m/>
    <m/>
    <m/>
    <m/>
    <m/>
    <n v="180"/>
    <m/>
    <m/>
    <n v="111"/>
    <n v="10"/>
    <n v="80"/>
    <n v="0"/>
    <n v="0"/>
    <n v="0"/>
    <n v="0"/>
    <n v="125"/>
    <n v="1"/>
    <n v="2268.5"/>
    <n v="2268.5"/>
    <n v="0"/>
    <n v="13.611"/>
    <n v="2254.889"/>
    <n v="0"/>
    <n v="0"/>
    <n v="0"/>
    <n v="-13.61099999999988"/>
    <s v="猫十七"/>
    <s v="江苏省 常州市 武进区 湖塘镇融创常州御园2期2栋乙单元1401"/>
    <s v="18425149871-7489"/>
    <m/>
    <m/>
    <m/>
    <m/>
  </r>
  <r>
    <x v="90"/>
    <s v="已收货"/>
    <s v="2843111139207648265"/>
    <s v="李雅"/>
    <s v="已发货"/>
    <m/>
    <s v="窄柜-整柜洞石背板-1.2米"/>
    <x v="18"/>
    <n v="1200"/>
    <s v="已结算"/>
    <s v="庄毅"/>
    <n v="4605.216666666667"/>
    <n v="3600"/>
    <n v="411.08"/>
    <n v="125"/>
    <m/>
    <n v="76"/>
    <n v="316.6666666666667"/>
    <n v="62.4"/>
    <m/>
    <m/>
    <m/>
    <n v="8"/>
    <m/>
    <m/>
    <m/>
    <m/>
    <m/>
    <n v="3.37"/>
    <m/>
    <m/>
    <m/>
    <m/>
    <m/>
    <n v="1.6"/>
    <n v="1.1"/>
    <m/>
    <m/>
    <m/>
    <m/>
    <m/>
    <n v="436"/>
    <n v="0"/>
    <n v="115"/>
    <n v="0"/>
    <n v="228"/>
    <n v="0"/>
    <n v="0"/>
    <n v="0"/>
    <n v="1"/>
    <n v="5384.216666666667"/>
    <n v="5254.28"/>
    <n v="0"/>
    <n v="31.52568"/>
    <n v="5222.75432"/>
    <n v="228"/>
    <n v="0"/>
    <n v="228"/>
    <n v="66.53765333333286"/>
    <s v="李雅"/>
    <s v="北京 北京市 通州区 潞城镇含章园4区11号楼4单元401"/>
    <s v="18400738594-3667"/>
    <s v="JDV022152808925，2件"/>
    <n v="5222.75432"/>
    <m/>
    <m/>
  </r>
  <r>
    <x v="91"/>
    <s v="已收货"/>
    <s v="2844803928414797769"/>
    <s v="贺岚"/>
    <m/>
    <m/>
    <s v="窄柜-整柜洞石背板-1.0米-定制"/>
    <x v="18"/>
    <n v="1000"/>
    <s v="已结算"/>
    <s v="庄毅"/>
    <n v="4364.576666666667"/>
    <n v="3500"/>
    <n v="359.08"/>
    <n v="120"/>
    <m/>
    <n v="38"/>
    <n v="276.6666666666667"/>
    <n v="59.23"/>
    <m/>
    <m/>
    <n v="5"/>
    <m/>
    <m/>
    <m/>
    <m/>
    <n v="2"/>
    <n v="1.1"/>
    <n v="3.5"/>
    <m/>
    <m/>
    <m/>
    <m/>
    <m/>
    <m/>
    <m/>
    <m/>
    <m/>
    <m/>
    <m/>
    <m/>
    <n v="258"/>
    <n v="0"/>
    <n v="88"/>
    <n v="0"/>
    <n v="0"/>
    <n v="0"/>
    <n v="0"/>
    <n v="0"/>
    <n v="1"/>
    <n v="4710.576666666667"/>
    <n v="5645"/>
    <n v="0"/>
    <n v="33.87"/>
    <n v="5611.13"/>
    <n v="0"/>
    <n v="0"/>
    <n v="0"/>
    <n v="900.5533333333333"/>
    <s v="贺岚"/>
    <s v="广东省 广州市 海珠区 南石头街道 星汇海珠湾E区1栋1818 "/>
    <s v="13249627167-7448"/>
    <s v="JDV022497815015，2件"/>
    <n v="5611.13"/>
    <m/>
    <m/>
  </r>
  <r>
    <x v="92"/>
    <s v="已收货"/>
    <s v="4649893093082433503"/>
    <s v="陈中善"/>
    <m/>
    <m/>
    <s v="窄柜-整柜洞石背板-1.0米"/>
    <x v="18"/>
    <n v="1000"/>
    <s v="已结算"/>
    <s v="庄毅"/>
    <n v="3994.71"/>
    <n v="3300"/>
    <n v="359.08"/>
    <n v="120"/>
    <m/>
    <n v="38"/>
    <n v="106.8"/>
    <n v="59.23"/>
    <m/>
    <m/>
    <n v="5"/>
    <m/>
    <m/>
    <m/>
    <m/>
    <n v="2"/>
    <n v="1.1"/>
    <n v="3.5"/>
    <m/>
    <m/>
    <m/>
    <m/>
    <m/>
    <m/>
    <m/>
    <m/>
    <m/>
    <m/>
    <m/>
    <m/>
    <n v="246"/>
    <n v="0"/>
    <n v="0"/>
    <n v="0"/>
    <n v="0"/>
    <n v="0"/>
    <n v="0"/>
    <n v="0"/>
    <n v="1"/>
    <n v="4240.71"/>
    <n v="5056.64"/>
    <n v="0"/>
    <n v="30.33984"/>
    <n v="5026.300160000001"/>
    <n v="0"/>
    <n v="0"/>
    <n v="0"/>
    <n v="785.5901600000007"/>
    <s v="陈中善 97706 Josephine Chen"/>
    <s v="广东省 中山市  三乡镇广星路8号广星智能科技园C栋峰琳物流NZ仓会员:陈中善 97706"/>
    <s v="13048071056-9143"/>
    <s v="JDV022277261510，2件"/>
    <n v="5026.300160000001"/>
    <m/>
    <m/>
  </r>
  <r>
    <x v="92"/>
    <s v="已收货"/>
    <s v="2847008028687462250"/>
    <s v="冯女士"/>
    <s v="已发货"/>
    <m/>
    <s v="砂白色1.3米岩板餐桌，定制"/>
    <x v="1"/>
    <s v="130cm*75cm"/>
    <s v="已结算"/>
    <s v="庄毅"/>
    <n v="1628"/>
    <n v="1450"/>
    <m/>
    <m/>
    <m/>
    <m/>
    <n v="175.5"/>
    <m/>
    <m/>
    <m/>
    <m/>
    <m/>
    <m/>
    <m/>
    <m/>
    <m/>
    <m/>
    <m/>
    <n v="2.5"/>
    <m/>
    <m/>
    <m/>
    <m/>
    <m/>
    <m/>
    <m/>
    <m/>
    <m/>
    <m/>
    <m/>
    <n v="324"/>
    <n v="0"/>
    <n v="133"/>
    <n v="0"/>
    <n v="0"/>
    <n v="0"/>
    <n v="0"/>
    <n v="0"/>
    <n v="1"/>
    <n v="2085"/>
    <n v="2703"/>
    <n v="0"/>
    <n v="16.218"/>
    <n v="2686.782"/>
    <n v="0"/>
    <n v="0"/>
    <n v="0"/>
    <n v="601.7820000000002"/>
    <s v="冯女士"/>
    <s v="北京 北京市 朝阳区 大屯街道 慧忠里小区415号楼11层1102 "/>
    <s v="13439867112-1098"/>
    <s v="JDV022363769500，2件"/>
    <n v="2686.782"/>
    <m/>
    <m/>
  </r>
  <r>
    <x v="93"/>
    <s v="已收货"/>
    <s v="4653202143004081504"/>
    <s v="黄懿歆"/>
    <s v="已发货"/>
    <m/>
    <s v="曜黑柜-整柜-2.1米"/>
    <x v="19"/>
    <n v="2100"/>
    <s v="已结算"/>
    <s v="庄毅"/>
    <n v="11250.22833333333"/>
    <n v="9800"/>
    <n v="657.0799999999999"/>
    <n v="283.3333333333333"/>
    <s v="2.025*15"/>
    <m/>
    <n v="20"/>
    <s v="2.1*0.48*180"/>
    <s v="30*5"/>
    <m/>
    <m/>
    <n v="92"/>
    <n v="71"/>
    <n v="45"/>
    <m/>
    <m/>
    <m/>
    <m/>
    <m/>
    <n v="40"/>
    <m/>
    <m/>
    <m/>
    <m/>
    <m/>
    <m/>
    <m/>
    <m/>
    <m/>
    <m/>
    <n v="746"/>
    <n v="0"/>
    <n v="160"/>
    <n v="0"/>
    <n v="0"/>
    <n v="0"/>
    <n v="0"/>
    <n v="100"/>
    <n v="1"/>
    <n v="12256.22833333333"/>
    <n v="15632"/>
    <n v="0"/>
    <n v="93.792"/>
    <n v="15538.208"/>
    <n v="0"/>
    <n v="0"/>
    <n v="0"/>
    <n v="3281.979666666666"/>
    <s v="黄懿歆"/>
    <s v="贵州省 贵阳市 花溪区 溪北街道 中铁&amp;middot;阅花溪A组团12栋17楼2号"/>
    <s v="18400319567-1665"/>
    <m/>
    <m/>
    <m/>
    <m/>
  </r>
  <r>
    <x v="94"/>
    <s v="已收货"/>
    <s v="2850725424720730171"/>
    <s v="从心"/>
    <s v="已发货"/>
    <m/>
    <s v="窄柜-整柜洞石背板-1.2米"/>
    <x v="18"/>
    <n v="1200"/>
    <s v="已结算"/>
    <s v="庄毅"/>
    <n v="4605.216666666667"/>
    <n v="3600"/>
    <n v="411.08"/>
    <n v="125"/>
    <m/>
    <n v="76"/>
    <n v="316.6666666666667"/>
    <n v="62.4"/>
    <m/>
    <m/>
    <m/>
    <n v="8"/>
    <m/>
    <m/>
    <m/>
    <m/>
    <m/>
    <n v="3.37"/>
    <m/>
    <m/>
    <m/>
    <m/>
    <m/>
    <n v="1.6"/>
    <n v="1.1"/>
    <m/>
    <m/>
    <m/>
    <m/>
    <m/>
    <n v="333"/>
    <n v="0"/>
    <n v="108"/>
    <n v="0"/>
    <n v="0"/>
    <n v="0"/>
    <n v="0"/>
    <n v="0"/>
    <n v="1"/>
    <n v="5046.216666666667"/>
    <n v="5254.28"/>
    <n v="0"/>
    <n v="31.52568"/>
    <n v="5222.75432"/>
    <n v="0"/>
    <n v="0"/>
    <n v="0"/>
    <n v="176.5376533333329"/>
    <s v="从心"/>
    <s v="广东省 深圳市 龙华区 民治街道沙元路沙元埔42栋301"/>
    <s v="15794964805-9011"/>
    <s v="JDV022178869745，2件"/>
    <n v="5222.75432"/>
    <m/>
    <m/>
  </r>
  <r>
    <x v="95"/>
    <s v="已收货"/>
    <s v="4661931314570857434"/>
    <s v="施先生"/>
    <s v="已发货"/>
    <m/>
    <s v="窄柜-整柜洞石背板-0.8米-定制"/>
    <x v="18"/>
    <n v="800"/>
    <s v="已结算"/>
    <s v="庄毅"/>
    <n v="3955.346666666666"/>
    <n v="3200"/>
    <n v="307.08"/>
    <n v="115"/>
    <m/>
    <n v="30"/>
    <n v="236.6666666666667"/>
    <n v="54.9"/>
    <m/>
    <m/>
    <n v="4"/>
    <m/>
    <m/>
    <m/>
    <m/>
    <m/>
    <m/>
    <n v="3.5"/>
    <m/>
    <n v="3"/>
    <m/>
    <m/>
    <m/>
    <m/>
    <n v="1.2"/>
    <m/>
    <m/>
    <m/>
    <m/>
    <m/>
    <n v="196"/>
    <n v="0"/>
    <n v="130"/>
    <n v="0"/>
    <n v="0"/>
    <n v="0"/>
    <n v="0"/>
    <n v="0"/>
    <n v="1"/>
    <n v="4281.346666666666"/>
    <n v="4932.75"/>
    <n v="0"/>
    <n v="29.5965"/>
    <n v="4903.1535"/>
    <n v="0"/>
    <n v="0"/>
    <n v="0"/>
    <n v="621.806833333334"/>
    <s v="施先生"/>
    <s v="上海 上海市 宝山区 高境镇逸仙路1238弄43号202室"/>
    <s v="18466693147-3200"/>
    <s v="JDV022363724581，2件"/>
    <n v="4903.1535"/>
    <m/>
    <m/>
  </r>
  <r>
    <x v="96"/>
    <s v="已收货"/>
    <s v="4663393239167905827"/>
    <s v="许靖"/>
    <m/>
    <m/>
    <s v="黑胡桃下柜+凳子"/>
    <x v="2"/>
    <m/>
    <s v="已结算"/>
    <s v="江西"/>
    <n v="8981"/>
    <n v="6700"/>
    <n v="1100"/>
    <n v="420"/>
    <n v="24"/>
    <m/>
    <s v="22*9"/>
    <s v="260*2"/>
    <n v="19"/>
    <m/>
    <m/>
    <m/>
    <m/>
    <m/>
    <m/>
    <m/>
    <m/>
    <m/>
    <m/>
    <m/>
    <m/>
    <m/>
    <m/>
    <m/>
    <m/>
    <m/>
    <m/>
    <n v="420"/>
    <m/>
    <m/>
    <n v="407"/>
    <n v="99"/>
    <n v="140"/>
    <n v="0"/>
    <n v="0"/>
    <n v="0"/>
    <n v="50"/>
    <n v="0"/>
    <n v="1"/>
    <n v="9677"/>
    <n v="13325"/>
    <n v="0"/>
    <n v="79.95"/>
    <n v="13245.05"/>
    <n v="0"/>
    <n v="0"/>
    <n v="0"/>
    <n v="3568.049999999999"/>
    <s v="许靖"/>
    <s v="广东省 深圳市 南山区 南头街道深圳市南山区桃园路前海花园9栋4单元708"/>
    <s v="13138896880-2514"/>
    <m/>
    <m/>
    <m/>
    <m/>
  </r>
  <r>
    <x v="96"/>
    <s v="已收货"/>
    <s v="2859737161775351486"/>
    <s v="孙先生"/>
    <m/>
    <m/>
    <s v="樱桃木洞石岩板桌1.95米-定制"/>
    <x v="23"/>
    <s v="195cm*85cm"/>
    <s v="已结算"/>
    <s v="庄毅"/>
    <n v="1647.7"/>
    <n v="1380"/>
    <m/>
    <m/>
    <m/>
    <m/>
    <n v="265.2"/>
    <m/>
    <m/>
    <m/>
    <m/>
    <m/>
    <m/>
    <m/>
    <m/>
    <m/>
    <m/>
    <m/>
    <n v="2.5"/>
    <m/>
    <m/>
    <m/>
    <m/>
    <m/>
    <m/>
    <m/>
    <m/>
    <m/>
    <m/>
    <m/>
    <n v="552"/>
    <n v="0"/>
    <n v="141"/>
    <n v="220"/>
    <n v="0"/>
    <n v="0"/>
    <n v="0"/>
    <n v="150"/>
    <n v="1"/>
    <n v="2710.7"/>
    <n v="3227"/>
    <n v="0"/>
    <n v="19.362"/>
    <n v="3207.638"/>
    <n v="220"/>
    <n v="0"/>
    <n v="220"/>
    <n v="716.9380000000001"/>
    <s v="孙先生"/>
    <s v="江苏省 苏州市 虎丘区 狮山街道 淮海街182号大悦风华苑3幢601户"/>
    <s v="17895041792-9731"/>
    <s v="JDV022390396801，2件"/>
    <n v="3207.638"/>
    <m/>
    <m/>
  </r>
  <r>
    <x v="97"/>
    <s v="已收货"/>
    <s v="2860926672808521872"/>
    <s v="戚玲佩"/>
    <m/>
    <m/>
    <s v="追加2个五孔插座"/>
    <x v="5"/>
    <m/>
    <s v="已结算"/>
    <s v="其他"/>
    <n v="110"/>
    <n v="110"/>
    <m/>
    <m/>
    <m/>
    <m/>
    <m/>
    <m/>
    <m/>
    <m/>
    <m/>
    <m/>
    <m/>
    <m/>
    <m/>
    <m/>
    <m/>
    <m/>
    <m/>
    <m/>
    <m/>
    <m/>
    <m/>
    <m/>
    <m/>
    <m/>
    <m/>
    <m/>
    <m/>
    <m/>
    <n v="8"/>
    <n v="0"/>
    <n v="0"/>
    <n v="0"/>
    <n v="0"/>
    <n v="0"/>
    <n v="0"/>
    <n v="0"/>
    <n v="1"/>
    <n v="118"/>
    <n v="200"/>
    <n v="0"/>
    <n v="1.2"/>
    <n v="198.8"/>
    <n v="0"/>
    <n v="0"/>
    <n v="0"/>
    <n v="80.80000000000001"/>
    <s v="戚玲佩"/>
    <s v="浙江省 温州市 鹿城区 五马街道江滨西路东江锦园10栋2401室"/>
    <s v="18413500443-6429"/>
    <m/>
    <m/>
    <m/>
    <m/>
  </r>
  <r>
    <x v="97"/>
    <s v="已收货"/>
    <s v="2861164995604134257"/>
    <s v="周"/>
    <m/>
    <m/>
    <s v="左旋樱桃木1.6柜+1.2双腿桌"/>
    <x v="2"/>
    <n v="1600"/>
    <s v="已结算"/>
    <s v="江西"/>
    <n v="7374"/>
    <n v="5700"/>
    <m/>
    <m/>
    <m/>
    <m/>
    <m/>
    <n v="22"/>
    <n v="270"/>
    <m/>
    <m/>
    <n v="10"/>
    <n v="198"/>
    <n v="195"/>
    <m/>
    <m/>
    <m/>
    <m/>
    <m/>
    <n v="525"/>
    <m/>
    <m/>
    <m/>
    <m/>
    <m/>
    <m/>
    <m/>
    <n v="195"/>
    <m/>
    <m/>
    <n v="380"/>
    <n v="0"/>
    <n v="0"/>
    <n v="0"/>
    <n v="0"/>
    <n v="0"/>
    <n v="107"/>
    <n v="0"/>
    <n v="1"/>
    <n v="7861"/>
    <n v="11512.54"/>
    <n v="0"/>
    <n v="69.07524000000001"/>
    <n v="11443.46476"/>
    <n v="0"/>
    <n v="0"/>
    <n v="0"/>
    <n v="3582.464760000001"/>
    <s v="周"/>
    <s v="浙江省 杭州市 余杭区 五常街道荆山翠谷90号楼-1101"/>
    <s v="18468359566-3707"/>
    <m/>
    <m/>
    <m/>
    <m/>
  </r>
  <r>
    <x v="98"/>
    <s v="已收货"/>
    <s v="2862523020679362582"/>
    <s v="林静超"/>
    <s v="已发货"/>
    <m/>
    <s v="窄柜-整柜洞石背板-0.8米"/>
    <x v="18"/>
    <n v="800"/>
    <s v="已结算"/>
    <s v="庄毅"/>
    <n v="3855.346666666666"/>
    <n v="3100"/>
    <n v="307.08"/>
    <n v="115"/>
    <m/>
    <n v="30"/>
    <n v="236.6666666666667"/>
    <n v="54.9"/>
    <m/>
    <m/>
    <n v="4"/>
    <m/>
    <m/>
    <m/>
    <m/>
    <m/>
    <m/>
    <n v="3.5"/>
    <m/>
    <n v="3"/>
    <m/>
    <m/>
    <m/>
    <m/>
    <n v="1.2"/>
    <m/>
    <m/>
    <m/>
    <m/>
    <m/>
    <n v="231"/>
    <n v="0"/>
    <n v="85"/>
    <n v="0"/>
    <n v="0"/>
    <n v="0"/>
    <n v="0"/>
    <n v="0"/>
    <n v="1"/>
    <n v="4171.346666666666"/>
    <n v="4838.75"/>
    <n v="0"/>
    <n v="29.0325"/>
    <n v="4809.7175"/>
    <n v="0"/>
    <n v="0"/>
    <n v="0"/>
    <n v="638.3708333333334"/>
    <s v="林静超"/>
    <s v="江苏省 苏州市 虎丘区 东渚街道 大悦澜庭2栋1304 "/>
    <s v="17895043554-3428"/>
    <s v="JDV022836472441，2件"/>
    <n v="4809.7175"/>
    <m/>
    <m/>
  </r>
  <r>
    <x v="99"/>
    <s v="已收货"/>
    <s v="4668641678876832005"/>
    <s v="江松"/>
    <s v="已发货"/>
    <m/>
    <s v="洞石柜1.5米定制"/>
    <x v="3"/>
    <n v="1500"/>
    <s v="已结算"/>
    <s v="庄毅"/>
    <n v="6646.546666666667"/>
    <n v="5360"/>
    <n v="501.08"/>
    <n v="226.6666666666667"/>
    <m/>
    <n v="76"/>
    <n v="226.6666666666667"/>
    <n v="76"/>
    <s v="1.5*0.58*160"/>
    <m/>
    <m/>
    <s v="(1.5"/>
    <s v="0.58*2)*60"/>
    <n v="10"/>
    <n v="17.5"/>
    <m/>
    <m/>
    <n v="7"/>
    <m/>
    <n v="20"/>
    <n v="10"/>
    <m/>
    <m/>
    <m/>
    <n v="40"/>
    <m/>
    <m/>
    <m/>
    <m/>
    <m/>
    <n v="504"/>
    <n v="0"/>
    <n v="210"/>
    <n v="0"/>
    <n v="0"/>
    <n v="0"/>
    <n v="0"/>
    <n v="0"/>
    <n v="1"/>
    <n v="7360.546666666667"/>
    <n v="10947"/>
    <n v="0"/>
    <n v="65.682"/>
    <n v="10881.318"/>
    <n v="0"/>
    <n v="0"/>
    <n v="0"/>
    <n v="3520.771333333332"/>
    <s v="江松"/>
    <s v="湖北省 武汉市 江岸区 车站街道 车站街办事处 京汉大道1238号(公安路路口)中城国际3栋2608室 "/>
    <s v="15623546065-5731"/>
    <s v="JDV023099393697，3件"/>
    <n v="10881.318"/>
    <m/>
    <m/>
  </r>
  <r>
    <x v="100"/>
    <s v="已收货"/>
    <s v="2866982774920013894"/>
    <s v="杜佳琪"/>
    <m/>
    <m/>
    <s v="洞石柜：1.8*0.5*2.1  2个插座"/>
    <x v="3"/>
    <n v="1800"/>
    <s v="已结算"/>
    <s v="庄毅"/>
    <n v="7286.746666666667"/>
    <n v="6000"/>
    <m/>
    <n v="226.6666666666667"/>
    <n v="80"/>
    <n v="80"/>
    <n v="342"/>
    <m/>
    <m/>
    <m/>
    <m/>
    <n v="33"/>
    <n v="20"/>
    <n v="10"/>
    <m/>
    <m/>
    <m/>
    <m/>
    <n v="501.08"/>
    <n v="14"/>
    <n v="10"/>
    <m/>
    <m/>
    <m/>
    <m/>
    <m/>
    <m/>
    <m/>
    <m/>
    <m/>
    <n v="1116"/>
    <n v="0"/>
    <n v="158"/>
    <n v="0"/>
    <n v="0"/>
    <n v="0"/>
    <n v="0"/>
    <n v="0"/>
    <n v="1"/>
    <n v="8560.746666666666"/>
    <n v="11486.29"/>
    <n v="0"/>
    <n v="68.91773999999999"/>
    <n v="11417.37226"/>
    <n v="0"/>
    <n v="0"/>
    <n v="0"/>
    <n v="2856.625593333332"/>
    <s v="杜佳琪"/>
    <s v="山西省 太原市 小店区 坞城街道千禧锦绣苑北区"/>
    <s v="13240454959-8127"/>
    <m/>
    <m/>
    <m/>
    <m/>
  </r>
  <r>
    <x v="100"/>
    <s v="已收货"/>
    <s v="2865848916011992459"/>
    <s v="何文涛"/>
    <m/>
    <m/>
    <s v="窄柜-整柜洞石背板-1.0米"/>
    <x v="18"/>
    <n v="1000"/>
    <s v="已结算"/>
    <s v="庄毅"/>
    <n v="3994.71"/>
    <n v="3300"/>
    <n v="359.08"/>
    <n v="120"/>
    <m/>
    <n v="38"/>
    <n v="106.8"/>
    <n v="59.23"/>
    <m/>
    <m/>
    <n v="5"/>
    <m/>
    <m/>
    <m/>
    <m/>
    <n v="2"/>
    <n v="1.1"/>
    <n v="3.5"/>
    <m/>
    <m/>
    <m/>
    <m/>
    <m/>
    <m/>
    <m/>
    <m/>
    <m/>
    <m/>
    <m/>
    <m/>
    <n v="257"/>
    <n v="0"/>
    <n v="79"/>
    <n v="0"/>
    <n v="0"/>
    <n v="0"/>
    <n v="0"/>
    <n v="0"/>
    <n v="1"/>
    <n v="4330.71"/>
    <n v="5055.78"/>
    <n v="0"/>
    <n v="30.33468"/>
    <n v="5025.44532"/>
    <n v="0"/>
    <n v="0"/>
    <n v="0"/>
    <n v="694.7353199999998"/>
    <s v="何文涛"/>
    <s v="上海 上海市 金山区 漕泾镇 漕廊公路985弄1区11号201室 "/>
    <s v="18466626621-5066"/>
    <s v="JDV022813144963，2件"/>
    <n v="5025.44532"/>
    <m/>
    <m/>
  </r>
  <r>
    <x v="100"/>
    <s v="已收货"/>
    <s v="2866821062218193873"/>
    <s v="张师傅"/>
    <m/>
    <m/>
    <s v="左旋樱桃木1.6柜+1.2单腿桌，白色岩板  二次上门，师傅没收"/>
    <x v="2"/>
    <n v="1600"/>
    <s v="已结算,茶色玻璃"/>
    <s v="江西"/>
    <n v="7219"/>
    <n v="5600"/>
    <m/>
    <m/>
    <m/>
    <m/>
    <m/>
    <n v="22"/>
    <n v="270"/>
    <m/>
    <m/>
    <n v="10"/>
    <n v="198"/>
    <n v="160"/>
    <m/>
    <m/>
    <m/>
    <m/>
    <m/>
    <n v="525"/>
    <m/>
    <m/>
    <m/>
    <m/>
    <m/>
    <m/>
    <m/>
    <n v="160"/>
    <m/>
    <m/>
    <n v="290"/>
    <n v="0"/>
    <n v="500"/>
    <n v="0"/>
    <n v="0"/>
    <n v="0"/>
    <n v="107"/>
    <n v="0"/>
    <n v="1"/>
    <n v="8116"/>
    <n v="9641.92"/>
    <n v="0"/>
    <n v="57.85152"/>
    <n v="9584.06848"/>
    <n v="0"/>
    <n v="0"/>
    <n v="0"/>
    <n v="1468.06848"/>
    <s v="张师傅"/>
    <s v="上海 上海市 普陀区 长寿路街道武宁路300弄5幢武宁路300弄14号2807室"/>
    <s v="18466681171-1547"/>
    <m/>
    <m/>
    <m/>
    <m/>
  </r>
  <r>
    <x v="100"/>
    <s v="已收货"/>
    <s v="2867408616966475858"/>
    <s v="吴女士"/>
    <s v="已发货"/>
    <m/>
    <s v="砂白色1.6米岩板餐桌"/>
    <x v="1"/>
    <s v="160cm*85cm"/>
    <s v="已结算"/>
    <s v="庄毅"/>
    <n v="1777.3"/>
    <n v="1530"/>
    <m/>
    <m/>
    <m/>
    <m/>
    <n v="244.8"/>
    <m/>
    <m/>
    <m/>
    <m/>
    <m/>
    <m/>
    <m/>
    <m/>
    <m/>
    <m/>
    <m/>
    <n v="2.5"/>
    <m/>
    <m/>
    <m/>
    <m/>
    <m/>
    <m/>
    <m/>
    <m/>
    <m/>
    <m/>
    <m/>
    <n v="318"/>
    <n v="0"/>
    <n v="86"/>
    <n v="0"/>
    <n v="0"/>
    <n v="0"/>
    <n v="0"/>
    <n v="133.1"/>
    <n v="1"/>
    <n v="2314.4"/>
    <n v="2948.41"/>
    <n v="0"/>
    <n v="17.69046"/>
    <n v="2930.71954"/>
    <n v="0"/>
    <n v="0"/>
    <n v="0"/>
    <n v="616.31954"/>
    <s v="吴女士"/>
    <s v="江苏省南通市 崇川区 城东街道东昇花园26号楼203室"/>
    <s v="18468405193-4050"/>
    <s v="JDV022398033922，2件"/>
    <n v="2930.71954"/>
    <m/>
    <m/>
  </r>
  <r>
    <x v="101"/>
    <s v="已收货"/>
    <s v="4676040003803393217"/>
    <s v="杜文静"/>
    <m/>
    <m/>
    <s v="窄柜-整柜洞石背板-1.0米"/>
    <x v="18"/>
    <n v="1000"/>
    <s v="已结算"/>
    <s v="庄毅"/>
    <n v="4164.576666666667"/>
    <n v="3300"/>
    <n v="359.08"/>
    <n v="120"/>
    <m/>
    <n v="38"/>
    <n v="276.6666666666667"/>
    <n v="59.23"/>
    <m/>
    <m/>
    <n v="5"/>
    <m/>
    <m/>
    <m/>
    <m/>
    <n v="2"/>
    <n v="1.1"/>
    <n v="3.5"/>
    <m/>
    <m/>
    <m/>
    <m/>
    <m/>
    <m/>
    <m/>
    <m/>
    <m/>
    <m/>
    <m/>
    <m/>
    <n v="402"/>
    <n v="0"/>
    <n v="0"/>
    <n v="0"/>
    <n v="0"/>
    <n v="0"/>
    <n v="0"/>
    <n v="255"/>
    <n v="1"/>
    <n v="4821.576666666667"/>
    <n v="5055.78"/>
    <n v="0"/>
    <n v="30.33468"/>
    <n v="5025.44532"/>
    <n v="0"/>
    <n v="0"/>
    <n v="0"/>
    <n v="203.868653333333"/>
    <s v="杜文静"/>
    <s v="北京 北京市 怀柔区 九渡河镇怀柔区 黄花镇村北洞44号1门-秋日黄昏"/>
    <s v="13161477844-8208"/>
    <m/>
    <m/>
    <m/>
    <m/>
  </r>
  <r>
    <x v="102"/>
    <s v="已收货"/>
    <s v="4690353243151865337"/>
    <s v="李爱华"/>
    <s v="已发货"/>
    <m/>
    <s v="砂白色1.8米岩板餐桌"/>
    <x v="1"/>
    <s v="180cm*85cm"/>
    <s v="已结算"/>
    <s v="庄毅"/>
    <n v="1857.9"/>
    <n v="1580"/>
    <m/>
    <m/>
    <m/>
    <m/>
    <n v="275.4"/>
    <m/>
    <m/>
    <m/>
    <m/>
    <m/>
    <m/>
    <m/>
    <m/>
    <m/>
    <m/>
    <m/>
    <n v="2.5"/>
    <m/>
    <m/>
    <m/>
    <m/>
    <m/>
    <m/>
    <m/>
    <m/>
    <m/>
    <m/>
    <m/>
    <n v="506"/>
    <n v="0"/>
    <n v="90"/>
    <n v="0"/>
    <n v="0"/>
    <n v="0"/>
    <n v="0"/>
    <n v="0"/>
    <n v="1"/>
    <n v="2453.9"/>
    <n v="2929.98"/>
    <n v="0"/>
    <n v="17.57988"/>
    <n v="2912.40012"/>
    <n v="0"/>
    <n v="0"/>
    <n v="0"/>
    <n v="458.5001200000002"/>
    <s v="李爱华"/>
    <s v="江苏省 苏州市 吴中区 郭巷街道 中海独墅岛3期231幢 2901 "/>
    <s v="15784504130-8835"/>
    <s v="JDV022612557429，2件"/>
    <n v="2912.40012"/>
    <m/>
    <m/>
  </r>
  <r>
    <x v="103"/>
    <s v="已收货"/>
    <s v="2874717519082446657"/>
    <s v="徐炜玮"/>
    <s v="已发货"/>
    <m/>
    <s v="窄柜-整柜洞石背板-0.8米"/>
    <x v="18"/>
    <n v="800"/>
    <s v="已结算"/>
    <s v="庄毅"/>
    <n v="3855.346666666666"/>
    <n v="3100"/>
    <n v="307.08"/>
    <n v="115"/>
    <m/>
    <n v="30"/>
    <n v="236.6666666666667"/>
    <n v="54.9"/>
    <m/>
    <m/>
    <n v="4"/>
    <m/>
    <m/>
    <m/>
    <m/>
    <m/>
    <m/>
    <n v="3.5"/>
    <m/>
    <n v="3"/>
    <m/>
    <m/>
    <m/>
    <m/>
    <n v="1.2"/>
    <m/>
    <m/>
    <m/>
    <m/>
    <m/>
    <n v="188"/>
    <n v="0"/>
    <n v="80"/>
    <n v="0"/>
    <n v="0"/>
    <n v="0"/>
    <n v="0"/>
    <n v="0"/>
    <n v="1"/>
    <n v="4123.346666666666"/>
    <n v="4843.75"/>
    <n v="0"/>
    <n v="29.0625"/>
    <n v="4814.6875"/>
    <n v="0"/>
    <n v="0"/>
    <n v="0"/>
    <n v="691.3408333333336"/>
    <s v="徐炜玮"/>
    <s v="江苏省 南京市 建邺区 莫愁湖街道 云锦美地汇锦苑4幢1单元502室"/>
    <s v="15780616203-9800"/>
    <s v="JDV022837834473，2件"/>
    <n v="4814.6875"/>
    <m/>
    <m/>
  </r>
  <r>
    <x v="104"/>
    <s v="已收货"/>
    <s v="4681631559783738238"/>
    <s v="张"/>
    <m/>
    <m/>
    <s v="曜黑柜-整柜-2.1米"/>
    <x v="19"/>
    <n v="2100"/>
    <s v="已结算"/>
    <s v="庄毅"/>
    <n v="13220.22833333333"/>
    <n v="11500"/>
    <n v="657.0799999999999"/>
    <n v="283.3333333333333"/>
    <s v="2.025*15"/>
    <m/>
    <n v="20"/>
    <s v="2.1*0.48*180"/>
    <s v="30*5"/>
    <m/>
    <m/>
    <n v="92"/>
    <n v="71"/>
    <n v="45"/>
    <m/>
    <m/>
    <m/>
    <m/>
    <s v="30*5"/>
    <n v="40"/>
    <m/>
    <m/>
    <m/>
    <m/>
    <m/>
    <m/>
    <m/>
    <m/>
    <m/>
    <m/>
    <n v="667"/>
    <n v="0"/>
    <n v="160"/>
    <m/>
    <n v="150"/>
    <m/>
    <m/>
    <n v="972"/>
    <n v="1"/>
    <n v="15169.22833333333"/>
    <n v="19216.08"/>
    <n v="0"/>
    <n v="115.29648"/>
    <n v="19100.78352"/>
    <n v="0"/>
    <n v="0"/>
    <n v="0"/>
    <n v="3931.555186666666"/>
    <s v="张"/>
    <s v="四川省 成都市 成华区 府青路街道 首钢璟辰里4栋"/>
    <s v="13164447061-4322"/>
    <m/>
    <n v="19100.78352"/>
    <m/>
    <m/>
  </r>
  <r>
    <x v="104"/>
    <s v="已收货"/>
    <s v="4682100744200873811"/>
    <s v="李大山"/>
    <s v="已发货"/>
    <m/>
    <s v="砂白色1.8米岩板餐桌"/>
    <x v="1"/>
    <s v="180cm*85cm"/>
    <s v="已结算"/>
    <s v="庄毅"/>
    <n v="1857.9"/>
    <n v="1580"/>
    <m/>
    <m/>
    <m/>
    <m/>
    <n v="275.4"/>
    <m/>
    <m/>
    <m/>
    <m/>
    <m/>
    <m/>
    <m/>
    <m/>
    <m/>
    <m/>
    <m/>
    <n v="2.5"/>
    <m/>
    <m/>
    <m/>
    <m/>
    <m/>
    <m/>
    <m/>
    <m/>
    <m/>
    <m/>
    <m/>
    <n v="403"/>
    <n v="0"/>
    <n v="78"/>
    <n v="0"/>
    <n v="0"/>
    <n v="0"/>
    <n v="0"/>
    <n v="0"/>
    <n v="1"/>
    <n v="2338.9"/>
    <n v="2910.5"/>
    <n v="0"/>
    <n v="17.463"/>
    <n v="2893.037"/>
    <n v="0"/>
    <n v="0"/>
    <n v="0"/>
    <n v="554.1369999999997"/>
    <s v="李大山"/>
    <s v="广西壮族自治区 玉林市 容县 容州镇广西壮族自治区玉林市容县百景园十三栋二单元701"/>
    <s v="13263754281-7656"/>
    <s v="JDV022649747684，2件"/>
    <n v="2893.037"/>
    <m/>
    <m/>
  </r>
  <r>
    <x v="105"/>
    <s v="已收货"/>
    <s v="4684973366467768726"/>
    <s v="李丽"/>
    <s v="已发货"/>
    <m/>
    <s v="窄柜-整柜洞石背板-1.2米"/>
    <x v="18"/>
    <n v="1200"/>
    <s v="已结算"/>
    <s v="庄毅"/>
    <n v="4496.299999999999"/>
    <n v="3600"/>
    <n v="411.08"/>
    <n v="125"/>
    <m/>
    <n v="76"/>
    <n v="316.6666666666667"/>
    <n v="62.4"/>
    <m/>
    <m/>
    <m/>
    <n v="8"/>
    <m/>
    <n v="3"/>
    <m/>
    <m/>
    <m/>
    <n v="3.37"/>
    <m/>
    <m/>
    <m/>
    <m/>
    <m/>
    <n v="1.16"/>
    <n v="1.1"/>
    <n v="10"/>
    <m/>
    <m/>
    <m/>
    <m/>
    <n v="296"/>
    <n v="0"/>
    <n v="100"/>
    <n v="0"/>
    <n v="0"/>
    <n v="0"/>
    <n v="0"/>
    <n v="0"/>
    <n v="1"/>
    <n v="4892.299999999999"/>
    <n v="5254.28"/>
    <n v="0"/>
    <n v="31.52568"/>
    <n v="5222.75432"/>
    <n v="0"/>
    <n v="0"/>
    <n v="0"/>
    <n v="330.4543200000007"/>
    <s v="李丽"/>
    <s v="江苏省 南京市 栖霞区 燕子矶街道 兰庭花境苑2-2201"/>
    <s v="18761876873"/>
    <s v="JDV023092942067，2件"/>
    <n v="5222.75432"/>
    <m/>
    <m/>
  </r>
  <r>
    <x v="106"/>
    <s v="已收货"/>
    <s v="4687742703719787021"/>
    <s v="冯云"/>
    <s v="已发货"/>
    <m/>
    <s v="窄柜1.5米"/>
    <x v="18"/>
    <n v="1500"/>
    <s v="已结算"/>
    <s v="庄毅"/>
    <n v="5364.259999999999"/>
    <n v="4300"/>
    <n v="501.08"/>
    <n v="226.6666666666667"/>
    <m/>
    <m/>
    <n v="145.2"/>
    <m/>
    <n v="60"/>
    <m/>
    <m/>
    <n v="33"/>
    <n v="14"/>
    <n v="8"/>
    <m/>
    <m/>
    <m/>
    <m/>
    <n v="3"/>
    <n v="501"/>
    <n v="22.4"/>
    <m/>
    <m/>
    <n v="1.16"/>
    <n v="1.1"/>
    <m/>
    <m/>
    <n v="16"/>
    <n v="10"/>
    <m/>
    <n v="375"/>
    <n v="0"/>
    <n v="0"/>
    <n v="0"/>
    <n v="0"/>
    <n v="0"/>
    <n v="0"/>
    <n v="0"/>
    <n v="1"/>
    <n v="5739.259999999999"/>
    <n v="6658"/>
    <n v="0"/>
    <n v="39.948"/>
    <n v="6618.052"/>
    <n v="0"/>
    <n v="0"/>
    <n v="0"/>
    <n v="878.7920000000004"/>
    <s v="冯云"/>
    <s v="江苏省 南京市 浦口区 顶山街道中海观江樾7号楼403"/>
    <s v="13245295044-6032"/>
    <s v="JDV023055813827，2件"/>
    <n v="6618.052"/>
    <m/>
    <m/>
  </r>
  <r>
    <x v="107"/>
    <s v="已收货"/>
    <s v="4689677919510774407"/>
    <s v="冯艳"/>
    <s v="已发货"/>
    <m/>
    <s v="窄柜-整柜洞石背板-1.2米"/>
    <x v="18"/>
    <n v="1200"/>
    <s v="已结算"/>
    <s v="庄毅"/>
    <n v="4614.299999999999"/>
    <n v="3600"/>
    <n v="521.0799999999999"/>
    <n v="125"/>
    <m/>
    <n v="76"/>
    <n v="316.6666666666667"/>
    <n v="62.4"/>
    <m/>
    <m/>
    <m/>
    <n v="8"/>
    <m/>
    <n v="3"/>
    <m/>
    <m/>
    <m/>
    <n v="3.37"/>
    <m/>
    <m/>
    <m/>
    <m/>
    <m/>
    <n v="1.16"/>
    <n v="1.1"/>
    <n v="10"/>
    <m/>
    <n v="8"/>
    <m/>
    <m/>
    <n v="428"/>
    <n v="0"/>
    <n v="88"/>
    <n v="0"/>
    <n v="0"/>
    <n v="0"/>
    <n v="0"/>
    <n v="0"/>
    <n v="1"/>
    <n v="5130.299999999999"/>
    <n v="5468.96"/>
    <n v="0"/>
    <n v="32.81376"/>
    <n v="5436.14624"/>
    <n v="0"/>
    <n v="0"/>
    <n v="0"/>
    <n v="305.8462400000008"/>
    <s v="冯艳"/>
    <s v="北京 北京市 海淀区 北下关街道 大慧寺七号院1号楼四单元1层401号 "/>
    <s v="13141374942-9717"/>
    <s v="JDV022825013893，2件"/>
    <n v="5436.14624"/>
    <m/>
    <m/>
  </r>
  <r>
    <x v="107"/>
    <s v="已收货"/>
    <s v="4690411380523809921"/>
    <s v="王先生"/>
    <s v="已调整，背板单独到的，需要二次上门_x000a_洞洞板*2（第一块尺寸不对）"/>
    <m/>
    <s v="窄柜-整柜洞洞背板-0.8米-定制"/>
    <x v="18"/>
    <n v="800"/>
    <s v="已结算"/>
    <s v="庄毅"/>
    <n v="3903.096666666666"/>
    <n v="3150"/>
    <n v="317"/>
    <m/>
    <n v="280"/>
    <m/>
    <n v="94"/>
    <n v="55.9"/>
    <m/>
    <m/>
    <n v="4"/>
    <m/>
    <m/>
    <m/>
    <m/>
    <m/>
    <m/>
    <n v="3.5"/>
    <m/>
    <n v="3"/>
    <m/>
    <m/>
    <m/>
    <m/>
    <n v="1.2"/>
    <n v="5"/>
    <m/>
    <m/>
    <m/>
    <m/>
    <n v="342"/>
    <n v="0"/>
    <n v="95"/>
    <n v="0"/>
    <n v="0"/>
    <n v="0"/>
    <n v="0"/>
    <n v="0"/>
    <n v="1"/>
    <n v="4340.096666666666"/>
    <n v="4695.23"/>
    <n v="0"/>
    <n v="28.17138"/>
    <n v="4667.05862"/>
    <n v="0"/>
    <n v="0"/>
    <n v="0"/>
    <n v="326.9619533333334"/>
    <s v="王先生"/>
    <s v="辽宁省 大连市 甘井子区 凌水街道高新园区广贤路130F广贤梁园5号楼1单元1804"/>
    <s v="18468320457-3274"/>
    <s v="JDV022893846136，2件"/>
    <n v="4667.05862"/>
    <m/>
    <m/>
  </r>
  <r>
    <x v="107"/>
    <s v="已收货"/>
    <s v="2883435168256012988"/>
    <s v="郭女士"/>
    <s v="已发货"/>
    <m/>
    <s v="砂白色1.8米岩板餐桌"/>
    <x v="1"/>
    <s v="180cm*85cm"/>
    <s v="已结算"/>
    <s v="庄毅"/>
    <n v="1857.9"/>
    <n v="1580"/>
    <m/>
    <m/>
    <m/>
    <m/>
    <n v="275.4"/>
    <m/>
    <m/>
    <m/>
    <m/>
    <m/>
    <m/>
    <m/>
    <m/>
    <m/>
    <m/>
    <m/>
    <n v="2.5"/>
    <m/>
    <m/>
    <m/>
    <m/>
    <m/>
    <m/>
    <m/>
    <m/>
    <m/>
    <m/>
    <m/>
    <n v="563"/>
    <n v="0"/>
    <n v="80"/>
    <n v="0"/>
    <n v="0"/>
    <n v="0"/>
    <n v="0"/>
    <n v="0"/>
    <n v="1"/>
    <n v="2500.9"/>
    <n v="2837.5"/>
    <n v="0"/>
    <n v="17.025"/>
    <n v="2820.475"/>
    <n v="0"/>
    <n v="0"/>
    <n v="0"/>
    <n v="319.5749999999998"/>
    <s v="郭女士"/>
    <s v="甘肃省平凉市泾川县订纪花园，区3号楼一单元"/>
    <s v="13077941784-7999"/>
    <s v="JDVC32131939333，2件"/>
    <n v="2820.475"/>
    <m/>
    <m/>
  </r>
  <r>
    <x v="107"/>
    <s v="已收货"/>
    <s v="4690590842008053335"/>
    <s v="刘思亦"/>
    <m/>
    <m/>
    <s v="九斗柜-设备柜"/>
    <x v="24"/>
    <s v="180cm*40cm"/>
    <s v="已结算"/>
    <s v="江西"/>
    <n v="3302"/>
    <n v="2850"/>
    <m/>
    <n v="24"/>
    <m/>
    <n v="90"/>
    <m/>
    <m/>
    <m/>
    <m/>
    <m/>
    <m/>
    <n v="198"/>
    <m/>
    <m/>
    <m/>
    <m/>
    <m/>
    <m/>
    <m/>
    <m/>
    <m/>
    <m/>
    <m/>
    <m/>
    <m/>
    <m/>
    <n v="140"/>
    <m/>
    <m/>
    <n v="125"/>
    <n v="40"/>
    <n v="0"/>
    <n v="0"/>
    <n v="0"/>
    <n v="0"/>
    <n v="0"/>
    <n v="0"/>
    <n v="1"/>
    <n v="3467"/>
    <n v="3694.15"/>
    <n v="0"/>
    <n v="22.1649"/>
    <n v="3671.9851"/>
    <n v="0"/>
    <n v="0"/>
    <n v="0"/>
    <n v="204.9850999999999"/>
    <s v="刘思亦"/>
    <s v="江苏省 南京市 江宁区 秣陵街道 长亭街55号新城珑湾花园7-1306"/>
    <s v="13042537124-9514"/>
    <m/>
    <m/>
    <m/>
    <m/>
  </r>
  <r>
    <x v="107"/>
    <s v="已收货"/>
    <s v="4690326924289032829"/>
    <s v="吳建祥"/>
    <s v="已调整，产品成本+洞洞板+电力轨道+变压器+触控按钮+常规灯带+隔板灯带+岩板+岩板打孔+插座转换头+连接片"/>
    <m/>
    <s v="2.1基础柜，美版"/>
    <x v="25"/>
    <n v="2100"/>
    <s v="已结算"/>
    <s v="庄毅"/>
    <n v="6198.44"/>
    <n v="4700"/>
    <n v="320"/>
    <n v="655"/>
    <n v="28"/>
    <m/>
    <n v="16"/>
    <n v="45"/>
    <n v="71"/>
    <m/>
    <m/>
    <s v="180*2.1*0.48"/>
    <n v="22"/>
    <n v="10"/>
    <m/>
    <m/>
    <m/>
    <m/>
    <m/>
    <s v="30*5"/>
    <m/>
    <m/>
    <m/>
    <m/>
    <m/>
    <m/>
    <m/>
    <m/>
    <m/>
    <m/>
    <n v="518"/>
    <n v="0"/>
    <n v="0"/>
    <n v="0"/>
    <n v="0"/>
    <n v="0"/>
    <n v="0"/>
    <n v="0"/>
    <n v="1"/>
    <n v="6716.44"/>
    <n v="8738.450000000001"/>
    <n v="0"/>
    <n v="52.43070000000001"/>
    <n v="8686.0193"/>
    <n v="0"/>
    <n v="0"/>
    <n v="0"/>
    <n v="1969.5793"/>
    <s v="吳建祥"/>
    <s v="福建省 漳州市 龙海区 角美镇#RZHN11CQ#角美镇龙江大道菜鸟网络园区1期1号库（台湾集运）@YSQ6WJK3"/>
    <n v="17750149643"/>
    <m/>
    <m/>
    <m/>
    <m/>
  </r>
  <r>
    <x v="108"/>
    <s v="已收货"/>
    <s v="4691841195398554023"/>
    <s v="田竺鑫"/>
    <m/>
    <m/>
    <s v="榉木1.2米柜下柜"/>
    <x v="9"/>
    <m/>
    <s v="已结算"/>
    <s v="江西"/>
    <n v="2418"/>
    <n v="1920"/>
    <s v="22*4"/>
    <n v="200"/>
    <n v="20"/>
    <m/>
    <n v="190"/>
    <m/>
    <m/>
    <m/>
    <m/>
    <m/>
    <m/>
    <m/>
    <m/>
    <m/>
    <m/>
    <m/>
    <m/>
    <m/>
    <m/>
    <m/>
    <m/>
    <m/>
    <m/>
    <m/>
    <m/>
    <n v="190"/>
    <m/>
    <m/>
    <n v="211"/>
    <n v="40"/>
    <n v="288"/>
    <n v="0"/>
    <n v="0"/>
    <n v="0"/>
    <n v="0"/>
    <n v="1099"/>
    <n v="1"/>
    <n v="4056"/>
    <n v="5474.56"/>
    <n v="0"/>
    <n v="32.84736"/>
    <n v="5441.712640000001"/>
    <n v="0"/>
    <n v="0"/>
    <n v="0"/>
    <n v="1385.712640000001"/>
    <s v="田竺鑫"/>
    <s v="_x000a_四川省 成都市 双流区 兴隆街道 中建鹿溪澜岸13栋1单元402 "/>
    <s v="18418997024-5351"/>
    <m/>
    <m/>
    <m/>
    <m/>
  </r>
  <r>
    <x v="109"/>
    <s v="已收货"/>
    <s v="2888009581942895598"/>
    <s v="卞蕊"/>
    <m/>
    <m/>
    <s v="组合柜，宽度29：地脚+双抽"/>
    <x v="14"/>
    <m/>
    <s v="已结算"/>
    <s v="江西"/>
    <n v="960"/>
    <n v="850"/>
    <s v="22*2"/>
    <s v="18*2"/>
    <n v="30"/>
    <m/>
    <m/>
    <m/>
    <m/>
    <m/>
    <m/>
    <m/>
    <m/>
    <m/>
    <m/>
    <m/>
    <m/>
    <m/>
    <m/>
    <m/>
    <m/>
    <m/>
    <m/>
    <m/>
    <m/>
    <m/>
    <m/>
    <n v="30"/>
    <m/>
    <m/>
    <n v="87"/>
    <n v="0"/>
    <n v="0"/>
    <n v="0"/>
    <n v="0"/>
    <n v="0"/>
    <n v="0"/>
    <n v="0"/>
    <n v="1"/>
    <n v="1047"/>
    <n v="1735"/>
    <n v="0"/>
    <n v="10.41"/>
    <n v="1724.59"/>
    <n v="0"/>
    <n v="0"/>
    <n v="0"/>
    <n v="677.5899999999999"/>
    <s v="卞蕊"/>
    <s v="上海 上海市 嘉定区 南翔镇象屿同进虹桥嘉悦府38-101"/>
    <s v="13148163385-8936"/>
    <m/>
    <m/>
    <m/>
    <m/>
  </r>
  <r>
    <x v="109"/>
    <s v="已收货"/>
    <s v="2888774760040160554"/>
    <s v="小哈苗苗"/>
    <m/>
    <m/>
    <s v="三个书柜，2.8米，等客户回复拆装还是整装"/>
    <x v="26"/>
    <m/>
    <s v="已结算"/>
    <s v="江西"/>
    <n v="6843.3"/>
    <n v="6030"/>
    <n v="267.3"/>
    <s v="22*3"/>
    <n v="60"/>
    <m/>
    <n v="420"/>
    <m/>
    <m/>
    <m/>
    <m/>
    <m/>
    <m/>
    <m/>
    <m/>
    <m/>
    <m/>
    <m/>
    <m/>
    <m/>
    <m/>
    <m/>
    <m/>
    <m/>
    <m/>
    <m/>
    <m/>
    <n v="420"/>
    <m/>
    <m/>
    <n v="693"/>
    <n v="126"/>
    <n v="178"/>
    <n v="0"/>
    <n v="0"/>
    <n v="0"/>
    <n v="0"/>
    <n v="0"/>
    <n v="1"/>
    <n v="7840.3"/>
    <n v="10000"/>
    <n v="0"/>
    <n v="60"/>
    <n v="9940"/>
    <n v="0"/>
    <n v="0"/>
    <n v="0"/>
    <n v="2099.7"/>
    <s v="小哈苗苗"/>
    <s v="四川省 成都市 锦江区 三圣街道喜树街780号锦江城市花园1期1栋"/>
    <s v="18418995455-7897"/>
    <m/>
    <n v="9940"/>
    <m/>
    <m/>
  </r>
  <r>
    <x v="109"/>
    <s v="已收货"/>
    <s v="2889078780100944455"/>
    <s v="顾烨"/>
    <m/>
    <m/>
    <s v="榉木大板餐桌+榉木长凳"/>
    <x v="27"/>
    <s v="160cm*80cm"/>
    <s v="已结算"/>
    <s v="江西"/>
    <n v="2580"/>
    <n v="2500"/>
    <m/>
    <m/>
    <m/>
    <m/>
    <m/>
    <m/>
    <m/>
    <m/>
    <m/>
    <m/>
    <m/>
    <m/>
    <m/>
    <m/>
    <m/>
    <m/>
    <m/>
    <m/>
    <m/>
    <m/>
    <m/>
    <m/>
    <m/>
    <m/>
    <m/>
    <n v="80"/>
    <m/>
    <m/>
    <n v="440"/>
    <n v="0"/>
    <n v="0"/>
    <n v="0"/>
    <n v="0"/>
    <n v="0"/>
    <n v="0"/>
    <n v="0"/>
    <n v="1"/>
    <n v="3020"/>
    <n v="3761"/>
    <n v="0"/>
    <n v="22.566"/>
    <n v="3738.434"/>
    <n v="0"/>
    <n v="0"/>
    <n v="0"/>
    <n v="718.4340000000002"/>
    <s v="顾烨"/>
    <s v="_x000a_上海 上海市 浦东新区 川沙新镇营洪路486弄4号楼1404室"/>
    <s v="18466860917-1233"/>
    <m/>
    <m/>
    <m/>
    <m/>
  </r>
  <r>
    <x v="110"/>
    <s v="已收货"/>
    <s v="4697347969001018837"/>
    <s v="吴生"/>
    <m/>
    <m/>
    <s v="砂白色2.4米岩板餐桌，莎安娜岩板 换新的"/>
    <x v="1"/>
    <s v="240cm*95cm"/>
    <s v="已结算"/>
    <s v="江西"/>
    <n v="2582.5"/>
    <n v="1760"/>
    <m/>
    <m/>
    <m/>
    <m/>
    <n v="680"/>
    <m/>
    <m/>
    <m/>
    <m/>
    <m/>
    <m/>
    <m/>
    <m/>
    <m/>
    <m/>
    <m/>
    <n v="2.5"/>
    <m/>
    <m/>
    <m/>
    <m/>
    <m/>
    <m/>
    <m/>
    <m/>
    <n v="140"/>
    <m/>
    <m/>
    <n v="174"/>
    <n v="0"/>
    <n v="85"/>
    <n v="0"/>
    <n v="0"/>
    <n v="0"/>
    <n v="0"/>
    <n v="0"/>
    <n v="1"/>
    <n v="2841.5"/>
    <n v="3800"/>
    <n v="0"/>
    <n v="22.8"/>
    <n v="3777.2"/>
    <n v="0"/>
    <n v="0"/>
    <n v="0"/>
    <n v="935.6999999999998"/>
    <s v="吴生"/>
    <s v="安徽省 芜湖市 镜湖区 范罗山街道京东电器家电家居旗舰店(芜湖步行街店)"/>
    <s v="18430870291-8598"/>
    <m/>
    <m/>
    <m/>
    <m/>
  </r>
  <r>
    <x v="111"/>
    <s v="已收货"/>
    <s v="4700485119752857434"/>
    <s v="施先生"/>
    <m/>
    <m/>
    <s v="插座"/>
    <x v="5"/>
    <m/>
    <s v="已结算"/>
    <s v="其他"/>
    <n v="55"/>
    <n v="55"/>
    <m/>
    <m/>
    <m/>
    <m/>
    <m/>
    <m/>
    <m/>
    <m/>
    <m/>
    <m/>
    <m/>
    <m/>
    <m/>
    <m/>
    <m/>
    <m/>
    <m/>
    <m/>
    <m/>
    <m/>
    <m/>
    <m/>
    <m/>
    <m/>
    <m/>
    <n v="8"/>
    <m/>
    <m/>
    <m/>
    <n v="0"/>
    <n v="0"/>
    <n v="0"/>
    <n v="0"/>
    <n v="0"/>
    <n v="0"/>
    <n v="0"/>
    <n v="1"/>
    <n v="55"/>
    <n v="100"/>
    <n v="0"/>
    <n v="0.6"/>
    <n v="99.40000000000001"/>
    <n v="0"/>
    <n v="0"/>
    <n v="0"/>
    <n v="44.40000000000001"/>
    <s v="施先生"/>
    <s v="上海 上海市 宝山区 高境镇逸仙路1238弄43号202室"/>
    <s v="18466693147-3200"/>
    <m/>
    <m/>
    <m/>
    <m/>
  </r>
  <r>
    <x v="111"/>
    <s v="已收货"/>
    <s v="2893873155990653178"/>
    <s v="张新"/>
    <m/>
    <m/>
    <s v="组合柜"/>
    <x v="14"/>
    <m/>
    <s v="已结算"/>
    <s v="江西"/>
    <n v="2952"/>
    <n v="2600"/>
    <s v="22*2"/>
    <n v="40"/>
    <n v="18"/>
    <m/>
    <n v="120"/>
    <n v="130"/>
    <m/>
    <m/>
    <m/>
    <m/>
    <m/>
    <m/>
    <m/>
    <m/>
    <m/>
    <m/>
    <m/>
    <m/>
    <m/>
    <m/>
    <m/>
    <m/>
    <m/>
    <m/>
    <m/>
    <n v="130"/>
    <m/>
    <m/>
    <n v="108"/>
    <n v="25"/>
    <n v="0"/>
    <n v="0"/>
    <n v="0"/>
    <n v="0"/>
    <n v="0"/>
    <n v="0"/>
    <n v="1"/>
    <n v="3085"/>
    <n v="4304.52"/>
    <n v="0"/>
    <n v="25.82712"/>
    <n v="4278.692880000001"/>
    <n v="0"/>
    <n v="0"/>
    <n v="0"/>
    <n v="1193.692880000001"/>
    <s v="张新"/>
    <s v="山东省 潍坊市 寿光市 圣城街道 新兴街2345号现代丽城5-2-1501"/>
    <s v="17853644476-7641"/>
    <m/>
    <m/>
    <m/>
    <m/>
  </r>
  <r>
    <x v="112"/>
    <s v="已收货"/>
    <s v="4702682701058982801"/>
    <s v="馮"/>
    <m/>
    <m/>
    <s v="黑胡桃旋转柜，上柜做鎏金板，英标"/>
    <x v="2"/>
    <n v="1200"/>
    <s v="已结算"/>
    <s v="江西"/>
    <n v="8507.58"/>
    <n v="7400"/>
    <m/>
    <m/>
    <m/>
    <m/>
    <m/>
    <m/>
    <n v="411.08"/>
    <m/>
    <m/>
    <n v="23"/>
    <n v="198"/>
    <n v="25"/>
    <m/>
    <m/>
    <m/>
    <m/>
    <n v="30"/>
    <n v="2.5"/>
    <n v="38"/>
    <m/>
    <m/>
    <m/>
    <n v="10"/>
    <m/>
    <m/>
    <n v="370"/>
    <m/>
    <m/>
    <n v="349"/>
    <n v="50"/>
    <n v="0"/>
    <n v="0"/>
    <n v="0"/>
    <n v="0"/>
    <n v="0"/>
    <n v="0"/>
    <n v="1"/>
    <n v="8906.58"/>
    <n v="15224.28"/>
    <n v="0"/>
    <n v="91.34568"/>
    <n v="15132.93432"/>
    <n v="0"/>
    <n v="0"/>
    <n v="0"/>
    <n v="6226.35432"/>
    <s v="馮"/>
    <s v="广东省 珠海市 金湾区 南水镇#Q7R7TCNQ#金湾区南水镇南站南路88号(珠海集货仓-香港)@7IWJRJB"/>
    <n v="13360463073"/>
    <m/>
    <m/>
    <m/>
    <m/>
  </r>
  <r>
    <x v="113"/>
    <s v="已收货"/>
    <s v="2898497751980739958"/>
    <s v="潘"/>
    <s v="已发货"/>
    <m/>
    <s v="砂白色2.0米岩板餐桌"/>
    <x v="1"/>
    <s v="200cm*85cm"/>
    <s v="已结算"/>
    <s v="庄毅"/>
    <n v="2244.5"/>
    <n v="1630"/>
    <m/>
    <m/>
    <m/>
    <m/>
    <n v="612"/>
    <m/>
    <m/>
    <m/>
    <m/>
    <m/>
    <m/>
    <m/>
    <m/>
    <m/>
    <m/>
    <m/>
    <n v="2.5"/>
    <m/>
    <m/>
    <m/>
    <m/>
    <m/>
    <m/>
    <m/>
    <m/>
    <m/>
    <m/>
    <m/>
    <n v="846"/>
    <n v="0"/>
    <n v="147"/>
    <n v="0"/>
    <n v="0"/>
    <n v="0"/>
    <n v="0"/>
    <n v="0"/>
    <n v="1"/>
    <n v="3237.5"/>
    <n v="3047.2"/>
    <n v="0"/>
    <n v="18.2832"/>
    <n v="3028.9168"/>
    <n v="0"/>
    <n v="0"/>
    <n v="0"/>
    <n v="-208.5832"/>
    <s v="潘"/>
    <s v="吉林省 长春市 榆树市 华昌街道 清华帝景c区10栋3单元2803"/>
    <s v="18445787198-9223"/>
    <s v="JDV022781041783，2件"/>
    <n v="3028.9168"/>
    <m/>
    <m/>
  </r>
  <r>
    <x v="114"/>
    <s v="已收货"/>
    <s v="4706761863858390237"/>
    <s v="雷洁"/>
    <s v="已发货"/>
    <m/>
    <s v="砂白色1.6米岩板餐桌"/>
    <x v="1"/>
    <s v="160cm*85cm"/>
    <s v="已结算"/>
    <s v="庄毅"/>
    <n v="1777.3"/>
    <n v="1530"/>
    <m/>
    <m/>
    <m/>
    <m/>
    <n v="244.8"/>
    <m/>
    <m/>
    <m/>
    <m/>
    <m/>
    <m/>
    <m/>
    <m/>
    <m/>
    <m/>
    <m/>
    <n v="2.5"/>
    <m/>
    <m/>
    <m/>
    <m/>
    <m/>
    <m/>
    <m/>
    <m/>
    <m/>
    <m/>
    <m/>
    <n v="365"/>
    <n v="0"/>
    <n v="90"/>
    <n v="0"/>
    <n v="0"/>
    <n v="0"/>
    <n v="0"/>
    <n v="0"/>
    <n v="1"/>
    <n v="2232.3"/>
    <n v="2796.21"/>
    <n v="0"/>
    <n v="16.77726"/>
    <n v="2779.43274"/>
    <n v="0"/>
    <n v="0"/>
    <n v="0"/>
    <n v="547.13274"/>
    <s v="雷洁"/>
    <s v="重庆 重庆市 北碚区 歇马街道 龙湖紫云台千山阅小区洋房区2栋2单元3-1 "/>
    <s v="18418996834-3955"/>
    <s v="JDV022781020258，2件"/>
    <n v="2779.43274"/>
    <m/>
    <m/>
  </r>
  <r>
    <x v="114"/>
    <s v="已收货"/>
    <s v="4706978365732600709"/>
    <s v="孙栋"/>
    <m/>
    <m/>
    <s v="樱桃木白色岩板餐桌2000*900"/>
    <x v="28"/>
    <s v="200cm*90cm"/>
    <s v="已结算"/>
    <s v="江西"/>
    <n v="2472.5"/>
    <n v="540"/>
    <n v="1800"/>
    <n v="130"/>
    <n v="2.5"/>
    <m/>
    <m/>
    <m/>
    <m/>
    <m/>
    <m/>
    <m/>
    <m/>
    <m/>
    <m/>
    <m/>
    <m/>
    <m/>
    <m/>
    <m/>
    <m/>
    <m/>
    <m/>
    <m/>
    <m/>
    <m/>
    <m/>
    <n v="130"/>
    <m/>
    <n v="540"/>
    <n v="162"/>
    <n v="40"/>
    <n v="88"/>
    <n v="0"/>
    <n v="0"/>
    <n v="0"/>
    <n v="0"/>
    <n v="0"/>
    <n v="1"/>
    <n v="2762.5"/>
    <n v="3897"/>
    <n v="0"/>
    <n v="23.382"/>
    <n v="3873.618"/>
    <n v="0"/>
    <n v="0"/>
    <n v="0"/>
    <n v="1111.118"/>
    <s v="孙栋"/>
    <s v="山东省 济南市 历下区 龙洞街道海尔绿城全运村桂花园南区29号楼1单元701（一定放家门口）"/>
    <s v="17895313283-4530"/>
    <m/>
    <m/>
    <m/>
    <m/>
  </r>
  <r>
    <x v="114"/>
    <s v="已收货"/>
    <s v="4708162153774132019"/>
    <s v="宋小姐"/>
    <m/>
    <m/>
    <s v="樱桃木基础柜：下柜1500*480*880 上柜1500*300*1100"/>
    <x v="25"/>
    <n v="1500"/>
    <s v="已结算"/>
    <s v="庄毅"/>
    <n v="5747.6"/>
    <n v="4530"/>
    <n v="260"/>
    <n v="554"/>
    <s v="180*1.5*0.48"/>
    <m/>
    <n v="30"/>
    <n v="33"/>
    <n v="41"/>
    <m/>
    <m/>
    <n v="20"/>
    <s v="30*5"/>
    <m/>
    <m/>
    <m/>
    <m/>
    <m/>
    <m/>
    <m/>
    <m/>
    <m/>
    <m/>
    <m/>
    <m/>
    <m/>
    <m/>
    <m/>
    <m/>
    <m/>
    <n v="327"/>
    <n v="0"/>
    <n v="90"/>
    <n v="0"/>
    <n v="0"/>
    <n v="0"/>
    <n v="0"/>
    <n v="0"/>
    <n v="1"/>
    <n v="6164.6"/>
    <n v="7943.7"/>
    <n v="0"/>
    <n v="47.6622"/>
    <n v="7896.0378"/>
    <n v="0"/>
    <n v="0"/>
    <n v="0"/>
    <n v="1731.4378"/>
    <s v="宋小姐"/>
    <s v="上海上海市 青浦区 赵巷镇佳旭路1088弄云河璟庭3号402室"/>
    <s v="18466990466-7199"/>
    <m/>
    <m/>
    <m/>
    <m/>
  </r>
  <r>
    <x v="114"/>
    <s v="退单"/>
    <s v="2899538401952196265"/>
    <s v="杨先生"/>
    <m/>
    <m/>
    <s v="2.1榉木柜"/>
    <x v="9"/>
    <m/>
    <s v="已结算"/>
    <s v="庄毅"/>
    <n v="0"/>
    <n v="0"/>
    <m/>
    <m/>
    <m/>
    <m/>
    <m/>
    <m/>
    <m/>
    <m/>
    <m/>
    <m/>
    <m/>
    <m/>
    <m/>
    <m/>
    <m/>
    <m/>
    <m/>
    <m/>
    <m/>
    <m/>
    <m/>
    <m/>
    <m/>
    <m/>
    <m/>
    <m/>
    <m/>
    <m/>
    <m/>
    <m/>
    <m/>
    <m/>
    <m/>
    <m/>
    <m/>
    <n v="500"/>
    <n v="1"/>
    <n v="500"/>
    <n v="0"/>
    <n v="0"/>
    <n v="0"/>
    <n v="0"/>
    <n v="500"/>
    <n v="0"/>
    <n v="500"/>
    <n v="0"/>
    <s v="杨先生"/>
    <s v="云南省 昆明市 西山区 前卫街道前卫西路与广福路交叉口东北180米奥宸财富广场一期"/>
    <s v="17898712416-9361"/>
    <m/>
    <m/>
    <m/>
    <m/>
  </r>
  <r>
    <x v="115"/>
    <s v="已收货"/>
    <s v="2901628994012391078"/>
    <s v="朱"/>
    <m/>
    <m/>
    <s v="九斗柜-设备柜-黑色岩板"/>
    <x v="24"/>
    <s v="180cm*40cm"/>
    <s v="已结算"/>
    <s v="江西"/>
    <n v="3242"/>
    <n v="2750"/>
    <m/>
    <n v="24"/>
    <m/>
    <n v="90"/>
    <m/>
    <m/>
    <m/>
    <m/>
    <m/>
    <m/>
    <n v="198"/>
    <m/>
    <m/>
    <m/>
    <m/>
    <m/>
    <m/>
    <m/>
    <m/>
    <m/>
    <m/>
    <m/>
    <m/>
    <m/>
    <m/>
    <n v="180"/>
    <m/>
    <m/>
    <n v="178"/>
    <n v="45"/>
    <n v="0"/>
    <n v="0"/>
    <n v="0"/>
    <n v="0"/>
    <n v="0"/>
    <n v="0"/>
    <n v="1"/>
    <n v="3465"/>
    <n v="3699.15"/>
    <n v="0"/>
    <n v="22.1949"/>
    <n v="3676.9551"/>
    <n v="0"/>
    <n v="0"/>
    <n v="0"/>
    <n v="211.9551000000001"/>
    <s v="朱"/>
    <s v="江苏省 南京市 玄武区 玄武门街道 和平大沟 1栋307室 "/>
    <s v="18512513742-5833"/>
    <m/>
    <m/>
    <m/>
    <m/>
  </r>
  <r>
    <x v="115"/>
    <s v="已收货"/>
    <s v="4709453619093468620"/>
    <s v="徐敏"/>
    <m/>
    <m/>
    <s v="砂白色1.4米岩板餐桌"/>
    <x v="1"/>
    <s v="140cm*85cm"/>
    <s v="已结算"/>
    <s v="江西"/>
    <n v="1792.5"/>
    <n v="1480"/>
    <m/>
    <m/>
    <m/>
    <m/>
    <n v="240"/>
    <m/>
    <m/>
    <m/>
    <m/>
    <m/>
    <m/>
    <m/>
    <m/>
    <m/>
    <m/>
    <m/>
    <n v="2.5"/>
    <m/>
    <m/>
    <m/>
    <m/>
    <m/>
    <m/>
    <m/>
    <m/>
    <n v="70"/>
    <m/>
    <m/>
    <n v="110"/>
    <n v="0"/>
    <n v="240"/>
    <n v="0"/>
    <n v="0"/>
    <n v="0"/>
    <n v="0"/>
    <n v="0"/>
    <n v="1"/>
    <n v="2142.5"/>
    <n v="2711.8"/>
    <n v="0"/>
    <n v="16.2708"/>
    <n v="2695.5292"/>
    <n v="0"/>
    <n v="0"/>
    <n v="0"/>
    <n v="553.0292000000004"/>
    <s v="徐敏"/>
    <s v="上海 上海市 浦东新区 三林镇 钟晓路258弄中企云萃森林 西区 20号楼602室"/>
    <s v="18466857892-2469"/>
    <m/>
    <m/>
    <m/>
    <m/>
  </r>
  <r>
    <x v="116"/>
    <s v="已收货"/>
    <s v="4711940535665317940"/>
    <s v="树杰"/>
    <s v="工厂抵扣一张大板费用；岩板客户补发"/>
    <m/>
    <s v="曜黑柜-整柜-2.1米"/>
    <x v="19"/>
    <n v="2100"/>
    <s v="已结算"/>
    <s v="江西"/>
    <n v="11553.33333333333"/>
    <n v="9800"/>
    <n v="1140"/>
    <m/>
    <n v="410"/>
    <m/>
    <n v="410"/>
    <n v="350"/>
    <m/>
    <n v="283.3333333333333"/>
    <m/>
    <m/>
    <m/>
    <m/>
    <m/>
    <m/>
    <m/>
    <m/>
    <m/>
    <m/>
    <m/>
    <m/>
    <m/>
    <m/>
    <m/>
    <m/>
    <m/>
    <n v="410"/>
    <m/>
    <m/>
    <n v="503"/>
    <n v="0"/>
    <n v="0"/>
    <n v="0"/>
    <n v="0"/>
    <n v="0"/>
    <n v="0"/>
    <n v="0"/>
    <n v="1"/>
    <n v="12056.33333333333"/>
    <n v="16331.22"/>
    <n v="0"/>
    <n v="97.98732"/>
    <n v="16233.23268"/>
    <n v="840"/>
    <n v="0"/>
    <n v="840"/>
    <n v="5016.899346666665"/>
    <s v="树杰"/>
    <s v="广东省 广州市 白云区 太和镇龙归龙河西路西南五横路4号（波屯斯鞋业一楼）启顺国际物流QS5734-MEL"/>
    <s v="17896425846-4285"/>
    <m/>
    <m/>
    <m/>
    <m/>
  </r>
  <r>
    <x v="116"/>
    <s v="已收货"/>
    <s v="4712981076588727532"/>
    <s v="董苹果"/>
    <s v="已调整：产品成本+背板+岩板+岩板打孔+电力轨道+隔板轨道+灯带+其他五金+装饰盖+塑料轨道（这个我窄柜都没追加）"/>
    <m/>
    <s v="窄柜-整柜洞石背板-0.8米"/>
    <x v="18"/>
    <n v="800"/>
    <s v="已结算"/>
    <s v="庄毅"/>
    <n v="3715.786666666666"/>
    <n v="3100"/>
    <n v="307.08"/>
    <n v="115"/>
    <m/>
    <n v="30"/>
    <n v="91.44"/>
    <n v="55.9"/>
    <m/>
    <m/>
    <m/>
    <m/>
    <m/>
    <m/>
    <m/>
    <m/>
    <m/>
    <n v="3.5"/>
    <m/>
    <m/>
    <m/>
    <m/>
    <m/>
    <m/>
    <n v="1.2"/>
    <m/>
    <m/>
    <m/>
    <m/>
    <m/>
    <n v="320"/>
    <n v="0"/>
    <n v="98"/>
    <n v="0"/>
    <n v="0"/>
    <n v="0"/>
    <n v="0"/>
    <n v="0"/>
    <n v="1"/>
    <n v="4133.786666666667"/>
    <n v="4863.53"/>
    <n v="0"/>
    <n v="29.18118"/>
    <n v="4834.34882"/>
    <n v="0"/>
    <n v="0"/>
    <n v="0"/>
    <n v="700.5621533333333"/>
    <s v="董苹果"/>
    <s v="山西省 太原市 晋源区 义井街道 新晋祠路291号万科蓝湾传奇北区1-3-801 "/>
    <s v="14735147618-5492"/>
    <m/>
    <m/>
    <m/>
    <m/>
  </r>
  <r>
    <x v="117"/>
    <s v="已收货"/>
    <s v="2912746621955611350"/>
    <s v="梁伊涵"/>
    <m/>
    <m/>
    <s v="砂白色1.6米岩板餐桌"/>
    <x v="1"/>
    <s v="160cm*85cm"/>
    <s v="已结算"/>
    <s v="庄毅"/>
    <n v="1777.3"/>
    <n v="1530"/>
    <m/>
    <m/>
    <m/>
    <m/>
    <n v="244.8"/>
    <m/>
    <m/>
    <m/>
    <m/>
    <m/>
    <m/>
    <m/>
    <m/>
    <m/>
    <m/>
    <m/>
    <n v="2.5"/>
    <m/>
    <m/>
    <m/>
    <m/>
    <m/>
    <m/>
    <m/>
    <m/>
    <m/>
    <m/>
    <m/>
    <n v="217"/>
    <n v="0"/>
    <n v="60"/>
    <n v="0"/>
    <n v="0"/>
    <n v="0"/>
    <n v="0"/>
    <n v="0"/>
    <n v="1"/>
    <n v="2054.3"/>
    <n v="2861.38"/>
    <n v="0"/>
    <n v="17.16828"/>
    <n v="2844.21172"/>
    <n v="0"/>
    <n v="0"/>
    <n v="0"/>
    <n v="789.9117200000001"/>
    <s v="梁伊涵"/>
    <s v="湖南省 长沙市 岳麓区 洋湖街道保利长交锦上16号楼801"/>
    <s v="18472630065-3385"/>
    <m/>
    <m/>
    <m/>
    <m/>
  </r>
  <r>
    <x v="118"/>
    <s v="已收货"/>
    <s v="4726908468232190938"/>
    <s v="宋依依"/>
    <m/>
    <m/>
    <s v="USB 插座"/>
    <x v="5"/>
    <m/>
    <s v="已结算"/>
    <s v="其他"/>
    <n v="110"/>
    <n v="110"/>
    <m/>
    <m/>
    <m/>
    <m/>
    <m/>
    <m/>
    <m/>
    <m/>
    <m/>
    <m/>
    <m/>
    <m/>
    <m/>
    <m/>
    <m/>
    <m/>
    <m/>
    <m/>
    <m/>
    <m/>
    <m/>
    <m/>
    <m/>
    <m/>
    <m/>
    <m/>
    <m/>
    <m/>
    <n v="8"/>
    <n v="0"/>
    <n v="0"/>
    <n v="0"/>
    <n v="0"/>
    <n v="0"/>
    <n v="0"/>
    <n v="0"/>
    <n v="1"/>
    <n v="118"/>
    <n v="200"/>
    <n v="0"/>
    <n v="1.2"/>
    <n v="198.8"/>
    <n v="0"/>
    <n v="0"/>
    <n v="0"/>
    <n v="80.80000000000001"/>
    <s v="宋依依"/>
    <s v="北京 北京市 朝阳区 将台乡将府家园北里204楼1单元903门"/>
    <s v="18400816035-3030"/>
    <m/>
    <m/>
    <m/>
    <m/>
  </r>
  <r>
    <x v="118"/>
    <s v="已收货"/>
    <s v="4727104059722016831"/>
    <s v="许先生"/>
    <m/>
    <m/>
    <s v="洞石柜2.1"/>
    <x v="3"/>
    <n v="2100"/>
    <s v="已结算"/>
    <s v="庄毅"/>
    <n v="8025.706666666667"/>
    <n v="6000"/>
    <n v="501.08"/>
    <n v="226.6666666666667"/>
    <n v="76"/>
    <n v="90"/>
    <n v="410.88"/>
    <m/>
    <m/>
    <m/>
    <m/>
    <n v="10"/>
    <n v="20"/>
    <m/>
    <n v="17.5"/>
    <m/>
    <m/>
    <m/>
    <n v="40"/>
    <n v="10"/>
    <n v="14"/>
    <m/>
    <m/>
    <m/>
    <n v="657.08"/>
    <m/>
    <m/>
    <m/>
    <m/>
    <m/>
    <n v="938"/>
    <n v="0"/>
    <n v="188"/>
    <n v="0"/>
    <n v="0"/>
    <n v="0"/>
    <n v="0"/>
    <n v="0"/>
    <n v="1"/>
    <n v="9151.706666666667"/>
    <n v="12827.18"/>
    <n v="0"/>
    <n v="76.96308000000001"/>
    <n v="12750.21692"/>
    <n v="0"/>
    <n v="0"/>
    <n v="0"/>
    <n v="3598.510253333334"/>
    <s v="许先生"/>
    <s v="青海省西宁市城中区南川西路街道 时代大道红星天铂一期东区8号楼4单元34楼4342室"/>
    <s v="，13619780169"/>
    <m/>
    <m/>
    <m/>
    <m/>
  </r>
  <r>
    <x v="119"/>
    <s v="已收货"/>
    <s v="4728028572979122417"/>
    <s v="程宇诗"/>
    <m/>
    <m/>
    <s v="窄柜-整柜洞石背板-1.0米"/>
    <x v="18"/>
    <n v="1000"/>
    <s v="已结算"/>
    <s v="庄毅"/>
    <n v="3994.71"/>
    <n v="3300"/>
    <n v="359.08"/>
    <n v="120"/>
    <m/>
    <n v="38"/>
    <n v="106.8"/>
    <n v="59.23"/>
    <m/>
    <m/>
    <n v="5"/>
    <m/>
    <m/>
    <m/>
    <m/>
    <n v="2"/>
    <n v="1.1"/>
    <n v="3.5"/>
    <m/>
    <m/>
    <m/>
    <m/>
    <m/>
    <m/>
    <m/>
    <m/>
    <m/>
    <m/>
    <m/>
    <m/>
    <n v="267"/>
    <n v="0"/>
    <n v="279"/>
    <n v="0"/>
    <n v="0"/>
    <n v="0"/>
    <n v="0"/>
    <n v="0"/>
    <n v="1"/>
    <n v="4540.71"/>
    <n v="5285.7"/>
    <n v="0"/>
    <n v="31.7142"/>
    <n v="5253.985799999999"/>
    <n v="196"/>
    <n v="0"/>
    <n v="196"/>
    <n v="909.2757999999994"/>
    <s v="程宇诗"/>
    <s v="上海 上海市 虹口区 四川北路街道虬江支路180弄1号楼2901"/>
    <s v="18466946762-2818"/>
    <m/>
    <m/>
    <m/>
    <m/>
  </r>
  <r>
    <x v="119"/>
    <s v="已收货"/>
    <s v="4728864602716256925"/>
    <s v="荆莉杰"/>
    <m/>
    <m/>
    <s v="窄柜-整柜洞石背板-0.73米-定制"/>
    <x v="18"/>
    <n v="730"/>
    <s v="已结算"/>
    <s v="庄毅"/>
    <n v="3842.08"/>
    <n v="3100"/>
    <n v="288.88"/>
    <n v="115"/>
    <m/>
    <n v="30"/>
    <n v="94"/>
    <n v="54.9"/>
    <m/>
    <m/>
    <m/>
    <n v="4"/>
    <m/>
    <m/>
    <m/>
    <m/>
    <m/>
    <n v="3.37"/>
    <m/>
    <n v="3"/>
    <s v="30*5"/>
    <m/>
    <m/>
    <n v="1.16"/>
    <n v="1.1"/>
    <n v="10"/>
    <m/>
    <m/>
    <m/>
    <m/>
    <n v="190"/>
    <n v="0"/>
    <n v="78"/>
    <n v="0"/>
    <n v="0"/>
    <n v="0"/>
    <n v="0"/>
    <n v="0"/>
    <n v="1"/>
    <n v="4110.08"/>
    <n v="5130.02"/>
    <n v="0"/>
    <n v="30.78012"/>
    <n v="5099.23988"/>
    <n v="0"/>
    <n v="0"/>
    <n v="0"/>
    <n v="989.1598800000002"/>
    <s v="荆莉杰"/>
    <s v="河南省 郑州市 二七区 嵩山路街道黄岗寺郑密路小区1号楼1单元"/>
    <s v="17895452761-4766"/>
    <m/>
    <m/>
    <m/>
    <m/>
  </r>
  <r>
    <x v="120"/>
    <s v="已收货"/>
    <s v="2928133633634161181"/>
    <s v="王一"/>
    <m/>
    <m/>
    <s v="窄柜-整柜洞石背板-1.0米"/>
    <x v="18"/>
    <n v="1000"/>
    <s v="已结算"/>
    <s v="庄毅"/>
    <n v="3994.71"/>
    <n v="3300"/>
    <n v="359.08"/>
    <n v="120"/>
    <m/>
    <n v="38"/>
    <n v="106.8"/>
    <n v="59.23"/>
    <m/>
    <m/>
    <n v="5"/>
    <m/>
    <m/>
    <m/>
    <m/>
    <n v="2"/>
    <n v="1.1"/>
    <n v="3.5"/>
    <m/>
    <m/>
    <m/>
    <m/>
    <m/>
    <m/>
    <m/>
    <m/>
    <m/>
    <m/>
    <m/>
    <m/>
    <n v="410"/>
    <n v="0"/>
    <n v="138"/>
    <n v="0"/>
    <n v="80"/>
    <n v="0"/>
    <n v="0"/>
    <n v="110.1"/>
    <n v="1"/>
    <n v="4732.81"/>
    <n v="5280.7"/>
    <n v="0"/>
    <n v="31.6842"/>
    <n v="5249.0158"/>
    <n v="80"/>
    <n v="0"/>
    <n v="80"/>
    <n v="596.2057999999997"/>
    <s v="王一"/>
    <s v="四川省 泸州市 江阳区 况场街道华美路天誉誉府6-1-803"/>
    <s v="18418996494-1171"/>
    <m/>
    <m/>
    <m/>
    <m/>
  </r>
  <r>
    <x v="121"/>
    <s v="已收货"/>
    <s v="2930891271508261293"/>
    <s v="李老师"/>
    <m/>
    <m/>
    <s v="砂白色1.8米岩板餐桌"/>
    <x v="1"/>
    <s v="180cm*85cm"/>
    <s v="已结算"/>
    <s v="庄毅"/>
    <n v="1857.9"/>
    <n v="1580"/>
    <m/>
    <m/>
    <m/>
    <m/>
    <n v="275.4"/>
    <m/>
    <m/>
    <m/>
    <m/>
    <m/>
    <m/>
    <m/>
    <m/>
    <m/>
    <m/>
    <m/>
    <n v="2.5"/>
    <m/>
    <m/>
    <m/>
    <m/>
    <m/>
    <m/>
    <m/>
    <m/>
    <m/>
    <m/>
    <m/>
    <n v="377"/>
    <n v="0"/>
    <n v="148"/>
    <n v="0"/>
    <n v="0"/>
    <n v="0"/>
    <n v="0"/>
    <n v="83"/>
    <n v="1"/>
    <n v="2465.9"/>
    <n v="2983.07"/>
    <n v="0"/>
    <n v="17.89842"/>
    <n v="2965.17158"/>
    <n v="0"/>
    <n v="0"/>
    <n v="0"/>
    <n v="499.2715800000001"/>
    <s v="李老师"/>
    <s v="重庆 重庆市 渝北区 双凤桥街道桥达渝北茂宸广场3-4-5"/>
    <s v="18418917240-7137"/>
    <m/>
    <m/>
    <m/>
    <m/>
  </r>
  <r>
    <x v="122"/>
    <m/>
    <s v="2934024243298161467"/>
    <m/>
    <s v="退款"/>
    <m/>
    <m/>
    <x v="4"/>
    <m/>
    <m/>
    <s v="江西"/>
    <n v="0"/>
    <n v="0"/>
    <m/>
    <m/>
    <m/>
    <m/>
    <m/>
    <m/>
    <m/>
    <m/>
    <m/>
    <m/>
    <m/>
    <m/>
    <m/>
    <m/>
    <m/>
    <m/>
    <m/>
    <m/>
    <m/>
    <m/>
    <m/>
    <m/>
    <m/>
    <m/>
    <m/>
    <m/>
    <m/>
    <m/>
    <n v="0"/>
    <n v="0"/>
    <n v="0"/>
    <n v="0"/>
    <n v="0"/>
    <n v="0"/>
    <n v="0"/>
    <n v="0"/>
    <n v="1"/>
    <n v="0"/>
    <n v="0"/>
    <n v="0"/>
    <n v="0"/>
    <n v="0"/>
    <n v="0"/>
    <n v="0"/>
    <n v="0"/>
    <n v="0"/>
    <m/>
    <m/>
    <m/>
    <m/>
    <m/>
    <m/>
    <m/>
  </r>
  <r>
    <x v="122"/>
    <s v="已收货"/>
    <s v="4742081172444903127"/>
    <s v="邹"/>
    <m/>
    <m/>
    <s v="样块"/>
    <x v="0"/>
    <m/>
    <s v="已结算"/>
    <s v="杭州"/>
    <n v="7"/>
    <n v="5"/>
    <m/>
    <m/>
    <m/>
    <m/>
    <m/>
    <m/>
    <m/>
    <m/>
    <m/>
    <m/>
    <m/>
    <m/>
    <m/>
    <m/>
    <m/>
    <m/>
    <m/>
    <m/>
    <m/>
    <m/>
    <m/>
    <m/>
    <m/>
    <m/>
    <m/>
    <n v="2"/>
    <m/>
    <m/>
    <n v="5"/>
    <n v="0"/>
    <n v="0"/>
    <n v="0"/>
    <n v="0"/>
    <n v="0"/>
    <n v="0"/>
    <n v="0"/>
    <n v="1"/>
    <n v="12"/>
    <n v="22"/>
    <n v="0"/>
    <n v="0.132"/>
    <n v="21.868"/>
    <n v="0"/>
    <n v="0"/>
    <n v="0"/>
    <n v="9.867999999999999"/>
    <s v="邹言华"/>
    <s v="浙江省 宁波市 鄞州区 东郊街道 鄞州区江东金茂府9-802"/>
    <s v="15558205214-4090"/>
    <m/>
    <m/>
    <m/>
    <m/>
  </r>
  <r>
    <x v="123"/>
    <s v="已收货"/>
    <s v="2936560117108873397"/>
    <s v="张小姐"/>
    <m/>
    <m/>
    <s v="1.8樱桃木基础柜"/>
    <x v="25"/>
    <n v="1800"/>
    <s v="已结算"/>
    <s v="庄毅"/>
    <n v="5860.52"/>
    <n v="4500"/>
    <s v="180*1.8*0.48"/>
    <n v="33"/>
    <n v="20"/>
    <m/>
    <n v="40"/>
    <n v="65"/>
    <n v="310"/>
    <m/>
    <m/>
    <n v="577"/>
    <n v="10"/>
    <s v="30*5"/>
    <m/>
    <m/>
    <m/>
    <m/>
    <m/>
    <m/>
    <m/>
    <m/>
    <m/>
    <m/>
    <m/>
    <m/>
    <m/>
    <m/>
    <m/>
    <m/>
    <n v="407"/>
    <n v="0"/>
    <n v="188"/>
    <n v="0"/>
    <n v="178"/>
    <n v="0"/>
    <n v="0"/>
    <n v="0"/>
    <n v="1"/>
    <n v="6633.52"/>
    <n v="7984.52"/>
    <n v="0"/>
    <n v="47.90712000000001"/>
    <n v="7936.612880000001"/>
    <n v="0"/>
    <n v="0"/>
    <n v="0"/>
    <n v="1303.09288"/>
    <s v="张小姐"/>
    <s v="重庆 重庆市 渝北区 鸳鸯街道湖红路56号恒大世纪城一期35栋302"/>
    <s v="13140356790-3053"/>
    <m/>
    <m/>
    <m/>
    <m/>
  </r>
  <r>
    <x v="123"/>
    <s v="已收货"/>
    <s v="2937365835518235075"/>
    <s v="罗奇"/>
    <m/>
    <m/>
    <s v="樱桃木洞石岩板餐桌2025-1.2米"/>
    <x v="23"/>
    <s v="120cm*85cm"/>
    <s v="已结算"/>
    <s v="庄毅"/>
    <n v="1226.1"/>
    <n v="1040"/>
    <m/>
    <m/>
    <m/>
    <m/>
    <n v="183.6"/>
    <m/>
    <m/>
    <m/>
    <m/>
    <m/>
    <m/>
    <m/>
    <m/>
    <m/>
    <m/>
    <m/>
    <n v="2.5"/>
    <m/>
    <m/>
    <m/>
    <m/>
    <m/>
    <m/>
    <m/>
    <m/>
    <m/>
    <m/>
    <m/>
    <n v="145"/>
    <n v="0"/>
    <n v="78"/>
    <n v="0"/>
    <n v="0"/>
    <n v="0"/>
    <n v="0"/>
    <n v="0"/>
    <n v="1"/>
    <n v="1449.1"/>
    <n v="2133.92"/>
    <n v="0"/>
    <n v="12.80352"/>
    <n v="2121.11648"/>
    <n v="0"/>
    <n v="0"/>
    <n v="0"/>
    <n v="672.0164800000002"/>
    <s v="罗奇"/>
    <s v="浙江省 台州市 路桥区 路桥街道 翼文苑31幢1单元201"/>
    <s v="15786490248-7687"/>
    <m/>
    <m/>
    <m/>
    <m/>
  </r>
  <r>
    <x v="124"/>
    <s v="已收货"/>
    <s v="4750362253536193937"/>
    <s v="黄锦业"/>
    <m/>
    <m/>
    <s v="榉木餐边柜定制-实木背板-1.8米-250917"/>
    <x v="9"/>
    <m/>
    <s v="已结算"/>
    <s v="庄毅"/>
    <n v="5618.61"/>
    <n v="4600"/>
    <s v="180*0.38*1.8"/>
    <n v="577"/>
    <n v="10"/>
    <m/>
    <n v="8.49"/>
    <n v="300"/>
    <m/>
    <m/>
    <m/>
    <m/>
    <m/>
    <m/>
    <m/>
    <m/>
    <m/>
    <m/>
    <m/>
    <m/>
    <m/>
    <m/>
    <m/>
    <m/>
    <m/>
    <m/>
    <m/>
    <n v="80"/>
    <m/>
    <m/>
    <n v="411.4"/>
    <n v="0"/>
    <n v="155"/>
    <n v="0"/>
    <n v="404"/>
    <n v="0"/>
    <n v="0"/>
    <n v="3678"/>
    <n v="1"/>
    <n v="10267.01"/>
    <n v="7355"/>
    <n v="0"/>
    <n v="44.13"/>
    <n v="7310.87"/>
    <n v="1000"/>
    <n v="0"/>
    <n v="1000"/>
    <n v="-1956.139999999999"/>
    <s v="黄锦业"/>
    <s v="广东省惠州市惠城区 升平苑翠竹楼F梯801号"/>
    <s v="15118997743"/>
    <m/>
    <m/>
    <m/>
    <m/>
  </r>
  <r>
    <x v="124"/>
    <s v="已收货"/>
    <s v="2940273122944836689"/>
    <s v="金生"/>
    <m/>
    <m/>
    <s v="1.8米全景柜，下柜高90，顶部到2.5米  岩板补发"/>
    <x v="3"/>
    <m/>
    <s v="已结算"/>
    <s v="江西"/>
    <n v="9256.746666666668"/>
    <n v="6400"/>
    <s v="580*2"/>
    <s v="52*2"/>
    <s v="2040/6/1.5"/>
    <m/>
    <n v="80"/>
    <n v="14"/>
    <n v="10"/>
    <m/>
    <m/>
    <s v="22*7"/>
    <n v="634.08"/>
    <n v="390"/>
    <m/>
    <m/>
    <m/>
    <m/>
    <m/>
    <n v="84"/>
    <m/>
    <m/>
    <m/>
    <m/>
    <m/>
    <m/>
    <m/>
    <n v="390"/>
    <m/>
    <m/>
    <n v="459"/>
    <n v="50"/>
    <n v="150"/>
    <n v="0"/>
    <n v="0"/>
    <n v="0"/>
    <n v="0"/>
    <n v="107"/>
    <n v="1"/>
    <n v="10022.74666666667"/>
    <n v="12289"/>
    <n v="0"/>
    <n v="73.73399999999999"/>
    <n v="12215.266"/>
    <n v="0"/>
    <n v="0"/>
    <n v="0"/>
    <n v="2192.519333333332"/>
    <s v="金生"/>
    <s v="广东省 深圳市 南山区 南山街道 一湾臻邸3--4单元2702"/>
    <s v="15794937563-8174"/>
    <m/>
    <m/>
    <m/>
    <m/>
  </r>
  <r>
    <x v="125"/>
    <s v="已收货"/>
    <s v="4752171000017145848"/>
    <s v="刘松"/>
    <m/>
    <m/>
    <s v="砂白色1.6米岩板餐桌，定制+2个藤编椅"/>
    <x v="1"/>
    <s v="160cm*76cm"/>
    <s v="已结算"/>
    <s v="庄毅"/>
    <n v="2451.38"/>
    <n v="1500"/>
    <m/>
    <m/>
    <m/>
    <m/>
    <n v="218.88"/>
    <m/>
    <m/>
    <m/>
    <m/>
    <m/>
    <m/>
    <m/>
    <m/>
    <m/>
    <m/>
    <m/>
    <n v="2.5"/>
    <m/>
    <n v="730"/>
    <m/>
    <m/>
    <m/>
    <m/>
    <m/>
    <m/>
    <m/>
    <m/>
    <m/>
    <n v="252"/>
    <n v="0"/>
    <n v="70"/>
    <n v="0"/>
    <n v="0"/>
    <n v="0"/>
    <n v="0"/>
    <n v="0"/>
    <n v="1"/>
    <n v="2773.38"/>
    <n v="3635"/>
    <n v="0"/>
    <n v="21.81"/>
    <n v="3613.19"/>
    <n v="0"/>
    <n v="0"/>
    <n v="0"/>
    <n v="839.8099999999999"/>
    <s v="刘松"/>
    <s v="山东省 泰安市 泰山区 岱庙街道巨菱枫景苑新4号楼3单元601"/>
    <s v="14716062262-9579"/>
    <m/>
    <m/>
    <m/>
    <m/>
  </r>
  <r>
    <x v="126"/>
    <s v="已收货"/>
    <s v="4757824044136352532"/>
    <s v="尹德彪"/>
    <m/>
    <m/>
    <s v="曜黑柜-整柜-1.5米"/>
    <x v="19"/>
    <n v="1500"/>
    <s v="已结算"/>
    <s v="庄毅"/>
    <n v="10143.93333333333"/>
    <n v="9000"/>
    <n v="501.08"/>
    <n v="283.3333333333333"/>
    <s v="180*1.5*0.48"/>
    <m/>
    <m/>
    <m/>
    <n v="41"/>
    <n v="10"/>
    <m/>
    <n v="30"/>
    <n v="40"/>
    <n v="33"/>
    <m/>
    <n v="76"/>
    <m/>
    <m/>
    <m/>
    <m/>
    <m/>
    <m/>
    <m/>
    <m/>
    <m/>
    <m/>
    <m/>
    <m/>
    <m/>
    <m/>
    <n v="555"/>
    <m/>
    <n v="88"/>
    <n v="0"/>
    <n v="0"/>
    <n v="0"/>
    <n v="0"/>
    <n v="0"/>
    <n v="1"/>
    <n v="10786.93333333333"/>
    <n v="13991"/>
    <n v="0"/>
    <n v="83.946"/>
    <n v="13907.054"/>
    <n v="0"/>
    <n v="0"/>
    <n v="0"/>
    <n v="3120.120666666666"/>
    <s v="尹德彪"/>
    <s v="山西省 吕梁市 汾阳市 栗家庄镇 粟家庄村"/>
    <s v="18400603197-8374"/>
    <m/>
    <m/>
    <m/>
    <m/>
  </r>
  <r>
    <x v="127"/>
    <s v="已收货"/>
    <s v="4759014601776106931"/>
    <s v="吳愛玲"/>
    <m/>
    <m/>
    <s v="补差价（2个美标+1个国标白色插座+一个隔板）"/>
    <x v="18"/>
    <m/>
    <s v="已结算"/>
    <s v="庄毅"/>
    <n v="165"/>
    <n v="0"/>
    <n v="165"/>
    <m/>
    <m/>
    <m/>
    <m/>
    <m/>
    <m/>
    <m/>
    <m/>
    <m/>
    <m/>
    <m/>
    <m/>
    <m/>
    <m/>
    <m/>
    <m/>
    <m/>
    <m/>
    <m/>
    <m/>
    <m/>
    <m/>
    <m/>
    <m/>
    <m/>
    <m/>
    <m/>
    <n v="0"/>
    <n v="0"/>
    <n v="0"/>
    <n v="0"/>
    <n v="0"/>
    <n v="0"/>
    <n v="0"/>
    <n v="0"/>
    <n v="1"/>
    <n v="165"/>
    <n v="375"/>
    <n v="0"/>
    <n v="2.25"/>
    <n v="372.75"/>
    <n v="0"/>
    <n v="0"/>
    <n v="0"/>
    <n v="207.75"/>
    <s v="吳愛玲"/>
    <s v="福建省 漳州市 龙海区 东园镇福建省漳州市龙海区东园镇仓里路888号龙海普洛斯物流园A2库二层台集运@QF@U5FVXM#UWDD1WZZNRANM#"/>
    <s v="18319011167"/>
    <s v="JDV023636136716，2件"/>
    <m/>
    <m/>
    <m/>
  </r>
  <r>
    <x v="127"/>
    <s v="已收货"/>
    <s v="4759840226742767536"/>
    <s v="陈伊"/>
    <m/>
    <m/>
    <s v="榉木餐边柜定制-实木背板-1.5米-250922"/>
    <x v="9"/>
    <m/>
    <s v="已结算"/>
    <s v="庄毅"/>
    <n v="3692.5"/>
    <n v="3200"/>
    <n v="342"/>
    <n v="19"/>
    <s v="180*1.5*0.45"/>
    <m/>
    <n v="10"/>
    <m/>
    <m/>
    <m/>
    <m/>
    <m/>
    <m/>
    <m/>
    <m/>
    <m/>
    <m/>
    <m/>
    <m/>
    <m/>
    <m/>
    <m/>
    <m/>
    <m/>
    <m/>
    <m/>
    <m/>
    <m/>
    <m/>
    <m/>
    <n v="180"/>
    <m/>
    <n v="88"/>
    <n v="0"/>
    <n v="0"/>
    <n v="0"/>
    <n v="0"/>
    <n v="0"/>
    <n v="1"/>
    <n v="3960.5"/>
    <n v="4980"/>
    <n v="0"/>
    <n v="29.88"/>
    <n v="4950.12"/>
    <n v="0"/>
    <n v="0"/>
    <n v="0"/>
    <n v="989.6199999999999"/>
    <s v="陈伊"/>
    <s v="上海 上海市 长宁区 江苏路街道 愚园路888号畅园3号楼3501室"/>
    <s v="18466860257-3684"/>
    <s v="JDV023657439418，2件"/>
    <m/>
    <m/>
    <m/>
  </r>
  <r>
    <x v="128"/>
    <s v="已收货"/>
    <s v="4761220358242320800"/>
    <s v="刘小鱼"/>
    <m/>
    <m/>
    <s v="窄柜-整柜洞石背板-1.0米"/>
    <x v="18"/>
    <n v="1000"/>
    <s v="已结算"/>
    <s v="江西"/>
    <n v="4317.08"/>
    <n v="3300"/>
    <n v="359.08"/>
    <n v="120"/>
    <m/>
    <n v="38"/>
    <n v="180"/>
    <n v="54"/>
    <n v="52"/>
    <m/>
    <n v="5"/>
    <m/>
    <m/>
    <n v="108"/>
    <m/>
    <n v="2"/>
    <n v="1.1"/>
    <n v="3.5"/>
    <m/>
    <m/>
    <m/>
    <m/>
    <m/>
    <m/>
    <m/>
    <m/>
    <m/>
    <n v="170"/>
    <m/>
    <m/>
    <n v="223"/>
    <n v="62"/>
    <n v="80"/>
    <n v="0"/>
    <n v="0"/>
    <n v="0"/>
    <n v="0"/>
    <n v="0"/>
    <n v="1"/>
    <n v="4682.08"/>
    <n v="5156.5"/>
    <n v="0"/>
    <n v="30.939"/>
    <n v="5125.561"/>
    <n v="0"/>
    <n v="0"/>
    <n v="0"/>
    <n v="443.4809999999998"/>
    <s v="刘小鱼"/>
    <s v="湖北省 襄阳市 樊城区 汉江街道民发盛特一品一期1栋402"/>
    <s v="18472216829-9061"/>
    <m/>
    <m/>
    <m/>
    <m/>
  </r>
  <r>
    <x v="129"/>
    <s v="已收货"/>
    <s v="4763495844238072932"/>
    <s v="张"/>
    <m/>
    <m/>
    <s v="砂白色1.6米岩板餐桌"/>
    <x v="1"/>
    <s v="160cm*85cm"/>
    <s v="已结算"/>
    <s v="庄毅"/>
    <n v="1777.3"/>
    <n v="1530"/>
    <m/>
    <m/>
    <m/>
    <m/>
    <n v="244.8"/>
    <m/>
    <m/>
    <m/>
    <m/>
    <m/>
    <m/>
    <m/>
    <m/>
    <m/>
    <m/>
    <m/>
    <n v="2.5"/>
    <m/>
    <m/>
    <m/>
    <m/>
    <m/>
    <m/>
    <m/>
    <m/>
    <m/>
    <m/>
    <m/>
    <n v="187"/>
    <n v="0"/>
    <n v="58"/>
    <n v="0"/>
    <n v="0"/>
    <n v="0"/>
    <n v="0"/>
    <n v="0"/>
    <n v="1"/>
    <n v="2022.3"/>
    <n v="2861.38"/>
    <n v="0"/>
    <n v="17.16828"/>
    <n v="2844.21172"/>
    <n v="214.6"/>
    <n v="0"/>
    <n v="214.6"/>
    <n v="1036.51172"/>
    <s v="张"/>
    <m/>
    <m/>
    <m/>
    <m/>
    <m/>
    <m/>
  </r>
  <r>
    <x v="129"/>
    <s v="已收货"/>
    <s v="2953107878322311190"/>
    <s v="邸蓉蓉"/>
    <m/>
    <m/>
    <s v="定制榉木洞石整柜2米长2米高柜，追加一个隔板"/>
    <x v="3"/>
    <m/>
    <s v="已结算"/>
    <s v="江西"/>
    <n v="7093.746666666667"/>
    <n v="5100"/>
    <n v="620"/>
    <n v="619.08"/>
    <s v="46*2"/>
    <m/>
    <s v="2040/6/1.5"/>
    <s v="52*2"/>
    <n v="10"/>
    <m/>
    <m/>
    <n v="14"/>
    <n v="154"/>
    <n v="48"/>
    <m/>
    <m/>
    <m/>
    <m/>
    <n v="8"/>
    <n v="46"/>
    <n v="20"/>
    <m/>
    <m/>
    <m/>
    <s v="160-128"/>
    <m/>
    <m/>
    <n v="160"/>
    <m/>
    <m/>
    <n v="370"/>
    <n v="0"/>
    <n v="500"/>
    <n v="0"/>
    <n v="0"/>
    <n v="0"/>
    <n v="0"/>
    <n v="190"/>
    <n v="1"/>
    <n v="8153.746666666667"/>
    <n v="11272.8"/>
    <n v="0"/>
    <n v="67.63679999999999"/>
    <n v="11205.1632"/>
    <n v="0"/>
    <n v="0"/>
    <n v="0"/>
    <n v="3051.416533333332"/>
    <s v="邸蓉蓉"/>
    <s v="上海 上海市 普陀区 长征镇 怒江路651弄17号201室"/>
    <s v="13162906094-1971"/>
    <m/>
    <m/>
    <m/>
    <m/>
  </r>
  <r>
    <x v="130"/>
    <s v="已收货"/>
    <s v="4768093584709324422"/>
    <s v="杜杭寅"/>
    <m/>
    <m/>
    <s v="砂白色2.0米岩板餐桌"/>
    <x v="1"/>
    <s v="200cm*85cm"/>
    <s v="已结算"/>
    <s v="庄毅"/>
    <n v="1938.5"/>
    <n v="1630"/>
    <m/>
    <m/>
    <m/>
    <m/>
    <n v="306"/>
    <m/>
    <m/>
    <m/>
    <m/>
    <m/>
    <m/>
    <m/>
    <m/>
    <m/>
    <m/>
    <m/>
    <n v="2.5"/>
    <m/>
    <m/>
    <m/>
    <m/>
    <m/>
    <m/>
    <m/>
    <m/>
    <m/>
    <m/>
    <m/>
    <n v="210"/>
    <n v="0"/>
    <n v="98"/>
    <n v="0"/>
    <n v="0"/>
    <n v="0"/>
    <n v="0"/>
    <n v="0"/>
    <n v="1"/>
    <n v="2246.5"/>
    <n v="3120.69"/>
    <n v="0"/>
    <n v="18.72414"/>
    <n v="3101.96586"/>
    <n v="0"/>
    <n v="0"/>
    <n v="0"/>
    <n v="855.4658600000002"/>
    <s v="杜杭寅"/>
    <s v="浙江省 台州市 玉环市 玉城街道三潭路玉澜府1号楼1单元1602"/>
    <s v="18413248620-5372"/>
    <m/>
    <m/>
    <m/>
    <m/>
  </r>
  <r>
    <x v="131"/>
    <s v="已收货"/>
    <s v="2957850411929168683"/>
    <s v="张思琪"/>
    <m/>
    <m/>
    <s v="砂白色2.0米岩板餐桌"/>
    <x v="1"/>
    <s v="200cm*85cm"/>
    <s v="已结算"/>
    <s v="庄毅"/>
    <n v="1938.5"/>
    <n v="1630"/>
    <m/>
    <m/>
    <m/>
    <m/>
    <n v="306"/>
    <m/>
    <m/>
    <m/>
    <m/>
    <m/>
    <m/>
    <m/>
    <m/>
    <m/>
    <m/>
    <m/>
    <n v="2.5"/>
    <m/>
    <m/>
    <m/>
    <m/>
    <m/>
    <m/>
    <m/>
    <m/>
    <m/>
    <m/>
    <m/>
    <n v="235"/>
    <m/>
    <n v="100"/>
    <n v="0"/>
    <n v="0"/>
    <n v="0"/>
    <n v="0"/>
    <n v="0"/>
    <n v="1"/>
    <n v="2273.5"/>
    <n v="3120.69"/>
    <n v="0"/>
    <n v="18.72414"/>
    <n v="3101.96586"/>
    <n v="0"/>
    <n v="0"/>
    <n v="0"/>
    <n v="828.4658600000002"/>
    <s v="张思琪"/>
    <s v="河北省 张家口市 崇礼区 西湾子镇阿那亚崇礼六号楼613"/>
    <s v="13171648141-5295"/>
    <m/>
    <m/>
    <m/>
    <m/>
  </r>
  <r>
    <x v="131"/>
    <s v="已收货"/>
    <s v="2959087729378488377"/>
    <s v="刘叶"/>
    <m/>
    <m/>
    <s v="砂白色1.6米岩板餐桌"/>
    <x v="1"/>
    <s v="160cm*85cm"/>
    <s v="已结算"/>
    <s v="江西"/>
    <n v="1932.5"/>
    <n v="1520"/>
    <m/>
    <m/>
    <m/>
    <m/>
    <n v="240"/>
    <m/>
    <m/>
    <m/>
    <m/>
    <m/>
    <m/>
    <m/>
    <m/>
    <m/>
    <m/>
    <m/>
    <n v="2.5"/>
    <m/>
    <m/>
    <m/>
    <m/>
    <m/>
    <m/>
    <m/>
    <m/>
    <n v="170"/>
    <m/>
    <m/>
    <n v="181"/>
    <n v="30"/>
    <n v="100"/>
    <n v="0"/>
    <n v="0"/>
    <n v="0"/>
    <n v="0"/>
    <n v="0"/>
    <n v="1"/>
    <n v="2243.5"/>
    <n v="2856.38"/>
    <n v="0"/>
    <n v="17.13828"/>
    <n v="2839.24172"/>
    <n v="0"/>
    <n v="0"/>
    <n v="0"/>
    <n v="595.74172"/>
    <s v="刘叶"/>
    <m/>
    <m/>
    <m/>
    <m/>
    <m/>
    <m/>
  </r>
  <r>
    <x v="132"/>
    <s v="已收货"/>
    <s v="2962715702424031288"/>
    <s v="唐靓靓"/>
    <m/>
    <m/>
    <s v="2个插座"/>
    <x v="5"/>
    <m/>
    <s v="已结算"/>
    <s v="庄毅"/>
    <n v="0"/>
    <n v="0"/>
    <m/>
    <m/>
    <m/>
    <m/>
    <m/>
    <m/>
    <m/>
    <m/>
    <m/>
    <m/>
    <m/>
    <m/>
    <m/>
    <m/>
    <m/>
    <m/>
    <m/>
    <m/>
    <m/>
    <m/>
    <m/>
    <m/>
    <m/>
    <m/>
    <m/>
    <m/>
    <m/>
    <m/>
    <n v="0"/>
    <n v="0"/>
    <n v="0"/>
    <n v="0"/>
    <n v="0"/>
    <n v="0"/>
    <n v="0"/>
    <n v="0"/>
    <n v="1"/>
    <n v="0"/>
    <n v="420"/>
    <n v="0"/>
    <n v="2.52"/>
    <n v="417.48"/>
    <n v="0"/>
    <n v="0"/>
    <n v="0"/>
    <n v="417.48"/>
    <s v="唐靓靓"/>
    <m/>
    <m/>
    <m/>
    <m/>
    <m/>
    <m/>
  </r>
  <r>
    <x v="133"/>
    <s v="已收货"/>
    <s v="4778827094251668102"/>
    <s v="罗女士"/>
    <m/>
    <m/>
    <s v="样块"/>
    <x v="0"/>
    <m/>
    <s v="已结算"/>
    <s v="杭州"/>
    <n v="7"/>
    <n v="5"/>
    <m/>
    <m/>
    <m/>
    <m/>
    <m/>
    <m/>
    <m/>
    <m/>
    <m/>
    <m/>
    <m/>
    <m/>
    <m/>
    <m/>
    <m/>
    <m/>
    <m/>
    <m/>
    <m/>
    <m/>
    <m/>
    <m/>
    <m/>
    <m/>
    <m/>
    <n v="2"/>
    <m/>
    <m/>
    <n v="5"/>
    <n v="0"/>
    <n v="0"/>
    <n v="0"/>
    <n v="0"/>
    <n v="0"/>
    <n v="0"/>
    <n v="0"/>
    <n v="1"/>
    <n v="12"/>
    <n v="20"/>
    <n v="0"/>
    <n v="0.12"/>
    <n v="19.88"/>
    <n v="0"/>
    <n v="0"/>
    <n v="0"/>
    <n v="7.879999999999999"/>
    <s v="罗女士"/>
    <s v="上海 上海市 浦东新区 惠南镇东原逸墅65号1602室"/>
    <s v="18466687350-9328，"/>
    <m/>
    <m/>
    <m/>
    <m/>
  </r>
  <r>
    <x v="134"/>
    <s v="已收货"/>
    <s v="4783637738411518816"/>
    <s v="小石"/>
    <m/>
    <m/>
    <s v="樱桃木哑白岩板餐桌2025-1.4米"/>
    <x v="23"/>
    <s v="140cm*85cm"/>
    <s v="已结算"/>
    <s v="庄毅"/>
    <n v="1316.7"/>
    <n v="1100"/>
    <m/>
    <m/>
    <m/>
    <m/>
    <n v="214.2"/>
    <m/>
    <m/>
    <m/>
    <m/>
    <m/>
    <m/>
    <m/>
    <m/>
    <m/>
    <m/>
    <m/>
    <n v="2.5"/>
    <m/>
    <m/>
    <m/>
    <m/>
    <m/>
    <m/>
    <m/>
    <m/>
    <m/>
    <m/>
    <m/>
    <n v="130"/>
    <m/>
    <n v="60"/>
    <n v="0"/>
    <n v="0"/>
    <n v="0"/>
    <n v="0"/>
    <n v="215.83"/>
    <n v="1"/>
    <n v="1722.53"/>
    <n v="2187.5"/>
    <n v="0"/>
    <n v="13.125"/>
    <n v="2174.375"/>
    <n v="0"/>
    <n v="0"/>
    <n v="0"/>
    <n v="451.845"/>
    <s v="小石"/>
    <s v="河南省 郑州市 中原区 双桥街道 榆林润泽苑1号院22号楼"/>
    <s v="13247503186-8003"/>
    <m/>
    <m/>
    <m/>
    <m/>
  </r>
  <r>
    <x v="135"/>
    <s v="已收货"/>
    <s v="2981858919693314350"/>
    <s v="jojo"/>
    <m/>
    <m/>
    <s v="砂白色1.8米岩板餐桌，定制"/>
    <x v="1"/>
    <s v="180cm*80cm"/>
    <s v="已结算"/>
    <s v="江西"/>
    <n v="1952.5"/>
    <n v="1530"/>
    <m/>
    <m/>
    <m/>
    <m/>
    <n v="240"/>
    <m/>
    <m/>
    <m/>
    <m/>
    <m/>
    <m/>
    <m/>
    <m/>
    <m/>
    <m/>
    <m/>
    <n v="2.5"/>
    <m/>
    <m/>
    <m/>
    <m/>
    <m/>
    <m/>
    <m/>
    <m/>
    <n v="180"/>
    <m/>
    <m/>
    <n v="93"/>
    <n v="30"/>
    <n v="76"/>
    <n v="0"/>
    <n v="0"/>
    <n v="0"/>
    <n v="0"/>
    <n v="0"/>
    <n v="1"/>
    <n v="2151.5"/>
    <n v="2904.88"/>
    <n v="0"/>
    <n v="17.42928"/>
    <n v="2887.45072"/>
    <n v="0"/>
    <n v="0"/>
    <n v="0"/>
    <n v="735.9507200000003"/>
    <s v="jojo"/>
    <s v="湖南省 长沙市 雨花区 洞井街道金科集美天辰10栋802"/>
    <s v="18472622557-9986"/>
    <m/>
    <m/>
    <m/>
    <m/>
  </r>
  <r>
    <x v="136"/>
    <s v="已收货"/>
    <s v="2984038357052230079"/>
    <s v="陈深丰"/>
    <m/>
    <m/>
    <s v="补差价"/>
    <x v="3"/>
    <m/>
    <s v="已结算"/>
    <s v="庄毅"/>
    <n v="0"/>
    <n v="0"/>
    <m/>
    <m/>
    <m/>
    <m/>
    <m/>
    <m/>
    <m/>
    <m/>
    <m/>
    <m/>
    <m/>
    <m/>
    <m/>
    <m/>
    <m/>
    <m/>
    <m/>
    <m/>
    <m/>
    <m/>
    <m/>
    <m/>
    <m/>
    <m/>
    <m/>
    <m/>
    <m/>
    <m/>
    <n v="0"/>
    <n v="0"/>
    <n v="0"/>
    <n v="0"/>
    <n v="0"/>
    <n v="0"/>
    <n v="0"/>
    <n v="0"/>
    <n v="1"/>
    <n v="0"/>
    <n v="354.64"/>
    <n v="0"/>
    <n v="2.12784"/>
    <n v="352.51216"/>
    <n v="0"/>
    <n v="0"/>
    <n v="0"/>
    <n v="352.51216"/>
    <s v="陈深丰"/>
    <s v="江苏省 南通市 海安市 城东镇 7星首府 5幢2单元1101 "/>
    <s v="18662904145-1255"/>
    <s v="JDVG04625778893"/>
    <m/>
    <m/>
    <m/>
  </r>
  <r>
    <x v="136"/>
    <s v="已收货"/>
    <s v="2984305584237507393"/>
    <s v="李伟峰"/>
    <m/>
    <m/>
    <s v="样块"/>
    <x v="0"/>
    <m/>
    <s v="已结算"/>
    <s v="杭州"/>
    <n v="7"/>
    <n v="5"/>
    <m/>
    <m/>
    <m/>
    <m/>
    <m/>
    <m/>
    <m/>
    <m/>
    <m/>
    <m/>
    <m/>
    <m/>
    <m/>
    <m/>
    <m/>
    <m/>
    <m/>
    <m/>
    <m/>
    <m/>
    <m/>
    <m/>
    <m/>
    <m/>
    <m/>
    <n v="2"/>
    <m/>
    <m/>
    <n v="5"/>
    <n v="0"/>
    <n v="0"/>
    <n v="0"/>
    <n v="0"/>
    <n v="0"/>
    <n v="0"/>
    <n v="0"/>
    <n v="1"/>
    <n v="12"/>
    <n v="22"/>
    <n v="0"/>
    <n v="0.132"/>
    <n v="21.868"/>
    <n v="0"/>
    <n v="0"/>
    <n v="0"/>
    <n v="9.867999999999999"/>
    <s v="李伟峰"/>
    <s v="山东省 日照市 岚山区 岚山头街道 沂州海湾五号楼一单元"/>
    <s v="18416726972-9471"/>
    <m/>
    <m/>
    <m/>
    <m/>
  </r>
  <r>
    <x v="137"/>
    <s v="已收货"/>
    <s v="2990417197413801359"/>
    <s v="凌泽芝"/>
    <m/>
    <m/>
    <s v="洞石餐边柜定制-1.5米-251012"/>
    <x v="3"/>
    <n v="1500"/>
    <s v="已结算"/>
    <s v="庄毅"/>
    <n v="6746.18"/>
    <n v="4200"/>
    <n v="556.0799999999999"/>
    <n v="320"/>
    <m/>
    <n v="549.6"/>
    <n v="84"/>
    <m/>
    <n v="8.5"/>
    <m/>
    <m/>
    <n v="7"/>
    <n v="154"/>
    <s v="52*2"/>
    <n v="17.5"/>
    <m/>
    <m/>
    <n v="7"/>
    <n v="450"/>
    <m/>
    <n v="340"/>
    <m/>
    <m/>
    <m/>
    <m/>
    <m/>
    <m/>
    <m/>
    <m/>
    <m/>
    <n v="470"/>
    <n v="100"/>
    <n v="150"/>
    <n v="0"/>
    <n v="0"/>
    <n v="0"/>
    <n v="0"/>
    <n v="0"/>
    <n v="1"/>
    <n v="7466.18"/>
    <n v="10304"/>
    <n v="0"/>
    <n v="61.824"/>
    <n v="10242.176"/>
    <n v="0"/>
    <n v="0"/>
    <n v="0"/>
    <n v="2775.995999999999"/>
    <s v="凌泽芝"/>
    <s v="北京 北京市 昌平区 史各庄街道 东半壁店家园4-3-901"/>
    <s v="18401660157-3854"/>
    <s v="JDVG04569136289"/>
    <m/>
    <m/>
    <m/>
  </r>
  <r>
    <x v="138"/>
    <s v="已收货"/>
    <s v="4811295528968834503"/>
    <s v="李思颉"/>
    <m/>
    <m/>
    <s v="样块*2"/>
    <x v="0"/>
    <m/>
    <s v="已结算"/>
    <s v="杭州"/>
    <n v="12"/>
    <n v="10"/>
    <m/>
    <m/>
    <m/>
    <m/>
    <m/>
    <m/>
    <m/>
    <m/>
    <m/>
    <m/>
    <m/>
    <m/>
    <m/>
    <m/>
    <m/>
    <m/>
    <m/>
    <m/>
    <m/>
    <m/>
    <m/>
    <m/>
    <m/>
    <m/>
    <m/>
    <n v="2"/>
    <m/>
    <m/>
    <n v="5"/>
    <n v="0"/>
    <n v="0"/>
    <n v="0"/>
    <n v="0"/>
    <n v="0"/>
    <n v="0"/>
    <n v="0"/>
    <n v="1"/>
    <n v="17"/>
    <n v="50"/>
    <n v="0"/>
    <n v="0.3"/>
    <n v="49.7"/>
    <n v="0"/>
    <n v="0"/>
    <n v="0"/>
    <n v="32.7"/>
    <s v="李思颉"/>
    <s v="浙江省 舟山市 定海区 千岛街道闻莺苑11幢1单元2504"/>
    <s v="18413298758-4019"/>
    <m/>
    <m/>
    <m/>
    <m/>
  </r>
  <r>
    <x v="138"/>
    <s v="已收货"/>
    <s v="4812050163529386607"/>
    <s v="丁小姐"/>
    <m/>
    <m/>
    <s v="窄柜-整柜洞石岩板背板-1.2米-定制"/>
    <x v="18"/>
    <n v="1200"/>
    <s v="已结算"/>
    <s v="庄毅"/>
    <n v="4371.99648"/>
    <n v="3600"/>
    <n v="411.08"/>
    <m/>
    <m/>
    <m/>
    <n v="230.91648"/>
    <n v="62.4"/>
    <m/>
    <m/>
    <m/>
    <m/>
    <m/>
    <m/>
    <m/>
    <m/>
    <m/>
    <m/>
    <m/>
    <m/>
    <m/>
    <m/>
    <m/>
    <m/>
    <m/>
    <n v="10"/>
    <m/>
    <m/>
    <m/>
    <m/>
    <n v="293"/>
    <m/>
    <n v="68"/>
    <n v="0"/>
    <n v="0"/>
    <n v="0"/>
    <n v="0"/>
    <n v="0"/>
    <n v="1"/>
    <n v="4732.99648"/>
    <n v="6105"/>
    <n v="0"/>
    <n v="36.63"/>
    <n v="6068.37"/>
    <n v="0"/>
    <n v="0"/>
    <n v="0"/>
    <n v="1335.37352"/>
    <s v="丁小姐"/>
    <s v="广东省 广州市 黄埔区 文冲街道 文冲安置房八期H7栋203房 "/>
    <s v="17896416749-5483"/>
    <s v=" JDVG04623815231"/>
    <m/>
    <m/>
    <m/>
  </r>
  <r>
    <x v="139"/>
    <s v="已收货"/>
    <s v="4813574328987483440"/>
    <s v="刘女士"/>
    <m/>
    <m/>
    <s v="样块*2"/>
    <x v="0"/>
    <m/>
    <s v="已结算"/>
    <s v="杭州"/>
    <n v="12"/>
    <n v="10"/>
    <m/>
    <m/>
    <m/>
    <m/>
    <m/>
    <m/>
    <m/>
    <m/>
    <m/>
    <m/>
    <m/>
    <m/>
    <m/>
    <m/>
    <m/>
    <m/>
    <m/>
    <m/>
    <m/>
    <m/>
    <m/>
    <m/>
    <m/>
    <m/>
    <m/>
    <n v="2"/>
    <m/>
    <m/>
    <n v="5"/>
    <n v="0"/>
    <n v="0"/>
    <n v="0"/>
    <n v="0"/>
    <n v="0"/>
    <n v="0"/>
    <n v="0"/>
    <n v="1"/>
    <n v="17"/>
    <n v="50"/>
    <n v="0"/>
    <n v="0.3"/>
    <n v="49.7"/>
    <n v="0"/>
    <n v="0"/>
    <n v="0"/>
    <n v="32.7"/>
    <s v="刘女士"/>
    <s v="甘肃省 庆阳市 西峰区 温泉镇 刘家店"/>
    <s v="15502977460-4089"/>
    <m/>
    <m/>
    <m/>
    <m/>
  </r>
  <r>
    <x v="139"/>
    <s v="已收货"/>
    <s v="4813964715909180833"/>
    <s v="陈工/梁工"/>
    <m/>
    <m/>
    <s v="榉木长凳"/>
    <x v="29"/>
    <m/>
    <s v="已结算"/>
    <s v="江西"/>
    <n v="800"/>
    <n v="800"/>
    <m/>
    <m/>
    <m/>
    <m/>
    <m/>
    <m/>
    <m/>
    <m/>
    <m/>
    <m/>
    <m/>
    <m/>
    <m/>
    <m/>
    <m/>
    <m/>
    <m/>
    <m/>
    <m/>
    <m/>
    <m/>
    <m/>
    <m/>
    <m/>
    <m/>
    <m/>
    <m/>
    <m/>
    <n v="55"/>
    <n v="0"/>
    <n v="0"/>
    <n v="0"/>
    <n v="0"/>
    <n v="0"/>
    <n v="0"/>
    <n v="0"/>
    <n v="1"/>
    <n v="855"/>
    <n v="1730"/>
    <n v="0"/>
    <n v="10.38"/>
    <n v="1719.62"/>
    <n v="0"/>
    <n v="0"/>
    <n v="0"/>
    <n v="864.6199999999999"/>
    <s v="陈工/梁工13217569308"/>
    <s v="广东省 珠海市 香洲区 湾仔街道华发湾玺壹号小区3棟2904房"/>
    <s v="18466383878-7432"/>
    <m/>
    <m/>
    <m/>
    <m/>
  </r>
  <r>
    <x v="139"/>
    <s v="已收货"/>
    <s v="3000336098468337182"/>
    <s v="杨秀情"/>
    <m/>
    <m/>
    <s v="样块"/>
    <x v="0"/>
    <m/>
    <s v="已结算"/>
    <s v="杭州"/>
    <n v="7"/>
    <n v="5"/>
    <m/>
    <m/>
    <m/>
    <m/>
    <m/>
    <m/>
    <m/>
    <m/>
    <m/>
    <m/>
    <m/>
    <m/>
    <m/>
    <m/>
    <m/>
    <m/>
    <m/>
    <m/>
    <m/>
    <m/>
    <m/>
    <m/>
    <m/>
    <m/>
    <m/>
    <n v="2"/>
    <m/>
    <m/>
    <n v="5"/>
    <n v="0"/>
    <n v="0"/>
    <n v="0"/>
    <n v="0"/>
    <n v="0"/>
    <n v="0"/>
    <n v="0"/>
    <n v="1"/>
    <n v="12"/>
    <n v="25"/>
    <n v="0"/>
    <n v="0.15"/>
    <n v="24.85"/>
    <n v="0"/>
    <n v="0"/>
    <n v="0"/>
    <n v="12.85"/>
    <s v="杨秀情"/>
    <s v="四川省 成都市 青羊区 汪家拐街道锦里西路锦江时代花园南楼1402"/>
    <s v="13198536474-3850"/>
    <m/>
    <m/>
    <m/>
    <m/>
  </r>
  <r>
    <x v="140"/>
    <s v="已收货"/>
    <s v="3005208590940284195"/>
    <s v="梁峰"/>
    <m/>
    <m/>
    <s v="定制全榉木1.6下柜"/>
    <x v="9"/>
    <m/>
    <s v="已结算"/>
    <s v="江西"/>
    <n v="4681"/>
    <n v="4180"/>
    <n v="38"/>
    <s v="22*9"/>
    <n v="260"/>
    <m/>
    <n v="5"/>
    <m/>
    <m/>
    <m/>
    <m/>
    <m/>
    <m/>
    <m/>
    <m/>
    <m/>
    <m/>
    <m/>
    <m/>
    <m/>
    <m/>
    <m/>
    <m/>
    <m/>
    <m/>
    <m/>
    <m/>
    <n v="260"/>
    <m/>
    <m/>
    <n v="322"/>
    <n v="65"/>
    <n v="0"/>
    <n v="0"/>
    <n v="0"/>
    <n v="0"/>
    <n v="0"/>
    <n v="0"/>
    <n v="1"/>
    <n v="5068"/>
    <n v="5300"/>
    <n v="0"/>
    <n v="31.8"/>
    <n v="5268.2"/>
    <n v="0"/>
    <n v="0"/>
    <n v="0"/>
    <n v="200.1999999999998"/>
    <s v="梁峰"/>
    <s v="广西壮族自治区 柳州市 城中区 静兰街道桂柳路30号碧园大城小院16栋"/>
    <s v="13078091453-2888"/>
    <m/>
    <m/>
    <m/>
    <m/>
  </r>
  <r>
    <x v="141"/>
    <s v="已收货"/>
    <s v="3006890258636258786"/>
    <s v="陈浩南"/>
    <m/>
    <m/>
    <s v="砂白色2.4米岩板餐桌，定制"/>
    <x v="1"/>
    <s v="240cm*80cm"/>
    <s v="已结算"/>
    <s v="江西"/>
    <n v="2428.5"/>
    <n v="1650"/>
    <m/>
    <m/>
    <m/>
    <m/>
    <n v="626"/>
    <m/>
    <m/>
    <m/>
    <m/>
    <m/>
    <m/>
    <m/>
    <m/>
    <m/>
    <m/>
    <m/>
    <n v="2.5"/>
    <m/>
    <m/>
    <m/>
    <m/>
    <m/>
    <m/>
    <m/>
    <m/>
    <n v="150"/>
    <m/>
    <m/>
    <n v="357"/>
    <n v="68"/>
    <n v="78"/>
    <n v="0"/>
    <n v="0"/>
    <n v="0"/>
    <n v="0"/>
    <n v="0"/>
    <n v="1"/>
    <n v="2931.5"/>
    <n v="3245"/>
    <n v="0"/>
    <n v="19.47"/>
    <n v="3225.53"/>
    <n v="0"/>
    <n v="0"/>
    <n v="0"/>
    <n v="294.0300000000002"/>
    <s v="陈浩南"/>
    <s v="广西壮族自治区 南宁市 青秀区 津头街道保利领秀前城秀程府7栋2901号"/>
    <s v="17677993417-2441"/>
    <m/>
    <m/>
    <m/>
    <m/>
  </r>
  <r>
    <x v="141"/>
    <s v="已收货"/>
    <s v="3007071554811672280"/>
    <s v="彭博"/>
    <m/>
    <m/>
    <s v="砂白色1.6米岩板餐桌"/>
    <x v="1"/>
    <s v="160cm*85cm"/>
    <s v="已结算"/>
    <s v="庄毅"/>
    <n v="1777.3"/>
    <n v="1530"/>
    <m/>
    <m/>
    <m/>
    <m/>
    <n v="244.8"/>
    <m/>
    <m/>
    <m/>
    <m/>
    <m/>
    <m/>
    <m/>
    <m/>
    <m/>
    <m/>
    <m/>
    <n v="2.5"/>
    <m/>
    <m/>
    <m/>
    <m/>
    <m/>
    <m/>
    <m/>
    <m/>
    <m/>
    <m/>
    <m/>
    <n v="342"/>
    <n v="0"/>
    <n v="60"/>
    <n v="0"/>
    <n v="0"/>
    <n v="0"/>
    <n v="0"/>
    <n v="0"/>
    <n v="1"/>
    <n v="2179.3"/>
    <n v="2753.41"/>
    <n v="0"/>
    <n v="16.52046"/>
    <n v="2736.88954"/>
    <n v="0"/>
    <n v="0"/>
    <n v="0"/>
    <n v="557.5895399999995"/>
    <s v="彭博"/>
    <s v="黑龙江省 齐齐哈尔市 建华区 北华街道中央公园G10幢G10-1804"/>
    <s v="15561801741-9353"/>
    <s v="JDVG04535575270，2件"/>
    <m/>
    <m/>
    <m/>
  </r>
  <r>
    <x v="141"/>
    <s v="已收货"/>
    <s v="3007103666293230079"/>
    <s v="陈深丰"/>
    <m/>
    <m/>
    <s v="洞石餐边柜-洞石整柜2.1米（多抽组合）（分类抽屉+玻璃移门+开门）"/>
    <x v="3"/>
    <n v="2100"/>
    <s v="已结算"/>
    <s v="庄毅"/>
    <n v="8025.706666666667"/>
    <n v="6000"/>
    <n v="501.08"/>
    <n v="226.6666666666667"/>
    <n v="76"/>
    <n v="90"/>
    <n v="410.88"/>
    <m/>
    <m/>
    <m/>
    <m/>
    <n v="10"/>
    <n v="20"/>
    <m/>
    <n v="17.5"/>
    <m/>
    <m/>
    <m/>
    <n v="40"/>
    <n v="10"/>
    <n v="14"/>
    <m/>
    <m/>
    <m/>
    <n v="657.08"/>
    <m/>
    <m/>
    <m/>
    <m/>
    <m/>
    <n v="749"/>
    <n v="0"/>
    <n v="150"/>
    <n v="0"/>
    <n v="196"/>
    <n v="0"/>
    <n v="0"/>
    <n v="0"/>
    <n v="1"/>
    <n v="9120.706666666667"/>
    <n v="11029.88"/>
    <n v="0"/>
    <n v="66.17927999999999"/>
    <n v="10963.70072"/>
    <n v="0"/>
    <n v="0"/>
    <n v="0"/>
    <n v="1842.994053333332"/>
    <s v="陈深丰"/>
    <s v="江苏省 南通市 海安市 城东镇 7星首府 5幢2单元1101 "/>
    <s v="18662904145-1255"/>
    <s v="JDVG04625778893"/>
    <m/>
    <m/>
    <m/>
  </r>
  <r>
    <x v="141"/>
    <s v="已收货"/>
    <s v="3007104314255873493"/>
    <s v="台集运(4225927)"/>
    <m/>
    <m/>
    <s v="砂白色1.6米岩板餐桌"/>
    <x v="1"/>
    <s v="160cm*85cm"/>
    <s v="已结算"/>
    <s v="江西"/>
    <n v="1772.5"/>
    <n v="1350"/>
    <m/>
    <m/>
    <m/>
    <m/>
    <n v="240"/>
    <m/>
    <m/>
    <m/>
    <m/>
    <m/>
    <m/>
    <m/>
    <m/>
    <m/>
    <m/>
    <m/>
    <n v="2.5"/>
    <m/>
    <m/>
    <m/>
    <m/>
    <m/>
    <m/>
    <m/>
    <m/>
    <n v="180"/>
    <m/>
    <m/>
    <n v="106"/>
    <n v="30"/>
    <n v="0"/>
    <n v="0"/>
    <n v="0"/>
    <n v="0"/>
    <n v="0"/>
    <n v="0"/>
    <n v="1"/>
    <n v="1908.5"/>
    <n v="2688.41"/>
    <n v="0"/>
    <n v="16.13046"/>
    <n v="2672.27954"/>
    <n v="0"/>
    <n v="0"/>
    <n v="0"/>
    <n v="763.77954"/>
    <s v="台集运(4225927)"/>
    <s v="福建省 福州市 平潭县 海坛街道澳前西路邮政大厅B区808仓台集运(4225927)"/>
    <n v="18319011167"/>
    <m/>
    <m/>
    <m/>
    <m/>
  </r>
  <r>
    <x v="141"/>
    <s v="已收货"/>
    <s v="4822124187441670649"/>
    <s v="大魔王"/>
    <m/>
    <m/>
    <s v="窄柜-整柜洞石背板-0.8米"/>
    <x v="18"/>
    <n v="800"/>
    <s v="已结算"/>
    <s v="庄毅"/>
    <n v="3842.08"/>
    <n v="3100"/>
    <n v="307.08"/>
    <n v="115"/>
    <m/>
    <n v="30"/>
    <n v="91.44"/>
    <n v="54.9"/>
    <m/>
    <m/>
    <n v="4"/>
    <m/>
    <m/>
    <m/>
    <m/>
    <m/>
    <m/>
    <n v="3.5"/>
    <m/>
    <n v="3"/>
    <m/>
    <m/>
    <m/>
    <m/>
    <n v="1.2"/>
    <m/>
    <m/>
    <m/>
    <m/>
    <m/>
    <n v="222"/>
    <n v="0"/>
    <n v="110"/>
    <n v="0"/>
    <n v="0"/>
    <n v="0"/>
    <n v="0"/>
    <n v="0"/>
    <n v="1"/>
    <n v="4174.08"/>
    <n v="4819.5"/>
    <n v="0"/>
    <n v="28.917"/>
    <n v="4790.583"/>
    <n v="0"/>
    <n v="0"/>
    <n v="0"/>
    <n v="616.5029999999997"/>
    <s v="大魔王"/>
    <s v="江苏省 南京市 雨花台区 赛虹桥街道长虹路凤凰和美2幢二单元606室"/>
    <s v="15784004692-4161"/>
    <m/>
    <m/>
    <m/>
    <m/>
  </r>
  <r>
    <x v="141"/>
    <s v="退货退款"/>
    <s v="4822397496198976032"/>
    <s v="屈冉冉"/>
    <m/>
    <m/>
    <s v="樱桃木洞石岩板餐桌2025-1.6米"/>
    <x v="23"/>
    <s v="160cm*85cm"/>
    <s v="已结算"/>
    <s v="庄毅"/>
    <n v="1325.38"/>
    <n v="1200"/>
    <m/>
    <m/>
    <m/>
    <m/>
    <n v="122.88"/>
    <m/>
    <m/>
    <m/>
    <m/>
    <m/>
    <m/>
    <m/>
    <m/>
    <m/>
    <m/>
    <m/>
    <n v="2.5"/>
    <m/>
    <m/>
    <m/>
    <m/>
    <m/>
    <m/>
    <m/>
    <m/>
    <m/>
    <m/>
    <m/>
    <n v="197"/>
    <m/>
    <n v="65"/>
    <n v="0"/>
    <n v="0"/>
    <n v="0"/>
    <n v="0"/>
    <n v="128.1"/>
    <n v="1"/>
    <n v="1715.48"/>
    <n v="0"/>
    <n v="0"/>
    <n v="0"/>
    <n v="0"/>
    <n v="0"/>
    <n v="0"/>
    <n v="0"/>
    <n v="-1715.48"/>
    <s v="屈冉冉"/>
    <s v="湖南省 长沙市 雨花区 洞井街道长沙奥林匹克花园8栋"/>
    <s v="18697913864-6095"/>
    <m/>
    <m/>
    <m/>
    <m/>
  </r>
  <r>
    <x v="141"/>
    <s v="已收货"/>
    <s v="4822177611954243041"/>
    <s v="郑小姐"/>
    <m/>
    <m/>
    <s v="窄柜-整柜洞石背板-1.2米"/>
    <x v="18"/>
    <n v="1200"/>
    <s v="已结算"/>
    <s v="庄毅"/>
    <n v="4496.299999999999"/>
    <n v="3600"/>
    <n v="411.08"/>
    <n v="125"/>
    <m/>
    <n v="76"/>
    <n v="122.16"/>
    <n v="62.4"/>
    <m/>
    <m/>
    <m/>
    <n v="8"/>
    <m/>
    <n v="3"/>
    <m/>
    <m/>
    <m/>
    <n v="3.37"/>
    <m/>
    <m/>
    <m/>
    <m/>
    <m/>
    <n v="1.16"/>
    <n v="1.1"/>
    <n v="10"/>
    <m/>
    <m/>
    <m/>
    <m/>
    <n v="224"/>
    <n v="0"/>
    <n v="95"/>
    <n v="0"/>
    <n v="0"/>
    <n v="0"/>
    <n v="0"/>
    <n v="0"/>
    <n v="1"/>
    <n v="4815.299999999999"/>
    <n v="5628"/>
    <n v="0"/>
    <n v="33.768"/>
    <n v="5594.232"/>
    <n v="0"/>
    <n v="0"/>
    <n v="0"/>
    <n v="778.9320000000007"/>
    <s v="郑小姐"/>
    <s v="江西省 上饶市 信州区 灵溪街道中京未来境(未来苑)5栋2单元503"/>
    <s v="15579243848-9667"/>
    <m/>
    <m/>
    <m/>
    <m/>
  </r>
  <r>
    <x v="141"/>
    <s v="已收货"/>
    <s v="4822488324526702834"/>
    <s v="兰森"/>
    <m/>
    <m/>
    <s v="窄柜-整柜洞石背板-1.2米-定制"/>
    <x v="18"/>
    <n v="1200"/>
    <s v="已结算"/>
    <s v="庄毅"/>
    <n v="4596.299999999999"/>
    <n v="3700"/>
    <n v="411.08"/>
    <n v="125"/>
    <m/>
    <n v="76"/>
    <n v="122.16"/>
    <n v="62.4"/>
    <m/>
    <m/>
    <m/>
    <n v="8"/>
    <m/>
    <n v="3"/>
    <m/>
    <m/>
    <m/>
    <n v="3.37"/>
    <m/>
    <m/>
    <m/>
    <m/>
    <m/>
    <n v="1.16"/>
    <n v="1.1"/>
    <n v="10"/>
    <m/>
    <m/>
    <m/>
    <m/>
    <n v="711"/>
    <n v="0"/>
    <n v="90"/>
    <n v="0"/>
    <n v="148"/>
    <n v="0"/>
    <n v="0"/>
    <n v="80"/>
    <n v="1"/>
    <n v="5625.299999999999"/>
    <n v="5628"/>
    <n v="0"/>
    <n v="33.768"/>
    <n v="5594.232"/>
    <n v="148"/>
    <n v="0"/>
    <n v="148"/>
    <n v="116.9320000000007"/>
    <s v="兰森"/>
    <s v="重庆 重庆市 渝北区 鸳鸯街道融科蔚城2栋2单元402"/>
    <s v="14727237431-3991"/>
    <m/>
    <m/>
    <m/>
    <m/>
  </r>
  <r>
    <x v="141"/>
    <s v="已收货"/>
    <s v="3007597944028761478"/>
    <s v="于小白"/>
    <m/>
    <m/>
    <s v="餐边柜1.8米＋双腿桌1.4米（背板多层板）-物流抵扣"/>
    <x v="2"/>
    <n v="1800"/>
    <s v="已结算"/>
    <s v="江西"/>
    <n v="7402.99"/>
    <n v="5700"/>
    <m/>
    <m/>
    <m/>
    <m/>
    <m/>
    <n v="14"/>
    <n v="260"/>
    <m/>
    <m/>
    <n v="40"/>
    <n v="198"/>
    <n v="550"/>
    <m/>
    <m/>
    <m/>
    <m/>
    <n v="7"/>
    <n v="11.99"/>
    <n v="550"/>
    <m/>
    <m/>
    <m/>
    <n v="72"/>
    <m/>
    <m/>
    <m/>
    <m/>
    <m/>
    <n v="360"/>
    <n v="48"/>
    <n v="200"/>
    <n v="0"/>
    <n v="199"/>
    <n v="0"/>
    <n v="0"/>
    <n v="0"/>
    <n v="1"/>
    <n v="8209.99"/>
    <n v="11479"/>
    <n v="0"/>
    <n v="68.874"/>
    <n v="11410.126"/>
    <n v="0"/>
    <n v="0"/>
    <n v="0"/>
    <n v="3200.136"/>
    <s v="于小白"/>
    <s v="广东省 深圳市 宝安区 石岩街道悦云花园3栋905"/>
    <s v="13246618265-8351"/>
    <m/>
    <m/>
    <m/>
    <m/>
  </r>
  <r>
    <x v="141"/>
    <s v="已收货"/>
    <s v="4822339647161487538"/>
    <s v="阿巴阿巴"/>
    <m/>
    <m/>
    <s v="窄柜-整柜洞石背板-0.8米-定制"/>
    <x v="18"/>
    <n v="800"/>
    <s v="已结算"/>
    <s v="庄毅"/>
    <n v="4013.84"/>
    <n v="3250"/>
    <n v="307.08"/>
    <n v="115"/>
    <m/>
    <n v="30"/>
    <n v="113.2"/>
    <n v="54.9"/>
    <m/>
    <m/>
    <n v="4"/>
    <m/>
    <m/>
    <m/>
    <m/>
    <m/>
    <m/>
    <n v="3.5"/>
    <m/>
    <n v="3"/>
    <m/>
    <m/>
    <m/>
    <m/>
    <n v="1.2"/>
    <m/>
    <m/>
    <m/>
    <m/>
    <m/>
    <n v="296"/>
    <n v="0"/>
    <n v="80"/>
    <n v="0"/>
    <n v="0"/>
    <n v="0"/>
    <n v="0"/>
    <n v="0"/>
    <n v="1"/>
    <n v="4389.84"/>
    <n v="4819.5"/>
    <n v="0"/>
    <n v="28.917"/>
    <n v="4790.583"/>
    <n v="0"/>
    <n v="0"/>
    <n v="0"/>
    <n v="400.7429999999995"/>
    <s v="阿巴阿巴"/>
    <s v="湖南省 长沙市 岳麓区 洋湖街道合能洋湖公馆2期9栋304"/>
    <s v="15527394037-7914"/>
    <m/>
    <m/>
    <m/>
    <m/>
  </r>
  <r>
    <x v="141"/>
    <s v="已收货"/>
    <s v="3007656048739781876"/>
    <s v="米雪儿"/>
    <m/>
    <m/>
    <s v="曜黑柜-整柜-1.5米"/>
    <x v="19"/>
    <n v="1500"/>
    <s v="已结算"/>
    <s v="庄毅"/>
    <n v="10143.93333333333"/>
    <n v="9000"/>
    <n v="501.08"/>
    <n v="283.3333333333333"/>
    <s v="180*1.5*0.48"/>
    <m/>
    <m/>
    <m/>
    <n v="41"/>
    <n v="10"/>
    <m/>
    <n v="30"/>
    <n v="40"/>
    <n v="33"/>
    <m/>
    <n v="76"/>
    <m/>
    <m/>
    <m/>
    <m/>
    <m/>
    <m/>
    <m/>
    <m/>
    <m/>
    <m/>
    <m/>
    <m/>
    <m/>
    <m/>
    <n v="312"/>
    <n v="0"/>
    <n v="189"/>
    <n v="0"/>
    <n v="150"/>
    <n v="0"/>
    <n v="0"/>
    <n v="0"/>
    <n v="1"/>
    <n v="10794.93333333333"/>
    <n v="13766.63"/>
    <n v="0"/>
    <n v="82.59978"/>
    <n v="13684.03022"/>
    <n v="150"/>
    <n v="0"/>
    <n v="150"/>
    <n v="3039.096886666664"/>
    <s v="米雪儿"/>
    <s v="上海 上海市 杨浦区 控江路街道杨浦公寓11号楼501室"/>
    <s v="18466682629-5920"/>
    <m/>
    <m/>
    <m/>
    <m/>
  </r>
  <r>
    <x v="141"/>
    <s v="已收货"/>
    <s v="3007668793657479471"/>
    <s v="唐蒋兴"/>
    <m/>
    <m/>
    <s v="洞石色1.4米岩板餐桌，定制"/>
    <x v="1"/>
    <s v="140cm*70cm"/>
    <s v="已结算"/>
    <s v="江西"/>
    <n v="1712.5"/>
    <n v="1300"/>
    <m/>
    <m/>
    <m/>
    <m/>
    <n v="240"/>
    <m/>
    <m/>
    <m/>
    <m/>
    <m/>
    <m/>
    <m/>
    <m/>
    <m/>
    <m/>
    <m/>
    <n v="2.5"/>
    <m/>
    <m/>
    <m/>
    <m/>
    <m/>
    <m/>
    <m/>
    <m/>
    <n v="170"/>
    <m/>
    <m/>
    <n v="121"/>
    <n v="6"/>
    <n v="72"/>
    <n v="0"/>
    <n v="0"/>
    <n v="0"/>
    <n v="0"/>
    <n v="0"/>
    <n v="1"/>
    <n v="1911.5"/>
    <n v="2415.31"/>
    <n v="0"/>
    <n v="14.49186"/>
    <n v="2400.81814"/>
    <n v="0"/>
    <n v="0"/>
    <n v="0"/>
    <n v="489.3181399999999"/>
    <s v="唐蒋兴"/>
    <s v="四川省 成都市 龙泉驿区 大面街道锦御东府2-2-202"/>
    <s v="18418948834-8710"/>
    <m/>
    <m/>
    <m/>
    <m/>
  </r>
  <r>
    <x v="141"/>
    <s v="已收货"/>
    <s v="4822510897910487538"/>
    <s v="阿巴阿巴"/>
    <m/>
    <m/>
    <s v="补差价"/>
    <x v="18"/>
    <m/>
    <s v="已结算"/>
    <s v="庄毅"/>
    <n v="0"/>
    <n v="0"/>
    <m/>
    <m/>
    <m/>
    <m/>
    <m/>
    <m/>
    <m/>
    <m/>
    <m/>
    <m/>
    <m/>
    <m/>
    <m/>
    <m/>
    <m/>
    <m/>
    <m/>
    <m/>
    <m/>
    <m/>
    <m/>
    <m/>
    <m/>
    <m/>
    <m/>
    <m/>
    <m/>
    <m/>
    <n v="0"/>
    <n v="0"/>
    <n v="0"/>
    <n v="0"/>
    <n v="0"/>
    <n v="0"/>
    <n v="0"/>
    <n v="0"/>
    <n v="1"/>
    <n v="0"/>
    <n v="304"/>
    <n v="0"/>
    <n v="1.824"/>
    <n v="302.176"/>
    <n v="0"/>
    <n v="0"/>
    <n v="0"/>
    <n v="302.176"/>
    <s v="阿巴阿巴"/>
    <s v="湖南省 长沙市 岳麓区 洋湖街道合能洋湖公馆2期9栋304"/>
    <s v="15527394037-7914"/>
    <m/>
    <m/>
    <m/>
    <m/>
  </r>
  <r>
    <x v="141"/>
    <s v="已收货"/>
    <s v="3007733089387828787"/>
    <s v="阿Q"/>
    <m/>
    <m/>
    <s v="砂白色2.0米岩板餐桌"/>
    <x v="1"/>
    <s v="200cm*85cm"/>
    <s v="已结算"/>
    <s v="江西"/>
    <n v="1812.5"/>
    <n v="1450"/>
    <m/>
    <m/>
    <m/>
    <m/>
    <n v="290"/>
    <m/>
    <m/>
    <m/>
    <m/>
    <m/>
    <m/>
    <m/>
    <m/>
    <m/>
    <m/>
    <m/>
    <n v="2.5"/>
    <m/>
    <m/>
    <m/>
    <m/>
    <m/>
    <m/>
    <m/>
    <m/>
    <n v="70"/>
    <m/>
    <m/>
    <n v="350"/>
    <n v="0"/>
    <n v="0"/>
    <n v="0"/>
    <n v="0"/>
    <n v="0"/>
    <n v="0"/>
    <n v="0"/>
    <n v="1"/>
    <n v="2162.5"/>
    <n v="2925.31"/>
    <n v="0"/>
    <n v="17.55186"/>
    <n v="2907.75814"/>
    <n v="0"/>
    <n v="0"/>
    <n v="0"/>
    <n v="745.2581399999999"/>
    <s v="阿Q"/>
    <s v="浙江省 嘉兴市 秀洲区 高照街道交控凌云府2号楼"/>
    <s v="18413437110-9442"/>
    <m/>
    <m/>
    <m/>
    <m/>
  </r>
  <r>
    <x v="141"/>
    <s v="已收货"/>
    <s v="3007866216793091692"/>
    <s v="刘扬"/>
    <m/>
    <m/>
    <s v="砂白色1.4米岩板餐桌"/>
    <x v="1"/>
    <s v="140cm*85cm"/>
    <s v="已结算"/>
    <s v="江西"/>
    <n v="1712.5"/>
    <n v="1300"/>
    <m/>
    <m/>
    <m/>
    <m/>
    <n v="240"/>
    <m/>
    <m/>
    <m/>
    <m/>
    <m/>
    <m/>
    <m/>
    <m/>
    <m/>
    <m/>
    <m/>
    <n v="2.5"/>
    <m/>
    <m/>
    <m/>
    <m/>
    <m/>
    <m/>
    <m/>
    <m/>
    <n v="170"/>
    <m/>
    <m/>
    <n v="85"/>
    <n v="30"/>
    <n v="93"/>
    <n v="0"/>
    <n v="0"/>
    <n v="0"/>
    <n v="0"/>
    <n v="0"/>
    <n v="1"/>
    <n v="1920.5"/>
    <n v="2593.89"/>
    <n v="0"/>
    <n v="15.56334"/>
    <n v="2578.32666"/>
    <n v="0"/>
    <n v="0"/>
    <n v="0"/>
    <n v="657.8266599999997"/>
    <s v="刘扬"/>
    <s v="浙江省 金华市 金东区 多湖街道紫金湾D区5栋306"/>
    <s v="15787413622-1566"/>
    <m/>
    <m/>
    <m/>
    <m/>
  </r>
  <r>
    <x v="141"/>
    <s v="退单"/>
    <s v="4822683771552864507"/>
    <s v="刘昊然"/>
    <m/>
    <m/>
    <s v="基础柜-整柜AA柱背板-2.1米"/>
    <x v="25"/>
    <m/>
    <s v="已结算"/>
    <s v="庄毅"/>
    <n v="0"/>
    <n v="0"/>
    <m/>
    <m/>
    <m/>
    <m/>
    <m/>
    <m/>
    <m/>
    <m/>
    <m/>
    <m/>
    <m/>
    <m/>
    <m/>
    <m/>
    <m/>
    <m/>
    <m/>
    <m/>
    <m/>
    <m/>
    <m/>
    <m/>
    <m/>
    <m/>
    <m/>
    <m/>
    <m/>
    <m/>
    <n v="0"/>
    <n v="0"/>
    <n v="0"/>
    <n v="0"/>
    <n v="0"/>
    <n v="0"/>
    <n v="0"/>
    <n v="500"/>
    <n v="1"/>
    <n v="500"/>
    <n v="0"/>
    <n v="0"/>
    <n v="0"/>
    <n v="0"/>
    <n v="500"/>
    <n v="0"/>
    <n v="500"/>
    <n v="0"/>
    <s v="刘昊然"/>
    <s v="广东省 佛山市 顺德区 伦教街道顺德立交桥东北保利中央公园4座402"/>
    <s v="13202485416-8972"/>
    <m/>
    <m/>
    <m/>
    <m/>
  </r>
  <r>
    <x v="141"/>
    <s v="退单"/>
    <s v="4822926120424338015"/>
    <s v="蒋小挪"/>
    <m/>
    <m/>
    <s v="砂白色1.8米岩板餐桌"/>
    <x v="1"/>
    <s v="180cm*85cm"/>
    <s v="已结算"/>
    <s v="庄毅"/>
    <n v="0"/>
    <n v="0"/>
    <m/>
    <m/>
    <m/>
    <m/>
    <m/>
    <m/>
    <m/>
    <m/>
    <m/>
    <m/>
    <m/>
    <m/>
    <m/>
    <m/>
    <m/>
    <m/>
    <m/>
    <m/>
    <m/>
    <m/>
    <m/>
    <m/>
    <m/>
    <m/>
    <m/>
    <m/>
    <m/>
    <m/>
    <n v="0"/>
    <n v="0"/>
    <n v="0"/>
    <n v="0"/>
    <n v="0"/>
    <n v="0"/>
    <n v="0"/>
    <n v="0"/>
    <n v="1"/>
    <n v="0"/>
    <n v="0"/>
    <n v="0"/>
    <n v="0"/>
    <n v="0"/>
    <n v="0"/>
    <n v="0"/>
    <n v="0"/>
    <n v="0"/>
    <s v="蒋小挪"/>
    <s v="重庆 重庆市 大渡口区 八桥镇龙湖焕城汐林11栋14-04"/>
    <s v="15683794435-5854"/>
    <m/>
    <m/>
    <m/>
    <m/>
  </r>
  <r>
    <x v="141"/>
    <s v="已收货"/>
    <s v="3008084844987357151"/>
    <s v="陈鹏飞"/>
    <s v="延后安装"/>
    <m/>
    <s v="砂白色1.6米岩板餐桌"/>
    <x v="1"/>
    <s v="160cm*85cm"/>
    <s v="已结算"/>
    <s v="庄毅"/>
    <n v="1807.9"/>
    <n v="1530"/>
    <m/>
    <m/>
    <m/>
    <m/>
    <n v="275.4"/>
    <m/>
    <m/>
    <m/>
    <m/>
    <m/>
    <m/>
    <m/>
    <m/>
    <m/>
    <m/>
    <m/>
    <n v="2.5"/>
    <m/>
    <m/>
    <m/>
    <m/>
    <m/>
    <m/>
    <m/>
    <m/>
    <m/>
    <m/>
    <m/>
    <n v="205"/>
    <n v="0"/>
    <n v="150"/>
    <n v="0"/>
    <n v="0"/>
    <n v="0"/>
    <n v="0"/>
    <n v="0"/>
    <n v="1"/>
    <n v="2162.9"/>
    <n v="2794.6"/>
    <n v="0"/>
    <n v="16.7676"/>
    <n v="2777.8324"/>
    <n v="0"/>
    <n v="0"/>
    <n v="0"/>
    <n v="614.9323999999997"/>
    <s v="陈鹏飞"/>
    <s v="安徽省 六安市 裕安区 平桥乡将军路华邦和华园142号楼901室"/>
    <s v="15665458842-5884"/>
    <m/>
    <m/>
    <m/>
    <m/>
  </r>
  <r>
    <x v="141"/>
    <s v="已收货"/>
    <s v="4822942825566386327"/>
    <s v="何筱敏"/>
    <m/>
    <m/>
    <s v="曜黑柜-整柜-2.1米"/>
    <x v="19"/>
    <n v="2100"/>
    <s v="已结算"/>
    <s v="庄毅"/>
    <n v="11400.22833333333"/>
    <n v="9800"/>
    <n v="657.0799999999999"/>
    <n v="283.3333333333333"/>
    <s v="2.025*15"/>
    <m/>
    <n v="211.44"/>
    <s v="2.1*0.48*180"/>
    <s v="30*5"/>
    <n v="20"/>
    <m/>
    <n v="92"/>
    <n v="71"/>
    <n v="45"/>
    <m/>
    <m/>
    <m/>
    <m/>
    <s v="30*5"/>
    <n v="40"/>
    <m/>
    <m/>
    <m/>
    <m/>
    <m/>
    <m/>
    <m/>
    <m/>
    <m/>
    <m/>
    <n v="665"/>
    <n v="0"/>
    <n v="119"/>
    <n v="0"/>
    <n v="280"/>
    <n v="0"/>
    <n v="0"/>
    <n v="0"/>
    <n v="1"/>
    <n v="12464.22833333333"/>
    <n v="15411.84"/>
    <n v="0"/>
    <n v="92.47104"/>
    <n v="15319.36896"/>
    <n v="140"/>
    <n v="0"/>
    <n v="140"/>
    <n v="2995.140626666665"/>
    <s v="何筱敏"/>
    <s v="湖南省 长沙市 雨花区 黎托街道古曲南路中隆国际御玺5D1601"/>
    <s v="18472622865-2374"/>
    <m/>
    <m/>
    <m/>
    <m/>
  </r>
  <r>
    <x v="141"/>
    <s v="已收货"/>
    <s v="4822748354525180833"/>
    <s v="陈工/梁工"/>
    <m/>
    <m/>
    <s v="砂白色1.6米岩板餐桌"/>
    <x v="1"/>
    <s v="160cm*85cm"/>
    <s v="已结算"/>
    <s v="江西"/>
    <n v="1872.5"/>
    <n v="1350"/>
    <m/>
    <m/>
    <m/>
    <m/>
    <n v="240"/>
    <m/>
    <m/>
    <m/>
    <m/>
    <m/>
    <m/>
    <m/>
    <m/>
    <m/>
    <m/>
    <m/>
    <n v="2.5"/>
    <m/>
    <m/>
    <m/>
    <m/>
    <m/>
    <m/>
    <m/>
    <m/>
    <n v="280"/>
    <m/>
    <m/>
    <n v="161"/>
    <n v="45"/>
    <n v="0"/>
    <n v="0"/>
    <n v="0"/>
    <n v="0"/>
    <n v="0"/>
    <n v="0"/>
    <n v="1"/>
    <n v="2078.5"/>
    <n v="2693.41"/>
    <n v="0"/>
    <n v="16.16046"/>
    <n v="2677.24954"/>
    <n v="0"/>
    <n v="0"/>
    <n v="0"/>
    <n v="598.7495399999998"/>
    <s v="陈工/梁工13217569308"/>
    <s v="广东省 珠海市 香洲区 湾仔街道华发湾玺壹号小区3棟2904房"/>
    <s v="18466388079-1405"/>
    <m/>
    <m/>
    <m/>
    <m/>
  </r>
  <r>
    <x v="141"/>
    <s v="已收货"/>
    <s v="4822871835346129940"/>
    <s v="王子艳"/>
    <m/>
    <m/>
    <s v="洞石整柜2.1米-定制（全景组合）（全景抽屉+玻璃移门+开门）"/>
    <x v="3"/>
    <n v="2100"/>
    <s v="已结算"/>
    <s v="江西"/>
    <n v="8933.746666666668"/>
    <n v="6300"/>
    <n v="690"/>
    <s v="52*2"/>
    <s v="2040/6/1.5"/>
    <m/>
    <n v="10"/>
    <n v="92"/>
    <n v="20"/>
    <m/>
    <m/>
    <n v="14"/>
    <n v="154"/>
    <n v="755.08"/>
    <n v="17.5"/>
    <m/>
    <m/>
    <m/>
    <n v="98"/>
    <n v="470"/>
    <m/>
    <m/>
    <m/>
    <m/>
    <m/>
    <m/>
    <m/>
    <n v="470"/>
    <m/>
    <m/>
    <n v="695"/>
    <n v="119"/>
    <n v="200"/>
    <n v="0"/>
    <n v="178"/>
    <n v="0"/>
    <n v="0"/>
    <n v="200"/>
    <n v="1"/>
    <n v="10325.74666666667"/>
    <n v="10645.59"/>
    <n v="0"/>
    <n v="63.87354000000001"/>
    <n v="10581.71646"/>
    <n v="0"/>
    <n v="0"/>
    <n v="0"/>
    <n v="255.9697933333318"/>
    <s v="王子艳"/>
    <s v="四川省 成都市 龙泉驿区 东安街道保利云上锦苑6栋1单元302号"/>
    <s v="18423730325-8441"/>
    <m/>
    <m/>
    <m/>
    <m/>
  </r>
  <r>
    <x v="141"/>
    <s v="已收货"/>
    <s v="4823089704225386327"/>
    <s v="何筱敏"/>
    <m/>
    <m/>
    <s v="补差价"/>
    <x v="4"/>
    <m/>
    <s v="已结算"/>
    <s v="庄毅"/>
    <n v="0"/>
    <n v="0"/>
    <m/>
    <m/>
    <m/>
    <m/>
    <m/>
    <m/>
    <m/>
    <m/>
    <m/>
    <m/>
    <m/>
    <m/>
    <m/>
    <m/>
    <m/>
    <m/>
    <m/>
    <m/>
    <m/>
    <m/>
    <m/>
    <m/>
    <m/>
    <m/>
    <m/>
    <m/>
    <m/>
    <m/>
    <n v="0"/>
    <n v="0"/>
    <n v="0"/>
    <n v="0"/>
    <n v="0"/>
    <n v="0"/>
    <n v="0"/>
    <n v="0"/>
    <n v="1"/>
    <n v="0"/>
    <n v="200"/>
    <n v="0"/>
    <n v="1.2"/>
    <n v="198.8"/>
    <n v="0"/>
    <n v="0"/>
    <n v="0"/>
    <n v="198.8"/>
    <s v="何筱敏"/>
    <s v="湖南省 长沙市 雨花区 黎托街道古曲南路中隆国际御玺5D1601"/>
    <s v="18466113979-9721"/>
    <m/>
    <m/>
    <m/>
    <m/>
  </r>
  <r>
    <x v="141"/>
    <s v="已收货"/>
    <s v="4823514036265974044"/>
    <s v="孙曦"/>
    <m/>
    <m/>
    <s v="曜黑柜-整柜-2.1米"/>
    <x v="19"/>
    <n v="2100"/>
    <s v="已结算"/>
    <s v="江西"/>
    <n v="11520.22833333333"/>
    <n v="9800"/>
    <n v="657.08"/>
    <n v="283.3333333333333"/>
    <s v="2.025*15"/>
    <m/>
    <m/>
    <s v="2.1*0.48*180"/>
    <s v="30*5"/>
    <n v="20"/>
    <m/>
    <n v="92"/>
    <n v="71"/>
    <n v="45"/>
    <m/>
    <m/>
    <m/>
    <m/>
    <s v="30*5"/>
    <n v="40"/>
    <m/>
    <m/>
    <m/>
    <m/>
    <m/>
    <m/>
    <m/>
    <m/>
    <m/>
    <m/>
    <n v="402"/>
    <n v="0"/>
    <n v="150"/>
    <n v="0"/>
    <n v="0"/>
    <n v="0"/>
    <n v="0"/>
    <n v="0"/>
    <n v="1"/>
    <n v="12072.22833333333"/>
    <n v="15411.84"/>
    <n v="0"/>
    <n v="92.47104"/>
    <n v="15319.36896"/>
    <n v="0"/>
    <n v="0"/>
    <n v="0"/>
    <n v="3247.140626666665"/>
    <s v="孙曦"/>
    <s v="江苏省 苏州市 虎丘区 狮山街道淮海南街建发缦云华庭1幢2401室"/>
    <s v="17895052383-8011"/>
    <m/>
    <m/>
    <m/>
    <m/>
  </r>
  <r>
    <x v="141"/>
    <s v="已收货"/>
    <s v="3008617536330005651"/>
    <s v="叶宋涛"/>
    <m/>
    <m/>
    <s v="窄柜-整柜洞石背板-0.8米"/>
    <x v="18"/>
    <n v="800"/>
    <s v="已结算"/>
    <s v="庄毅"/>
    <n v="3842.08"/>
    <n v="3100"/>
    <n v="307.08"/>
    <n v="115"/>
    <m/>
    <n v="30"/>
    <n v="91.44"/>
    <n v="54.9"/>
    <m/>
    <m/>
    <n v="4"/>
    <m/>
    <m/>
    <m/>
    <m/>
    <m/>
    <m/>
    <n v="3.5"/>
    <m/>
    <n v="3"/>
    <m/>
    <m/>
    <m/>
    <m/>
    <n v="1.2"/>
    <m/>
    <m/>
    <m/>
    <m/>
    <m/>
    <n v="264"/>
    <n v="0"/>
    <n v="80"/>
    <n v="0"/>
    <n v="0"/>
    <n v="0"/>
    <n v="0"/>
    <n v="0"/>
    <n v="1"/>
    <n v="4186.08"/>
    <n v="4824.5"/>
    <n v="0"/>
    <n v="28.947"/>
    <n v="4795.553"/>
    <n v="0"/>
    <n v="0"/>
    <n v="0"/>
    <n v="609.473"/>
    <s v="叶宋涛"/>
    <s v="广西壮族自治区 柳州市 鱼峰区 麒麟街道恒大御府10-1-2001"/>
    <s v="13117725671-2124"/>
    <m/>
    <m/>
    <m/>
    <m/>
  </r>
  <r>
    <x v="141"/>
    <s v="已收货"/>
    <s v="3007047147919996770"/>
    <s v="李先生"/>
    <m/>
    <m/>
    <s v="窄柜-整柜洞石背板-1.0米"/>
    <x v="18"/>
    <n v="1000"/>
    <s v="已结算"/>
    <s v="庄毅"/>
    <n v="3994.71"/>
    <n v="3300"/>
    <n v="359.08"/>
    <n v="120"/>
    <m/>
    <n v="38"/>
    <n v="106.8"/>
    <n v="59.23"/>
    <m/>
    <m/>
    <n v="5"/>
    <m/>
    <m/>
    <m/>
    <m/>
    <n v="2"/>
    <n v="1.1"/>
    <n v="3.5"/>
    <m/>
    <m/>
    <m/>
    <m/>
    <m/>
    <m/>
    <m/>
    <m/>
    <m/>
    <m/>
    <m/>
    <m/>
    <n v="170"/>
    <n v="0"/>
    <n v="108"/>
    <n v="0"/>
    <n v="0"/>
    <n v="0"/>
    <n v="0"/>
    <n v="0"/>
    <n v="1"/>
    <n v="4272.71"/>
    <n v="5156.5"/>
    <n v="0"/>
    <n v="30.939"/>
    <n v="5125.561"/>
    <n v="0"/>
    <n v="0"/>
    <n v="0"/>
    <n v="852.8509999999997"/>
    <s v="李先生"/>
    <s v="浙江省 杭州市 上城区 笕桥街道万科公园大道1栋1402"/>
    <s v="18413246566-7467"/>
    <m/>
    <m/>
    <m/>
    <m/>
  </r>
  <r>
    <x v="141"/>
    <s v="已收货"/>
    <s v="4822098229722147525"/>
    <s v="封小姐"/>
    <m/>
    <m/>
    <s v="砂白色1.4米岩板餐桌"/>
    <x v="1"/>
    <s v="140cm*85cm"/>
    <s v="已结算"/>
    <s v="庄毅"/>
    <n v="1696.7"/>
    <n v="1480"/>
    <m/>
    <m/>
    <m/>
    <m/>
    <n v="214.2"/>
    <m/>
    <m/>
    <m/>
    <m/>
    <m/>
    <m/>
    <m/>
    <m/>
    <m/>
    <m/>
    <m/>
    <n v="2.5"/>
    <m/>
    <m/>
    <m/>
    <m/>
    <m/>
    <m/>
    <m/>
    <m/>
    <m/>
    <m/>
    <m/>
    <n v="150"/>
    <n v="0"/>
    <n v="88"/>
    <n v="0"/>
    <n v="0"/>
    <n v="0"/>
    <n v="0"/>
    <n v="0"/>
    <n v="1"/>
    <n v="1934.7"/>
    <n v="2593.89"/>
    <n v="0"/>
    <n v="15.56334"/>
    <n v="2578.32666"/>
    <n v="0"/>
    <n v="0"/>
    <n v="0"/>
    <n v="643.6266599999997"/>
    <s v="封小姐"/>
    <s v="上海 上海市 浦东新区 川沙新镇观宸润府2号302室"/>
    <s v="13122842324-9097"/>
    <m/>
    <m/>
    <m/>
    <m/>
  </r>
  <r>
    <x v="141"/>
    <s v="已收货"/>
    <s v="3007612705483994284"/>
    <s v="凌婉怡"/>
    <m/>
    <m/>
    <s v="窄柜-整柜洞石背板-1.0米"/>
    <x v="18"/>
    <n v="1000"/>
    <s v="已结算"/>
    <s v="庄毅"/>
    <n v="3994.71"/>
    <n v="3300"/>
    <n v="359.08"/>
    <n v="120"/>
    <m/>
    <n v="38"/>
    <n v="106.8"/>
    <n v="59.23"/>
    <m/>
    <m/>
    <n v="5"/>
    <m/>
    <m/>
    <m/>
    <m/>
    <n v="2"/>
    <n v="1.1"/>
    <n v="3.5"/>
    <m/>
    <m/>
    <m/>
    <m/>
    <m/>
    <m/>
    <m/>
    <m/>
    <m/>
    <m/>
    <m/>
    <m/>
    <n v="372"/>
    <n v="0"/>
    <n v="118"/>
    <n v="0"/>
    <n v="0"/>
    <n v="0"/>
    <n v="0"/>
    <n v="0"/>
    <n v="1"/>
    <n v="4484.71"/>
    <n v="5156.5"/>
    <n v="0"/>
    <n v="30.939"/>
    <n v="5125.561"/>
    <n v="0"/>
    <n v="0"/>
    <n v="0"/>
    <n v="640.8509999999997"/>
    <s v="凌婉怡"/>
    <s v="上海 上海市 浦东新区 北蔡镇 民乐苑328弄9号302室 "/>
    <s v="18466666653-7386"/>
    <m/>
    <m/>
    <m/>
    <m/>
  </r>
  <r>
    <x v="141"/>
    <s v="已收货"/>
    <s v="3007682402226824475"/>
    <s v="王文茜"/>
    <m/>
    <m/>
    <s v="砂白色1.6米岩板餐桌，自己安装"/>
    <x v="1"/>
    <s v="160cm*85cm"/>
    <s v="已结算"/>
    <s v="江西"/>
    <n v="1932.5"/>
    <n v="1520"/>
    <m/>
    <m/>
    <m/>
    <m/>
    <n v="240"/>
    <m/>
    <m/>
    <m/>
    <m/>
    <m/>
    <m/>
    <m/>
    <m/>
    <m/>
    <m/>
    <m/>
    <n v="2.5"/>
    <m/>
    <m/>
    <m/>
    <m/>
    <m/>
    <m/>
    <m/>
    <m/>
    <n v="170"/>
    <m/>
    <m/>
    <n v="86"/>
    <n v="30"/>
    <n v="0"/>
    <n v="0"/>
    <n v="0"/>
    <n v="0"/>
    <n v="0"/>
    <n v="0"/>
    <n v="1"/>
    <n v="2048.5"/>
    <n v="2693.41"/>
    <n v="0"/>
    <n v="16.16046"/>
    <n v="2677.24954"/>
    <n v="0"/>
    <n v="0"/>
    <n v="0"/>
    <n v="628.7495399999998"/>
    <s v="王文茜"/>
    <s v="浙江省 杭州市 钱塘区 河庄街道滨江兴耀湖悦岚湾12栋1401"/>
    <s v="18413249197-3657"/>
    <m/>
    <m/>
    <m/>
    <m/>
  </r>
  <r>
    <x v="141"/>
    <s v="已收货"/>
    <s v="4823566632099261921"/>
    <s v="一颗盘子"/>
    <m/>
    <m/>
    <s v="砂白色1.6米岩板餐桌"/>
    <x v="1"/>
    <s v="160cm*85cm"/>
    <s v="已结算"/>
    <s v="江西"/>
    <n v="1762.5"/>
    <n v="1350"/>
    <m/>
    <m/>
    <m/>
    <m/>
    <n v="240"/>
    <m/>
    <m/>
    <m/>
    <m/>
    <m/>
    <m/>
    <m/>
    <m/>
    <m/>
    <m/>
    <m/>
    <n v="2.5"/>
    <m/>
    <m/>
    <m/>
    <m/>
    <m/>
    <m/>
    <m/>
    <m/>
    <n v="170"/>
    <m/>
    <m/>
    <n v="91"/>
    <n v="30"/>
    <n v="75"/>
    <n v="0"/>
    <n v="0"/>
    <n v="0"/>
    <n v="0"/>
    <n v="0"/>
    <n v="1"/>
    <n v="1958.5"/>
    <n v="2693.41"/>
    <n v="0"/>
    <n v="16.16046"/>
    <n v="2677.24954"/>
    <n v="0"/>
    <n v="0"/>
    <n v="0"/>
    <n v="718.7495399999998"/>
    <s v="一颗盘子"/>
    <s v="浙江省 台州市 椒江区 三甲街道体育场路金地翡翠云邸  西门    6-3-101"/>
    <s v="15786494904-7952"/>
    <m/>
    <m/>
    <m/>
    <m/>
  </r>
  <r>
    <x v="142"/>
    <s v="已收货"/>
    <s v="3008435594385114781"/>
    <s v="龚"/>
    <m/>
    <m/>
    <s v="窄柜-整柜洞石背板-1.2米"/>
    <x v="18"/>
    <n v="1200"/>
    <s v="已结算"/>
    <s v="庄毅"/>
    <n v="4496.299999999999"/>
    <n v="3600"/>
    <n v="411.08"/>
    <n v="125"/>
    <m/>
    <n v="76"/>
    <n v="122.16"/>
    <n v="62.4"/>
    <m/>
    <m/>
    <m/>
    <n v="8"/>
    <m/>
    <n v="3"/>
    <m/>
    <m/>
    <m/>
    <n v="3.37"/>
    <m/>
    <m/>
    <m/>
    <m/>
    <m/>
    <n v="1.16"/>
    <n v="1.1"/>
    <n v="10"/>
    <m/>
    <m/>
    <m/>
    <m/>
    <n v="225"/>
    <n v="0"/>
    <n v="96"/>
    <n v="0"/>
    <n v="0"/>
    <n v="0"/>
    <n v="0"/>
    <n v="0"/>
    <n v="1"/>
    <n v="4817.299999999999"/>
    <n v="5623"/>
    <n v="0"/>
    <n v="33.738"/>
    <n v="5589.262"/>
    <n v="0"/>
    <n v="0"/>
    <n v="0"/>
    <n v="771.9620000000004"/>
    <s v="龚"/>
    <s v="湖北省 襄阳市 襄城区 尹集乡中华紫薇园内"/>
    <s v="18472219674-5184"/>
    <m/>
    <m/>
    <m/>
    <m/>
  </r>
  <r>
    <x v="142"/>
    <s v="已收货"/>
    <s v="3009416053164568877"/>
    <s v="李凡"/>
    <m/>
    <m/>
    <s v="基础柜-整柜AA柱背板-1.5米"/>
    <x v="25"/>
    <n v="1500"/>
    <s v="已结算"/>
    <s v="江西"/>
    <n v="6118.08"/>
    <n v="4900"/>
    <s v="22*4"/>
    <n v="10"/>
    <n v="489.08"/>
    <m/>
    <n v="28"/>
    <n v="52"/>
    <n v="41"/>
    <m/>
    <m/>
    <n v="170"/>
    <n v="260"/>
    <n v="80"/>
    <m/>
    <m/>
    <m/>
    <m/>
    <m/>
    <m/>
    <m/>
    <m/>
    <m/>
    <m/>
    <m/>
    <m/>
    <m/>
    <n v="170"/>
    <m/>
    <m/>
    <m/>
    <n v="0"/>
    <n v="400"/>
    <n v="0"/>
    <n v="0"/>
    <n v="0"/>
    <n v="0"/>
    <n v="0"/>
    <n v="1"/>
    <n v="6518.08"/>
    <n v="7317.98"/>
    <n v="0"/>
    <n v="43.90788"/>
    <n v="7274.07212"/>
    <n v="0"/>
    <n v="0"/>
    <n v="0"/>
    <n v="755.9921199999999"/>
    <s v="李凡"/>
    <s v="上海 上海市 普陀区 真如镇街道中骏·天悦12号楼1101"/>
    <s v="18466610190-6629"/>
    <m/>
    <m/>
    <m/>
    <m/>
  </r>
  <r>
    <x v="142"/>
    <s v="已收货"/>
    <s v="3009213338060568877"/>
    <s v="李凡"/>
    <m/>
    <m/>
    <s v="九斗柜-设备柜"/>
    <x v="24"/>
    <s v="180cm*40cm"/>
    <s v="已结算"/>
    <s v="江西"/>
    <n v="3083.2"/>
    <n v="2700"/>
    <m/>
    <m/>
    <n v="105.2"/>
    <m/>
    <m/>
    <m/>
    <m/>
    <m/>
    <m/>
    <m/>
    <n v="198"/>
    <m/>
    <m/>
    <m/>
    <m/>
    <m/>
    <m/>
    <m/>
    <m/>
    <m/>
    <m/>
    <m/>
    <m/>
    <m/>
    <m/>
    <n v="80"/>
    <m/>
    <m/>
    <n v="260"/>
    <n v="0"/>
    <n v="0"/>
    <n v="0"/>
    <n v="0"/>
    <n v="0"/>
    <n v="0"/>
    <n v="0"/>
    <n v="1"/>
    <n v="3343.2"/>
    <n v="3699.15"/>
    <n v="0"/>
    <n v="22.1949"/>
    <n v="3676.9551"/>
    <n v="0"/>
    <n v="0"/>
    <n v="0"/>
    <n v="333.7551000000003"/>
    <s v="李凡"/>
    <s v="上海 上海市 普陀区 真如镇街道中骏·天悦12号楼1101"/>
    <s v="18466610190-6629"/>
    <m/>
    <m/>
    <m/>
    <m/>
  </r>
  <r>
    <x v="142"/>
    <s v="已收货"/>
    <s v="4824310611874202406"/>
    <s v="李健"/>
    <m/>
    <m/>
    <s v="九斗柜-设备柜"/>
    <x v="24"/>
    <s v="180cm*40cm"/>
    <s v="已结算"/>
    <s v="江西"/>
    <n v="3153.2"/>
    <n v="2700"/>
    <m/>
    <m/>
    <n v="105.2"/>
    <m/>
    <m/>
    <m/>
    <m/>
    <m/>
    <m/>
    <m/>
    <n v="198"/>
    <m/>
    <m/>
    <m/>
    <m/>
    <m/>
    <m/>
    <m/>
    <m/>
    <m/>
    <m/>
    <m/>
    <m/>
    <m/>
    <m/>
    <n v="150"/>
    <m/>
    <m/>
    <n v="156"/>
    <n v="40"/>
    <n v="0"/>
    <n v="0"/>
    <n v="0"/>
    <n v="0"/>
    <n v="0"/>
    <n v="0"/>
    <n v="1"/>
    <n v="3349.2"/>
    <n v="3694.15"/>
    <n v="0"/>
    <n v="22.1649"/>
    <n v="3671.9851"/>
    <n v="0"/>
    <n v="0"/>
    <n v="0"/>
    <n v="322.7851000000001"/>
    <s v="李健"/>
    <s v="安徽省 合肥市 包河区 滨湖世纪社区滨湖世纪城临滨苑南门快递柜"/>
    <s v="18466819928-2501"/>
    <m/>
    <m/>
    <m/>
    <m/>
  </r>
  <r>
    <x v="142"/>
    <s v="未发货"/>
    <s v="3009966350563657394"/>
    <s v="张平"/>
    <m/>
    <m/>
    <s v="1.8旋转柜"/>
    <x v="2"/>
    <n v="1800"/>
    <s v="已结算"/>
    <s v="江西"/>
    <n v="6935"/>
    <n v="5500"/>
    <m/>
    <m/>
    <m/>
    <m/>
    <m/>
    <m/>
    <n v="72"/>
    <m/>
    <m/>
    <n v="577"/>
    <n v="198"/>
    <n v="38"/>
    <m/>
    <m/>
    <m/>
    <m/>
    <m/>
    <m/>
    <m/>
    <m/>
    <m/>
    <m/>
    <m/>
    <m/>
    <m/>
    <n v="550"/>
    <m/>
    <m/>
    <n v="550"/>
    <n v="50"/>
    <n v="150"/>
    <n v="0"/>
    <n v="0"/>
    <n v="0"/>
    <n v="0"/>
    <n v="0"/>
    <n v="1"/>
    <n v="7685"/>
    <n v="10245.75"/>
    <n v="0"/>
    <n v="61.4745"/>
    <n v="10184.2755"/>
    <n v="0"/>
    <n v="0"/>
    <n v="0"/>
    <n v="2499.2755"/>
    <s v="张平 "/>
    <s v="辽宁省大连市金州区拥政街道金地中央公园一期5-3-101"/>
    <n v="13304091128"/>
    <m/>
    <m/>
    <m/>
    <m/>
  </r>
  <r>
    <x v="142"/>
    <s v="已收货"/>
    <s v="3010073919334756580"/>
    <s v="诗颖 Serene 会员号 58967"/>
    <m/>
    <m/>
    <s v="砂白色1.8米岩板餐桌"/>
    <x v="1"/>
    <s v="180cm*85cm"/>
    <s v="已结算"/>
    <s v="庄毅"/>
    <n v="1857.9"/>
    <n v="1580"/>
    <m/>
    <m/>
    <m/>
    <m/>
    <n v="275.4"/>
    <m/>
    <m/>
    <m/>
    <m/>
    <m/>
    <m/>
    <m/>
    <m/>
    <m/>
    <m/>
    <m/>
    <n v="2.5"/>
    <m/>
    <m/>
    <m/>
    <m/>
    <m/>
    <m/>
    <m/>
    <m/>
    <m/>
    <m/>
    <m/>
    <n v="201"/>
    <n v="0"/>
    <n v="0"/>
    <n v="0"/>
    <n v="0"/>
    <n v="0"/>
    <n v="0"/>
    <n v="0"/>
    <n v="1"/>
    <n v="2058.9"/>
    <n v="2794.6"/>
    <n v="0"/>
    <n v="16.7676"/>
    <n v="2777.8324"/>
    <n v="0"/>
    <n v="0"/>
    <n v="0"/>
    <n v="718.9323999999997"/>
    <s v="诗颖 Serene 会员号 58967"/>
    <s v="广东省 东莞市 万江街道 帮凹坊新下路5号A栋 "/>
    <s v="18824522507-2409"/>
    <m/>
    <m/>
    <m/>
    <m/>
  </r>
  <r>
    <x v="142"/>
    <s v="已收货"/>
    <s v="3010645923820003850"/>
    <s v="Lim chee wee"/>
    <m/>
    <m/>
    <s v="九斗柜-设备柜"/>
    <x v="24"/>
    <s v="180cm*40cm"/>
    <s v="已结算"/>
    <s v="江西"/>
    <n v="3183.2"/>
    <n v="2700"/>
    <m/>
    <m/>
    <n v="105.2"/>
    <m/>
    <m/>
    <m/>
    <m/>
    <m/>
    <m/>
    <m/>
    <n v="198"/>
    <m/>
    <m/>
    <m/>
    <m/>
    <m/>
    <m/>
    <m/>
    <m/>
    <m/>
    <m/>
    <m/>
    <m/>
    <m/>
    <m/>
    <n v="180"/>
    <m/>
    <m/>
    <n v="216"/>
    <n v="0"/>
    <n v="0"/>
    <n v="0"/>
    <n v="0"/>
    <n v="0"/>
    <n v="0"/>
    <n v="0"/>
    <n v="1"/>
    <n v="3399.2"/>
    <n v="3694.15"/>
    <n v="0"/>
    <n v="22.1649"/>
    <n v="3671.9851"/>
    <n v="0"/>
    <n v="0"/>
    <n v="0"/>
    <n v="272.7851000000001"/>
    <s v="Lim chee wee"/>
    <s v="广东省 广州市 增城区 仙村镇#WAZ3245Q#荔新九路1号普洛斯增城物流园 A4新马集运仓（新加坡集运）@GSWXTVL3"/>
    <n v="19022061397"/>
    <m/>
    <m/>
    <m/>
    <m/>
  </r>
  <r>
    <x v="142"/>
    <s v="已收货"/>
    <s v="4825879165598059438"/>
    <s v="王智萍"/>
    <m/>
    <m/>
    <s v="洞石餐边柜-洞石整柜1.8米（全景组合）（全景抽屉+分类抽屉+开门）"/>
    <x v="3"/>
    <n v="1800"/>
    <s v="已结算"/>
    <s v="庄毅"/>
    <n v="7136.746666666667"/>
    <n v="5850"/>
    <m/>
    <n v="226.6666666666667"/>
    <n v="80"/>
    <n v="80"/>
    <s v="1.8*0.5*160"/>
    <s v="(1.8"/>
    <s v="0.5*2)*60"/>
    <m/>
    <m/>
    <n v="33"/>
    <n v="20"/>
    <n v="10"/>
    <m/>
    <m/>
    <m/>
    <m/>
    <n v="501.08"/>
    <n v="14"/>
    <n v="10"/>
    <m/>
    <m/>
    <m/>
    <m/>
    <m/>
    <m/>
    <m/>
    <m/>
    <m/>
    <n v="637"/>
    <n v="0"/>
    <n v="108"/>
    <n v="0"/>
    <n v="158"/>
    <n v="0"/>
    <n v="0"/>
    <n v="0"/>
    <n v="1"/>
    <n v="8039.746666666667"/>
    <n v="10118.93"/>
    <n v="0"/>
    <n v="60.71358"/>
    <n v="10058.21642"/>
    <n v="0"/>
    <n v="0"/>
    <n v="0"/>
    <n v="2018.469753333334"/>
    <s v="王智萍"/>
    <s v="贵州省 黔西南布依族苗族自治州 兴义市 桔山街道吉地小区C3-702室"/>
    <s v="15786410571-5205"/>
    <m/>
    <m/>
    <m/>
    <m/>
  </r>
  <r>
    <x v="142"/>
    <s v="已收货"/>
    <s v="4825832546662106931"/>
    <s v="吳愛玲"/>
    <m/>
    <m/>
    <s v="窄柜-整柜洞石背板-1.2米"/>
    <x v="18"/>
    <n v="1200"/>
    <s v="已结算"/>
    <s v="庄毅"/>
    <n v="4711.299999999999"/>
    <n v="3650"/>
    <n v="411.08"/>
    <n v="125"/>
    <m/>
    <n v="76"/>
    <n v="122.16"/>
    <n v="62.4"/>
    <m/>
    <m/>
    <m/>
    <n v="8"/>
    <m/>
    <n v="3"/>
    <m/>
    <m/>
    <m/>
    <n v="3.37"/>
    <m/>
    <m/>
    <m/>
    <m/>
    <m/>
    <n v="1.16"/>
    <n v="1.1"/>
    <n v="10"/>
    <m/>
    <m/>
    <m/>
    <m/>
    <n v="224"/>
    <m/>
    <n v="88"/>
    <n v="0"/>
    <n v="0"/>
    <n v="0"/>
    <n v="0"/>
    <n v="0"/>
    <n v="1"/>
    <n v="5023.299999999999"/>
    <n v="5628"/>
    <n v="0"/>
    <n v="33.768"/>
    <n v="5594.232"/>
    <n v="0"/>
    <n v="0"/>
    <n v="0"/>
    <n v="570.9320000000007"/>
    <s v="吳愛玲"/>
    <s v="福建省 漳州市 龙海区 东园镇福建省漳州市龙海区东园镇仓里路888号龙海普洛斯物流园A2库二层台集运@QF@U5FVXM#UR742A3DJUND7#"/>
    <n v="18319011167"/>
    <m/>
    <m/>
    <m/>
    <m/>
  </r>
  <r>
    <x v="142"/>
    <s v="已收货"/>
    <s v="4823779287541123021"/>
    <s v="颜振"/>
    <m/>
    <m/>
    <s v="样块*2"/>
    <x v="0"/>
    <m/>
    <s v="已结算"/>
    <s v="杭州"/>
    <n v="12"/>
    <n v="10"/>
    <m/>
    <m/>
    <m/>
    <m/>
    <m/>
    <m/>
    <m/>
    <m/>
    <m/>
    <m/>
    <m/>
    <m/>
    <m/>
    <m/>
    <m/>
    <m/>
    <m/>
    <m/>
    <m/>
    <m/>
    <m/>
    <m/>
    <m/>
    <m/>
    <m/>
    <n v="2"/>
    <m/>
    <m/>
    <n v="5"/>
    <n v="0"/>
    <n v="0"/>
    <n v="0"/>
    <n v="0"/>
    <n v="0"/>
    <n v="0"/>
    <n v="0"/>
    <n v="1"/>
    <n v="17"/>
    <n v="42.4"/>
    <n v="0"/>
    <n v="0.2544"/>
    <n v="42.1456"/>
    <n v="0"/>
    <n v="0"/>
    <n v="0"/>
    <n v="25.1456"/>
    <s v="颜振"/>
    <s v="福建省 漳州市 龙海区 东园镇福建省漳州市龙海区东园镇仓里路888号龙海普洛斯物流园A2库二层台集运@QF@U5FVXM#UR742A3DJUND7#"/>
    <n v="18319011167"/>
    <m/>
    <m/>
    <m/>
    <m/>
  </r>
  <r>
    <x v="143"/>
    <s v="已收货"/>
    <s v="3011907001330375988"/>
    <s v="干志远"/>
    <m/>
    <m/>
    <s v="砂白色1.4米岩板餐桌"/>
    <x v="1"/>
    <s v="140cm*85cm"/>
    <s v="已结算"/>
    <s v="江西"/>
    <n v="1712.5"/>
    <n v="1300"/>
    <m/>
    <m/>
    <m/>
    <m/>
    <n v="240"/>
    <m/>
    <m/>
    <m/>
    <m/>
    <m/>
    <m/>
    <m/>
    <m/>
    <m/>
    <m/>
    <m/>
    <n v="2.5"/>
    <m/>
    <m/>
    <m/>
    <m/>
    <m/>
    <m/>
    <m/>
    <m/>
    <n v="170"/>
    <m/>
    <m/>
    <n v="109"/>
    <n v="35"/>
    <n v="118"/>
    <n v="0"/>
    <n v="0"/>
    <n v="0"/>
    <n v="0"/>
    <n v="0"/>
    <n v="1"/>
    <n v="1974.5"/>
    <n v="2588.89"/>
    <n v="0"/>
    <n v="15.53334"/>
    <n v="2573.35666"/>
    <n v="0"/>
    <n v="0"/>
    <n v="0"/>
    <n v="598.8566599999999"/>
    <s v="干志远"/>
    <s v="浙江省 温州市 乐清市 城东街道胜利路与百珍东路交叉口星海明筑24-1503"/>
    <s v="15786748639-5559"/>
    <m/>
    <m/>
    <m/>
    <m/>
  </r>
  <r>
    <x v="143"/>
    <s v="已收货"/>
    <s v="3012335652479815057"/>
    <s v="项一丹"/>
    <m/>
    <m/>
    <s v="洞石餐边柜定制-1.7米-251022"/>
    <x v="3"/>
    <n v="1700"/>
    <s v="已结算"/>
    <s v="庄毅"/>
    <n v="7652.346666666667"/>
    <n v="5750"/>
    <m/>
    <n v="12"/>
    <n v="18"/>
    <n v="60"/>
    <s v="2040/6/1.5"/>
    <n v="76"/>
    <s v="1.7*0.5*160"/>
    <m/>
    <m/>
    <s v="(1.7"/>
    <s v="0.58*2)*60"/>
    <n v="10"/>
    <m/>
    <m/>
    <m/>
    <n v="14"/>
    <n v="501.08"/>
    <n v="20"/>
    <n v="10"/>
    <m/>
    <m/>
    <m/>
    <n v="40"/>
    <m/>
    <m/>
    <n v="30"/>
    <n v="27"/>
    <n v="550"/>
    <n v="233"/>
    <n v="50"/>
    <n v="118"/>
    <n v="0"/>
    <n v="268"/>
    <n v="0"/>
    <n v="0"/>
    <n v="0"/>
    <n v="1"/>
    <n v="8321.346666666668"/>
    <n v="9860.459999999999"/>
    <n v="0"/>
    <n v="59.16276"/>
    <n v="9801.29724"/>
    <n v="0"/>
    <n v="0"/>
    <n v="0"/>
    <n v="1479.950573333332"/>
    <s v="项一丹"/>
    <s v="山东省 烟台市 福山区 福新街道第一国际11号楼1单元2902"/>
    <s v="17895453306-4977"/>
    <m/>
    <m/>
    <m/>
    <m/>
  </r>
  <r>
    <x v="143"/>
    <s v="已收货"/>
    <s v="3012328308546815057"/>
    <s v="项一丹"/>
    <m/>
    <m/>
    <s v="补差价"/>
    <x v="3"/>
    <m/>
    <s v="已结算"/>
    <s v="庄毅-江西"/>
    <n v="1700"/>
    <n v="1700"/>
    <m/>
    <m/>
    <m/>
    <m/>
    <m/>
    <m/>
    <m/>
    <m/>
    <m/>
    <m/>
    <m/>
    <m/>
    <m/>
    <m/>
    <m/>
    <m/>
    <m/>
    <m/>
    <m/>
    <m/>
    <m/>
    <m/>
    <m/>
    <m/>
    <m/>
    <m/>
    <m/>
    <m/>
    <n v="0"/>
    <n v="0"/>
    <n v="180"/>
    <n v="0"/>
    <n v="0"/>
    <n v="0"/>
    <n v="0"/>
    <n v="0"/>
    <n v="1"/>
    <n v="1880"/>
    <n v="272"/>
    <n v="0"/>
    <n v="1.632"/>
    <n v="270.368"/>
    <n v="0"/>
    <n v="0"/>
    <n v="0"/>
    <n v="-1609.632"/>
    <s v="项一丹"/>
    <s v="山东省 烟台市 福山区 福新街道第一国际11号楼1单元2902"/>
    <s v="17895453306-4977"/>
    <m/>
    <m/>
    <m/>
    <m/>
  </r>
  <r>
    <x v="143"/>
    <s v="已收货"/>
    <s v="4827338246936523448"/>
    <s v="姚璐"/>
    <m/>
    <m/>
    <s v="窄柜-整柜洞石背板-1.0米"/>
    <x v="18"/>
    <n v="1000"/>
    <s v="已结算"/>
    <s v="庄毅"/>
    <n v="3994.71"/>
    <n v="3300"/>
    <n v="359.08"/>
    <n v="120"/>
    <m/>
    <n v="38"/>
    <n v="106.8"/>
    <n v="59.23"/>
    <m/>
    <m/>
    <n v="5"/>
    <m/>
    <m/>
    <m/>
    <m/>
    <n v="2"/>
    <n v="1.1"/>
    <n v="3.5"/>
    <m/>
    <m/>
    <m/>
    <m/>
    <m/>
    <m/>
    <m/>
    <m/>
    <m/>
    <m/>
    <m/>
    <m/>
    <n v="423"/>
    <n v="0"/>
    <n v="65"/>
    <n v="0"/>
    <n v="0"/>
    <n v="0"/>
    <n v="0"/>
    <n v="0"/>
    <n v="1"/>
    <n v="4482.71"/>
    <n v="5151.5"/>
    <n v="0"/>
    <n v="30.909"/>
    <n v="5120.591"/>
    <n v="0"/>
    <n v="0"/>
    <n v="0"/>
    <n v="637.8810000000003"/>
    <s v="姚璐"/>
    <s v="辽宁省 营口市 西市区 滨海街道富甲凯旋门2期24号楼3单元702"/>
    <s v="13019220359-4661"/>
    <m/>
    <m/>
    <m/>
    <m/>
  </r>
  <r>
    <x v="143"/>
    <s v="已收货"/>
    <s v="4827434762056700229"/>
    <s v="周黑佑利"/>
    <m/>
    <m/>
    <s v="砂白色1.5米岩板餐桌，定制"/>
    <x v="1"/>
    <s v="150cm*75cm"/>
    <s v="已结算"/>
    <s v="江西"/>
    <n v="1692.5"/>
    <n v="1300"/>
    <m/>
    <m/>
    <m/>
    <m/>
    <n v="220"/>
    <m/>
    <m/>
    <m/>
    <m/>
    <m/>
    <m/>
    <m/>
    <m/>
    <m/>
    <m/>
    <m/>
    <n v="2.5"/>
    <m/>
    <m/>
    <m/>
    <m/>
    <m/>
    <m/>
    <m/>
    <m/>
    <n v="170"/>
    <m/>
    <m/>
    <n v="82"/>
    <n v="30"/>
    <n v="88"/>
    <n v="0"/>
    <n v="0"/>
    <n v="0"/>
    <n v="0"/>
    <n v="0"/>
    <n v="1"/>
    <n v="1892.5"/>
    <n v="2593.89"/>
    <n v="0"/>
    <n v="15.56334"/>
    <n v="2578.32666"/>
    <n v="0"/>
    <n v="0"/>
    <n v="0"/>
    <n v="685.8266599999997"/>
    <s v="周黑佑利"/>
    <s v="江苏省 南京市 雨花台区 赛虹桥街道南河东寓2栋三单元2712"/>
    <s v="15780928627-8967"/>
    <m/>
    <m/>
    <m/>
    <m/>
  </r>
  <r>
    <x v="143"/>
    <s v="已收货"/>
    <s v="4827688489835700229"/>
    <s v="周黑佑利"/>
    <m/>
    <m/>
    <s v="补差价"/>
    <x v="1"/>
    <m/>
    <s v="已结算"/>
    <s v="江西"/>
    <n v="0"/>
    <n v="0"/>
    <m/>
    <m/>
    <m/>
    <m/>
    <m/>
    <m/>
    <m/>
    <m/>
    <m/>
    <m/>
    <m/>
    <m/>
    <m/>
    <m/>
    <m/>
    <m/>
    <m/>
    <m/>
    <m/>
    <m/>
    <m/>
    <m/>
    <m/>
    <m/>
    <m/>
    <m/>
    <m/>
    <m/>
    <n v="0"/>
    <n v="0"/>
    <n v="0"/>
    <n v="0"/>
    <n v="0"/>
    <n v="0"/>
    <n v="0"/>
    <n v="0"/>
    <n v="1"/>
    <n v="0"/>
    <n v="42"/>
    <n v="0"/>
    <n v="0.252"/>
    <n v="41.748"/>
    <n v="0"/>
    <n v="0"/>
    <n v="0"/>
    <n v="41.748"/>
    <s v="周黑佑利"/>
    <s v="江苏省 南京市 雨花台区 赛虹桥街道南河东寓2栋三单元2712"/>
    <s v="15780928627-8967"/>
    <m/>
    <m/>
    <m/>
    <m/>
  </r>
  <r>
    <x v="143"/>
    <s v="已收货"/>
    <s v="4828570092557670025"/>
    <s v="秦女士"/>
    <m/>
    <m/>
    <s v="洞石整柜1.8米-定制（全景抽屉+分类抽屉+开门）"/>
    <x v="3"/>
    <n v="1800"/>
    <s v="已结算"/>
    <s v="庄毅"/>
    <n v="9636.746666666666"/>
    <n v="8350"/>
    <m/>
    <n v="226.6666666666667"/>
    <n v="80"/>
    <n v="80"/>
    <s v="1.8*0.5*160"/>
    <s v="(1.8"/>
    <s v="0.5*2)*60"/>
    <m/>
    <m/>
    <n v="33"/>
    <n v="20"/>
    <n v="10"/>
    <m/>
    <m/>
    <m/>
    <m/>
    <n v="501.08"/>
    <n v="14"/>
    <n v="10"/>
    <m/>
    <m/>
    <m/>
    <m/>
    <m/>
    <m/>
    <m/>
    <m/>
    <m/>
    <n v="1054"/>
    <n v="0"/>
    <n v="150"/>
    <n v="0"/>
    <n v="0"/>
    <n v="0"/>
    <n v="0"/>
    <n v="0"/>
    <n v="1"/>
    <n v="10840.74666666667"/>
    <n v="10113.93"/>
    <n v="0"/>
    <n v="60.68358000000001"/>
    <n v="10053.24642"/>
    <n v="0"/>
    <n v="0"/>
    <n v="0"/>
    <n v="-787.5002466666665"/>
    <s v="秦女士"/>
    <s v="重庆 重庆市 江北区 铁山坪街道金科·太阳海岸66栋5号"/>
    <s v="14723331325-5297"/>
    <m/>
    <m/>
    <m/>
    <m/>
  </r>
  <r>
    <x v="143"/>
    <s v="已收货"/>
    <s v="4828654584036532836"/>
    <s v="秦女士"/>
    <m/>
    <m/>
    <s v="洞石下柜-玻璃开门柜-90cm"/>
    <x v="3"/>
    <n v="900"/>
    <s v="已结算"/>
    <s v="庄毅"/>
    <n v="0"/>
    <n v="0"/>
    <m/>
    <m/>
    <m/>
    <m/>
    <m/>
    <m/>
    <m/>
    <m/>
    <m/>
    <m/>
    <m/>
    <m/>
    <m/>
    <m/>
    <m/>
    <m/>
    <m/>
    <m/>
    <m/>
    <m/>
    <m/>
    <m/>
    <m/>
    <m/>
    <m/>
    <m/>
    <m/>
    <m/>
    <n v="0"/>
    <n v="0"/>
    <n v="0"/>
    <n v="0"/>
    <n v="0"/>
    <n v="0"/>
    <n v="0"/>
    <n v="0"/>
    <n v="1"/>
    <n v="0"/>
    <n v="3699.2"/>
    <n v="0"/>
    <n v="22.1952"/>
    <n v="3677.0048"/>
    <n v="0"/>
    <n v="0"/>
    <n v="0"/>
    <n v="3677.0048"/>
    <s v="秦女士"/>
    <s v="重庆 重庆市 江北区 铁山坪街道金科·太阳海岸66栋5号"/>
    <s v="14723331325-5297"/>
    <m/>
    <m/>
    <m/>
    <m/>
  </r>
  <r>
    <x v="143"/>
    <s v="已收货"/>
    <s v="3013504680299507393"/>
    <s v="李伟峰"/>
    <m/>
    <m/>
    <s v="曜黑柜-整柜-1.8米"/>
    <x v="19"/>
    <n v="1800"/>
    <s v="已结算"/>
    <s v="庄毅"/>
    <n v="11287.31333333333"/>
    <n v="9400"/>
    <n v="579.0799999999999"/>
    <n v="283.3333333333333"/>
    <n v="40"/>
    <m/>
    <n v="185.52"/>
    <n v="40"/>
    <n v="40"/>
    <n v="33"/>
    <m/>
    <s v="2550/6/1.5"/>
    <n v="567.08"/>
    <n v="10"/>
    <m/>
    <m/>
    <m/>
    <m/>
    <m/>
    <n v="20"/>
    <n v="10.5"/>
    <m/>
    <m/>
    <m/>
    <n v="620"/>
    <n v="65"/>
    <m/>
    <m/>
    <m/>
    <m/>
    <n v="559"/>
    <n v="0"/>
    <n v="140"/>
    <n v="0"/>
    <n v="208"/>
    <n v="0"/>
    <n v="0"/>
    <n v="500"/>
    <n v="1"/>
    <n v="12694.31333333333"/>
    <n v="14621.61"/>
    <n v="0"/>
    <n v="87.72966000000001"/>
    <n v="14533.88034"/>
    <n v="0"/>
    <n v="0"/>
    <n v="0"/>
    <n v="1839.567006666666"/>
    <s v="李伟峰"/>
    <s v="山东省 日照市 岚山区 岚山头街道 多岛海沂州海湾小区五号楼一单元802"/>
    <s v="15784068110-3061"/>
    <m/>
    <m/>
    <m/>
    <m/>
  </r>
  <r>
    <x v="144"/>
    <s v="已收货"/>
    <s v="4828882933195113032"/>
    <s v="黄颖"/>
    <m/>
    <m/>
    <s v="樱桃木洞石岩板餐桌2025-2米-定制"/>
    <x v="23"/>
    <s v="200cm*100cm"/>
    <s v="已结算"/>
    <s v="庄毅"/>
    <n v="1788.5"/>
    <n v="1480"/>
    <m/>
    <m/>
    <m/>
    <m/>
    <n v="306"/>
    <m/>
    <m/>
    <m/>
    <m/>
    <m/>
    <m/>
    <m/>
    <m/>
    <m/>
    <m/>
    <m/>
    <n v="2.5"/>
    <m/>
    <m/>
    <m/>
    <m/>
    <m/>
    <m/>
    <m/>
    <m/>
    <m/>
    <m/>
    <m/>
    <n v="232"/>
    <n v="0"/>
    <n v="88"/>
    <n v="0"/>
    <n v="0"/>
    <n v="0"/>
    <n v="0"/>
    <n v="0"/>
    <n v="1"/>
    <n v="2108.5"/>
    <n v="2240.34"/>
    <n v="0"/>
    <n v="13.44204"/>
    <n v="2226.89796"/>
    <n v="0"/>
    <n v="0"/>
    <n v="0"/>
    <n v="118.3979600000002"/>
    <s v="黄颖"/>
    <s v="北京 北京市 东城区 天坛街道 天坛府五期1号楼三单元701"/>
    <s v="18400988570-5195"/>
    <m/>
    <m/>
    <m/>
    <m/>
  </r>
  <r>
    <x v="144"/>
    <s v="已收货"/>
    <s v="4828671614755113032"/>
    <s v="黄颖"/>
    <m/>
    <m/>
    <s v="补差价"/>
    <x v="23"/>
    <m/>
    <s v="已结算"/>
    <s v="庄毅"/>
    <n v="0"/>
    <n v="0"/>
    <m/>
    <m/>
    <m/>
    <m/>
    <m/>
    <m/>
    <m/>
    <m/>
    <m/>
    <m/>
    <m/>
    <m/>
    <m/>
    <m/>
    <m/>
    <m/>
    <n v="2.5"/>
    <m/>
    <m/>
    <m/>
    <m/>
    <m/>
    <m/>
    <m/>
    <m/>
    <m/>
    <m/>
    <m/>
    <n v="0"/>
    <n v="0"/>
    <n v="0"/>
    <n v="0"/>
    <n v="0"/>
    <n v="0"/>
    <n v="0"/>
    <n v="0"/>
    <n v="1"/>
    <n v="0"/>
    <n v="360"/>
    <n v="0"/>
    <n v="2.16"/>
    <n v="357.84"/>
    <n v="0"/>
    <n v="0"/>
    <n v="0"/>
    <n v="357.84"/>
    <s v="黄颖"/>
    <s v="北京 北京市 东城区 天坛街道 天坛府五期1号楼三单元701"/>
    <s v="18400988570-5195"/>
    <m/>
    <m/>
    <m/>
    <m/>
  </r>
  <r>
    <x v="144"/>
    <s v="已收货"/>
    <s v="4829348592810492434"/>
    <s v="袁先生"/>
    <m/>
    <m/>
    <s v="砂白色1.4米岩板餐桌，定制"/>
    <x v="1"/>
    <s v="140cm*80cm"/>
    <s v="已结算"/>
    <s v="庄毅"/>
    <n v="1654.1"/>
    <n v="1450"/>
    <m/>
    <m/>
    <m/>
    <m/>
    <n v="201.6"/>
    <m/>
    <m/>
    <m/>
    <m/>
    <m/>
    <m/>
    <m/>
    <m/>
    <m/>
    <m/>
    <m/>
    <n v="2.5"/>
    <m/>
    <m/>
    <m/>
    <m/>
    <m/>
    <m/>
    <m/>
    <m/>
    <m/>
    <m/>
    <m/>
    <n v="183"/>
    <n v="0"/>
    <n v="88"/>
    <n v="0"/>
    <n v="0"/>
    <n v="0"/>
    <n v="0"/>
    <n v="0"/>
    <n v="1"/>
    <n v="1925.1"/>
    <n v="2557.65"/>
    <n v="0"/>
    <n v="15.3459"/>
    <n v="2542.3041"/>
    <n v="0"/>
    <n v="0"/>
    <n v="0"/>
    <n v="617.2041000000004"/>
    <s v="袁先生"/>
    <s v="广东省 深圳市 罗湖区 翠竹街道益田御龙天地1D3805"/>
    <s v="13189734574-9832"/>
    <m/>
    <m/>
    <m/>
    <m/>
  </r>
  <r>
    <x v="144"/>
    <s v="已收货"/>
    <s v="3014726916568082291"/>
    <s v="陈逸翔"/>
    <m/>
    <m/>
    <s v="插座"/>
    <x v="5"/>
    <m/>
    <s v="已结算"/>
    <s v="其他"/>
    <n v="55"/>
    <n v="55"/>
    <m/>
    <m/>
    <m/>
    <m/>
    <m/>
    <m/>
    <m/>
    <m/>
    <m/>
    <m/>
    <m/>
    <m/>
    <m/>
    <m/>
    <m/>
    <m/>
    <m/>
    <m/>
    <m/>
    <m/>
    <m/>
    <m/>
    <m/>
    <m/>
    <m/>
    <m/>
    <m/>
    <m/>
    <n v="8"/>
    <n v="0"/>
    <n v="0"/>
    <n v="0"/>
    <n v="0"/>
    <n v="0"/>
    <n v="0"/>
    <n v="0"/>
    <n v="1"/>
    <n v="63"/>
    <n v="100"/>
    <n v="0"/>
    <n v="0.6"/>
    <n v="99.40000000000001"/>
    <n v="0"/>
    <n v="0"/>
    <n v="0"/>
    <n v="36.40000000000001"/>
    <s v="陈逸翔"/>
    <s v="浙江省 衢州市 柯城区 白云街道三江东路玉龙湾9幢1单元601"/>
    <s v="18413211430-1215"/>
    <m/>
    <m/>
    <m/>
    <m/>
  </r>
  <r>
    <x v="144"/>
    <s v="已收货"/>
    <s v="3014620575231372667"/>
    <s v="丁旭芝"/>
    <m/>
    <m/>
    <s v="砂白色1.6米岩板餐桌"/>
    <x v="1"/>
    <s v="160cm*85cm"/>
    <s v="已结算"/>
    <s v="庄毅"/>
    <n v="1777.3"/>
    <n v="1530"/>
    <m/>
    <m/>
    <m/>
    <m/>
    <n v="244.8"/>
    <m/>
    <m/>
    <m/>
    <m/>
    <m/>
    <m/>
    <m/>
    <m/>
    <m/>
    <m/>
    <m/>
    <n v="2.5"/>
    <m/>
    <m/>
    <m/>
    <m/>
    <m/>
    <m/>
    <m/>
    <m/>
    <m/>
    <m/>
    <m/>
    <n v="200"/>
    <m/>
    <n v="65"/>
    <n v="0"/>
    <n v="0"/>
    <n v="0"/>
    <n v="0"/>
    <n v="0"/>
    <n v="1"/>
    <n v="2042.3"/>
    <n v="2688.41"/>
    <n v="0"/>
    <n v="16.13046"/>
    <n v="2672.27954"/>
    <n v="0"/>
    <n v="0"/>
    <n v="0"/>
    <n v="629.97954"/>
    <s v="丁旭芝"/>
    <s v="广东省 潮州市 湘桥区 西新街道建兴街20号建安花园十幢602号"/>
    <s v="17896683051-2898"/>
    <m/>
    <m/>
    <m/>
    <m/>
  </r>
  <r>
    <x v="144"/>
    <s v="已收货"/>
    <s v="4830191136625573414"/>
    <s v="袁丹"/>
    <s v="产品成本+抽屉轨道+岩板+洞石背板+铝合金隔板轨道+灯带+电力轨道+打包+玻璃"/>
    <m/>
    <s v="洞石餐边柜定制-1.5米-251023"/>
    <x v="3"/>
    <n v="1500"/>
    <s v="已结算"/>
    <s v="江西"/>
    <n v="6459.746666666667"/>
    <n v="4500"/>
    <n v="489.08"/>
    <n v="226.6666666666667"/>
    <m/>
    <n v="76"/>
    <n v="520"/>
    <n v="104"/>
    <n v="42"/>
    <m/>
    <m/>
    <n v="5"/>
    <n v="132"/>
    <n v="4.6"/>
    <n v="17.5"/>
    <m/>
    <m/>
    <n v="7"/>
    <m/>
    <m/>
    <m/>
    <m/>
    <m/>
    <m/>
    <m/>
    <m/>
    <m/>
    <n v="370"/>
    <m/>
    <m/>
    <n v="340"/>
    <n v="107"/>
    <n v="98"/>
    <n v="0"/>
    <n v="0"/>
    <n v="0"/>
    <n v="0"/>
    <n v="0"/>
    <n v="1"/>
    <n v="7004.746666666667"/>
    <n v="9294.870000000001"/>
    <n v="0"/>
    <n v="55.76922"/>
    <n v="9239.100780000001"/>
    <n v="0"/>
    <n v="0"/>
    <n v="0"/>
    <n v="2234.354113333334"/>
    <s v="袁丹"/>
    <s v="江苏省 常州市 新北区 三井街道泱境雅园13-甲-1001"/>
    <n v="13775616190"/>
    <m/>
    <m/>
    <m/>
    <m/>
  </r>
  <r>
    <x v="144"/>
    <s v="已收货"/>
    <s v="4830150709166573414"/>
    <s v="袁丹"/>
    <m/>
    <m/>
    <s v="补差价"/>
    <x v="3"/>
    <m/>
    <s v="已结算"/>
    <s v="江西"/>
    <n v="0"/>
    <n v="0"/>
    <m/>
    <m/>
    <m/>
    <m/>
    <m/>
    <m/>
    <m/>
    <m/>
    <m/>
    <m/>
    <m/>
    <m/>
    <m/>
    <m/>
    <m/>
    <m/>
    <m/>
    <m/>
    <m/>
    <m/>
    <m/>
    <m/>
    <m/>
    <m/>
    <m/>
    <m/>
    <m/>
    <m/>
    <n v="0"/>
    <n v="0"/>
    <n v="0"/>
    <n v="0"/>
    <n v="0"/>
    <n v="0"/>
    <n v="0"/>
    <n v="0"/>
    <n v="1"/>
    <n v="0"/>
    <n v="206"/>
    <n v="0"/>
    <n v="1.236"/>
    <n v="204.764"/>
    <n v="0"/>
    <n v="0"/>
    <n v="0"/>
    <n v="204.764"/>
    <s v="袁丹"/>
    <s v="江苏省 常州市 新北区 三井街道泱境雅园13-甲-1001"/>
    <n v="13775616190"/>
    <m/>
    <m/>
    <m/>
    <m/>
  </r>
  <r>
    <x v="144"/>
    <s v="已收货"/>
    <s v="4831111585701199506"/>
    <s v="曾先生"/>
    <m/>
    <m/>
    <s v="九斗柜-设备柜"/>
    <x v="24"/>
    <s v="180cm*40cm"/>
    <s v="已结算"/>
    <s v="江西"/>
    <n v="3333.2"/>
    <n v="2700"/>
    <m/>
    <n v="180"/>
    <n v="105.2"/>
    <m/>
    <m/>
    <m/>
    <m/>
    <m/>
    <m/>
    <m/>
    <n v="198"/>
    <m/>
    <m/>
    <m/>
    <m/>
    <m/>
    <m/>
    <m/>
    <m/>
    <m/>
    <m/>
    <m/>
    <m/>
    <m/>
    <m/>
    <n v="150"/>
    <m/>
    <m/>
    <n v="217"/>
    <n v="40"/>
    <n v="0"/>
    <n v="0"/>
    <n v="0"/>
    <n v="0"/>
    <n v="0"/>
    <n v="30"/>
    <n v="1"/>
    <n v="3620.2"/>
    <n v="3699.15"/>
    <n v="0"/>
    <n v="22.1949"/>
    <n v="3676.9551"/>
    <n v="0"/>
    <n v="0"/>
    <n v="0"/>
    <n v="56.75510000000031"/>
    <s v="曾先生"/>
    <s v="四川省"/>
    <s v="13140356980-7733"/>
    <m/>
    <m/>
    <m/>
    <m/>
  </r>
  <r>
    <x v="144"/>
    <s v="已收货"/>
    <s v="4831288272671492434"/>
    <s v="袁先生"/>
    <m/>
    <m/>
    <s v="补差价"/>
    <x v="1"/>
    <m/>
    <s v="已结算"/>
    <s v="庄毅"/>
    <n v="0"/>
    <n v="0"/>
    <m/>
    <m/>
    <m/>
    <m/>
    <m/>
    <m/>
    <m/>
    <m/>
    <m/>
    <m/>
    <m/>
    <m/>
    <m/>
    <m/>
    <m/>
    <m/>
    <m/>
    <m/>
    <m/>
    <m/>
    <m/>
    <m/>
    <m/>
    <m/>
    <m/>
    <m/>
    <m/>
    <m/>
    <n v="0"/>
    <n v="0"/>
    <n v="0"/>
    <n v="0"/>
    <n v="0"/>
    <n v="0"/>
    <n v="0"/>
    <n v="0"/>
    <n v="1"/>
    <n v="0"/>
    <n v="17"/>
    <n v="0"/>
    <n v="0.102"/>
    <n v="16.898"/>
    <n v="0"/>
    <n v="0"/>
    <n v="0"/>
    <n v="16.898"/>
    <s v="袁先生"/>
    <s v="广东省 深圳市 罗湖区 翠竹街道益田御龙天地1D3805"/>
    <s v="13189734574-9832"/>
    <m/>
    <m/>
    <m/>
    <m/>
  </r>
  <r>
    <x v="144"/>
    <s v="已收货"/>
    <s v="4828695519583053214"/>
    <s v="周喆浩"/>
    <m/>
    <m/>
    <s v="样块*2"/>
    <x v="0"/>
    <m/>
    <s v="已结算"/>
    <s v="杭州"/>
    <n v="12"/>
    <n v="10"/>
    <m/>
    <m/>
    <m/>
    <m/>
    <m/>
    <m/>
    <m/>
    <m/>
    <m/>
    <m/>
    <m/>
    <m/>
    <m/>
    <m/>
    <m/>
    <m/>
    <m/>
    <m/>
    <m/>
    <m/>
    <m/>
    <m/>
    <m/>
    <m/>
    <m/>
    <n v="2"/>
    <m/>
    <m/>
    <n v="5"/>
    <n v="0"/>
    <n v="0"/>
    <n v="0"/>
    <n v="0"/>
    <n v="0"/>
    <n v="0"/>
    <n v="0"/>
    <n v="1"/>
    <n v="17"/>
    <n v="42.4"/>
    <n v="0"/>
    <n v="0.2544"/>
    <n v="42.1456"/>
    <n v="0"/>
    <n v="0"/>
    <n v="0"/>
    <n v="25.1456"/>
    <s v="周喆浩"/>
    <s v="上海 上海市 浦东新区 唐镇万嘉欣苑17号楼804(送货上门)"/>
    <s v="18466942030-2701"/>
    <m/>
    <m/>
    <m/>
    <m/>
  </r>
  <r>
    <x v="145"/>
    <s v="已收货"/>
    <s v="4831772869641170608"/>
    <s v="林先生"/>
    <m/>
    <m/>
    <s v="样块"/>
    <x v="0"/>
    <m/>
    <s v="已结算"/>
    <s v="杭州"/>
    <n v="7"/>
    <n v="5"/>
    <m/>
    <m/>
    <m/>
    <m/>
    <m/>
    <m/>
    <m/>
    <m/>
    <m/>
    <m/>
    <m/>
    <m/>
    <m/>
    <m/>
    <m/>
    <m/>
    <m/>
    <m/>
    <m/>
    <m/>
    <m/>
    <m/>
    <m/>
    <m/>
    <m/>
    <n v="2"/>
    <m/>
    <m/>
    <n v="5"/>
    <n v="0"/>
    <n v="0"/>
    <n v="0"/>
    <n v="0"/>
    <n v="0"/>
    <n v="0"/>
    <n v="0"/>
    <n v="1"/>
    <n v="12"/>
    <n v="16.2"/>
    <n v="0"/>
    <n v="0.09719999999999999"/>
    <n v="16.1028"/>
    <n v="0"/>
    <n v="0"/>
    <n v="0"/>
    <n v="4.102799999999998"/>
    <s v="林先生"/>
    <s v="广东省 广州市 番禺区 南村镇广州雅居乐花园一尺山居20栋1903房"/>
    <s v="18466126756-5859"/>
    <m/>
    <m/>
    <m/>
    <m/>
  </r>
  <r>
    <x v="145"/>
    <s v="已收货"/>
    <s v="3017278813822624661"/>
    <s v="李绮"/>
    <m/>
    <m/>
    <s v="砂白色1.8米岩板餐桌，自己安装"/>
    <x v="1"/>
    <s v="180cm*85cm"/>
    <s v="已结算"/>
    <s v="江西"/>
    <n v="1822.5"/>
    <n v="1500"/>
    <m/>
    <m/>
    <m/>
    <m/>
    <n v="240"/>
    <m/>
    <m/>
    <m/>
    <m/>
    <m/>
    <m/>
    <m/>
    <m/>
    <m/>
    <m/>
    <m/>
    <n v="2.5"/>
    <m/>
    <m/>
    <m/>
    <m/>
    <m/>
    <m/>
    <m/>
    <m/>
    <n v="80"/>
    <m/>
    <m/>
    <n v="100"/>
    <n v="0"/>
    <n v="0"/>
    <n v="0"/>
    <n v="0"/>
    <n v="0"/>
    <n v="0"/>
    <n v="0"/>
    <n v="1"/>
    <n v="1922.5"/>
    <n v="2789.6"/>
    <n v="0"/>
    <n v="16.7376"/>
    <n v="2772.8624"/>
    <n v="0"/>
    <n v="0"/>
    <n v="0"/>
    <n v="850.3624"/>
    <s v="李绮"/>
    <s v="上海上海市长宁区周家桥街道武夷路718弄1号404"/>
    <s v="13162802424-3232"/>
    <m/>
    <m/>
    <m/>
    <m/>
  </r>
  <r>
    <x v="145"/>
    <s v="已收货"/>
    <s v="3016793965259618396"/>
    <s v="尹鑫"/>
    <m/>
    <m/>
    <s v="补差价"/>
    <x v="2"/>
    <m/>
    <s v="已结算"/>
    <s v="江西"/>
    <n v="6330"/>
    <n v="5800"/>
    <m/>
    <m/>
    <m/>
    <m/>
    <m/>
    <m/>
    <m/>
    <m/>
    <m/>
    <m/>
    <m/>
    <m/>
    <m/>
    <m/>
    <m/>
    <m/>
    <m/>
    <m/>
    <m/>
    <m/>
    <m/>
    <m/>
    <m/>
    <m/>
    <m/>
    <n v="530"/>
    <m/>
    <m/>
    <n v="852"/>
    <n v="138"/>
    <n v="200"/>
    <n v="0"/>
    <n v="0"/>
    <n v="0"/>
    <n v="0"/>
    <n v="0"/>
    <n v="1"/>
    <n v="7520"/>
    <n v="5431.85"/>
    <n v="0"/>
    <n v="32.5911"/>
    <n v="5399.258900000001"/>
    <n v="0"/>
    <n v="0"/>
    <n v="0"/>
    <n v="-2120.741099999999"/>
    <s v="尹鑫"/>
    <s v="四川省 宜宾市 长宁县 长宁镇恒润领御 5 栋 9-3"/>
    <s v="13042355180-8211"/>
    <m/>
    <m/>
    <m/>
    <m/>
  </r>
  <r>
    <x v="145"/>
    <s v="已收货"/>
    <s v="3016837633122618396"/>
    <s v="尹鑫"/>
    <m/>
    <m/>
    <s v="定制1.95旋转柜"/>
    <x v="2"/>
    <n v="1950"/>
    <s v="已结算"/>
    <s v="江西"/>
    <n v="0"/>
    <n v="0"/>
    <m/>
    <m/>
    <m/>
    <m/>
    <m/>
    <m/>
    <m/>
    <m/>
    <m/>
    <m/>
    <m/>
    <m/>
    <m/>
    <m/>
    <m/>
    <m/>
    <m/>
    <m/>
    <m/>
    <m/>
    <m/>
    <m/>
    <m/>
    <m/>
    <m/>
    <m/>
    <m/>
    <m/>
    <n v="0"/>
    <n v="0"/>
    <n v="0"/>
    <n v="0"/>
    <n v="0"/>
    <n v="0"/>
    <n v="0"/>
    <n v="0"/>
    <n v="1"/>
    <n v="0"/>
    <n v="5436.85"/>
    <n v="0"/>
    <n v="32.62110000000001"/>
    <n v="5404.2289"/>
    <n v="0"/>
    <n v="0"/>
    <n v="0"/>
    <n v="5404.2289"/>
    <s v="尹鑫"/>
    <s v="四川省 宜宾市 长宁县 长宁镇恒润领御 5 栋 9-3"/>
    <s v="13042355180-8211"/>
    <m/>
    <m/>
    <m/>
    <m/>
  </r>
  <r>
    <x v="145"/>
    <s v="已收货"/>
    <s v="3016879862979415756"/>
    <s v="冯莹欣"/>
    <m/>
    <m/>
    <s v="2.1榉木柜"/>
    <x v="9"/>
    <n v="2100"/>
    <s v="已结算"/>
    <s v="江西"/>
    <n v="6605"/>
    <n v="4300"/>
    <n v="320"/>
    <s v="22*5"/>
    <n v="1225"/>
    <m/>
    <n v="228"/>
    <n v="300"/>
    <n v="48"/>
    <m/>
    <m/>
    <n v="46"/>
    <n v="8"/>
    <n v="20"/>
    <m/>
    <m/>
    <m/>
    <m/>
    <m/>
    <m/>
    <m/>
    <m/>
    <m/>
    <m/>
    <m/>
    <m/>
    <m/>
    <n v="300"/>
    <m/>
    <m/>
    <n v="404"/>
    <n v="107"/>
    <n v="120"/>
    <n v="0"/>
    <n v="0"/>
    <n v="0"/>
    <n v="0"/>
    <n v="0"/>
    <n v="1"/>
    <n v="7236"/>
    <n v="8040.12"/>
    <n v="0"/>
    <n v="48.24072"/>
    <n v="7991.87928"/>
    <n v="0"/>
    <n v="0"/>
    <n v="0"/>
    <n v="755.8792800000001"/>
    <s v="冯莹欣"/>
    <s v="福建省 宁德市 蕉城区 金涵畲族乡绿城·天湖明月8栋1单元203"/>
    <s v="18480100090-4901"/>
    <m/>
    <m/>
    <m/>
    <m/>
  </r>
  <r>
    <x v="145"/>
    <s v="已收货"/>
    <s v="3017497226906174293"/>
    <s v="微微笑"/>
    <s v="产品成本+配件（连接片+铁销）+悬浮五金+玻璃把手+抽屉轨道+洞洞板+打包+玻璃+电力轨道+岩板"/>
    <m/>
    <s v="2.1柜+1.6单腿"/>
    <x v="2"/>
    <n v="2100"/>
    <s v="已结算"/>
    <s v="江西"/>
    <n v="6250"/>
    <n v="5700"/>
    <m/>
    <m/>
    <m/>
    <m/>
    <m/>
    <m/>
    <m/>
    <m/>
    <m/>
    <m/>
    <m/>
    <m/>
    <m/>
    <m/>
    <m/>
    <m/>
    <m/>
    <m/>
    <m/>
    <m/>
    <m/>
    <m/>
    <m/>
    <m/>
    <m/>
    <n v="550"/>
    <m/>
    <m/>
    <n v="1178"/>
    <n v="140"/>
    <n v="178"/>
    <n v="0"/>
    <n v="0"/>
    <n v="0"/>
    <n v="0"/>
    <n v="0"/>
    <n v="1"/>
    <n v="7746"/>
    <n v="10552.29"/>
    <n v="0"/>
    <n v="63.31374000000001"/>
    <n v="10488.97626"/>
    <n v="0"/>
    <n v="0"/>
    <n v="0"/>
    <n v="2742.976260000001"/>
    <s v="微微笑"/>
    <s v="吉林省 长春市 南关区 盛世街道华惠路 国信御湖公馆东区41栋3单元206 送货上门"/>
    <s v="15780623109-9815"/>
    <m/>
    <m/>
    <m/>
    <m/>
  </r>
  <r>
    <x v="145"/>
    <s v="已收货"/>
    <s v="4832796711733483440"/>
    <s v="刘女士"/>
    <m/>
    <m/>
    <s v="洞石整柜2.1米（全景组合）（全景抽屉+玻璃移门+开门）"/>
    <x v="3"/>
    <n v="2100"/>
    <s v="已结算"/>
    <s v="庄毅"/>
    <n v="7985.706666666667"/>
    <n v="5960"/>
    <m/>
    <n v="226.6666666666667"/>
    <n v="76"/>
    <n v="90"/>
    <n v="410.88"/>
    <m/>
    <n v="10"/>
    <m/>
    <m/>
    <n v="20"/>
    <n v="501.08"/>
    <n v="10"/>
    <n v="40"/>
    <m/>
    <m/>
    <m/>
    <n v="657.08"/>
    <n v="14"/>
    <n v="14"/>
    <m/>
    <m/>
    <m/>
    <n v="657.08"/>
    <m/>
    <m/>
    <m/>
    <m/>
    <m/>
    <n v="2194"/>
    <n v="0"/>
    <n v="139"/>
    <n v="0"/>
    <n v="298"/>
    <n v="0"/>
    <n v="0"/>
    <n v="50"/>
    <n v="1"/>
    <n v="10666.70666666667"/>
    <n v="10645.59"/>
    <n v="0"/>
    <n v="63.87354000000001"/>
    <n v="10581.71646"/>
    <n v="298"/>
    <n v="0"/>
    <n v="298"/>
    <n v="213.0097933333327"/>
    <s v="刘女士"/>
    <s v="甘肃省"/>
    <s v="15784010367-4055"/>
    <m/>
    <m/>
    <m/>
    <m/>
  </r>
  <r>
    <x v="145"/>
    <s v="已收货"/>
    <s v="3017742961728999599"/>
    <s v="卞宇"/>
    <m/>
    <m/>
    <s v="九斗柜-设备柜"/>
    <x v="24"/>
    <s v="180cm*40cm"/>
    <s v="已结算"/>
    <s v="江西"/>
    <n v="3333.2"/>
    <n v="2700"/>
    <m/>
    <n v="180"/>
    <n v="105.2"/>
    <m/>
    <m/>
    <m/>
    <m/>
    <m/>
    <m/>
    <m/>
    <n v="198"/>
    <m/>
    <m/>
    <m/>
    <m/>
    <m/>
    <m/>
    <m/>
    <m/>
    <m/>
    <m/>
    <m/>
    <m/>
    <m/>
    <m/>
    <n v="150"/>
    <m/>
    <m/>
    <n v="260"/>
    <n v="40"/>
    <n v="0"/>
    <n v="0"/>
    <n v="0"/>
    <n v="0"/>
    <n v="0"/>
    <n v="0"/>
    <n v="1"/>
    <n v="3633.2"/>
    <n v="3699.15"/>
    <n v="0"/>
    <n v="22.1949"/>
    <n v="3676.9551"/>
    <n v="0"/>
    <n v="0"/>
    <n v="0"/>
    <n v="43.75510000000031"/>
    <s v="卞宇"/>
    <s v="重庆"/>
    <s v="18466859790-7664"/>
    <m/>
    <m/>
    <m/>
    <m/>
  </r>
  <r>
    <x v="145"/>
    <s v="已收货"/>
    <s v="4833493923177053214"/>
    <s v="周喆浩"/>
    <m/>
    <m/>
    <s v="1.8下柜+1.2上柜"/>
    <x v="2"/>
    <n v="1800"/>
    <s v="已结算"/>
    <s v="江西"/>
    <n v="5080"/>
    <n v="4900"/>
    <m/>
    <m/>
    <m/>
    <m/>
    <m/>
    <m/>
    <m/>
    <m/>
    <m/>
    <m/>
    <m/>
    <m/>
    <m/>
    <m/>
    <m/>
    <m/>
    <m/>
    <m/>
    <m/>
    <m/>
    <m/>
    <m/>
    <m/>
    <m/>
    <m/>
    <n v="180"/>
    <m/>
    <m/>
    <n v="249"/>
    <n v="0"/>
    <n v="400"/>
    <n v="0"/>
    <n v="145"/>
    <n v="0"/>
    <n v="0"/>
    <n v="0"/>
    <n v="1"/>
    <n v="5874"/>
    <n v="5436.85"/>
    <n v="0"/>
    <n v="32.62110000000001"/>
    <n v="5404.2289"/>
    <n v="0"/>
    <n v="0"/>
    <n v="0"/>
    <n v="-469.7710999999999"/>
    <s v="周喆浩"/>
    <s v="上海 上海市 浦东新区 唐镇万嘉欣苑17号楼804(送货上门)"/>
    <s v="18466942030-2701"/>
    <m/>
    <m/>
    <m/>
    <m/>
  </r>
  <r>
    <x v="146"/>
    <s v="已收货"/>
    <s v="4834888779843053214"/>
    <s v="周喆浩"/>
    <m/>
    <m/>
    <s v="补差价"/>
    <x v="2"/>
    <m/>
    <s v="已结算"/>
    <s v="江西"/>
    <n v="0"/>
    <n v="0"/>
    <m/>
    <m/>
    <m/>
    <m/>
    <m/>
    <m/>
    <m/>
    <m/>
    <m/>
    <m/>
    <m/>
    <m/>
    <m/>
    <m/>
    <m/>
    <m/>
    <m/>
    <m/>
    <m/>
    <m/>
    <m/>
    <m/>
    <m/>
    <m/>
    <m/>
    <m/>
    <m/>
    <m/>
    <n v="0"/>
    <n v="0"/>
    <n v="0"/>
    <n v="0"/>
    <n v="0"/>
    <n v="0"/>
    <n v="0"/>
    <n v="0"/>
    <n v="1"/>
    <n v="0"/>
    <n v="4055.65"/>
    <n v="0"/>
    <n v="24.3339"/>
    <n v="4031.3161"/>
    <n v="0"/>
    <n v="0"/>
    <n v="0"/>
    <n v="4031.3161"/>
    <s v="周喆浩"/>
    <s v="上海 上海市 浦东新区 唐镇万嘉欣苑17号楼804(送货上门)"/>
    <s v="18466942030-2701"/>
    <m/>
    <m/>
    <m/>
    <m/>
  </r>
  <r>
    <x v="146"/>
    <s v="已收货"/>
    <s v="4833755245177634116"/>
    <s v="结"/>
    <m/>
    <m/>
    <s v="窄柜-整柜洞石背板-0.8米"/>
    <x v="18"/>
    <n v="800"/>
    <s v="已结算"/>
    <s v="庄毅"/>
    <n v="3842.08"/>
    <n v="3100"/>
    <n v="307.08"/>
    <n v="115"/>
    <m/>
    <n v="30"/>
    <n v="91.44"/>
    <n v="54.9"/>
    <m/>
    <m/>
    <n v="4"/>
    <m/>
    <m/>
    <m/>
    <m/>
    <m/>
    <m/>
    <n v="3.5"/>
    <m/>
    <n v="3"/>
    <m/>
    <m/>
    <m/>
    <m/>
    <n v="1.2"/>
    <m/>
    <m/>
    <m/>
    <m/>
    <m/>
    <n v="154"/>
    <n v="0"/>
    <n v="78"/>
    <n v="0"/>
    <n v="0"/>
    <n v="0"/>
    <n v="0"/>
    <n v="0"/>
    <n v="1"/>
    <n v="4074.08"/>
    <n v="4819.5"/>
    <n v="0"/>
    <n v="28.917"/>
    <n v="4790.583"/>
    <n v="0"/>
    <n v="0"/>
    <n v="0"/>
    <n v="716.5029999999992"/>
    <s v="结"/>
    <s v="福建省 福州市 台江区 瀛洲街道排尾路万科澜悦花园A2区13号楼1004单元"/>
    <s v="15980130141-2028"/>
    <m/>
    <m/>
    <m/>
    <m/>
  </r>
  <r>
    <x v="146"/>
    <s v="已收货"/>
    <s v="3018451800024902673"/>
    <s v="张宁宁"/>
    <m/>
    <m/>
    <s v="样块*2"/>
    <x v="0"/>
    <m/>
    <s v="已结算"/>
    <s v="杭州"/>
    <n v="12"/>
    <n v="10"/>
    <m/>
    <m/>
    <m/>
    <m/>
    <m/>
    <m/>
    <m/>
    <m/>
    <m/>
    <m/>
    <m/>
    <m/>
    <m/>
    <m/>
    <m/>
    <m/>
    <m/>
    <m/>
    <m/>
    <m/>
    <m/>
    <m/>
    <m/>
    <m/>
    <m/>
    <n v="2"/>
    <m/>
    <m/>
    <n v="5"/>
    <n v="0"/>
    <n v="0"/>
    <n v="0"/>
    <n v="0"/>
    <n v="0"/>
    <n v="0"/>
    <n v="0"/>
    <n v="1"/>
    <n v="17"/>
    <n v="42.4"/>
    <n v="0"/>
    <n v="0.2544"/>
    <n v="42.1456"/>
    <n v="0"/>
    <n v="0"/>
    <n v="0"/>
    <n v="25.1456"/>
    <s v="张宁宁"/>
    <s v="辽宁省 沈阳市 皇姑区 舍利塔街道渭河东街6号  2-5-2"/>
    <s v="17640250124-1545"/>
    <m/>
    <m/>
    <m/>
    <m/>
  </r>
  <r>
    <x v="146"/>
    <s v="已收货"/>
    <s v="4834553619832279641"/>
    <s v="雨不停"/>
    <m/>
    <m/>
    <s v="洞石餐边柜定制-1.8米-251025"/>
    <x v="3"/>
    <n v="1800"/>
    <s v="已结算"/>
    <s v="庄毅"/>
    <n v="7136.746666666667"/>
    <n v="5850"/>
    <m/>
    <n v="226.6666666666667"/>
    <n v="80"/>
    <n v="80"/>
    <s v="1.8*0.5*160"/>
    <s v="(1.8"/>
    <s v="0.5*2)*60"/>
    <m/>
    <m/>
    <n v="33"/>
    <n v="20"/>
    <n v="10"/>
    <m/>
    <m/>
    <m/>
    <m/>
    <n v="501.08"/>
    <n v="14"/>
    <n v="10"/>
    <m/>
    <m/>
    <m/>
    <m/>
    <m/>
    <m/>
    <m/>
    <m/>
    <m/>
    <m/>
    <n v="100"/>
    <n v="158"/>
    <n v="0"/>
    <n v="0"/>
    <n v="0"/>
    <n v="0"/>
    <n v="155"/>
    <n v="1"/>
    <n v="7549.746666666667"/>
    <n v="10118.93"/>
    <n v="0"/>
    <n v="60.71358"/>
    <n v="10058.21642"/>
    <n v="0"/>
    <n v="0"/>
    <n v="0"/>
    <n v="2508.469753333334"/>
    <s v="雨不停"/>
    <s v="四川省 乐山市 市中区 绿心街道瑞祥路一段888号领地澜山住宅区30栋2单元9楼1号"/>
    <s v="18423050431-1869"/>
    <m/>
    <m/>
    <m/>
    <m/>
  </r>
  <r>
    <x v="146"/>
    <s v="已收货"/>
    <s v="3019456598256279480"/>
    <s v="刘金妮"/>
    <m/>
    <m/>
    <s v="砂白色1.6米岩板餐桌"/>
    <x v="1"/>
    <s v="160cm*85cm"/>
    <s v="已结算"/>
    <s v="庄毅"/>
    <n v="1777.3"/>
    <n v="1530"/>
    <m/>
    <m/>
    <m/>
    <m/>
    <n v="244.8"/>
    <m/>
    <m/>
    <m/>
    <m/>
    <m/>
    <m/>
    <m/>
    <m/>
    <m/>
    <m/>
    <m/>
    <n v="2.5"/>
    <m/>
    <m/>
    <m/>
    <m/>
    <m/>
    <m/>
    <m/>
    <m/>
    <m/>
    <m/>
    <m/>
    <n v="268"/>
    <n v="0"/>
    <n v="65"/>
    <n v="0"/>
    <n v="0"/>
    <n v="0"/>
    <n v="0"/>
    <n v="0"/>
    <n v="1"/>
    <n v="2110.3"/>
    <n v="2688.41"/>
    <n v="0"/>
    <n v="16.13046"/>
    <n v="2672.27954"/>
    <n v="0"/>
    <n v="0"/>
    <n v="0"/>
    <n v="561.9795399999998"/>
    <s v="刘金妮"/>
    <s v="四川省 宜宾市 翠屏区 白沙湾街道华润置地公园九里1期3栋404"/>
    <s v="15683997174-6896"/>
    <m/>
    <m/>
    <m/>
    <m/>
  </r>
  <r>
    <x v="146"/>
    <s v="已收货"/>
    <s v="4835965933674278004"/>
    <s v="修小姐"/>
    <m/>
    <m/>
    <s v="定制2.1洞石柜"/>
    <x v="3"/>
    <n v="2100"/>
    <s v="已结算"/>
    <s v="庄毅"/>
    <n v="8325.706666666667"/>
    <n v="6300"/>
    <n v="501.08"/>
    <n v="226.6666666666667"/>
    <n v="76"/>
    <n v="90"/>
    <n v="410.88"/>
    <m/>
    <m/>
    <m/>
    <m/>
    <n v="10"/>
    <n v="20"/>
    <m/>
    <n v="17.5"/>
    <m/>
    <m/>
    <m/>
    <n v="40"/>
    <n v="10"/>
    <n v="14"/>
    <m/>
    <m/>
    <m/>
    <n v="657.08"/>
    <m/>
    <m/>
    <m/>
    <m/>
    <m/>
    <n v="653"/>
    <n v="0"/>
    <n v="198"/>
    <n v="0"/>
    <n v="0"/>
    <n v="0"/>
    <n v="0"/>
    <n v="1200"/>
    <n v="1"/>
    <n v="10376.70666666667"/>
    <n v="11339.9"/>
    <n v="0"/>
    <n v="68.0394"/>
    <n v="11271.8606"/>
    <n v="0"/>
    <n v="0"/>
    <n v="0"/>
    <n v="895.153933333333"/>
    <s v="修小姐"/>
    <s v="北京 北京市 房山区 城关街道原香汇2号楼501"/>
    <s v="13141344061-2500"/>
    <m/>
    <m/>
    <m/>
    <m/>
  </r>
  <r>
    <x v="146"/>
    <s v="已收货"/>
    <s v="4835859591277938329"/>
    <s v="茂集-97765552"/>
    <m/>
    <m/>
    <s v="样块"/>
    <x v="0"/>
    <m/>
    <s v="已结算"/>
    <s v="杭州"/>
    <n v="7"/>
    <n v="5"/>
    <m/>
    <m/>
    <m/>
    <m/>
    <m/>
    <m/>
    <m/>
    <m/>
    <m/>
    <m/>
    <m/>
    <m/>
    <m/>
    <m/>
    <m/>
    <m/>
    <m/>
    <m/>
    <m/>
    <m/>
    <m/>
    <m/>
    <m/>
    <m/>
    <m/>
    <n v="2"/>
    <m/>
    <m/>
    <n v="5"/>
    <n v="0"/>
    <n v="0"/>
    <n v="0"/>
    <n v="0"/>
    <n v="0"/>
    <n v="0"/>
    <n v="0"/>
    <n v="1"/>
    <n v="12"/>
    <n v="21.2"/>
    <n v="0"/>
    <n v="0.1272"/>
    <n v="21.0728"/>
    <n v="0"/>
    <n v="0"/>
    <n v="0"/>
    <n v="9.072800000000001"/>
    <s v="茂集-97765552"/>
    <s v="广东省 东莞市  虎门镇怀德路278号(轉-會員380145/pasu0072004)"/>
    <s v="17896420306-9902"/>
    <m/>
    <m/>
    <m/>
    <m/>
  </r>
  <r>
    <x v="146"/>
    <s v="已收货"/>
    <s v="4835882234024582702"/>
    <s v="黄云黎"/>
    <m/>
    <m/>
    <s v="窄柜-整柜洞石背板-0.8米"/>
    <x v="18"/>
    <n v="800"/>
    <s v="已结算"/>
    <s v="庄毅"/>
    <n v="3842.08"/>
    <n v="3100"/>
    <n v="307.08"/>
    <n v="115"/>
    <m/>
    <n v="30"/>
    <n v="91.44"/>
    <n v="54.9"/>
    <m/>
    <m/>
    <n v="4"/>
    <m/>
    <m/>
    <m/>
    <m/>
    <m/>
    <m/>
    <n v="3.5"/>
    <m/>
    <n v="3"/>
    <m/>
    <m/>
    <m/>
    <m/>
    <n v="1.2"/>
    <m/>
    <m/>
    <m/>
    <m/>
    <m/>
    <n v="232"/>
    <m/>
    <n v="150"/>
    <n v="0"/>
    <n v="0"/>
    <n v="0"/>
    <n v="0"/>
    <n v="0"/>
    <n v="1"/>
    <n v="4224.08"/>
    <n v="4824.5"/>
    <n v="0"/>
    <n v="28.947"/>
    <n v="4795.553"/>
    <n v="0"/>
    <n v="0"/>
    <n v="0"/>
    <n v="571.473"/>
    <s v="黄云黎"/>
    <s v="上海 上海市 静安区 芷江西路街道芷江西路285弄13号104室甲"/>
    <s v="13162902774-1433，"/>
    <m/>
    <m/>
    <m/>
    <m/>
  </r>
  <r>
    <x v="146"/>
    <s v="已收货"/>
    <s v="4836212676540513340"/>
    <s v="肖健雄"/>
    <m/>
    <m/>
    <s v="砂白色1.8米岩板餐桌，定制"/>
    <x v="1"/>
    <s v="180cm*80cm"/>
    <s v="已结算"/>
    <s v="庄毅"/>
    <n v="1811.7"/>
    <n v="1550"/>
    <m/>
    <m/>
    <m/>
    <m/>
    <n v="259.2"/>
    <m/>
    <m/>
    <m/>
    <m/>
    <m/>
    <m/>
    <m/>
    <m/>
    <m/>
    <m/>
    <m/>
    <n v="2.5"/>
    <m/>
    <m/>
    <m/>
    <m/>
    <m/>
    <m/>
    <m/>
    <m/>
    <m/>
    <m/>
    <m/>
    <n v="214"/>
    <n v="0"/>
    <n v="76"/>
    <n v="0"/>
    <n v="0"/>
    <n v="0"/>
    <n v="0"/>
    <n v="0"/>
    <n v="1"/>
    <n v="2101.7"/>
    <n v="2789.6"/>
    <n v="0"/>
    <n v="16.7376"/>
    <n v="2772.8624"/>
    <n v="0"/>
    <n v="0"/>
    <n v="0"/>
    <n v="671.1624000000002"/>
    <s v="肖健雄"/>
    <s v="河南省 郑州市 金水区 丰产路街道经二路与红旗路交叉口融创瀚海兰园小区9号楼一单元1508"/>
    <s v="15784504540-6403"/>
    <m/>
    <m/>
    <m/>
    <m/>
  </r>
  <r>
    <x v="147"/>
    <s v="已收货"/>
    <s v="3021275858465391972"/>
    <s v="许京哲"/>
    <m/>
    <m/>
    <s v="样块"/>
    <x v="0"/>
    <m/>
    <s v="已结算"/>
    <s v="杭州"/>
    <n v="7"/>
    <n v="5"/>
    <m/>
    <m/>
    <m/>
    <m/>
    <m/>
    <m/>
    <m/>
    <m/>
    <m/>
    <m/>
    <m/>
    <m/>
    <m/>
    <m/>
    <m/>
    <m/>
    <m/>
    <m/>
    <m/>
    <m/>
    <m/>
    <m/>
    <m/>
    <m/>
    <m/>
    <n v="2"/>
    <m/>
    <m/>
    <n v="5"/>
    <n v="0"/>
    <n v="0"/>
    <n v="0"/>
    <n v="0"/>
    <n v="0"/>
    <n v="0"/>
    <n v="0"/>
    <n v="1"/>
    <n v="12"/>
    <n v="21.2"/>
    <n v="0"/>
    <n v="0.1272"/>
    <n v="21.0728"/>
    <n v="0"/>
    <n v="0"/>
    <n v="0"/>
    <n v="9.072800000000001"/>
    <s v="许京哲"/>
    <m/>
    <m/>
    <m/>
    <m/>
    <m/>
    <m/>
  </r>
  <r>
    <x v="147"/>
    <s v="已收货"/>
    <s v="3021648458805031288"/>
    <s v="唐靓靓"/>
    <m/>
    <m/>
    <s v="2.1洞石柜"/>
    <x v="3"/>
    <n v="2100"/>
    <s v="已结算"/>
    <s v="庄毅"/>
    <n v="7985.706666666667"/>
    <n v="5960"/>
    <n v="501.08"/>
    <n v="226.6666666666667"/>
    <n v="76"/>
    <n v="90"/>
    <n v="410.88"/>
    <m/>
    <m/>
    <m/>
    <m/>
    <n v="10"/>
    <n v="20"/>
    <m/>
    <n v="17.5"/>
    <m/>
    <m/>
    <m/>
    <n v="40"/>
    <n v="10"/>
    <n v="14"/>
    <m/>
    <m/>
    <m/>
    <n v="657.08"/>
    <m/>
    <m/>
    <m/>
    <m/>
    <m/>
    <n v="860"/>
    <n v="0"/>
    <n v="158"/>
    <n v="0"/>
    <n v="136"/>
    <n v="0"/>
    <n v="0"/>
    <n v="0"/>
    <n v="1"/>
    <n v="9139.706666666667"/>
    <n v="10645.59"/>
    <n v="0"/>
    <n v="63.87354000000001"/>
    <n v="10581.71646"/>
    <n v="0"/>
    <n v="0"/>
    <n v="0"/>
    <n v="1442.009793333333"/>
    <s v="唐靓靓"/>
    <s v="上海 上海市 浦东新区 川沙新镇 市六灶镇周祝公路2352号504室 "/>
    <s v="18466611084-4824"/>
    <m/>
    <m/>
    <m/>
    <m/>
  </r>
  <r>
    <x v="147"/>
    <s v="已收货"/>
    <s v="3022397113920682080"/>
    <s v="崔先生"/>
    <s v="已发货，运费没出 产品成本+免钉胶+打包+福建岩板费+江西新采购岩板费（模具面岩板）"/>
    <m/>
    <s v="砂白色2.0米岩板餐桌，定制-蜜蜡色"/>
    <x v="1"/>
    <s v="200cm*85cm"/>
    <s v="已结算"/>
    <s v="江西"/>
    <n v="2618.5"/>
    <n v="1500"/>
    <m/>
    <m/>
    <m/>
    <m/>
    <n v="986"/>
    <m/>
    <m/>
    <m/>
    <m/>
    <m/>
    <m/>
    <m/>
    <m/>
    <m/>
    <m/>
    <m/>
    <n v="2.5"/>
    <m/>
    <m/>
    <m/>
    <m/>
    <m/>
    <m/>
    <m/>
    <m/>
    <n v="130"/>
    <m/>
    <m/>
    <n v="300"/>
    <n v="0"/>
    <n v="69"/>
    <n v="0"/>
    <n v="0"/>
    <n v="0"/>
    <n v="0"/>
    <n v="0"/>
    <n v="1"/>
    <n v="2987.5"/>
    <n v="2925.31"/>
    <n v="0"/>
    <n v="17.55186"/>
    <n v="2907.75814"/>
    <n v="0"/>
    <n v="0"/>
    <n v="0"/>
    <n v="-79.74186000000009"/>
    <s v="崔先生"/>
    <s v="云南省 昆明市 盘龙区 金辰街道云南映象碧桂湾24-801"/>
    <s v="18400302778-8072"/>
    <m/>
    <m/>
    <m/>
    <m/>
  </r>
  <r>
    <x v="148"/>
    <s v="未发货"/>
    <s v="3022982508210329895"/>
    <s v="苩震子"/>
    <m/>
    <m/>
    <s v="砂白色1.4米岩板餐桌"/>
    <x v="1"/>
    <s v="140cm*85cm"/>
    <m/>
    <s v="江西"/>
    <n v="1892.5"/>
    <n v="1300"/>
    <m/>
    <m/>
    <m/>
    <m/>
    <n v="220"/>
    <m/>
    <m/>
    <m/>
    <m/>
    <m/>
    <m/>
    <m/>
    <m/>
    <m/>
    <m/>
    <m/>
    <n v="2.5"/>
    <m/>
    <m/>
    <m/>
    <m/>
    <m/>
    <m/>
    <m/>
    <m/>
    <n v="190"/>
    <m/>
    <m/>
    <n v="300"/>
    <n v="100"/>
    <n v="150"/>
    <n v="0"/>
    <n v="0"/>
    <n v="0"/>
    <n v="0"/>
    <n v="0"/>
    <n v="1"/>
    <n v="2442.5"/>
    <n v="2588.89"/>
    <n v="0"/>
    <n v="15.53334"/>
    <n v="2573.35666"/>
    <n v="0"/>
    <n v="0"/>
    <n v="0"/>
    <n v="130.8566599999999"/>
    <s v="苩震子"/>
    <s v="广西壮族自治区 桂林市 七星区 朝阳乡育才路2号朝阳宿舍1-1-1(000000)"/>
    <s v="18448249047-6811"/>
    <m/>
    <m/>
    <m/>
    <m/>
  </r>
  <r>
    <x v="148"/>
    <s v="已收货"/>
    <s v="4839508695539599318"/>
    <s v="龙勇光转欣蕊"/>
    <m/>
    <m/>
    <s v="1.5常规洞石柜"/>
    <x v="3"/>
    <n v="1500"/>
    <s v="已结算"/>
    <s v="庄毅"/>
    <n v="6667.346666666667"/>
    <n v="5400"/>
    <n v="501.08"/>
    <n v="226.6666666666667"/>
    <m/>
    <n v="76"/>
    <n v="309.6"/>
    <m/>
    <n v="60"/>
    <m/>
    <m/>
    <m/>
    <m/>
    <m/>
    <n v="17.5"/>
    <m/>
    <m/>
    <n v="7"/>
    <m/>
    <n v="20"/>
    <n v="10"/>
    <n v="18"/>
    <m/>
    <m/>
    <n v="40"/>
    <m/>
    <m/>
    <m/>
    <m/>
    <m/>
    <n v="364"/>
    <n v="100"/>
    <n v="150"/>
    <n v="0"/>
    <n v="0"/>
    <n v="0"/>
    <n v="0"/>
    <n v="80"/>
    <n v="1"/>
    <n v="7361.346666666667"/>
    <n v="10365.55"/>
    <n v="0"/>
    <n v="62.19329999999999"/>
    <n v="10303.3567"/>
    <n v="0"/>
    <n v="0"/>
    <n v="0"/>
    <n v="2942.010033333331"/>
    <s v="龙勇光转欣蕊"/>
    <s v="广东省 广州市 白云区 江高镇夏花三路498号部队路A14仓"/>
    <s v="13048087931-7786"/>
    <m/>
    <m/>
    <m/>
    <m/>
  </r>
  <r>
    <x v="148"/>
    <s v="已收货"/>
    <s v="3022657644421682080"/>
    <s v="崔先生"/>
    <m/>
    <m/>
    <s v="样块"/>
    <x v="0"/>
    <m/>
    <s v="已结算"/>
    <s v="杭州"/>
    <n v="7"/>
    <n v="5"/>
    <m/>
    <m/>
    <m/>
    <m/>
    <m/>
    <m/>
    <m/>
    <m/>
    <m/>
    <m/>
    <m/>
    <m/>
    <m/>
    <m/>
    <m/>
    <m/>
    <m/>
    <m/>
    <m/>
    <m/>
    <m/>
    <m/>
    <m/>
    <m/>
    <m/>
    <n v="2"/>
    <m/>
    <m/>
    <n v="5"/>
    <n v="0"/>
    <n v="0"/>
    <n v="0"/>
    <n v="0"/>
    <n v="0"/>
    <n v="0"/>
    <n v="0"/>
    <n v="1"/>
    <n v="12"/>
    <n v="21.2"/>
    <n v="0"/>
    <n v="0.1272"/>
    <n v="21.0728"/>
    <n v="0"/>
    <n v="0"/>
    <n v="0"/>
    <n v="9.072800000000001"/>
    <s v="崔先生"/>
    <s v="云南省 昆明市 盘龙区 金辰街道云南映象碧桂湾24-801"/>
    <s v="13114284668-2738"/>
    <m/>
    <m/>
    <m/>
    <m/>
  </r>
  <r>
    <x v="148"/>
    <s v="已收货"/>
    <s v="3024459373540946191"/>
    <s v="桃子"/>
    <m/>
    <m/>
    <s v="砂白色1.6米岩板餐桌"/>
    <x v="1"/>
    <s v="160cm*85cm"/>
    <s v="已结算"/>
    <s v="庄毅"/>
    <n v="1777.3"/>
    <n v="1530"/>
    <m/>
    <m/>
    <m/>
    <m/>
    <n v="244.8"/>
    <m/>
    <m/>
    <m/>
    <m/>
    <m/>
    <m/>
    <m/>
    <m/>
    <m/>
    <m/>
    <m/>
    <n v="2.5"/>
    <m/>
    <m/>
    <m/>
    <m/>
    <m/>
    <m/>
    <m/>
    <m/>
    <m/>
    <m/>
    <m/>
    <n v="148"/>
    <n v="0"/>
    <n v="76"/>
    <n v="0"/>
    <n v="270"/>
    <n v="0"/>
    <n v="0"/>
    <n v="0"/>
    <n v="1"/>
    <n v="2271.3"/>
    <n v="2688.41"/>
    <n v="0"/>
    <n v="16.13046"/>
    <n v="2672.27954"/>
    <n v="30"/>
    <n v="0"/>
    <n v="30"/>
    <n v="430.9795399999998"/>
    <s v="桃子"/>
    <s v="浙江省 杭州市 拱墅区 祥符街道西岸花园14-1702 （直接送到家门口！谢谢！！！）"/>
    <s v="18430787858-3779"/>
    <m/>
    <m/>
    <m/>
    <m/>
  </r>
  <r>
    <x v="149"/>
    <s v="已收货"/>
    <s v="P777183096112160281"/>
    <s v="王涛"/>
    <s v="没有安装信息"/>
    <m/>
    <s v="砂白色2.0米岩板餐桌"/>
    <x v="1"/>
    <s v="200cm*85cm"/>
    <s v="已结算"/>
    <s v="江西"/>
    <n v="2092.5"/>
    <n v="1450"/>
    <m/>
    <m/>
    <m/>
    <m/>
    <n v="510"/>
    <m/>
    <m/>
    <m/>
    <m/>
    <m/>
    <m/>
    <m/>
    <m/>
    <m/>
    <m/>
    <m/>
    <n v="2.5"/>
    <m/>
    <m/>
    <m/>
    <m/>
    <m/>
    <m/>
    <m/>
    <m/>
    <n v="130"/>
    <m/>
    <m/>
    <n v="78"/>
    <n v="25"/>
    <n v="0"/>
    <n v="0"/>
    <n v="0"/>
    <n v="0"/>
    <n v="0"/>
    <n v="0"/>
    <n v="1"/>
    <n v="2195.5"/>
    <n v="2926"/>
    <n v="0"/>
    <n v="17.556"/>
    <n v="2908.444"/>
    <n v="0"/>
    <n v="0"/>
    <n v="0"/>
    <n v="712.944"/>
    <s v="王涛"/>
    <s v="江苏省无锡市滨湖区胡埭镇福安状元里15-302"/>
    <n v="15861660738"/>
    <m/>
    <m/>
    <m/>
    <m/>
  </r>
  <r>
    <x v="150"/>
    <s v="已收货"/>
    <s v="3026464971311071672"/>
    <s v="王"/>
    <m/>
    <m/>
    <s v="1.5常规洞石柜"/>
    <x v="3"/>
    <n v="1500"/>
    <s v="已结算"/>
    <s v="庄毅"/>
    <n v="7067.346666666667"/>
    <n v="5800"/>
    <n v="501.08"/>
    <n v="226.6666666666667"/>
    <m/>
    <n v="76"/>
    <n v="309.6"/>
    <m/>
    <n v="60"/>
    <m/>
    <m/>
    <m/>
    <m/>
    <m/>
    <n v="17.5"/>
    <m/>
    <m/>
    <n v="7"/>
    <m/>
    <n v="20"/>
    <n v="10"/>
    <n v="18"/>
    <m/>
    <m/>
    <n v="40"/>
    <m/>
    <m/>
    <m/>
    <m/>
    <m/>
    <n v="300"/>
    <n v="100"/>
    <n v="98"/>
    <n v="0"/>
    <n v="120"/>
    <n v="0"/>
    <n v="0"/>
    <n v="200"/>
    <n v="1"/>
    <n v="7885.346666666667"/>
    <n v="9660.459999999999"/>
    <n v="0"/>
    <n v="57.96276"/>
    <n v="9602.497239999999"/>
    <n v="0"/>
    <n v="0"/>
    <n v="0"/>
    <n v="1717.150573333332"/>
    <s v="王"/>
    <s v="安徽省 亳州市 谯城区 亳州市经济技术开发区建投铂悦府20栋二单元902"/>
    <s v="18430738956-7666"/>
    <m/>
    <m/>
    <m/>
    <m/>
  </r>
  <r>
    <x v="150"/>
    <s v="已收货"/>
    <s v="3026993845617140768"/>
    <s v="王泓"/>
    <m/>
    <m/>
    <s v="样块"/>
    <x v="0"/>
    <m/>
    <s v="已结算"/>
    <s v="杭州"/>
    <n v="7"/>
    <n v="5"/>
    <m/>
    <m/>
    <m/>
    <m/>
    <m/>
    <m/>
    <m/>
    <m/>
    <m/>
    <m/>
    <m/>
    <m/>
    <m/>
    <m/>
    <m/>
    <m/>
    <m/>
    <m/>
    <m/>
    <m/>
    <m/>
    <m/>
    <m/>
    <m/>
    <m/>
    <n v="2"/>
    <m/>
    <m/>
    <n v="5"/>
    <n v="0"/>
    <n v="0"/>
    <n v="0"/>
    <n v="0"/>
    <n v="0"/>
    <n v="0"/>
    <n v="0"/>
    <n v="1"/>
    <n v="12"/>
    <n v="16.2"/>
    <n v="0"/>
    <n v="0.09719999999999999"/>
    <n v="16.1028"/>
    <n v="0"/>
    <n v="0"/>
    <n v="0"/>
    <n v="4.102799999999998"/>
    <s v="王泓"/>
    <s v="浙江省 台州市 临海市 古城街道友兰巷7号5栋"/>
    <s v="18413581739-7809"/>
    <m/>
    <m/>
    <m/>
    <m/>
  </r>
  <r>
    <x v="151"/>
    <s v="已收货"/>
    <s v="4845898188836554415"/>
    <s v="橘子"/>
    <m/>
    <m/>
    <s v="窄柜-整柜洞石背板-1.0米"/>
    <x v="18"/>
    <n v="1000"/>
    <s v="已结算"/>
    <s v="庄毅"/>
    <n v="3994.71"/>
    <n v="3300"/>
    <n v="359.08"/>
    <n v="120"/>
    <m/>
    <n v="38"/>
    <n v="106.8"/>
    <n v="59.23"/>
    <m/>
    <m/>
    <n v="5"/>
    <m/>
    <m/>
    <m/>
    <m/>
    <n v="2"/>
    <n v="1.1"/>
    <n v="3.5"/>
    <m/>
    <m/>
    <m/>
    <m/>
    <m/>
    <m/>
    <m/>
    <m/>
    <m/>
    <m/>
    <m/>
    <m/>
    <n v="560"/>
    <n v="0"/>
    <n v="75"/>
    <n v="0"/>
    <n v="0"/>
    <n v="0"/>
    <n v="0"/>
    <n v="0"/>
    <n v="1"/>
    <n v="4629.71"/>
    <n v="5151.5"/>
    <n v="0"/>
    <n v="30.909"/>
    <n v="5120.591"/>
    <n v="0"/>
    <n v="0"/>
    <n v="0"/>
    <n v="490.8810000000003"/>
    <s v="橘子"/>
    <s v="河北省 沧州市 任丘市 渤海路街道 局机关小区幸福家园2号楼302"/>
    <s v="18433979425-1233"/>
    <m/>
    <m/>
    <m/>
    <m/>
  </r>
  <r>
    <x v="151"/>
    <s v="已收货"/>
    <s v="3029805878318372574"/>
    <s v="林中瑜"/>
    <m/>
    <m/>
    <s v="砂白色1.8米岩板餐桌"/>
    <x v="1"/>
    <s v="180cm*85cm"/>
    <s v="已结算"/>
    <s v="庄毅"/>
    <n v="1857.9"/>
    <n v="1580"/>
    <m/>
    <m/>
    <m/>
    <m/>
    <n v="275.4"/>
    <m/>
    <m/>
    <m/>
    <m/>
    <m/>
    <m/>
    <m/>
    <m/>
    <m/>
    <m/>
    <m/>
    <n v="2.5"/>
    <m/>
    <m/>
    <m/>
    <m/>
    <m/>
    <m/>
    <m/>
    <m/>
    <m/>
    <m/>
    <m/>
    <n v="209"/>
    <m/>
    <n v="68"/>
    <n v="0"/>
    <n v="0"/>
    <n v="0"/>
    <n v="0"/>
    <n v="0"/>
    <n v="1"/>
    <n v="2134.9"/>
    <n v="2789.6"/>
    <n v="0"/>
    <n v="16.7376"/>
    <n v="2772.8624"/>
    <n v="0"/>
    <n v="0"/>
    <n v="0"/>
    <n v="637.9623999999999"/>
    <s v="林中瑜"/>
    <s v="浙江省 台州市 椒江区 葭沚街道 学院路天悦锦园1-1-502"/>
    <s v="18413581679-1223"/>
    <m/>
    <m/>
    <m/>
    <m/>
  </r>
  <r>
    <x v="151"/>
    <s v="已收货"/>
    <s v="3030290688676445374"/>
    <s v="李文"/>
    <s v="已发货，年后修复"/>
    <m/>
    <s v="定制2.1洞石柜"/>
    <x v="3"/>
    <n v="2100"/>
    <s v="已结算"/>
    <s v="庄毅"/>
    <n v="12630.48666666667"/>
    <n v="8500"/>
    <n v="432"/>
    <m/>
    <s v="2040/6/1.5"/>
    <n v="90"/>
    <n v="410.88"/>
    <m/>
    <m/>
    <m/>
    <m/>
    <m/>
    <n v="10"/>
    <n v="20"/>
    <m/>
    <m/>
    <m/>
    <n v="657.08"/>
    <n v="10"/>
    <n v="501.08"/>
    <n v="40"/>
    <m/>
    <m/>
    <m/>
    <n v="14"/>
    <m/>
    <m/>
    <n v="8.789999999999999"/>
    <n v="430"/>
    <n v="573.99"/>
    <n v="660"/>
    <n v="0"/>
    <n v="200"/>
    <n v="0"/>
    <n v="218"/>
    <n v="0"/>
    <n v="0"/>
    <n v="0"/>
    <n v="1"/>
    <n v="13708.48666666667"/>
    <n v="11024.88"/>
    <n v="0"/>
    <n v="66.14927999999999"/>
    <n v="10958.73072"/>
    <n v="0"/>
    <n v="0"/>
    <n v="0"/>
    <n v="-2749.755946666666"/>
    <s v="李文"/>
    <s v="河北省 廊坊市 永清县 永清镇 廊霸路与恒山路交汇处往南200米路东红蔷花园4号楼"/>
    <s v="18533766283-6889"/>
    <m/>
    <m/>
    <m/>
    <m/>
  </r>
  <r>
    <x v="151"/>
    <s v="已收货"/>
    <s v="3030330757980445374"/>
    <s v="李文"/>
    <m/>
    <m/>
    <s v="补差价"/>
    <x v="3"/>
    <m/>
    <s v="已结算"/>
    <s v="庄毅-江西"/>
    <n v="1660"/>
    <n v="1660"/>
    <m/>
    <m/>
    <m/>
    <m/>
    <m/>
    <m/>
    <m/>
    <m/>
    <m/>
    <m/>
    <m/>
    <m/>
    <m/>
    <m/>
    <m/>
    <m/>
    <m/>
    <m/>
    <m/>
    <m/>
    <m/>
    <m/>
    <m/>
    <m/>
    <m/>
    <m/>
    <m/>
    <m/>
    <n v="0"/>
    <n v="0"/>
    <n v="0"/>
    <n v="0"/>
    <n v="0"/>
    <n v="0"/>
    <n v="0"/>
    <n v="0"/>
    <n v="1"/>
    <n v="1660"/>
    <n v="440"/>
    <n v="0"/>
    <n v="2.64"/>
    <n v="437.36"/>
    <n v="0"/>
    <n v="0"/>
    <n v="0"/>
    <n v="-1222.64"/>
    <s v="李文"/>
    <s v="河北省 廊坊市 永清县 永清镇 廊霸路与恒山路交汇处往南200米路东红蔷花园4号楼"/>
    <s v="18533766283-6889"/>
    <m/>
    <m/>
    <m/>
    <m/>
  </r>
  <r>
    <x v="151"/>
    <s v="已收货"/>
    <s v="3031147524813233558"/>
    <s v="吴楠"/>
    <s v="已发货，未安装"/>
    <m/>
    <s v="砂白色2.0米岩板餐桌"/>
    <x v="1"/>
    <s v="200cm*85cm"/>
    <s v="已结算"/>
    <s v="庄毅"/>
    <n v="1938.5"/>
    <n v="1630"/>
    <m/>
    <m/>
    <m/>
    <m/>
    <n v="306"/>
    <m/>
    <m/>
    <m/>
    <m/>
    <m/>
    <m/>
    <m/>
    <m/>
    <m/>
    <m/>
    <m/>
    <n v="2.5"/>
    <m/>
    <m/>
    <m/>
    <m/>
    <m/>
    <m/>
    <m/>
    <m/>
    <m/>
    <m/>
    <m/>
    <n v="349"/>
    <n v="100"/>
    <n v="150"/>
    <n v="0"/>
    <n v="0"/>
    <n v="0"/>
    <n v="0"/>
    <n v="0"/>
    <n v="1"/>
    <n v="2537.5"/>
    <n v="3175.31"/>
    <n v="0"/>
    <n v="19.05186"/>
    <n v="3156.25814"/>
    <n v="0"/>
    <n v="0"/>
    <n v="0"/>
    <n v="618.7581399999999"/>
    <s v="吴楠"/>
    <s v="云南省 大理白族自治州 大理市 大理镇大理艺术家园雨燕1栋2-201"/>
    <s v="17626017845-8591"/>
    <m/>
    <m/>
    <m/>
    <m/>
  </r>
  <r>
    <x v="152"/>
    <s v="已收货"/>
    <s v="4848841044448474218"/>
    <s v="汤维肖"/>
    <m/>
    <m/>
    <s v="窄柜1.2米"/>
    <x v="18"/>
    <n v="1200"/>
    <s v="已结算"/>
    <s v="庄毅-江西"/>
    <n v="4546.299999999999"/>
    <n v="3650"/>
    <n v="115"/>
    <m/>
    <m/>
    <m/>
    <m/>
    <m/>
    <n v="27791"/>
    <m/>
    <m/>
    <n v="8"/>
    <n v="411.08"/>
    <n v="3"/>
    <m/>
    <m/>
    <m/>
    <m/>
    <n v="62.4"/>
    <n v="10"/>
    <s v="160*1.2*0.48"/>
    <m/>
    <m/>
    <m/>
    <s v="5*30"/>
    <m/>
    <m/>
    <m/>
    <m/>
    <m/>
    <n v="238"/>
    <n v="75"/>
    <n v="106"/>
    <n v="0"/>
    <n v="150"/>
    <n v="0"/>
    <n v="0"/>
    <n v="0"/>
    <n v="1"/>
    <n v="5115.299999999999"/>
    <n v="5623"/>
    <n v="0"/>
    <n v="33.738"/>
    <n v="5589.262"/>
    <n v="0"/>
    <n v="0"/>
    <n v="0"/>
    <n v="473.9620000000004"/>
    <s v="汤维肖"/>
    <s v="浙江省 嘉兴市 平湖市 钟埭街道 海越华府15幢102"/>
    <s v="18413443528-6125"/>
    <m/>
    <m/>
    <m/>
    <m/>
  </r>
  <r>
    <x v="152"/>
    <s v="已收货"/>
    <s v="4849737804159331701"/>
    <s v="杨云杰"/>
    <m/>
    <m/>
    <s v="1.5常规洞石柜"/>
    <x v="3"/>
    <n v="1500"/>
    <s v="已结算"/>
    <s v="庄毅"/>
    <n v="6667.346666666667"/>
    <n v="5400"/>
    <n v="501.08"/>
    <n v="226.6666666666667"/>
    <m/>
    <n v="76"/>
    <n v="309.6"/>
    <m/>
    <n v="60"/>
    <m/>
    <m/>
    <m/>
    <m/>
    <m/>
    <n v="17.5"/>
    <m/>
    <m/>
    <n v="7"/>
    <m/>
    <n v="20"/>
    <n v="10"/>
    <n v="18"/>
    <s v="30*2"/>
    <m/>
    <n v="40"/>
    <m/>
    <m/>
    <m/>
    <m/>
    <m/>
    <n v="0"/>
    <n v="0"/>
    <n v="148"/>
    <n v="0"/>
    <n v="200"/>
    <n v="0"/>
    <n v="0"/>
    <n v="227"/>
    <n v="1"/>
    <n v="7242.346666666667"/>
    <n v="10370.55"/>
    <n v="0"/>
    <n v="62.22329999999999"/>
    <n v="10308.3267"/>
    <n v="0"/>
    <n v="0"/>
    <n v="0"/>
    <n v="3065.980033333332"/>
    <s v="杨云杰"/>
    <s v="江苏省 南京市 鼓楼区 小市街道紫霞公寓5幢205室"/>
    <s v="15784202791-5643"/>
    <m/>
    <m/>
    <m/>
    <m/>
  </r>
  <r>
    <x v="152"/>
    <s v="已收货"/>
    <s v="4849810236087901508"/>
    <s v="王彤"/>
    <m/>
    <m/>
    <s v="1.5基础柜"/>
    <x v="25"/>
    <n v="1500"/>
    <s v="已结算"/>
    <s v="江西"/>
    <n v="6198.08"/>
    <n v="4600"/>
    <s v="22*4"/>
    <n v="10"/>
    <n v="489.08"/>
    <m/>
    <n v="28"/>
    <n v="52"/>
    <n v="41"/>
    <m/>
    <m/>
    <n v="170"/>
    <n v="260"/>
    <n v="80"/>
    <m/>
    <m/>
    <m/>
    <m/>
    <m/>
    <n v="380"/>
    <m/>
    <m/>
    <m/>
    <m/>
    <m/>
    <m/>
    <m/>
    <n v="380"/>
    <m/>
    <m/>
    <n v="400"/>
    <n v="100"/>
    <n v="200"/>
    <n v="0"/>
    <n v="0"/>
    <n v="0"/>
    <n v="0"/>
    <n v="0"/>
    <n v="1"/>
    <n v="6898.08"/>
    <n v="7255.35"/>
    <n v="0"/>
    <n v="43.5321"/>
    <n v="7211.8179"/>
    <n v="0"/>
    <n v="0"/>
    <n v="0"/>
    <n v="313.7379000000001"/>
    <s v="王彤"/>
    <s v="北京 北京市 海淀区 曙光街道世纪城春荫园1-2-12d"/>
    <s v="18400814300-6474"/>
    <m/>
    <m/>
    <m/>
    <m/>
  </r>
  <r>
    <x v="153"/>
    <s v="已收货"/>
    <s v="3033424093952714150"/>
    <s v="胖佩"/>
    <m/>
    <m/>
    <s v="砂白色1.5米岩板餐桌，定制"/>
    <x v="1"/>
    <s v="150cm*85cm"/>
    <s v="已结算"/>
    <s v="庄毅"/>
    <n v="1757.3"/>
    <n v="1510"/>
    <m/>
    <m/>
    <m/>
    <m/>
    <n v="244.8"/>
    <m/>
    <m/>
    <m/>
    <m/>
    <m/>
    <m/>
    <m/>
    <m/>
    <m/>
    <m/>
    <m/>
    <n v="2.5"/>
    <m/>
    <m/>
    <m/>
    <m/>
    <m/>
    <m/>
    <m/>
    <m/>
    <m/>
    <m/>
    <m/>
    <n v="210"/>
    <n v="0"/>
    <n v="90"/>
    <n v="0"/>
    <n v="0"/>
    <n v="0"/>
    <n v="0"/>
    <n v="50"/>
    <n v="1"/>
    <n v="2107.3"/>
    <n v="2637.05"/>
    <n v="0"/>
    <n v="15.8223"/>
    <n v="2621.2277"/>
    <n v="0"/>
    <n v="0"/>
    <n v="0"/>
    <n v="513.9276999999997"/>
    <s v="胖佩"/>
    <s v="湖南省 长沙市 天心区 裕南街街道向东南路186号城市森林5栋二单元208"/>
    <s v="18472625786-6114"/>
    <m/>
    <m/>
    <m/>
    <m/>
  </r>
  <r>
    <x v="153"/>
    <s v="已收货"/>
    <s v="3034365998638154650"/>
    <s v="李梦"/>
    <m/>
    <m/>
    <s v="样块"/>
    <x v="0"/>
    <m/>
    <s v="已结算"/>
    <s v="杭州"/>
    <n v="7"/>
    <n v="5"/>
    <m/>
    <m/>
    <m/>
    <m/>
    <m/>
    <m/>
    <m/>
    <m/>
    <m/>
    <m/>
    <m/>
    <m/>
    <m/>
    <m/>
    <m/>
    <m/>
    <m/>
    <m/>
    <m/>
    <m/>
    <m/>
    <m/>
    <m/>
    <m/>
    <m/>
    <n v="2"/>
    <m/>
    <m/>
    <n v="5"/>
    <n v="0"/>
    <n v="0"/>
    <n v="0"/>
    <n v="0"/>
    <n v="0"/>
    <n v="0"/>
    <n v="0"/>
    <n v="1"/>
    <n v="12"/>
    <n v="21.2"/>
    <n v="0"/>
    <n v="0.1272"/>
    <n v="21.0728"/>
    <n v="0"/>
    <n v="0"/>
    <n v="0"/>
    <n v="9.072800000000001"/>
    <s v="李梦"/>
    <s v="北京 北京市 通州区 梨园镇砖厂新家园7号楼二单元10层2102室"/>
    <s v="13161403447-1112"/>
    <m/>
    <m/>
    <m/>
    <m/>
  </r>
  <r>
    <x v="153"/>
    <s v="已收货"/>
    <s v="3034330107239116961"/>
    <s v="陆先生"/>
    <m/>
    <m/>
    <s v="砂白色1.6米岩板餐桌"/>
    <x v="1"/>
    <s v="160cm*85cm"/>
    <s v="已结算"/>
    <s v="庄毅"/>
    <n v="1777.3"/>
    <n v="1530"/>
    <m/>
    <m/>
    <m/>
    <m/>
    <n v="244.8"/>
    <m/>
    <m/>
    <m/>
    <m/>
    <m/>
    <m/>
    <m/>
    <m/>
    <m/>
    <m/>
    <m/>
    <n v="2.5"/>
    <m/>
    <m/>
    <m/>
    <m/>
    <m/>
    <m/>
    <m/>
    <m/>
    <m/>
    <m/>
    <m/>
    <n v="153"/>
    <n v="0"/>
    <n v="75"/>
    <n v="0"/>
    <n v="0"/>
    <n v="0"/>
    <n v="0"/>
    <n v="0"/>
    <n v="1"/>
    <n v="2005.3"/>
    <n v="2688.41"/>
    <n v="0"/>
    <n v="16.13046"/>
    <n v="2672.27954"/>
    <n v="0"/>
    <n v="0"/>
    <n v="0"/>
    <n v="666.97954"/>
    <s v="陆先生"/>
    <s v="浙江省 杭州市 拱墅区 朝晖街道东方豪园文豪阁1704"/>
    <s v="18413254214-4626"/>
    <m/>
    <m/>
    <m/>
    <m/>
  </r>
  <r>
    <x v="153"/>
    <s v="已收货"/>
    <s v="4851725186722288310"/>
    <s v="郑丹"/>
    <m/>
    <m/>
    <s v="曜黑柜-整柜-1.8米"/>
    <x v="19"/>
    <n v="1800"/>
    <s v="已结算"/>
    <s v="庄毅"/>
    <n v="11287.31333333333"/>
    <n v="9400"/>
    <n v="579.0799999999999"/>
    <n v="283.3333333333333"/>
    <n v="40"/>
    <m/>
    <n v="185.52"/>
    <n v="40"/>
    <n v="40"/>
    <n v="33"/>
    <m/>
    <s v="2550/6/1.5"/>
    <n v="567.08"/>
    <n v="10"/>
    <m/>
    <m/>
    <m/>
    <m/>
    <m/>
    <n v="20"/>
    <n v="10.5"/>
    <m/>
    <m/>
    <m/>
    <n v="620"/>
    <n v="65"/>
    <m/>
    <m/>
    <m/>
    <m/>
    <n v="513"/>
    <n v="0"/>
    <n v="150"/>
    <n v="0"/>
    <n v="138"/>
    <n v="0"/>
    <n v="0"/>
    <n v="200"/>
    <n v="1"/>
    <n v="12288.31333333333"/>
    <n v="14621.61"/>
    <n v="0"/>
    <n v="87.72966000000001"/>
    <n v="14533.88034"/>
    <n v="0"/>
    <n v="0"/>
    <n v="0"/>
    <n v="2245.567006666666"/>
    <s v="郑丹"/>
    <s v="河南省 郑州市 中原区 须水街道须水蓝岸明翠10号楼3102"/>
    <s v="13774730364-3629"/>
    <m/>
    <m/>
    <m/>
    <m/>
  </r>
  <r>
    <x v="154"/>
    <s v="已收货"/>
    <s v="3037282790929005651"/>
    <s v="叶宋涛"/>
    <m/>
    <m/>
    <s v="插座*2"/>
    <x v="5"/>
    <m/>
    <s v="已结算"/>
    <s v="其他"/>
    <n v="110"/>
    <n v="110"/>
    <m/>
    <m/>
    <m/>
    <m/>
    <m/>
    <m/>
    <m/>
    <m/>
    <m/>
    <m/>
    <m/>
    <m/>
    <m/>
    <m/>
    <m/>
    <m/>
    <m/>
    <m/>
    <m/>
    <m/>
    <m/>
    <m/>
    <m/>
    <m/>
    <m/>
    <m/>
    <m/>
    <m/>
    <n v="8"/>
    <n v="0"/>
    <n v="0"/>
    <n v="0"/>
    <n v="0"/>
    <n v="0"/>
    <n v="0"/>
    <n v="0"/>
    <n v="1"/>
    <n v="118"/>
    <n v="200"/>
    <n v="0"/>
    <n v="1.2"/>
    <n v="198.8"/>
    <n v="0"/>
    <n v="0"/>
    <n v="0"/>
    <n v="80.80000000000001"/>
    <s v="叶宋涛"/>
    <s v="广西壮族自治区 柳州市 鱼峰区 麒麟街道恒大御府10-1-2001"/>
    <s v="13117725671-2124"/>
    <m/>
    <m/>
    <m/>
    <m/>
  </r>
  <r>
    <x v="154"/>
    <s v="已收货"/>
    <s v="3037305651665869569"/>
    <s v="林囧"/>
    <m/>
    <m/>
    <s v="砂白色1.6米岩板餐桌"/>
    <x v="1"/>
    <s v="160cm*85cm"/>
    <s v="已结算"/>
    <s v="庄毅"/>
    <n v="1777.3"/>
    <n v="1530"/>
    <m/>
    <m/>
    <m/>
    <m/>
    <n v="244.8"/>
    <m/>
    <m/>
    <m/>
    <m/>
    <m/>
    <m/>
    <m/>
    <m/>
    <m/>
    <m/>
    <m/>
    <n v="2.5"/>
    <m/>
    <m/>
    <m/>
    <m/>
    <m/>
    <m/>
    <m/>
    <m/>
    <m/>
    <m/>
    <m/>
    <n v="149"/>
    <n v="0"/>
    <n v="70"/>
    <n v="0"/>
    <n v="0"/>
    <n v="0"/>
    <n v="0"/>
    <n v="0"/>
    <n v="1"/>
    <n v="1996.3"/>
    <n v="2688.41"/>
    <n v="0"/>
    <n v="16.13046"/>
    <n v="2672.27954"/>
    <n v="0"/>
    <n v="0"/>
    <n v="0"/>
    <n v="675.97954"/>
    <s v="林囧"/>
    <s v="浙江省 温州市 瓯海区 梧田街道泽霞雅苑一组团4-1304"/>
    <s v="18413549531-5204"/>
    <m/>
    <m/>
    <m/>
    <m/>
  </r>
  <r>
    <x v="155"/>
    <s v="已收货"/>
    <s v="4854509355272282730"/>
    <s v="王行同"/>
    <m/>
    <m/>
    <s v="样块*2"/>
    <x v="0"/>
    <m/>
    <s v="已结算"/>
    <s v="杭州"/>
    <n v="12"/>
    <n v="10"/>
    <m/>
    <m/>
    <m/>
    <m/>
    <m/>
    <m/>
    <m/>
    <m/>
    <m/>
    <m/>
    <m/>
    <m/>
    <m/>
    <m/>
    <m/>
    <m/>
    <m/>
    <m/>
    <m/>
    <m/>
    <m/>
    <m/>
    <m/>
    <m/>
    <m/>
    <n v="2"/>
    <m/>
    <m/>
    <n v="5"/>
    <n v="0"/>
    <n v="0"/>
    <n v="0"/>
    <n v="0"/>
    <n v="0"/>
    <n v="0"/>
    <n v="0"/>
    <n v="1"/>
    <n v="17"/>
    <n v="42.4"/>
    <n v="0"/>
    <n v="0.2544"/>
    <n v="42.1456"/>
    <n v="0"/>
    <n v="0"/>
    <n v="0"/>
    <n v="25.1456"/>
    <s v="王行同"/>
    <s v="江苏省 南京市 栖霞区 仙林街道杉湖西路8号东方天郡西区 29栋1单元406"/>
    <s v="13073451984-7538"/>
    <m/>
    <m/>
    <m/>
    <m/>
  </r>
  <r>
    <x v="156"/>
    <s v="已收货"/>
    <s v="4858105140425490240"/>
    <s v="梁先生"/>
    <m/>
    <m/>
    <s v="砂白色2.0米岩板餐桌"/>
    <x v="1"/>
    <s v="200cm*85cm"/>
    <s v="已结算"/>
    <s v="江西"/>
    <n v="2092.5"/>
    <n v="1450"/>
    <m/>
    <m/>
    <m/>
    <m/>
    <n v="510"/>
    <m/>
    <m/>
    <m/>
    <m/>
    <m/>
    <m/>
    <m/>
    <m/>
    <m/>
    <m/>
    <m/>
    <n v="2.5"/>
    <m/>
    <m/>
    <m/>
    <m/>
    <m/>
    <m/>
    <m/>
    <m/>
    <n v="130"/>
    <m/>
    <m/>
    <n v="93"/>
    <n v="25"/>
    <n v="90"/>
    <n v="0"/>
    <n v="158"/>
    <n v="0"/>
    <n v="0"/>
    <n v="0"/>
    <n v="1"/>
    <n v="2458.5"/>
    <n v="2920.31"/>
    <n v="0"/>
    <n v="17.52186"/>
    <n v="2902.78814"/>
    <n v="0"/>
    <n v="0"/>
    <n v="0"/>
    <n v="444.2881400000001"/>
    <s v="梁先生"/>
    <s v="广东省 肇庆市 端州区 睦岗街道侨兴新都汇3栋 1503"/>
    <s v="14716068031-4717"/>
    <m/>
    <m/>
    <m/>
    <m/>
  </r>
  <r>
    <x v="156"/>
    <s v="已收货"/>
    <s v="4858171057146490240"/>
    <s v="梁先生"/>
    <m/>
    <m/>
    <s v="样块"/>
    <x v="0"/>
    <m/>
    <s v="已结算"/>
    <s v="杭州"/>
    <n v="7"/>
    <n v="5"/>
    <m/>
    <m/>
    <m/>
    <m/>
    <m/>
    <m/>
    <m/>
    <m/>
    <m/>
    <m/>
    <m/>
    <m/>
    <m/>
    <m/>
    <m/>
    <m/>
    <m/>
    <m/>
    <m/>
    <m/>
    <m/>
    <m/>
    <m/>
    <m/>
    <m/>
    <n v="2"/>
    <m/>
    <m/>
    <n v="5"/>
    <n v="0"/>
    <n v="0"/>
    <n v="0"/>
    <n v="0"/>
    <n v="0"/>
    <n v="0"/>
    <n v="0"/>
    <n v="1"/>
    <n v="12"/>
    <n v="0"/>
    <n v="0"/>
    <n v="0"/>
    <n v="0"/>
    <n v="0"/>
    <n v="0"/>
    <n v="0"/>
    <n v="-12"/>
    <s v="梁先生"/>
    <s v="广东省 肇庆市 端州区 睦岗街道侨兴新都汇3栋 1503"/>
    <s v="14716068031-4717"/>
    <m/>
    <m/>
    <m/>
    <m/>
  </r>
  <r>
    <x v="156"/>
    <s v="已收货"/>
    <s v="3041225907838640891"/>
    <s v="安托-(227845)"/>
    <m/>
    <m/>
    <s v="砂白色1.6米岩板餐桌"/>
    <x v="1"/>
    <s v="160cm*85cm"/>
    <s v="已结算"/>
    <s v="庄毅"/>
    <n v="1777.3"/>
    <n v="1530"/>
    <m/>
    <m/>
    <m/>
    <m/>
    <n v="244.8"/>
    <m/>
    <m/>
    <m/>
    <m/>
    <m/>
    <m/>
    <m/>
    <m/>
    <m/>
    <m/>
    <m/>
    <n v="2.5"/>
    <m/>
    <m/>
    <m/>
    <m/>
    <m/>
    <m/>
    <m/>
    <m/>
    <m/>
    <m/>
    <m/>
    <n v="144"/>
    <n v="0"/>
    <n v="0"/>
    <n v="0"/>
    <n v="0"/>
    <n v="0"/>
    <n v="0"/>
    <n v="0"/>
    <n v="1"/>
    <n v="1921.3"/>
    <n v="2693.41"/>
    <n v="0"/>
    <n v="16.16046"/>
    <n v="2677.24954"/>
    <n v="0"/>
    <n v="0"/>
    <n v="0"/>
    <n v="755.9495399999998"/>
    <s v="安托-(227845)"/>
    <s v="广东省 广州市 白云区 江高镇广东省广州市白云区江高镇神山大道东237号电商园A区-(227845)"/>
    <s v="18466113760-1975"/>
    <m/>
    <m/>
    <m/>
    <m/>
  </r>
  <r>
    <x v="156"/>
    <s v="已收货"/>
    <s v="3041775732111467396"/>
    <s v="张先生"/>
    <m/>
    <m/>
    <s v="补差价"/>
    <x v="25"/>
    <m/>
    <s v="已结算"/>
    <s v="江西"/>
    <n v="0"/>
    <n v="0"/>
    <m/>
    <m/>
    <m/>
    <m/>
    <m/>
    <m/>
    <m/>
    <m/>
    <m/>
    <m/>
    <m/>
    <m/>
    <m/>
    <m/>
    <m/>
    <m/>
    <m/>
    <m/>
    <m/>
    <m/>
    <m/>
    <m/>
    <m/>
    <m/>
    <m/>
    <m/>
    <m/>
    <m/>
    <n v="0"/>
    <n v="0"/>
    <n v="0"/>
    <n v="0"/>
    <n v="0"/>
    <n v="0"/>
    <n v="0"/>
    <n v="0"/>
    <n v="1"/>
    <n v="0"/>
    <n v="110"/>
    <n v="0"/>
    <n v="0.66"/>
    <n v="109.34"/>
    <n v="0"/>
    <n v="0"/>
    <n v="0"/>
    <n v="109.34"/>
    <s v="张先生"/>
    <s v="四川省 泸州市 江阳区 茜草街道高新湖畔27栋802"/>
    <s v="18418949368-3898"/>
    <m/>
    <m/>
    <m/>
    <m/>
  </r>
  <r>
    <x v="156"/>
    <s v="已收货"/>
    <s v="3041503323909467396"/>
    <s v="张先生"/>
    <m/>
    <m/>
    <s v="定制1.8米AA柱款"/>
    <x v="25"/>
    <m/>
    <s v="已结算"/>
    <s v="江西"/>
    <n v="6602.08"/>
    <n v="5100"/>
    <n v="380"/>
    <n v="28"/>
    <n v="14"/>
    <m/>
    <s v="22*4"/>
    <n v="579.08"/>
    <n v="370"/>
    <m/>
    <m/>
    <n v="10"/>
    <s v="(72"/>
    <s v="126)/6"/>
    <m/>
    <m/>
    <m/>
    <m/>
    <m/>
    <m/>
    <m/>
    <m/>
    <m/>
    <m/>
    <m/>
    <m/>
    <m/>
    <n v="370"/>
    <m/>
    <m/>
    <n v="655"/>
    <n v="104"/>
    <n v="60"/>
    <n v="0"/>
    <n v="0"/>
    <n v="0"/>
    <n v="0"/>
    <n v="0"/>
    <n v="1"/>
    <n v="7421.08"/>
    <n v="7749.37"/>
    <n v="0"/>
    <n v="46.49622"/>
    <n v="7702.87378"/>
    <n v="0"/>
    <n v="0"/>
    <n v="0"/>
    <n v="281.79378"/>
    <s v="张先生"/>
    <s v="四川省 泸州市 江阳区 茜草街道高新湖畔27栋802"/>
    <s v="18418949368-3898"/>
    <m/>
    <m/>
    <m/>
    <m/>
  </r>
  <r>
    <x v="156"/>
    <s v="已收货"/>
    <s v="3041930605766894682"/>
    <s v="王泳懿"/>
    <m/>
    <m/>
    <s v="样块*2"/>
    <x v="0"/>
    <m/>
    <s v="已结算"/>
    <s v="杭州"/>
    <n v="12"/>
    <n v="10"/>
    <m/>
    <m/>
    <m/>
    <m/>
    <m/>
    <m/>
    <m/>
    <m/>
    <m/>
    <m/>
    <m/>
    <m/>
    <m/>
    <m/>
    <m/>
    <m/>
    <m/>
    <m/>
    <m/>
    <m/>
    <m/>
    <m/>
    <m/>
    <m/>
    <m/>
    <n v="2"/>
    <m/>
    <m/>
    <n v="5"/>
    <n v="0"/>
    <n v="0"/>
    <n v="0"/>
    <n v="0"/>
    <n v="0"/>
    <n v="0"/>
    <n v="0"/>
    <n v="1"/>
    <n v="17"/>
    <n v="42.4"/>
    <n v="0"/>
    <n v="0.2544"/>
    <n v="42.1456"/>
    <n v="0"/>
    <n v="0"/>
    <n v="0"/>
    <n v="25.1456"/>
    <s v="王泳懿"/>
    <s v="广东省 深圳市 南山区 招商街道临海揽山御园1栋B座1904"/>
    <s v="15794943121-6872"/>
    <m/>
    <m/>
    <m/>
    <m/>
  </r>
  <r>
    <x v="157"/>
    <s v="已收货"/>
    <s v="4859235037949885643"/>
    <s v="王先生"/>
    <m/>
    <m/>
    <s v="砂白色1.8米岩板餐桌"/>
    <x v="1"/>
    <s v="180cm*85cm"/>
    <s v="已结算"/>
    <s v="庄毅"/>
    <n v="1857.9"/>
    <n v="1580"/>
    <m/>
    <m/>
    <m/>
    <m/>
    <n v="275.4"/>
    <m/>
    <m/>
    <m/>
    <m/>
    <m/>
    <m/>
    <m/>
    <m/>
    <m/>
    <m/>
    <m/>
    <n v="2.5"/>
    <m/>
    <m/>
    <m/>
    <m/>
    <m/>
    <m/>
    <m/>
    <m/>
    <m/>
    <m/>
    <m/>
    <n v="222"/>
    <n v="0"/>
    <n v="98"/>
    <n v="0"/>
    <n v="0"/>
    <n v="0"/>
    <n v="0"/>
    <n v="0"/>
    <n v="1"/>
    <n v="2177.9"/>
    <n v="2794.6"/>
    <n v="0"/>
    <n v="16.7676"/>
    <n v="2777.8324"/>
    <n v="0"/>
    <n v="0"/>
    <n v="0"/>
    <n v="599.9323999999997"/>
    <s v="王先生"/>
    <s v="江苏省 苏州市 吴中区 郭巷街道郭津路99号九龙仓碧堤雅苑56-508"/>
    <s v="17851496359-7650"/>
    <m/>
    <m/>
    <m/>
    <m/>
  </r>
  <r>
    <x v="157"/>
    <s v="已收货"/>
    <s v="4859150151134571805"/>
    <s v="okok"/>
    <m/>
    <m/>
    <s v="砂白色1.8米岩板餐桌"/>
    <x v="1"/>
    <s v="180cm*85cm"/>
    <s v="已结算"/>
    <s v="庄毅"/>
    <n v="1857.9"/>
    <n v="1580"/>
    <m/>
    <m/>
    <m/>
    <m/>
    <n v="275.4"/>
    <m/>
    <m/>
    <m/>
    <m/>
    <m/>
    <m/>
    <m/>
    <m/>
    <m/>
    <m/>
    <m/>
    <n v="2.5"/>
    <m/>
    <m/>
    <m/>
    <m/>
    <m/>
    <m/>
    <m/>
    <m/>
    <m/>
    <m/>
    <m/>
    <n v="233"/>
    <n v="0"/>
    <n v="66"/>
    <n v="0"/>
    <n v="0"/>
    <n v="0"/>
    <n v="0"/>
    <n v="0"/>
    <n v="1"/>
    <n v="2156.9"/>
    <n v="2789.6"/>
    <n v="0"/>
    <n v="16.7376"/>
    <n v="2772.8624"/>
    <n v="0"/>
    <n v="0"/>
    <n v="0"/>
    <n v="615.9623999999999"/>
    <s v="okok"/>
    <s v="安徽省 合肥市 瑶海区 铜陵路街道置地中心一期Y3-103"/>
    <s v="15665455004-9090"/>
    <m/>
    <m/>
    <m/>
    <m/>
  </r>
  <r>
    <x v="157"/>
    <s v="已收货"/>
    <s v="4859607745231320800"/>
    <s v="刘小鱼"/>
    <m/>
    <m/>
    <s v="窄柜-整柜洞石背板-1.0米"/>
    <x v="18"/>
    <n v="1000"/>
    <s v="已结算"/>
    <s v="江西"/>
    <n v="4211.48"/>
    <n v="3300"/>
    <n v="359.08"/>
    <n v="120"/>
    <m/>
    <n v="38"/>
    <n v="106.8"/>
    <n v="54"/>
    <n v="52"/>
    <m/>
    <n v="5"/>
    <m/>
    <m/>
    <m/>
    <m/>
    <n v="2"/>
    <n v="1.1"/>
    <n v="3.5"/>
    <m/>
    <m/>
    <m/>
    <m/>
    <m/>
    <m/>
    <m/>
    <m/>
    <m/>
    <n v="170"/>
    <m/>
    <m/>
    <n v="223"/>
    <n v="62"/>
    <n v="80"/>
    <n v="0"/>
    <n v="0"/>
    <n v="0"/>
    <n v="0"/>
    <n v="0"/>
    <n v="1"/>
    <n v="4576.48"/>
    <n v="5156.5"/>
    <n v="0"/>
    <n v="30.939"/>
    <n v="5125.561"/>
    <n v="0"/>
    <n v="0"/>
    <n v="0"/>
    <n v="549.0810000000001"/>
    <s v="刘小鱼"/>
    <s v="湖北省 襄阳市 樊城区 汉江街道民发盛特一品一期1栋402"/>
    <s v="18472104467-9872"/>
    <m/>
    <m/>
    <m/>
    <m/>
  </r>
  <r>
    <x v="157"/>
    <s v="未发货"/>
    <s v="3043347061134373655"/>
    <s v="孙小力"/>
    <m/>
    <m/>
    <s v="榉木2.1米整柜+1.6米单腿餐桌"/>
    <x v="2"/>
    <n v="2100"/>
    <m/>
    <s v="江西"/>
    <n v="7817.4"/>
    <n v="7817.4"/>
    <m/>
    <m/>
    <m/>
    <m/>
    <m/>
    <m/>
    <m/>
    <m/>
    <m/>
    <m/>
    <m/>
    <m/>
    <m/>
    <m/>
    <m/>
    <m/>
    <m/>
    <m/>
    <m/>
    <m/>
    <m/>
    <m/>
    <m/>
    <m/>
    <m/>
    <n v="570"/>
    <m/>
    <m/>
    <n v="524"/>
    <n v="150"/>
    <n v="150"/>
    <n v="0"/>
    <n v="0"/>
    <n v="0"/>
    <n v="0"/>
    <n v="0"/>
    <n v="1"/>
    <n v="8641.4"/>
    <n v="9828.57"/>
    <n v="0"/>
    <n v="58.97142"/>
    <n v="9769.59858"/>
    <n v="0"/>
    <n v="0"/>
    <n v="0"/>
    <n v="1128.19858"/>
    <s v="孙小力"/>
    <s v="浙江省 杭州市 西湖区 三墩镇国风美域1栋2单元1201室"/>
    <s v="18413246728-9285"/>
    <m/>
    <m/>
    <m/>
    <m/>
  </r>
  <r>
    <x v="157"/>
    <s v="未发货"/>
    <s v="3043411971580060888"/>
    <s v="郭"/>
    <m/>
    <m/>
    <s v="砂白色1.4米岩板餐桌"/>
    <x v="1"/>
    <s v="140cm*85cm"/>
    <m/>
    <s v="江西"/>
    <n v="1892.5"/>
    <n v="1300"/>
    <m/>
    <m/>
    <m/>
    <m/>
    <n v="220"/>
    <m/>
    <m/>
    <m/>
    <m/>
    <m/>
    <m/>
    <m/>
    <m/>
    <m/>
    <m/>
    <m/>
    <n v="2.5"/>
    <m/>
    <m/>
    <m/>
    <m/>
    <m/>
    <m/>
    <m/>
    <m/>
    <n v="190"/>
    <m/>
    <m/>
    <n v="256"/>
    <n v="0"/>
    <n v="65"/>
    <n v="0"/>
    <n v="0"/>
    <n v="0"/>
    <n v="0"/>
    <n v="0"/>
    <n v="1"/>
    <n v="2213.5"/>
    <n v="2588.89"/>
    <n v="0"/>
    <n v="15.53334"/>
    <n v="2573.35666"/>
    <n v="0"/>
    <n v="0"/>
    <n v="0"/>
    <n v="359.8566599999999"/>
    <s v="郭"/>
    <s v="天津 天津市 红桥区 三条石街道河海花园6号楼1单元2901"/>
    <s v="18400869944-3503"/>
    <m/>
    <m/>
    <m/>
    <m/>
  </r>
  <r>
    <x v="157"/>
    <s v="已收货"/>
    <s v="3043704615516645288"/>
    <s v="陈艳红"/>
    <s v="已调整：产品成本+背板+岩板+岩板打孔+电力轨道+打包费（窄柜+岛台）+玻璃+灯带+抽屉轨道+隔板轨道+其他五金"/>
    <m/>
    <s v="窄柜-整柜洞石背板-1.0米"/>
    <x v="18"/>
    <n v="1000"/>
    <s v="已结算"/>
    <s v="江西"/>
    <n v="4783.54"/>
    <n v="3600"/>
    <n v="359.08"/>
    <n v="120"/>
    <m/>
    <n v="38"/>
    <n v="106.8"/>
    <n v="54"/>
    <n v="52"/>
    <m/>
    <n v="5"/>
    <m/>
    <m/>
    <m/>
    <m/>
    <n v="2"/>
    <n v="1.1"/>
    <n v="3.5"/>
    <m/>
    <m/>
    <m/>
    <m/>
    <m/>
    <m/>
    <m/>
    <m/>
    <m/>
    <n v="410"/>
    <m/>
    <m/>
    <n v="416"/>
    <n v="101"/>
    <n v="266"/>
    <n v="0"/>
    <n v="139"/>
    <n v="0"/>
    <n v="0"/>
    <n v="0"/>
    <n v="1"/>
    <n v="5705.54"/>
    <n v="5156.5"/>
    <n v="0"/>
    <n v="30.939"/>
    <n v="5125.561"/>
    <n v="0"/>
    <n v="0"/>
    <n v="0"/>
    <n v="-579.9790000000003"/>
    <s v="陈艳红"/>
    <s v="广东省 惠州市 惠阳区 新圩镇牧云溪谷八期毓山郡云庭5栋1203房"/>
    <s v="17806516701-5015"/>
    <m/>
    <m/>
    <m/>
    <m/>
  </r>
  <r>
    <x v="158"/>
    <s v="已收货"/>
    <s v="4863126925527946918"/>
    <s v="覃"/>
    <s v="已调整：产品成本+背板+岩板+岩板打孔+电力轨道+灯带+隔板轨道+其他五金"/>
    <m/>
    <s v="窄柜-整柜洞石背板-1.2米"/>
    <x v="18"/>
    <n v="1200"/>
    <s v="已结算"/>
    <s v="庄毅"/>
    <n v="4496.299999999999"/>
    <n v="3600"/>
    <n v="411.08"/>
    <n v="125"/>
    <m/>
    <n v="76"/>
    <n v="122.16"/>
    <n v="62.4"/>
    <m/>
    <m/>
    <m/>
    <n v="8"/>
    <m/>
    <n v="3"/>
    <m/>
    <m/>
    <m/>
    <n v="3.37"/>
    <m/>
    <m/>
    <s v="5*30"/>
    <m/>
    <m/>
    <n v="1.16"/>
    <n v="1.1"/>
    <n v="10"/>
    <m/>
    <m/>
    <m/>
    <m/>
    <n v="343"/>
    <n v="0"/>
    <n v="109"/>
    <n v="0"/>
    <n v="0"/>
    <n v="0"/>
    <n v="0"/>
    <n v="0"/>
    <n v="1"/>
    <n v="4948.299999999999"/>
    <n v="5623"/>
    <n v="0"/>
    <n v="33.738"/>
    <n v="5589.262"/>
    <n v="0"/>
    <n v="0"/>
    <n v="0"/>
    <n v="640.9620000000004"/>
    <s v="郭"/>
    <s v="天津 天津市 红桥区 三条石街道河海花园6号楼1单元2901"/>
    <s v="18400869944-3503"/>
    <m/>
    <m/>
    <m/>
    <m/>
  </r>
  <r>
    <x v="158"/>
    <s v="已收货"/>
    <s v="4863072998235328524"/>
    <s v="杨剑文"/>
    <m/>
    <m/>
    <s v="砂白色1.6米岩板餐桌+贝壳椅子*4+实木椅"/>
    <x v="1"/>
    <s v="160cm*85cm"/>
    <s v="已结算"/>
    <s v="庄毅备货-江西"/>
    <n v="2777.29"/>
    <n v="1530"/>
    <m/>
    <m/>
    <m/>
    <m/>
    <n v="244.8"/>
    <m/>
    <m/>
    <m/>
    <m/>
    <m/>
    <m/>
    <m/>
    <m/>
    <m/>
    <m/>
    <m/>
    <n v="2.5"/>
    <m/>
    <n v="999.99"/>
    <m/>
    <m/>
    <m/>
    <m/>
    <m/>
    <m/>
    <m/>
    <m/>
    <m/>
    <n v="350"/>
    <n v="50"/>
    <n v="98"/>
    <n v="0"/>
    <n v="0"/>
    <n v="0"/>
    <n v="0"/>
    <n v="0"/>
    <n v="1"/>
    <n v="3275.29"/>
    <n v="4221.41"/>
    <n v="0"/>
    <n v="25.32846"/>
    <n v="4196.08154"/>
    <n v="0"/>
    <n v="0"/>
    <n v="0"/>
    <n v="920.7915400000002"/>
    <s v="杨剑文"/>
    <s v="甘肃省 天水市 秦州区 东关街道天水市第一人民医院地区医院家属院1号楼902"/>
    <s v="18413282098-6410"/>
    <m/>
    <m/>
    <m/>
    <m/>
  </r>
  <r>
    <x v="158"/>
    <s v="已收货"/>
    <s v="3045858711597756378"/>
    <s v="蒋倩"/>
    <m/>
    <m/>
    <s v="砂白色1.8米岩板餐桌"/>
    <x v="1"/>
    <s v="180cm*85cm"/>
    <s v="已结算"/>
    <s v="庄毅"/>
    <n v="1857.9"/>
    <n v="1580"/>
    <m/>
    <m/>
    <m/>
    <m/>
    <n v="275.4"/>
    <m/>
    <m/>
    <m/>
    <m/>
    <m/>
    <m/>
    <m/>
    <m/>
    <m/>
    <m/>
    <m/>
    <n v="2.5"/>
    <m/>
    <m/>
    <m/>
    <m/>
    <m/>
    <m/>
    <m/>
    <m/>
    <m/>
    <m/>
    <m/>
    <n v="285"/>
    <n v="0"/>
    <n v="68"/>
    <n v="0"/>
    <n v="0"/>
    <n v="0"/>
    <n v="0"/>
    <n v="0"/>
    <n v="1"/>
    <n v="2210.9"/>
    <n v="2789.6"/>
    <n v="0"/>
    <n v="16.7376"/>
    <n v="2772.8624"/>
    <n v="0"/>
    <n v="0"/>
    <n v="0"/>
    <n v="561.9623999999999"/>
    <s v="蒋倩"/>
    <s v="重庆 重庆市 九龙坡区 中梁山街道绿地凤天府(南门)17栋13-4"/>
    <s v="13140369209-8815"/>
    <m/>
    <m/>
    <m/>
    <m/>
  </r>
  <r>
    <x v="159"/>
    <s v="退货"/>
    <s v="3046828766271933564"/>
    <s v="张先生"/>
    <s v="退回江西"/>
    <m/>
    <s v="砂白色1.4米岩板餐桌"/>
    <x v="1"/>
    <s v="140cm*85cm"/>
    <s v="已结算"/>
    <s v="庄毅"/>
    <n v="0"/>
    <n v="0"/>
    <m/>
    <m/>
    <m/>
    <m/>
    <m/>
    <m/>
    <m/>
    <m/>
    <m/>
    <m/>
    <m/>
    <m/>
    <m/>
    <m/>
    <m/>
    <m/>
    <m/>
    <m/>
    <m/>
    <m/>
    <m/>
    <m/>
    <m/>
    <m/>
    <m/>
    <m/>
    <m/>
    <m/>
    <n v="0"/>
    <n v="0"/>
    <n v="88"/>
    <n v="0"/>
    <n v="0"/>
    <n v="0"/>
    <n v="0"/>
    <n v="0"/>
    <n v="2"/>
    <n v="88"/>
    <n v="0"/>
    <n v="0"/>
    <n v="0"/>
    <n v="0"/>
    <n v="0"/>
    <n v="0"/>
    <n v="0"/>
    <n v="-88"/>
    <s v="张先生"/>
    <s v="上海 上海市 长宁区 天山路街道玉屏大楼301室"/>
    <s v="18466686641-7990"/>
    <m/>
    <m/>
    <m/>
    <m/>
  </r>
  <r>
    <x v="159"/>
    <s v="已收货"/>
    <s v="3047816282307713084"/>
    <s v="江荣斌"/>
    <m/>
    <m/>
    <s v="窄柜-整柜洞石背板-1.0米-定制"/>
    <x v="18"/>
    <n v="1000"/>
    <s v="已结算"/>
    <s v="江西"/>
    <n v="4480.77"/>
    <n v="3600"/>
    <n v="359.08"/>
    <n v="120"/>
    <m/>
    <n v="38"/>
    <n v="106.8"/>
    <n v="59.23"/>
    <n v="52"/>
    <m/>
    <n v="5"/>
    <m/>
    <m/>
    <m/>
    <m/>
    <n v="2"/>
    <n v="1.1"/>
    <n v="3.5"/>
    <m/>
    <m/>
    <m/>
    <m/>
    <m/>
    <m/>
    <m/>
    <m/>
    <m/>
    <n v="170"/>
    <m/>
    <m/>
    <n v="246"/>
    <n v="67"/>
    <n v="98"/>
    <n v="0"/>
    <n v="0"/>
    <n v="0"/>
    <n v="0"/>
    <n v="0"/>
    <n v="1"/>
    <n v="4891.77"/>
    <n v="5151.5"/>
    <n v="0"/>
    <n v="30.909"/>
    <n v="5120.591"/>
    <n v="0"/>
    <n v="0"/>
    <n v="0"/>
    <n v="228.8210000000008"/>
    <s v="江荣斌"/>
    <s v="福建省 福州市 仓山区 盖山镇融创福州府C区C5#楼1单元402室"/>
    <s v="18480118891-1605"/>
    <m/>
    <m/>
    <m/>
    <m/>
  </r>
  <r>
    <x v="159"/>
    <s v="已收货"/>
    <s v="3048100465538713084"/>
    <s v="江荣斌"/>
    <m/>
    <m/>
    <s v="补差价"/>
    <x v="4"/>
    <m/>
    <s v="已结算"/>
    <s v="江西"/>
    <n v="0"/>
    <n v="0"/>
    <m/>
    <m/>
    <m/>
    <m/>
    <m/>
    <m/>
    <m/>
    <m/>
    <m/>
    <m/>
    <m/>
    <m/>
    <m/>
    <m/>
    <m/>
    <m/>
    <m/>
    <m/>
    <m/>
    <m/>
    <m/>
    <m/>
    <m/>
    <m/>
    <m/>
    <m/>
    <m/>
    <m/>
    <n v="0"/>
    <n v="0"/>
    <n v="0"/>
    <n v="0"/>
    <n v="0"/>
    <n v="0"/>
    <n v="0"/>
    <n v="0"/>
    <n v="1"/>
    <n v="0"/>
    <n v="152"/>
    <n v="0"/>
    <n v="0.912"/>
    <n v="151.088"/>
    <n v="0"/>
    <n v="0"/>
    <n v="0"/>
    <n v="151.088"/>
    <s v="江荣斌"/>
    <s v="福建省 福州市 仓山区 盖山镇融创福州府C区C5#楼1单元402室"/>
    <s v="18480118891-1605"/>
    <m/>
    <m/>
    <m/>
    <m/>
  </r>
  <r>
    <x v="159"/>
    <s v="已收货"/>
    <s v="4865301183501483326"/>
    <s v="郑"/>
    <m/>
    <m/>
    <s v="砂白色1.6米岩板餐桌+巧克力椅子*4"/>
    <x v="1"/>
    <s v="160cm*85cm"/>
    <s v="已结算"/>
    <s v="江西"/>
    <n v="3070.49"/>
    <n v="1350"/>
    <m/>
    <m/>
    <m/>
    <m/>
    <n v="240"/>
    <m/>
    <m/>
    <m/>
    <m/>
    <m/>
    <m/>
    <m/>
    <m/>
    <m/>
    <m/>
    <m/>
    <n v="2.5"/>
    <m/>
    <n v="1307.99"/>
    <m/>
    <m/>
    <m/>
    <m/>
    <m/>
    <m/>
    <n v="170"/>
    <m/>
    <m/>
    <n v="104"/>
    <n v="30"/>
    <n v="80"/>
    <n v="0"/>
    <n v="0"/>
    <n v="0"/>
    <n v="0"/>
    <n v="0"/>
    <n v="1"/>
    <n v="3284.49"/>
    <n v="5083.41"/>
    <n v="0"/>
    <n v="30.50046"/>
    <n v="5052.90954"/>
    <n v="0"/>
    <n v="0"/>
    <n v="0"/>
    <n v="1768.41954"/>
    <s v="郑"/>
    <s v="福建省 福州市 连江县 敖江镇 建发双玺书香府6幢705"/>
    <s v="18480125011-4845"/>
    <m/>
    <m/>
    <m/>
    <m/>
  </r>
  <r>
    <x v="159"/>
    <s v="已收货"/>
    <s v="3048420468952579758"/>
    <s v="朱叶峰"/>
    <m/>
    <m/>
    <s v="定制1.2榉木柜-补差价"/>
    <x v="9"/>
    <n v="1200"/>
    <s v="已结算"/>
    <s v="江西"/>
    <n v="0"/>
    <n v="0"/>
    <m/>
    <m/>
    <m/>
    <m/>
    <m/>
    <m/>
    <m/>
    <m/>
    <m/>
    <m/>
    <m/>
    <m/>
    <m/>
    <m/>
    <m/>
    <m/>
    <m/>
    <m/>
    <m/>
    <m/>
    <m/>
    <m/>
    <m/>
    <m/>
    <m/>
    <m/>
    <m/>
    <m/>
    <m/>
    <n v="0"/>
    <n v="0"/>
    <n v="0"/>
    <n v="0"/>
    <n v="0"/>
    <n v="0"/>
    <n v="0"/>
    <n v="1"/>
    <n v="0"/>
    <n v="375"/>
    <n v="0"/>
    <n v="2.25"/>
    <n v="372.75"/>
    <n v="0"/>
    <n v="0"/>
    <n v="0"/>
    <n v="372.75"/>
    <s v="朱叶峰"/>
    <s v="广东省 广州市 海珠区 昌岗街道 昌岗东路271号之一 403 房"/>
    <s v="18466125923-1548"/>
    <m/>
    <m/>
    <m/>
    <m/>
  </r>
  <r>
    <x v="160"/>
    <s v="已收货"/>
    <s v="4868040528254208729"/>
    <s v="殷康"/>
    <m/>
    <m/>
    <s v="砂白色1.8米岩板餐桌"/>
    <x v="1"/>
    <s v="180cm*85cm"/>
    <s v="已结算"/>
    <s v="江西"/>
    <n v="1822.5"/>
    <n v="1400"/>
    <m/>
    <m/>
    <m/>
    <m/>
    <n v="240"/>
    <m/>
    <m/>
    <m/>
    <m/>
    <m/>
    <m/>
    <m/>
    <m/>
    <m/>
    <m/>
    <m/>
    <n v="2.5"/>
    <m/>
    <m/>
    <m/>
    <m/>
    <m/>
    <m/>
    <m/>
    <m/>
    <n v="180"/>
    <m/>
    <m/>
    <n v="138"/>
    <n v="35"/>
    <n v="65"/>
    <n v="0"/>
    <n v="0"/>
    <n v="0"/>
    <n v="0"/>
    <n v="0"/>
    <n v="1"/>
    <n v="2060.5"/>
    <n v="2789.6"/>
    <n v="0"/>
    <n v="16.7376"/>
    <n v="2772.8624"/>
    <n v="0"/>
    <n v="0"/>
    <n v="0"/>
    <n v="712.3624"/>
    <s v="殷康"/>
    <s v="山东省 青岛市 即墨区 通济街道佳园都市北区9号楼二单元902"/>
    <s v="13148960029-8101"/>
    <m/>
    <m/>
    <m/>
    <m/>
  </r>
  <r>
    <x v="160"/>
    <s v="已收货"/>
    <s v="3050781637737483287"/>
    <s v="段"/>
    <m/>
    <m/>
    <s v="1.2岩板桌"/>
    <x v="28"/>
    <s v="120cm*85cm"/>
    <s v="已结算"/>
    <s v="江西"/>
    <n v="1862.5"/>
    <n v="1300"/>
    <n v="2.5"/>
    <n v="390"/>
    <n v="170"/>
    <m/>
    <m/>
    <m/>
    <m/>
    <m/>
    <m/>
    <m/>
    <m/>
    <m/>
    <m/>
    <m/>
    <m/>
    <m/>
    <m/>
    <m/>
    <m/>
    <m/>
    <m/>
    <m/>
    <m/>
    <m/>
    <m/>
    <n v="170"/>
    <m/>
    <m/>
    <n v="87"/>
    <n v="25"/>
    <n v="88"/>
    <n v="0"/>
    <n v="0"/>
    <n v="0"/>
    <n v="0"/>
    <n v="0"/>
    <n v="1"/>
    <n v="2062.5"/>
    <n v="1907.9"/>
    <n v="0"/>
    <n v="11.4474"/>
    <n v="1896.4526"/>
    <n v="0"/>
    <n v="0"/>
    <n v="0"/>
    <n v="-166.0473999999999"/>
    <s v="段"/>
    <s v="陕西省 西安市 雁塔区 小寨路街道香山红叶 10号楼"/>
    <s v="15664708445-6586"/>
    <m/>
    <m/>
    <m/>
    <m/>
  </r>
  <r>
    <x v="161"/>
    <s v="已收货"/>
    <s v="3050834125964873551"/>
    <s v="向磊"/>
    <m/>
    <m/>
    <s v="砂白色1.8米岩板餐桌"/>
    <x v="1"/>
    <s v="180cm*85cm"/>
    <s v="已结算"/>
    <s v="庄毅"/>
    <n v="1857.9"/>
    <n v="1580"/>
    <m/>
    <m/>
    <m/>
    <m/>
    <n v="275.4"/>
    <m/>
    <m/>
    <m/>
    <m/>
    <m/>
    <m/>
    <m/>
    <m/>
    <m/>
    <m/>
    <m/>
    <n v="2.5"/>
    <m/>
    <m/>
    <m/>
    <m/>
    <m/>
    <m/>
    <m/>
    <m/>
    <m/>
    <m/>
    <m/>
    <n v="248"/>
    <n v="0"/>
    <n v="79"/>
    <n v="0"/>
    <n v="0"/>
    <n v="0"/>
    <n v="0"/>
    <n v="0"/>
    <n v="1"/>
    <n v="2184.9"/>
    <n v="2789.6"/>
    <n v="0"/>
    <n v="16.7376"/>
    <n v="2772.8624"/>
    <n v="0"/>
    <n v="0"/>
    <n v="0"/>
    <n v="587.9623999999999"/>
    <s v="向磊"/>
    <s v="湖南省 邵阳市 洞口县 文昌街道天坤·名门世家2栋2单元607"/>
    <s v="18472629543-3371"/>
    <m/>
    <m/>
    <m/>
    <m/>
  </r>
  <r>
    <x v="161"/>
    <s v="已收货"/>
    <s v="3051663063060263596"/>
    <s v="陳安明-(leo880516)"/>
    <m/>
    <m/>
    <s v="曜黑柜-整柜-2.1米"/>
    <x v="19"/>
    <n v="2100"/>
    <s v="已结算"/>
    <s v="江西"/>
    <n v="11283.41333333333"/>
    <n v="9200"/>
    <n v="350"/>
    <s v="2550/6/1.5"/>
    <n v="30"/>
    <n v="14"/>
    <n v="20"/>
    <n v="46"/>
    <n v="712.08"/>
    <s v="22*3"/>
    <n v="470"/>
    <n v="28"/>
    <n v="66"/>
    <n v="20"/>
    <m/>
    <m/>
    <m/>
    <m/>
    <m/>
    <m/>
    <m/>
    <m/>
    <m/>
    <m/>
    <m/>
    <m/>
    <m/>
    <n v="470"/>
    <m/>
    <m/>
    <n v="481"/>
    <n v="30"/>
    <n v="0"/>
    <n v="0"/>
    <n v="0"/>
    <n v="0"/>
    <n v="0"/>
    <n v="0"/>
    <n v="1"/>
    <n v="11794.41333333333"/>
    <n v="12954.82"/>
    <n v="0"/>
    <n v="77.72892"/>
    <n v="12877.09108"/>
    <n v="0"/>
    <n v="0"/>
    <n v="0"/>
    <n v="1082.677746666666"/>
    <s v="陳安明-(leo880516)"/>
    <s v="广东省 东莞市  洪梅镇洪金路888号全通-(189717)"/>
    <s v="13149391706-5291"/>
    <m/>
    <m/>
    <m/>
    <m/>
  </r>
  <r>
    <x v="161"/>
    <s v="已收货"/>
    <s v="3051660507739263596"/>
    <s v="陳安明-(leo880516)"/>
    <m/>
    <m/>
    <s v="黑胡桃木岩板桌1.2米"/>
    <x v="30"/>
    <s v="120cm*85cm"/>
    <s v="已结算"/>
    <s v="江西"/>
    <n v="0"/>
    <n v="0"/>
    <m/>
    <m/>
    <m/>
    <m/>
    <m/>
    <m/>
    <m/>
    <m/>
    <m/>
    <m/>
    <m/>
    <m/>
    <m/>
    <m/>
    <m/>
    <m/>
    <m/>
    <m/>
    <m/>
    <m/>
    <m/>
    <m/>
    <m/>
    <m/>
    <m/>
    <m/>
    <m/>
    <m/>
    <n v="0"/>
    <n v="0"/>
    <n v="0"/>
    <n v="0"/>
    <n v="0"/>
    <n v="0"/>
    <n v="0"/>
    <n v="0"/>
    <n v="1"/>
    <n v="0"/>
    <n v="3277.5"/>
    <n v="0"/>
    <n v="19.665"/>
    <n v="3257.835"/>
    <n v="0"/>
    <n v="0"/>
    <n v="0"/>
    <n v="3257.835"/>
    <s v="陳安明-(leo880516)"/>
    <s v="广东省 东莞市  洪梅镇洪金路888号全通-(189717)"/>
    <s v="13149391706-5291"/>
    <m/>
    <m/>
    <m/>
    <m/>
  </r>
  <r>
    <x v="161"/>
    <s v="已收货"/>
    <s v="4870333800158259538"/>
    <s v="筱寅"/>
    <m/>
    <m/>
    <s v="插座"/>
    <x v="5"/>
    <m/>
    <s v="已结算"/>
    <s v="其他"/>
    <n v="55"/>
    <n v="55"/>
    <m/>
    <m/>
    <m/>
    <m/>
    <m/>
    <m/>
    <m/>
    <m/>
    <m/>
    <m/>
    <m/>
    <m/>
    <m/>
    <m/>
    <m/>
    <m/>
    <m/>
    <m/>
    <m/>
    <m/>
    <m/>
    <m/>
    <m/>
    <m/>
    <m/>
    <m/>
    <m/>
    <m/>
    <n v="8"/>
    <n v="0"/>
    <n v="0"/>
    <n v="0"/>
    <n v="0"/>
    <n v="0"/>
    <n v="0"/>
    <n v="0"/>
    <n v="1"/>
    <n v="63"/>
    <n v="100"/>
    <n v="0"/>
    <n v="0.6"/>
    <n v="99.40000000000001"/>
    <n v="0"/>
    <n v="0"/>
    <n v="0"/>
    <n v="36.40000000000001"/>
    <s v="筱寅"/>
    <s v="江苏省 无锡市 锡山区 东亭街道柏木南苑物业办公室"/>
    <s v="17804411871-6384"/>
    <m/>
    <m/>
    <m/>
    <m/>
  </r>
  <r>
    <x v="161"/>
    <s v="已收货"/>
    <s v="3052561226288059455"/>
    <s v="邓凯达"/>
    <m/>
    <m/>
    <s v="样块"/>
    <x v="0"/>
    <m/>
    <s v="已结算"/>
    <s v="杭州"/>
    <n v="7"/>
    <n v="5"/>
    <m/>
    <m/>
    <m/>
    <m/>
    <m/>
    <m/>
    <m/>
    <m/>
    <m/>
    <m/>
    <m/>
    <m/>
    <m/>
    <m/>
    <m/>
    <m/>
    <m/>
    <m/>
    <m/>
    <m/>
    <m/>
    <m/>
    <m/>
    <m/>
    <m/>
    <n v="2"/>
    <m/>
    <m/>
    <n v="5"/>
    <n v="0"/>
    <n v="0"/>
    <n v="0"/>
    <n v="0"/>
    <n v="0"/>
    <n v="0"/>
    <n v="0"/>
    <n v="1"/>
    <n v="12"/>
    <n v="21.2"/>
    <n v="0"/>
    <n v="0.1272"/>
    <n v="21.0728"/>
    <n v="0"/>
    <n v="0"/>
    <n v="0"/>
    <n v="9.072800000000001"/>
    <s v="邓凯达"/>
    <s v="江苏省 无锡市 梁溪区 扬名街道金科世界城C区12号2604室"/>
    <s v="18468303122-4577"/>
    <m/>
    <m/>
    <m/>
    <m/>
  </r>
  <r>
    <x v="162"/>
    <s v="已收货"/>
    <s v="4871737335768941236"/>
    <s v="郑嘉桐"/>
    <m/>
    <m/>
    <s v="隔板"/>
    <x v="5"/>
    <m/>
    <s v="已结算"/>
    <s v="江西"/>
    <n v="10"/>
    <n v="10"/>
    <m/>
    <m/>
    <m/>
    <m/>
    <m/>
    <m/>
    <m/>
    <m/>
    <m/>
    <m/>
    <m/>
    <m/>
    <m/>
    <m/>
    <m/>
    <m/>
    <m/>
    <m/>
    <m/>
    <m/>
    <m/>
    <m/>
    <m/>
    <m/>
    <m/>
    <n v="0"/>
    <m/>
    <m/>
    <n v="15"/>
    <n v="0"/>
    <n v="0"/>
    <n v="0"/>
    <n v="0"/>
    <n v="0"/>
    <n v="0"/>
    <n v="0"/>
    <n v="1"/>
    <n v="25"/>
    <n v="89"/>
    <n v="0"/>
    <n v="0.534"/>
    <n v="88.46599999999999"/>
    <n v="0"/>
    <n v="0"/>
    <n v="0"/>
    <n v="63.46599999999999"/>
    <s v="郑嘉桐"/>
    <s v="广东省 潮州市 潮安区 枫溪镇枫溪区新风路"/>
    <s v="17896683087-1577"/>
    <m/>
    <m/>
    <m/>
    <m/>
  </r>
  <r>
    <x v="162"/>
    <s v="已收货"/>
    <s v="3054249482602788358"/>
    <s v="林雯30F"/>
    <m/>
    <m/>
    <s v="砂白色1.6米岩板餐桌"/>
    <x v="1"/>
    <s v="160cm*85cm"/>
    <s v="已结算"/>
    <s v="江西"/>
    <n v="1782.5"/>
    <n v="1350"/>
    <m/>
    <m/>
    <m/>
    <m/>
    <n v="240"/>
    <m/>
    <m/>
    <m/>
    <m/>
    <m/>
    <m/>
    <m/>
    <m/>
    <m/>
    <m/>
    <m/>
    <n v="2.5"/>
    <m/>
    <m/>
    <m/>
    <m/>
    <m/>
    <m/>
    <m/>
    <m/>
    <n v="190"/>
    <m/>
    <m/>
    <n v="90"/>
    <n v="0"/>
    <n v="0"/>
    <n v="0"/>
    <n v="0"/>
    <n v="0"/>
    <n v="0"/>
    <n v="0"/>
    <n v="1"/>
    <n v="1872.5"/>
    <n v="2693.41"/>
    <n v="0"/>
    <n v="16.16046"/>
    <n v="2677.24954"/>
    <n v="0"/>
    <n v="0"/>
    <n v="0"/>
    <n v="804.7495399999998"/>
    <s v="林雯30F"/>
    <s v="上海 上海市 松江区 佘山镇强业路278号海龙仓库HLEH250731E"/>
    <s v="13122177244-6701"/>
    <m/>
    <m/>
    <m/>
    <m/>
  </r>
  <r>
    <x v="162"/>
    <s v="已收货"/>
    <s v="4872402183293049141"/>
    <s v="刘晓彤"/>
    <m/>
    <m/>
    <s v="2.1米洞洞板款"/>
    <x v="25"/>
    <m/>
    <s v="已结算"/>
    <s v="江西"/>
    <n v="7673"/>
    <n v="5400"/>
    <n v="320"/>
    <n v="655"/>
    <n v="350"/>
    <m/>
    <n v="22"/>
    <n v="10"/>
    <n v="30.5"/>
    <m/>
    <m/>
    <n v="2.5"/>
    <n v="25"/>
    <n v="10"/>
    <m/>
    <m/>
    <m/>
    <n v="450"/>
    <s v="22*4"/>
    <n v="230"/>
    <n v="28"/>
    <m/>
    <m/>
    <m/>
    <n v="52"/>
    <m/>
    <m/>
    <n v="450"/>
    <m/>
    <m/>
    <n v="696"/>
    <n v="130"/>
    <n v="199"/>
    <n v="0"/>
    <n v="0"/>
    <n v="0"/>
    <n v="0"/>
    <n v="0"/>
    <n v="1"/>
    <n v="8698"/>
    <n v="8244.719999999999"/>
    <n v="0"/>
    <n v="49.46832"/>
    <n v="8195.251679999999"/>
    <n v="0"/>
    <n v="0"/>
    <n v="0"/>
    <n v="-502.7483200000006"/>
    <s v="刘晓彤"/>
    <s v="北京 北京市 丰台区 成寿寺街道东叁金茂府1期6号楼1602"/>
    <s v="18400753211-5073"/>
    <m/>
    <m/>
    <m/>
    <m/>
  </r>
  <r>
    <x v="163"/>
    <s v="已收货"/>
    <s v="3055037414612092963"/>
    <s v="严淘宝"/>
    <m/>
    <m/>
    <s v="窄柜-整柜洞石背板-0.8米"/>
    <x v="18"/>
    <n v="800"/>
    <s v="已结算"/>
    <s v="江西"/>
    <n v="4177.74"/>
    <n v="3300"/>
    <n v="307.08"/>
    <n v="115"/>
    <m/>
    <n v="30"/>
    <m/>
    <m/>
    <n v="21947"/>
    <m/>
    <n v="4"/>
    <m/>
    <n v="307.08"/>
    <n v="52"/>
    <m/>
    <m/>
    <m/>
    <n v="40"/>
    <n v="160"/>
    <n v="3"/>
    <n v="10"/>
    <m/>
    <m/>
    <m/>
    <m/>
    <m/>
    <m/>
    <n v="150"/>
    <m/>
    <m/>
    <n v="165"/>
    <n v="0"/>
    <n v="90"/>
    <n v="0"/>
    <n v="0"/>
    <n v="0"/>
    <n v="0"/>
    <n v="0"/>
    <n v="1"/>
    <n v="4432.74"/>
    <n v="4824.5"/>
    <n v="0"/>
    <n v="28.947"/>
    <n v="4795.553"/>
    <n v="0"/>
    <n v="0"/>
    <n v="0"/>
    <n v="362.8130000000001"/>
    <s v="严淘宝"/>
    <s v="江苏省 南通市 海安市 海安街道海安悦珑庭"/>
    <s v="17834703024-5680"/>
    <m/>
    <m/>
    <m/>
    <m/>
  </r>
  <r>
    <x v="163"/>
    <s v="已收货"/>
    <s v="4873592377128930109"/>
    <s v="杨坤鹏转余栋"/>
    <m/>
    <m/>
    <s v="1.8黑色背板洞石柜"/>
    <x v="3"/>
    <n v="1800"/>
    <s v="已结算"/>
    <s v="江西"/>
    <n v="8252.413333333334"/>
    <n v="6080"/>
    <n v="80"/>
    <s v="2550/6/1.5"/>
    <n v="579.08"/>
    <m/>
    <n v="390"/>
    <n v="10"/>
    <n v="14"/>
    <m/>
    <m/>
    <s v="22*7"/>
    <n v="580"/>
    <n v="82"/>
    <m/>
    <m/>
    <m/>
    <m/>
    <m/>
    <m/>
    <m/>
    <m/>
    <m/>
    <m/>
    <m/>
    <m/>
    <m/>
    <n v="390"/>
    <m/>
    <m/>
    <n v="350"/>
    <n v="30"/>
    <n v="80"/>
    <n v="0"/>
    <n v="0"/>
    <n v="0"/>
    <n v="0"/>
    <n v="0"/>
    <n v="1"/>
    <n v="8712.413333333334"/>
    <n v="10497.36"/>
    <n v="0"/>
    <n v="62.98416"/>
    <n v="10434.37584"/>
    <n v="0"/>
    <n v="0"/>
    <n v="0"/>
    <n v="1721.962506666667"/>
    <s v="杨坤鹏转余栋"/>
    <s v="广东省 广州市 白云区 江高镇夏花三路498号部队路A14仓 （YD502-SIN）"/>
    <s v="14749678969-1705"/>
    <m/>
    <m/>
    <m/>
    <m/>
  </r>
  <r>
    <x v="163"/>
    <s v="未发货"/>
    <s v="3055457355359207296"/>
    <s v="舟舟"/>
    <m/>
    <m/>
    <s v="窄柜-整柜洞石背板-1.0米"/>
    <x v="18"/>
    <n v="1000"/>
    <m/>
    <s v="江西"/>
    <n v="4245.74"/>
    <n v="3300"/>
    <n v="359.08"/>
    <n v="120"/>
    <m/>
    <n v="38"/>
    <n v="190"/>
    <n v="54"/>
    <n v="52"/>
    <m/>
    <n v="5"/>
    <m/>
    <m/>
    <m/>
    <m/>
    <n v="2"/>
    <n v="1.1"/>
    <n v="3.5"/>
    <m/>
    <m/>
    <m/>
    <m/>
    <m/>
    <m/>
    <m/>
    <m/>
    <m/>
    <n v="170"/>
    <m/>
    <m/>
    <n v="350"/>
    <n v="30"/>
    <n v="80"/>
    <n v="0"/>
    <n v="0"/>
    <n v="0"/>
    <n v="0"/>
    <n v="0"/>
    <n v="1"/>
    <n v="4705.74"/>
    <n v="5156.5"/>
    <n v="0"/>
    <n v="30.939"/>
    <n v="5125.561"/>
    <n v="0"/>
    <n v="0"/>
    <n v="0"/>
    <n v="419.8209999999999"/>
    <s v="舟舟"/>
    <s v="上海 上海市 长宁区 新华路街道法华镇路751弄西镇小区18号楼601室(000000)"/>
    <s v="18466658942-6583"/>
    <m/>
    <m/>
    <m/>
    <m/>
  </r>
  <r>
    <x v="163"/>
    <s v="已收货"/>
    <s v="4873599577469930109"/>
    <s v="杨坤鹏转余栋"/>
    <m/>
    <m/>
    <s v="补差价"/>
    <x v="4"/>
    <m/>
    <m/>
    <s v="江西"/>
    <n v="0"/>
    <n v="0"/>
    <m/>
    <m/>
    <m/>
    <m/>
    <m/>
    <m/>
    <m/>
    <m/>
    <m/>
    <m/>
    <m/>
    <m/>
    <m/>
    <m/>
    <m/>
    <m/>
    <m/>
    <m/>
    <m/>
    <m/>
    <m/>
    <m/>
    <m/>
    <m/>
    <m/>
    <m/>
    <m/>
    <m/>
    <n v="0"/>
    <n v="0"/>
    <n v="0"/>
    <n v="0"/>
    <n v="0"/>
    <n v="0"/>
    <n v="0"/>
    <n v="0"/>
    <n v="1"/>
    <n v="0"/>
    <n v="175"/>
    <n v="0"/>
    <n v="1.05"/>
    <n v="173.95"/>
    <n v="0"/>
    <n v="0"/>
    <n v="0"/>
    <n v="173.95"/>
    <s v="杨坤鹏转余栋"/>
    <s v="广东省 广州市 白云区 江高镇夏花三路498号部队路A14仓 （YD502-SIN）"/>
    <s v="14749678969-1705"/>
    <m/>
    <m/>
    <m/>
    <m/>
  </r>
  <r>
    <x v="163"/>
    <s v="已收货"/>
    <s v="4874185801635993306"/>
    <s v="曾瓊萩"/>
    <m/>
    <m/>
    <s v="2.1基础柜洞洞板"/>
    <x v="25"/>
    <m/>
    <s v="已结算"/>
    <s v="江西"/>
    <n v="8643.5"/>
    <n v="5400"/>
    <n v="320"/>
    <n v="655"/>
    <n v="350"/>
    <m/>
    <n v="22"/>
    <n v="10"/>
    <n v="30.5"/>
    <m/>
    <m/>
    <n v="2.5"/>
    <n v="20.5"/>
    <n v="25"/>
    <m/>
    <m/>
    <m/>
    <n v="230"/>
    <n v="230"/>
    <n v="10"/>
    <s v="22*4"/>
    <m/>
    <n v="28"/>
    <n v="52"/>
    <n v="470"/>
    <n v="700"/>
    <m/>
    <n v="700"/>
    <m/>
    <m/>
    <n v="927"/>
    <n v="245"/>
    <n v="0"/>
    <n v="0"/>
    <n v="0"/>
    <n v="0"/>
    <n v="0"/>
    <n v="0"/>
    <n v="1"/>
    <n v="9815.5"/>
    <n v="8244.719999999999"/>
    <n v="0"/>
    <n v="49.46832"/>
    <n v="8195.251679999999"/>
    <n v="0"/>
    <n v="0"/>
    <n v="0"/>
    <n v="-1620.248320000001"/>
    <s v="曾瓊萩"/>
    <s v="福建省 厦门市 同安区  #AYXWLY9Q#中国/福建省/厦门市/同安区集安路555号逊达洪通物流园B库台湾海运集运@F8M5IJD3"/>
    <n v="15880251056"/>
    <m/>
    <m/>
    <m/>
    <m/>
  </r>
  <r>
    <x v="163"/>
    <s v="已收货"/>
    <s v="4874189943628890528"/>
    <s v="邱雨荷"/>
    <m/>
    <m/>
    <s v="砂白色1.4米岩板餐桌"/>
    <x v="1"/>
    <s v="140cm*85cm"/>
    <s v="已结算"/>
    <s v="庄毅"/>
    <n v="1696.7"/>
    <n v="1480"/>
    <m/>
    <m/>
    <m/>
    <m/>
    <n v="214.2"/>
    <m/>
    <m/>
    <m/>
    <m/>
    <m/>
    <m/>
    <m/>
    <m/>
    <m/>
    <m/>
    <m/>
    <n v="2.5"/>
    <m/>
    <m/>
    <m/>
    <m/>
    <m/>
    <m/>
    <m/>
    <m/>
    <m/>
    <m/>
    <m/>
    <n v="229"/>
    <n v="0"/>
    <n v="80"/>
    <n v="0"/>
    <n v="0"/>
    <n v="0"/>
    <n v="0"/>
    <n v="0"/>
    <n v="1"/>
    <n v="2005.7"/>
    <n v="2588.89"/>
    <n v="0"/>
    <n v="15.53334"/>
    <n v="2573.35666"/>
    <n v="0"/>
    <n v="0"/>
    <n v="0"/>
    <n v="567.6566599999999"/>
    <s v="邱雨荷"/>
    <s v="陕西省 西安市 雁塔区 电子城街道信达雁熙云著铂翠2号楼一单元2202"/>
    <s v="15529015942-6794"/>
    <m/>
    <m/>
    <m/>
    <m/>
  </r>
  <r>
    <x v="163"/>
    <s v="已收货"/>
    <s v="3057139056361511074"/>
    <s v="程玲霞"/>
    <m/>
    <m/>
    <s v="曜黑柜-整柜-2.1米"/>
    <x v="19"/>
    <n v="2100"/>
    <s v="已结算"/>
    <s v="江西"/>
    <n v="11195.41333333333"/>
    <n v="9200"/>
    <n v="350"/>
    <n v="283.3333333333333"/>
    <n v="30"/>
    <m/>
    <n v="14"/>
    <n v="20"/>
    <n v="36"/>
    <m/>
    <m/>
    <n v="712.08"/>
    <n v="66"/>
    <n v="410"/>
    <m/>
    <m/>
    <m/>
    <m/>
    <n v="20"/>
    <n v="44"/>
    <m/>
    <m/>
    <m/>
    <m/>
    <m/>
    <m/>
    <m/>
    <n v="410"/>
    <m/>
    <m/>
    <n v="498"/>
    <n v="0"/>
    <n v="278"/>
    <n v="0"/>
    <n v="0"/>
    <n v="0"/>
    <n v="0"/>
    <n v="0"/>
    <n v="1"/>
    <n v="11971.41333333333"/>
    <n v="15411.84"/>
    <n v="0"/>
    <n v="92.47104"/>
    <n v="15319.36896"/>
    <n v="0"/>
    <n v="0"/>
    <n v="0"/>
    <n v="3347.955626666666"/>
    <s v="程玲霞"/>
    <s v="河南省 新乡市 长垣市 蒲东街道汇淼紫云府5-1-101"/>
    <s v="14738732449-3548"/>
    <m/>
    <m/>
    <m/>
    <m/>
  </r>
  <r>
    <x v="163"/>
    <s v="已收货"/>
    <s v="3057235608330627656"/>
    <s v="徐女士"/>
    <m/>
    <m/>
    <s v="长虹玻璃"/>
    <x v="31"/>
    <m/>
    <m/>
    <s v="江西"/>
    <n v="40"/>
    <n v="40"/>
    <m/>
    <m/>
    <m/>
    <m/>
    <m/>
    <m/>
    <m/>
    <m/>
    <m/>
    <m/>
    <m/>
    <m/>
    <m/>
    <m/>
    <m/>
    <m/>
    <m/>
    <m/>
    <m/>
    <m/>
    <m/>
    <m/>
    <m/>
    <m/>
    <m/>
    <n v="20"/>
    <m/>
    <m/>
    <n v="65"/>
    <n v="0"/>
    <n v="0"/>
    <n v="0"/>
    <n v="0"/>
    <n v="0"/>
    <n v="0"/>
    <n v="0"/>
    <n v="1"/>
    <n v="105"/>
    <n v="120"/>
    <n v="0"/>
    <n v="0.72"/>
    <n v="119.28"/>
    <n v="0"/>
    <n v="0"/>
    <n v="0"/>
    <n v="14.28"/>
    <s v="徐女士"/>
    <s v="北京 北京市 东城区 安定门街道花园胡同1号楼2门301"/>
    <s v="18400837006-9574"/>
    <m/>
    <m/>
    <m/>
    <m/>
  </r>
  <r>
    <x v="163"/>
    <s v="已收货"/>
    <s v="4875055094191354028"/>
    <s v="陈先生"/>
    <m/>
    <m/>
    <s v="砂白色2.0米岩板餐桌，定制"/>
    <x v="1"/>
    <s v="200cm*90cm"/>
    <s v="已结算"/>
    <s v="江西"/>
    <n v="2172.5"/>
    <n v="1500"/>
    <m/>
    <m/>
    <m/>
    <m/>
    <n v="540"/>
    <m/>
    <m/>
    <m/>
    <m/>
    <m/>
    <m/>
    <m/>
    <m/>
    <m/>
    <m/>
    <m/>
    <n v="2.5"/>
    <m/>
    <m/>
    <m/>
    <m/>
    <m/>
    <m/>
    <m/>
    <m/>
    <n v="130"/>
    <m/>
    <m/>
    <n v="223"/>
    <n v="36"/>
    <n v="70"/>
    <n v="0"/>
    <n v="0"/>
    <n v="0"/>
    <n v="0"/>
    <n v="0"/>
    <n v="1"/>
    <n v="2501.5"/>
    <n v="2925.31"/>
    <n v="0"/>
    <n v="17.55186"/>
    <n v="2907.75814"/>
    <n v="0"/>
    <n v="0"/>
    <n v="0"/>
    <n v="406.2581399999999"/>
    <s v="陈先生"/>
    <s v="河北省 张家口市 桥西区 沈家屯镇岭秀城3号院8号楼2单元501"/>
    <s v="18433935654-7461"/>
    <m/>
    <m/>
    <m/>
    <m/>
  </r>
  <r>
    <x v="163"/>
    <s v="已收货"/>
    <s v="4875433920491354028"/>
    <s v="陈先生"/>
    <m/>
    <m/>
    <s v="补差价"/>
    <x v="4"/>
    <m/>
    <m/>
    <s v="江西"/>
    <n v="0"/>
    <n v="0"/>
    <m/>
    <m/>
    <m/>
    <m/>
    <m/>
    <m/>
    <m/>
    <m/>
    <m/>
    <m/>
    <m/>
    <m/>
    <m/>
    <m/>
    <m/>
    <m/>
    <m/>
    <m/>
    <m/>
    <m/>
    <m/>
    <m/>
    <m/>
    <m/>
    <m/>
    <m/>
    <m/>
    <m/>
    <n v="0"/>
    <n v="0"/>
    <n v="0"/>
    <n v="0"/>
    <n v="0"/>
    <n v="0"/>
    <n v="0"/>
    <n v="0"/>
    <n v="1"/>
    <n v="0"/>
    <n v="70"/>
    <n v="0"/>
    <n v="0.42"/>
    <n v="69.58"/>
    <n v="0"/>
    <n v="0"/>
    <n v="0"/>
    <n v="69.58"/>
    <s v="陈先生"/>
    <s v="河北省 张家口市 桥西区 沈家屯镇岭秀城3号院8号楼2单元501"/>
    <s v="18433935506-7995"/>
    <m/>
    <m/>
    <m/>
    <m/>
  </r>
  <r>
    <x v="163"/>
    <s v="已收货"/>
    <s v="4875481081000424447"/>
    <s v="高艺玲"/>
    <m/>
    <m/>
    <s v="1.6米餐边柜+1.2米双腿桌"/>
    <x v="2"/>
    <n v="1600"/>
    <s v="已结算"/>
    <s v="江西"/>
    <n v="8886"/>
    <n v="8120"/>
    <m/>
    <m/>
    <m/>
    <m/>
    <m/>
    <m/>
    <n v="21"/>
    <m/>
    <m/>
    <n v="40"/>
    <n v="21"/>
    <n v="48"/>
    <m/>
    <m/>
    <m/>
    <m/>
    <m/>
    <n v="10"/>
    <m/>
    <m/>
    <m/>
    <m/>
    <n v="146"/>
    <m/>
    <m/>
    <n v="480"/>
    <m/>
    <m/>
    <n v="400"/>
    <n v="50"/>
    <n v="150"/>
    <n v="0"/>
    <n v="0"/>
    <n v="0"/>
    <n v="0"/>
    <n v="0"/>
    <n v="1"/>
    <n v="9486"/>
    <n v="11141.18"/>
    <n v="0"/>
    <n v="66.84708000000001"/>
    <n v="11074.33292"/>
    <n v="0"/>
    <n v="0"/>
    <n v="0"/>
    <n v="1588.332920000001"/>
    <s v="高艺玲"/>
    <s v="云南省 昆明市 西山区 永昌街道金地九樾1-105"/>
    <s v="13124814575-9217"/>
    <m/>
    <m/>
    <m/>
    <m/>
  </r>
  <r>
    <x v="163"/>
    <s v="已收货"/>
    <s v="3057560472733772170"/>
    <s v="飞楠楠"/>
    <m/>
    <m/>
    <s v="砂白色2.0米岩板餐桌"/>
    <x v="1"/>
    <s v="200cm*85cm"/>
    <s v="已结算"/>
    <s v="庄毅"/>
    <n v="1938.5"/>
    <n v="1630"/>
    <m/>
    <m/>
    <m/>
    <m/>
    <n v="306"/>
    <m/>
    <m/>
    <m/>
    <m/>
    <m/>
    <m/>
    <m/>
    <m/>
    <m/>
    <m/>
    <m/>
    <n v="2.5"/>
    <m/>
    <m/>
    <m/>
    <m/>
    <m/>
    <m/>
    <m/>
    <m/>
    <m/>
    <m/>
    <m/>
    <n v="298"/>
    <n v="0"/>
    <n v="68"/>
    <n v="0"/>
    <n v="0"/>
    <n v="0"/>
    <n v="0"/>
    <n v="0"/>
    <n v="1"/>
    <n v="2304.5"/>
    <n v="2925.31"/>
    <n v="0"/>
    <n v="17.55186"/>
    <n v="2907.75814"/>
    <n v="0"/>
    <n v="0"/>
    <n v="0"/>
    <n v="603.2581399999999"/>
    <s v="飞楠楠"/>
    <s v="云南省 昆明市 盘龙区 青云街道中海·汇德里3栋1501"/>
    <s v="18400314437-6968"/>
    <m/>
    <m/>
    <m/>
    <m/>
  </r>
  <r>
    <x v="163"/>
    <s v="已收货"/>
    <s v="4875168278346424447"/>
    <s v="高艺玲"/>
    <m/>
    <m/>
    <s v="补差价"/>
    <x v="2"/>
    <m/>
    <s v="已结算"/>
    <s v="江西"/>
    <n v="0"/>
    <n v="0"/>
    <m/>
    <m/>
    <m/>
    <m/>
    <m/>
    <m/>
    <m/>
    <m/>
    <m/>
    <m/>
    <m/>
    <m/>
    <m/>
    <m/>
    <m/>
    <m/>
    <m/>
    <m/>
    <m/>
    <m/>
    <m/>
    <m/>
    <m/>
    <m/>
    <m/>
    <m/>
    <m/>
    <m/>
    <n v="0"/>
    <n v="0"/>
    <n v="0"/>
    <n v="0"/>
    <n v="0"/>
    <n v="0"/>
    <n v="0"/>
    <n v="0"/>
    <n v="1"/>
    <n v="0"/>
    <n v="1950"/>
    <n v="0"/>
    <n v="11.7"/>
    <n v="1938.3"/>
    <n v="0"/>
    <n v="0"/>
    <n v="0"/>
    <n v="1938.3"/>
    <s v="高艺玲"/>
    <s v="云南省 昆明市 西山区 永昌街道金地九樾1-105"/>
    <s v="13124814575-9217"/>
    <m/>
    <m/>
    <m/>
    <m/>
  </r>
  <r>
    <x v="163"/>
    <s v="已收货"/>
    <s v="4875692185702429200"/>
    <s v="牛牛"/>
    <m/>
    <m/>
    <s v="窄柜-整柜洞石背板-1.0米"/>
    <x v="18"/>
    <n v="1000"/>
    <s v="已结算"/>
    <s v="庄毅"/>
    <n v="3994.71"/>
    <n v="3300"/>
    <n v="359.08"/>
    <n v="120"/>
    <m/>
    <n v="38"/>
    <n v="106.8"/>
    <n v="59.23"/>
    <m/>
    <m/>
    <n v="5"/>
    <m/>
    <m/>
    <m/>
    <m/>
    <n v="2"/>
    <n v="1.1"/>
    <n v="3.5"/>
    <m/>
    <m/>
    <m/>
    <m/>
    <m/>
    <m/>
    <m/>
    <m/>
    <m/>
    <m/>
    <m/>
    <m/>
    <n v="248"/>
    <n v="0"/>
    <n v="128"/>
    <n v="0"/>
    <n v="0"/>
    <n v="0"/>
    <n v="0"/>
    <n v="0"/>
    <n v="1"/>
    <n v="4370.71"/>
    <n v="5156.5"/>
    <n v="0"/>
    <n v="30.939"/>
    <n v="5125.561"/>
    <n v="0"/>
    <n v="0"/>
    <n v="0"/>
    <n v="754.8509999999997"/>
    <s v="牛牛"/>
    <s v="广东省 广州市 白云区 永平街道白云堡大道1号白云堡豪苑2排3号"/>
    <s v="17896421721-5810"/>
    <m/>
    <m/>
    <m/>
    <m/>
  </r>
  <r>
    <x v="163"/>
    <s v="已收货"/>
    <s v="3057490310386136577"/>
    <s v="李焯翾"/>
    <m/>
    <m/>
    <s v="1.8基础柜aa柱子"/>
    <x v="25"/>
    <n v="1800"/>
    <s v="已结算"/>
    <s v="江西"/>
    <n v="6542.08"/>
    <n v="5100"/>
    <n v="240"/>
    <n v="28"/>
    <n v="14"/>
    <m/>
    <s v="22*4"/>
    <n v="579.08"/>
    <n v="10"/>
    <m/>
    <m/>
    <n v="450"/>
    <s v="(72"/>
    <s v="126)/6"/>
    <m/>
    <m/>
    <m/>
    <m/>
    <m/>
    <m/>
    <m/>
    <m/>
    <m/>
    <m/>
    <m/>
    <m/>
    <m/>
    <n v="450"/>
    <m/>
    <n v="240"/>
    <n v="402"/>
    <n v="103"/>
    <n v="90"/>
    <n v="0"/>
    <n v="0"/>
    <n v="0"/>
    <n v="0"/>
    <n v="0"/>
    <n v="1"/>
    <n v="7137.08"/>
    <n v="7312.98"/>
    <n v="0"/>
    <n v="43.87788"/>
    <n v="7269.10212"/>
    <n v="0"/>
    <n v="0"/>
    <n v="0"/>
    <n v="132.0221199999996"/>
    <s v="李焯翾"/>
    <s v="河南省 郑州市 管城回族区 商都路街道国龙绿城怡园2期3号楼3单元1002"/>
    <s v="15786743099-8722"/>
    <m/>
    <m/>
    <m/>
    <m/>
  </r>
  <r>
    <x v="163"/>
    <s v="已收货"/>
    <s v="3057973860108645288"/>
    <s v="陈艳红"/>
    <m/>
    <m/>
    <s v="0.6米岛台+1.6米餐桌"/>
    <x v="16"/>
    <n v="600"/>
    <s v="已结算"/>
    <s v="江西"/>
    <n v="4257.8"/>
    <n v="3880"/>
    <n v="212"/>
    <n v="12"/>
    <m/>
    <m/>
    <n v="91.8"/>
    <n v="40"/>
    <m/>
    <m/>
    <m/>
    <m/>
    <n v="22"/>
    <m/>
    <m/>
    <m/>
    <m/>
    <m/>
    <m/>
    <m/>
    <m/>
    <m/>
    <m/>
    <m/>
    <m/>
    <m/>
    <m/>
    <m/>
    <m/>
    <m/>
    <n v="0"/>
    <n v="0"/>
    <n v="168"/>
    <n v="0"/>
    <n v="0"/>
    <n v="0"/>
    <n v="0"/>
    <n v="0"/>
    <n v="1"/>
    <n v="4425.8"/>
    <n v="6347.3"/>
    <n v="0"/>
    <n v="38.0838"/>
    <n v="6309.2162"/>
    <n v="0"/>
    <n v="0"/>
    <n v="0"/>
    <n v="1883.4162"/>
    <s v="陈艳红"/>
    <s v="广东省 惠州市 惠阳区 新圩镇牧云溪谷八期毓山郡云庭5栋1203房"/>
    <s v="17806519257-9154"/>
    <m/>
    <m/>
    <m/>
    <m/>
  </r>
  <r>
    <x v="163"/>
    <s v="已收货"/>
    <s v="4875631239075205606"/>
    <s v="啊奖"/>
    <m/>
    <m/>
    <s v="砂白色1.8米岩板餐桌"/>
    <x v="1"/>
    <s v="180cm*85cm"/>
    <s v="已结算"/>
    <s v="庄毅"/>
    <n v="1857.9"/>
    <n v="1580"/>
    <m/>
    <m/>
    <m/>
    <m/>
    <n v="275.4"/>
    <m/>
    <m/>
    <m/>
    <m/>
    <m/>
    <m/>
    <m/>
    <m/>
    <m/>
    <m/>
    <m/>
    <n v="2.5"/>
    <m/>
    <m/>
    <m/>
    <m/>
    <m/>
    <m/>
    <m/>
    <m/>
    <m/>
    <m/>
    <m/>
    <n v="110"/>
    <n v="0"/>
    <n v="65"/>
    <n v="0"/>
    <n v="0"/>
    <n v="0"/>
    <n v="0"/>
    <n v="0"/>
    <n v="1"/>
    <n v="2032.9"/>
    <n v="2743.24"/>
    <n v="0"/>
    <n v="16.45944"/>
    <n v="2726.78056"/>
    <n v="0"/>
    <n v="0"/>
    <n v="0"/>
    <n v="693.8805599999996"/>
    <s v="啊奖"/>
    <s v="福建省 泉州市 晋江市 罗山街道许坑社区高厝头振兴路正书香名邸29幢709"/>
    <s v="13159000994-6418"/>
    <m/>
    <m/>
    <m/>
    <m/>
  </r>
  <r>
    <x v="163"/>
    <s v="已收货"/>
    <s v="4875654027502809205"/>
    <s v="刘薇"/>
    <m/>
    <m/>
    <s v="窄柜-整柜洞石背板-0.8米"/>
    <x v="18"/>
    <n v="800"/>
    <s v="已结算"/>
    <s v="庄毅"/>
    <n v="3842.08"/>
    <n v="3100"/>
    <n v="307.08"/>
    <n v="115"/>
    <m/>
    <n v="30"/>
    <n v="91.44"/>
    <n v="54.9"/>
    <m/>
    <m/>
    <n v="4"/>
    <m/>
    <m/>
    <m/>
    <m/>
    <m/>
    <m/>
    <n v="3.5"/>
    <m/>
    <n v="3"/>
    <m/>
    <m/>
    <m/>
    <m/>
    <n v="1.2"/>
    <m/>
    <m/>
    <m/>
    <m/>
    <m/>
    <n v="308"/>
    <n v="0"/>
    <n v="75"/>
    <n v="0"/>
    <n v="0"/>
    <n v="0"/>
    <n v="0"/>
    <n v="0"/>
    <n v="1"/>
    <n v="4225.08"/>
    <n v="4819.5"/>
    <n v="0"/>
    <n v="28.917"/>
    <n v="4790.583"/>
    <n v="0"/>
    <n v="0"/>
    <n v="0"/>
    <n v="565.5029999999997"/>
    <s v="刘薇"/>
    <s v="北京 北京市 海淀区 清河街道小营西路48号美和园东区3号楼2单元103"/>
    <s v="13141171455-1939"/>
    <m/>
    <m/>
    <m/>
    <m/>
  </r>
  <r>
    <x v="163"/>
    <s v="已收货"/>
    <s v="3058037400160928591"/>
    <s v="林成毅"/>
    <m/>
    <m/>
    <s v="1.8基础柜AA柱"/>
    <x v="25"/>
    <m/>
    <s v="已结算"/>
    <s v="江西"/>
    <n v="6639.08"/>
    <n v="5100"/>
    <n v="240"/>
    <n v="28"/>
    <n v="14"/>
    <m/>
    <s v="22*4"/>
    <n v="579.08"/>
    <n v="22"/>
    <m/>
    <m/>
    <n v="535"/>
    <s v="(72"/>
    <s v="126)/6"/>
    <m/>
    <m/>
    <m/>
    <m/>
    <m/>
    <m/>
    <m/>
    <m/>
    <m/>
    <m/>
    <m/>
    <m/>
    <m/>
    <n v="535"/>
    <m/>
    <m/>
    <n v="453"/>
    <n v="40"/>
    <n v="150"/>
    <n v="0"/>
    <n v="0"/>
    <n v="0"/>
    <n v="0"/>
    <n v="0"/>
    <n v="1"/>
    <n v="7282.08"/>
    <n v="7749.37"/>
    <n v="0"/>
    <n v="46.49622"/>
    <n v="7702.87378"/>
    <n v="0"/>
    <n v="0"/>
    <n v="0"/>
    <n v="420.79378"/>
    <s v="林成毅"/>
    <s v="福建省 漳州市 龙海区 九湖镇#Q8XZDZCQ#中国/福建省/漳州市/龙海区/九湖镇九湖镇传化物流园L2 栋 7121号AE仓@8AQL2HB"/>
    <n v="13859953775"/>
    <m/>
    <m/>
    <m/>
    <m/>
  </r>
  <r>
    <x v="164"/>
    <s v="已收货"/>
    <s v="3058058353165945066"/>
    <s v="无敌"/>
    <s v="产品成本+抽屉轨道+打包费"/>
    <m/>
    <s v="床头柜"/>
    <x v="20"/>
    <m/>
    <s v="已结算"/>
    <s v="江西"/>
    <n v="835"/>
    <n v="750"/>
    <m/>
    <m/>
    <m/>
    <m/>
    <m/>
    <m/>
    <m/>
    <m/>
    <m/>
    <m/>
    <n v="40"/>
    <m/>
    <m/>
    <m/>
    <m/>
    <m/>
    <m/>
    <m/>
    <m/>
    <m/>
    <m/>
    <m/>
    <m/>
    <m/>
    <m/>
    <n v="45"/>
    <m/>
    <m/>
    <m/>
    <n v="65"/>
    <n v="0"/>
    <n v="0"/>
    <n v="0"/>
    <n v="0"/>
    <n v="0"/>
    <n v="0"/>
    <n v="1"/>
    <n v="900"/>
    <n v="753.73"/>
    <n v="0"/>
    <n v="4.52238"/>
    <n v="749.20762"/>
    <n v="0"/>
    <n v="0"/>
    <n v="0"/>
    <n v="-150.79238"/>
    <s v="无敌"/>
    <s v="北京 北京市 昌平区 东小口镇东小口 天通苑西二区5号楼9单元703"/>
    <s v="13164216447-4077"/>
    <m/>
    <m/>
    <m/>
    <m/>
  </r>
  <r>
    <x v="164"/>
    <s v="已收货"/>
    <s v="3057774135007509266"/>
    <s v="黑兔"/>
    <m/>
    <m/>
    <s v="砂白色1.6米岩板餐桌"/>
    <x v="1"/>
    <s v="160cm*85cm"/>
    <s v="已结算"/>
    <s v="庄毅"/>
    <n v="1777.3"/>
    <n v="1530"/>
    <m/>
    <m/>
    <m/>
    <m/>
    <n v="244.8"/>
    <m/>
    <m/>
    <m/>
    <m/>
    <m/>
    <m/>
    <m/>
    <m/>
    <m/>
    <m/>
    <m/>
    <n v="2.5"/>
    <m/>
    <m/>
    <m/>
    <m/>
    <m/>
    <m/>
    <m/>
    <m/>
    <m/>
    <m/>
    <m/>
    <n v="208"/>
    <n v="0"/>
    <n v="95"/>
    <n v="0"/>
    <n v="135"/>
    <n v="0"/>
    <n v="0"/>
    <n v="0"/>
    <n v="1"/>
    <n v="2215.3"/>
    <n v="2688.41"/>
    <n v="0"/>
    <n v="16.13046"/>
    <n v="2672.27954"/>
    <n v="0"/>
    <n v="0"/>
    <n v="0"/>
    <n v="456.9795399999998"/>
    <s v="黑兔"/>
    <s v="湖南省 常德市 汉寿县 沧浪街道恒大御府14栋1单元702"/>
    <s v="18897409265-7454"/>
    <m/>
    <m/>
    <m/>
    <m/>
  </r>
  <r>
    <x v="164"/>
    <s v="已收货"/>
    <s v="4876802533571938447"/>
    <s v="花生"/>
    <m/>
    <m/>
    <s v="1.8基础柜AA柱"/>
    <x v="25"/>
    <m/>
    <s v="已结算"/>
    <s v="江西"/>
    <n v="6554.08"/>
    <n v="5100"/>
    <n v="240"/>
    <n v="28"/>
    <n v="14"/>
    <m/>
    <s v="22*4"/>
    <n v="579.08"/>
    <n v="22"/>
    <m/>
    <m/>
    <n v="450"/>
    <s v="(72"/>
    <s v="126)/6"/>
    <m/>
    <m/>
    <m/>
    <m/>
    <m/>
    <m/>
    <m/>
    <m/>
    <m/>
    <m/>
    <m/>
    <m/>
    <m/>
    <n v="450"/>
    <m/>
    <m/>
    <n v="607"/>
    <n v="103"/>
    <n v="140"/>
    <n v="0"/>
    <n v="0"/>
    <n v="0"/>
    <n v="0"/>
    <n v="0"/>
    <n v="1"/>
    <n v="7404.08"/>
    <n v="7749.37"/>
    <n v="0"/>
    <n v="46.49622"/>
    <n v="7702.87378"/>
    <n v="10"/>
    <n v="0"/>
    <n v="10"/>
    <n v="308.79378"/>
    <s v="花生"/>
    <s v="四川省 成都市 青羊区 西御河街道市体育局宿舍(东华门街)"/>
    <s v="13164447183-7803"/>
    <m/>
    <m/>
    <m/>
    <m/>
  </r>
  <r>
    <x v="164"/>
    <s v="已收货"/>
    <s v="3059438703883079777"/>
    <s v="次仁卓嘎"/>
    <m/>
    <m/>
    <s v="窄柜-整柜洞石背板-1.0米"/>
    <x v="18"/>
    <n v="1000"/>
    <s v="已结算"/>
    <s v="江西"/>
    <n v="4499.54"/>
    <n v="3600"/>
    <n v="359.08"/>
    <n v="120"/>
    <m/>
    <n v="38"/>
    <n v="106.8"/>
    <n v="54"/>
    <n v="52"/>
    <m/>
    <n v="5"/>
    <m/>
    <m/>
    <m/>
    <m/>
    <n v="2"/>
    <n v="1.1"/>
    <n v="3.5"/>
    <m/>
    <m/>
    <m/>
    <m/>
    <m/>
    <m/>
    <m/>
    <m/>
    <m/>
    <n v="160"/>
    <m/>
    <m/>
    <n v="496"/>
    <n v="65"/>
    <n v="96"/>
    <n v="0"/>
    <n v="0"/>
    <n v="0"/>
    <n v="0"/>
    <n v="0"/>
    <n v="1"/>
    <n v="5156.54"/>
    <n v="5156.5"/>
    <n v="0"/>
    <n v="30.939"/>
    <n v="5125.561"/>
    <n v="0"/>
    <n v="0"/>
    <n v="0"/>
    <n v="-30.97900000000027"/>
    <s v="次仁卓嘎"/>
    <s v="青海省 西宁市 城北区 二十里铺镇绿地·国际花都1期 7 号楼 1 单元 29 楼 1292 室"/>
    <s v="15780133120-5802"/>
    <m/>
    <m/>
    <m/>
    <m/>
  </r>
  <r>
    <x v="164"/>
    <s v="退货转寄"/>
    <s v="3057664227238991077"/>
    <s v="张小姐"/>
    <m/>
    <m/>
    <s v="砂白色1.8米岩板餐桌"/>
    <x v="1"/>
    <s v="180cm*85cm"/>
    <s v="已结算"/>
    <s v="庄毅"/>
    <n v="0"/>
    <n v="0"/>
    <m/>
    <m/>
    <m/>
    <m/>
    <m/>
    <m/>
    <m/>
    <m/>
    <m/>
    <m/>
    <m/>
    <m/>
    <m/>
    <m/>
    <m/>
    <m/>
    <m/>
    <m/>
    <m/>
    <m/>
    <m/>
    <m/>
    <m/>
    <m/>
    <m/>
    <m/>
    <m/>
    <m/>
    <n v="0"/>
    <n v="0"/>
    <n v="0"/>
    <n v="0"/>
    <n v="0"/>
    <n v="0"/>
    <n v="0"/>
    <n v="0"/>
    <n v="1"/>
    <n v="0"/>
    <n v="0"/>
    <n v="0"/>
    <n v="0"/>
    <n v="0"/>
    <n v="0"/>
    <n v="0"/>
    <n v="0"/>
    <n v="0"/>
    <s v="张小姐"/>
    <s v="广东省 广州市 天河区 珠吉街道珠江花城30栋2101"/>
    <s v="15710702946-2387"/>
    <m/>
    <m/>
    <m/>
    <m/>
  </r>
  <r>
    <x v="165"/>
    <s v="已收货"/>
    <s v="4878166501663034707"/>
    <s v="叶先生"/>
    <m/>
    <m/>
    <s v="窄柜-整柜洞石背板-0.8米"/>
    <x v="18"/>
    <n v="800"/>
    <s v="已结算"/>
    <s v="江西"/>
    <n v="3956.705"/>
    <n v="3300"/>
    <n v="307.08"/>
    <n v="115"/>
    <m/>
    <n v="30"/>
    <n v="91.44"/>
    <m/>
    <m/>
    <m/>
    <n v="4"/>
    <m/>
    <m/>
    <n v="5"/>
    <m/>
    <m/>
    <m/>
    <m/>
    <n v="59.23"/>
    <n v="38.375"/>
    <n v="3"/>
    <m/>
    <m/>
    <m/>
    <m/>
    <m/>
    <m/>
    <n v="170"/>
    <m/>
    <m/>
    <n v="140"/>
    <n v="0"/>
    <n v="300"/>
    <n v="0"/>
    <n v="0"/>
    <n v="0"/>
    <n v="0"/>
    <n v="0"/>
    <n v="1"/>
    <n v="4396.705"/>
    <n v="4824.5"/>
    <n v="0"/>
    <n v="28.947"/>
    <n v="4795.553"/>
    <n v="0"/>
    <n v="0"/>
    <n v="0"/>
    <n v="398.848"/>
    <s v="叶先生"/>
    <s v="上海 上海市 闵行区 吴泾镇象屿招商·公园1872 24号802"/>
    <s v="18466819480-1635"/>
    <m/>
    <m/>
    <m/>
    <m/>
  </r>
  <r>
    <x v="165"/>
    <s v="已收货"/>
    <s v="3061974901843987868"/>
    <s v="霓蓝蓝"/>
    <m/>
    <m/>
    <s v="窄柜-整柜洞石背板-1.0米"/>
    <x v="18"/>
    <n v="1000"/>
    <s v="已结算"/>
    <s v="江西"/>
    <n v="4282.77"/>
    <n v="3300"/>
    <n v="359.08"/>
    <n v="120"/>
    <m/>
    <n v="38"/>
    <n v="106.8"/>
    <n v="54"/>
    <n v="52"/>
    <m/>
    <n v="5"/>
    <m/>
    <m/>
    <m/>
    <m/>
    <n v="2"/>
    <n v="1.1"/>
    <n v="3.5"/>
    <m/>
    <m/>
    <m/>
    <m/>
    <m/>
    <m/>
    <m/>
    <m/>
    <m/>
    <n v="170"/>
    <m/>
    <m/>
    <n v="331"/>
    <n v="63"/>
    <n v="99"/>
    <n v="0"/>
    <n v="0"/>
    <n v="0"/>
    <n v="0"/>
    <n v="0"/>
    <n v="1"/>
    <n v="4775.77"/>
    <n v="5151.5"/>
    <n v="0"/>
    <n v="30.909"/>
    <n v="5120.591"/>
    <n v="0"/>
    <n v="0"/>
    <n v="0"/>
    <n v="344.8210000000008"/>
    <s v="霓蓝蓝"/>
    <s v="北京 北京市 朝阳区 双井街道光华北一街东三路合生国际家园西区10号楼1903"/>
    <s v="18400849205-5056"/>
    <m/>
    <m/>
    <m/>
    <m/>
  </r>
  <r>
    <x v="165"/>
    <s v="已收货"/>
    <s v="3062137944631846472"/>
    <s v="洪小姐"/>
    <m/>
    <m/>
    <s v="砂白色1.6米岩板餐桌"/>
    <x v="1"/>
    <s v="160cm*85cm"/>
    <s v="已结算"/>
    <s v="庄毅"/>
    <n v="1777.3"/>
    <n v="1530"/>
    <m/>
    <m/>
    <m/>
    <m/>
    <n v="244.8"/>
    <m/>
    <m/>
    <m/>
    <m/>
    <m/>
    <m/>
    <m/>
    <m/>
    <m/>
    <m/>
    <m/>
    <n v="2.5"/>
    <m/>
    <m/>
    <m/>
    <m/>
    <m/>
    <m/>
    <m/>
    <m/>
    <m/>
    <m/>
    <m/>
    <n v="148"/>
    <n v="0"/>
    <n v="65"/>
    <n v="0"/>
    <n v="0"/>
    <n v="0"/>
    <n v="0"/>
    <n v="0"/>
    <n v="1"/>
    <n v="1990.3"/>
    <n v="2688.41"/>
    <n v="0"/>
    <n v="16.13046"/>
    <n v="2672.27954"/>
    <n v="0"/>
    <n v="0"/>
    <n v="0"/>
    <n v="681.97954"/>
    <s v="洪小姐"/>
    <s v="江苏省 宿迁市 宿城区 双庄街道书香尚庭3-803"/>
    <s v="18451490174-4888"/>
    <m/>
    <m/>
    <m/>
    <m/>
  </r>
  <r>
    <x v="166"/>
    <s v="已收货"/>
    <s v="4880763722429255426"/>
    <s v="钱小姐"/>
    <m/>
    <m/>
    <s v="砂白色1.4米岩板餐桌，定制"/>
    <x v="1"/>
    <s v="140cm*80cm"/>
    <s v="已结算"/>
    <s v="江西"/>
    <n v="1732.5"/>
    <n v="1300"/>
    <m/>
    <m/>
    <m/>
    <m/>
    <n v="240"/>
    <m/>
    <m/>
    <m/>
    <m/>
    <m/>
    <m/>
    <m/>
    <m/>
    <m/>
    <m/>
    <m/>
    <n v="2.5"/>
    <m/>
    <m/>
    <m/>
    <m/>
    <m/>
    <m/>
    <m/>
    <m/>
    <n v="190"/>
    <m/>
    <m/>
    <n v="90"/>
    <n v="30"/>
    <n v="75"/>
    <n v="0"/>
    <n v="0"/>
    <n v="0"/>
    <n v="0"/>
    <n v="0"/>
    <n v="1"/>
    <n v="1927.5"/>
    <n v="2588.89"/>
    <n v="0"/>
    <n v="15.53334"/>
    <n v="2573.35666"/>
    <n v="0"/>
    <n v="0"/>
    <n v="0"/>
    <n v="645.8566599999999"/>
    <s v="钱小姐"/>
    <s v="上海 上海市 普陀区 万里街道真欣园 真金路251弄34号201室"/>
    <s v="18466859370-6654"/>
    <m/>
    <m/>
    <m/>
    <m/>
  </r>
  <r>
    <x v="166"/>
    <s v="已收货"/>
    <s v="3063287785186682080"/>
    <s v="崔先生"/>
    <m/>
    <m/>
    <s v="补差价"/>
    <x v="4"/>
    <m/>
    <s v="已结算"/>
    <s v="江西"/>
    <n v="0"/>
    <n v="0"/>
    <m/>
    <m/>
    <m/>
    <m/>
    <m/>
    <m/>
    <m/>
    <m/>
    <m/>
    <m/>
    <m/>
    <m/>
    <m/>
    <m/>
    <m/>
    <m/>
    <m/>
    <m/>
    <m/>
    <m/>
    <m/>
    <m/>
    <m/>
    <m/>
    <m/>
    <m/>
    <m/>
    <m/>
    <n v="0"/>
    <n v="0"/>
    <n v="0"/>
    <n v="0"/>
    <n v="0"/>
    <n v="0"/>
    <n v="0"/>
    <n v="0"/>
    <n v="1"/>
    <n v="0"/>
    <n v="195"/>
    <n v="0"/>
    <n v="1.17"/>
    <n v="193.83"/>
    <n v="0"/>
    <n v="0"/>
    <n v="0"/>
    <n v="193.83"/>
    <s v="崔先生"/>
    <s v="云南省 昆明市 盘龙区 金辰街道云南映象碧桂湾24-801"/>
    <s v="18400302778-8072"/>
    <m/>
    <m/>
    <m/>
    <m/>
  </r>
  <r>
    <x v="166"/>
    <s v="已收货"/>
    <s v="4881708936487332847"/>
    <s v="丁毅"/>
    <m/>
    <m/>
    <s v="样块"/>
    <x v="0"/>
    <m/>
    <s v="已结算"/>
    <s v="杭州"/>
    <n v="7"/>
    <n v="5"/>
    <m/>
    <m/>
    <m/>
    <m/>
    <m/>
    <m/>
    <m/>
    <m/>
    <m/>
    <m/>
    <m/>
    <m/>
    <m/>
    <m/>
    <m/>
    <m/>
    <m/>
    <m/>
    <m/>
    <m/>
    <m/>
    <m/>
    <m/>
    <m/>
    <m/>
    <n v="2"/>
    <m/>
    <m/>
    <n v="5"/>
    <n v="0"/>
    <n v="0"/>
    <n v="0"/>
    <n v="0"/>
    <n v="0"/>
    <n v="0"/>
    <n v="0"/>
    <n v="1"/>
    <n v="12"/>
    <n v="21.2"/>
    <n v="0"/>
    <n v="0.1272"/>
    <n v="21.0728"/>
    <n v="0"/>
    <n v="0"/>
    <n v="0"/>
    <n v="9.072800000000001"/>
    <s v="丁毅"/>
    <s v="湖北省 武汉市 江岸区 花桥街道红星美凯龙(武汉竹叶山商场红星美凯龙店)"/>
    <s v="18627054515-6287"/>
    <m/>
    <m/>
    <m/>
    <m/>
  </r>
  <r>
    <x v="166"/>
    <s v="已收货"/>
    <s v="4881569295019687329"/>
    <s v="王磊"/>
    <m/>
    <m/>
    <s v="砂白色1.4米岩板餐桌（福建退货修复）"/>
    <x v="1"/>
    <s v="140cm*85cm"/>
    <s v="已结算"/>
    <s v="庄毅-江西"/>
    <n v="1566.7"/>
    <n v="1350"/>
    <m/>
    <m/>
    <m/>
    <m/>
    <n v="214.2"/>
    <m/>
    <m/>
    <m/>
    <m/>
    <m/>
    <m/>
    <m/>
    <m/>
    <m/>
    <m/>
    <m/>
    <n v="2.5"/>
    <m/>
    <m/>
    <m/>
    <m/>
    <m/>
    <m/>
    <m/>
    <m/>
    <m/>
    <m/>
    <m/>
    <n v="145"/>
    <n v="0"/>
    <n v="60"/>
    <n v="0"/>
    <n v="0"/>
    <n v="0"/>
    <n v="0"/>
    <n v="0"/>
    <n v="1"/>
    <n v="1771.7"/>
    <n v="2588.89"/>
    <n v="0"/>
    <n v="15.53334"/>
    <n v="2573.35666"/>
    <n v="0"/>
    <n v="0"/>
    <n v="0"/>
    <n v="801.6566599999999"/>
    <s v="王磊"/>
    <s v="湖北省 武汉市 武昌区 水果湖街道水果湖街办事处 武汉市武昌区水果湖张家湾小区41栋54号101室"/>
    <s v="15783645691-3427"/>
    <m/>
    <m/>
    <m/>
    <m/>
  </r>
  <r>
    <x v="166"/>
    <s v="未发货"/>
    <s v="4882198356154069633"/>
    <s v="小米"/>
    <m/>
    <m/>
    <s v="砂白色1.6米岩板餐桌"/>
    <x v="1"/>
    <s v="160cm*85cm"/>
    <s v="已结算"/>
    <s v="江西"/>
    <n v="1762.5"/>
    <n v="1350"/>
    <m/>
    <m/>
    <m/>
    <m/>
    <n v="220"/>
    <m/>
    <m/>
    <m/>
    <m/>
    <m/>
    <m/>
    <m/>
    <m/>
    <m/>
    <m/>
    <m/>
    <n v="2.5"/>
    <m/>
    <m/>
    <m/>
    <m/>
    <m/>
    <m/>
    <m/>
    <m/>
    <n v="190"/>
    <m/>
    <m/>
    <n v="148"/>
    <n v="0"/>
    <n v="65"/>
    <n v="0"/>
    <n v="0"/>
    <n v="0"/>
    <n v="0"/>
    <n v="0"/>
    <n v="1"/>
    <n v="1975.5"/>
    <n v="2688.41"/>
    <n v="0"/>
    <n v="16.13046"/>
    <n v="2672.27954"/>
    <n v="0"/>
    <n v="0"/>
    <n v="0"/>
    <n v="696.77954"/>
    <s v="小米"/>
    <s v="山西省 晋城市 城区 钟家庄街道德源绿洲14号楼1301"/>
    <s v="18400814414-7943"/>
    <m/>
    <m/>
    <m/>
    <m/>
  </r>
  <r>
    <x v="166"/>
    <s v="已收货"/>
    <s v="3063759674666207296"/>
    <s v="舟舟"/>
    <m/>
    <m/>
    <s v="升降桌：樱桃木，1.3带高台版"/>
    <x v="8"/>
    <n v="1300"/>
    <m/>
    <s v="江西"/>
    <n v="2363.11"/>
    <n v="1700"/>
    <n v="88.11"/>
    <n v="63"/>
    <n v="80"/>
    <m/>
    <n v="160"/>
    <m/>
    <m/>
    <m/>
    <m/>
    <m/>
    <m/>
    <m/>
    <m/>
    <m/>
    <m/>
    <m/>
    <m/>
    <m/>
    <m/>
    <m/>
    <n v="152"/>
    <m/>
    <m/>
    <m/>
    <m/>
    <n v="120"/>
    <m/>
    <m/>
    <n v="230"/>
    <n v="30"/>
    <n v="150"/>
    <n v="0"/>
    <n v="0"/>
    <n v="0"/>
    <n v="0"/>
    <n v="0"/>
    <n v="1"/>
    <n v="2773.11"/>
    <n v="3417.19"/>
    <n v="0"/>
    <n v="20.50314"/>
    <n v="3396.68686"/>
    <n v="0"/>
    <n v="0"/>
    <n v="0"/>
    <n v="623.5768600000006"/>
    <s v="舟舟"/>
    <s v="上海 上海市 长宁区 新华路街道法华镇路751弄西镇小区18号楼601室(000000)"/>
    <s v="18466658942-6583"/>
    <m/>
    <m/>
    <m/>
    <m/>
  </r>
  <r>
    <x v="166"/>
    <s v="已收货"/>
    <s v="4882138815862109119"/>
    <s v="吴女士"/>
    <m/>
    <m/>
    <s v="双层式透气下柜-榉木"/>
    <x v="7"/>
    <m/>
    <s v="已结算"/>
    <s v="江西"/>
    <n v="2140"/>
    <n v="1800"/>
    <m/>
    <m/>
    <m/>
    <m/>
    <n v="200"/>
    <m/>
    <m/>
    <m/>
    <m/>
    <m/>
    <n v="20"/>
    <m/>
    <m/>
    <m/>
    <m/>
    <m/>
    <m/>
    <m/>
    <m/>
    <m/>
    <m/>
    <m/>
    <m/>
    <m/>
    <m/>
    <n v="120"/>
    <m/>
    <m/>
    <n v="117"/>
    <n v="6"/>
    <n v="50"/>
    <n v="0"/>
    <n v="0"/>
    <n v="0"/>
    <n v="0"/>
    <n v="0"/>
    <n v="1"/>
    <n v="2313"/>
    <n v="2488.16"/>
    <n v="0"/>
    <n v="14.92896"/>
    <n v="2473.23104"/>
    <n v="0"/>
    <n v="0"/>
    <n v="0"/>
    <n v="160.2310399999997"/>
    <s v="吴女士"/>
    <s v="江苏省 南通市 崇川区 城东街道东升花园北区26号楼203室"/>
    <s v="18468507982-3383"/>
    <m/>
    <m/>
    <m/>
    <m/>
  </r>
  <r>
    <x v="166"/>
    <s v="已收货"/>
    <s v="4882152207004291024"/>
    <s v="梦梦"/>
    <m/>
    <m/>
    <s v="砂白色1.6米岩板餐桌"/>
    <x v="1"/>
    <s v="160cm*85cm"/>
    <s v="已结算"/>
    <s v="江西"/>
    <n v="1782.5"/>
    <n v="1350"/>
    <m/>
    <m/>
    <m/>
    <m/>
    <n v="240"/>
    <m/>
    <m/>
    <m/>
    <m/>
    <m/>
    <m/>
    <m/>
    <m/>
    <m/>
    <m/>
    <m/>
    <n v="2.5"/>
    <m/>
    <m/>
    <m/>
    <m/>
    <m/>
    <m/>
    <m/>
    <m/>
    <n v="190"/>
    <m/>
    <m/>
    <n v="127"/>
    <n v="30"/>
    <n v="69"/>
    <n v="0"/>
    <n v="0"/>
    <n v="0"/>
    <n v="0"/>
    <n v="0"/>
    <n v="1"/>
    <n v="2008.5"/>
    <n v="2693.41"/>
    <n v="0"/>
    <n v="16.16046"/>
    <n v="2677.24954"/>
    <n v="0"/>
    <n v="0"/>
    <n v="0"/>
    <n v="668.7495399999998"/>
    <s v="梦梦"/>
    <s v="山东省 青岛市 城阳区 城阳街道万科魅力之城10号楼10-1-802"/>
    <s v="18448247967-7315"/>
    <m/>
    <m/>
    <m/>
    <m/>
  </r>
  <r>
    <x v="166"/>
    <s v="已收货"/>
    <s v="3064157977962140768"/>
    <s v="豆豆"/>
    <m/>
    <m/>
    <s v="砂白色1.6米岩板餐桌，定制"/>
    <x v="1"/>
    <s v="160cm*80cm"/>
    <s v="已结算"/>
    <s v="庄毅"/>
    <n v="1762.9"/>
    <n v="1530"/>
    <m/>
    <m/>
    <m/>
    <m/>
    <n v="230.4"/>
    <m/>
    <m/>
    <m/>
    <m/>
    <m/>
    <m/>
    <m/>
    <m/>
    <m/>
    <m/>
    <m/>
    <n v="2.5"/>
    <m/>
    <m/>
    <m/>
    <m/>
    <m/>
    <m/>
    <m/>
    <m/>
    <m/>
    <m/>
    <m/>
    <n v="149"/>
    <n v="0"/>
    <n v="88"/>
    <n v="0"/>
    <n v="0"/>
    <n v="0"/>
    <n v="0"/>
    <n v="0"/>
    <n v="1"/>
    <n v="1999.9"/>
    <n v="2693.41"/>
    <n v="0"/>
    <n v="16.16046"/>
    <n v="2677.24954"/>
    <n v="0"/>
    <n v="0"/>
    <n v="0"/>
    <n v="677.3495399999997"/>
    <s v="豆豆"/>
    <s v="浙江省 台州市 临海市 大洋街道 未来公馆3号楼1803"/>
    <s v="15786478138-9764"/>
    <m/>
    <m/>
    <m/>
    <m/>
  </r>
  <r>
    <x v="166"/>
    <s v="已收货"/>
    <s v="4882565268143375432"/>
    <s v="蔡天"/>
    <m/>
    <m/>
    <s v="砂白色1.8米岩板餐桌"/>
    <x v="1"/>
    <s v="180cm*85cm"/>
    <s v="已结算"/>
    <s v="江西"/>
    <n v="1822.5"/>
    <n v="1400"/>
    <m/>
    <m/>
    <m/>
    <m/>
    <n v="240"/>
    <m/>
    <m/>
    <m/>
    <m/>
    <m/>
    <m/>
    <m/>
    <m/>
    <m/>
    <m/>
    <m/>
    <n v="2.5"/>
    <m/>
    <m/>
    <m/>
    <m/>
    <m/>
    <m/>
    <m/>
    <m/>
    <n v="180"/>
    <m/>
    <m/>
    <n v="168"/>
    <n v="35"/>
    <n v="60"/>
    <n v="0"/>
    <n v="0"/>
    <n v="0"/>
    <n v="0"/>
    <n v="0"/>
    <n v="1"/>
    <n v="2085.5"/>
    <n v="2794.6"/>
    <n v="0"/>
    <n v="16.7676"/>
    <n v="2777.8324"/>
    <n v="0"/>
    <n v="0"/>
    <n v="0"/>
    <n v="692.3323999999998"/>
    <s v="蔡天"/>
    <s v="四川省 成都市 成华区 万年场街道双成二路158号华润悦玺4栋一单元1902"/>
    <s v="13162925454-1593"/>
    <m/>
    <m/>
    <m/>
    <m/>
  </r>
  <r>
    <x v="167"/>
    <s v="已收货"/>
    <s v="3066562309660861358"/>
    <s v="李星迪"/>
    <m/>
    <m/>
    <s v="样块"/>
    <x v="0"/>
    <m/>
    <s v="已结算"/>
    <s v="杭州"/>
    <n v="7"/>
    <n v="5"/>
    <m/>
    <m/>
    <m/>
    <m/>
    <m/>
    <m/>
    <m/>
    <m/>
    <m/>
    <m/>
    <m/>
    <m/>
    <m/>
    <m/>
    <m/>
    <m/>
    <m/>
    <m/>
    <m/>
    <m/>
    <m/>
    <m/>
    <m/>
    <m/>
    <m/>
    <n v="2"/>
    <m/>
    <m/>
    <n v="5"/>
    <n v="0"/>
    <n v="0"/>
    <n v="0"/>
    <n v="0"/>
    <n v="0"/>
    <n v="0"/>
    <n v="0"/>
    <n v="1"/>
    <n v="12"/>
    <n v="25"/>
    <n v="0"/>
    <n v="0.15"/>
    <n v="24.85"/>
    <n v="0"/>
    <n v="0"/>
    <n v="0"/>
    <n v="12.85"/>
    <s v="李星迪"/>
    <s v="四川省 成都市 青羊区 草市街街道东城拐街17号院1号楼3楼3号"/>
    <s v="13183805954-4165"/>
    <m/>
    <m/>
    <m/>
    <m/>
  </r>
  <r>
    <x v="167"/>
    <s v="已收货"/>
    <s v="3067763271725079777"/>
    <s v="次仁卓嘎"/>
    <m/>
    <m/>
    <s v="补差价"/>
    <x v="4"/>
    <m/>
    <s v="已结算"/>
    <s v="江西"/>
    <n v="0"/>
    <n v="0"/>
    <m/>
    <m/>
    <m/>
    <m/>
    <m/>
    <m/>
    <m/>
    <m/>
    <m/>
    <m/>
    <m/>
    <m/>
    <m/>
    <m/>
    <m/>
    <m/>
    <m/>
    <m/>
    <m/>
    <m/>
    <m/>
    <m/>
    <m/>
    <m/>
    <m/>
    <n v="0"/>
    <n v="0"/>
    <n v="0"/>
    <n v="0"/>
    <n v="0"/>
    <n v="0"/>
    <n v="0"/>
    <n v="0"/>
    <n v="0"/>
    <n v="0"/>
    <n v="0"/>
    <n v="1"/>
    <n v="0"/>
    <n v="255"/>
    <n v="0"/>
    <n v="1.53"/>
    <n v="253.47"/>
    <n v="0"/>
    <n v="0"/>
    <n v="0"/>
    <n v="253.47"/>
    <s v="次仁卓嘎"/>
    <s v="青海省 西宁市 城北区 二十里铺镇绿地·国际花都1期 7 号楼 1 单元 29 楼 1292 室"/>
    <s v="15780133120-5802"/>
    <m/>
    <m/>
    <m/>
    <m/>
  </r>
  <r>
    <x v="168"/>
    <s v="已收货"/>
    <s v="3069341040913750195"/>
    <s v="何女士"/>
    <m/>
    <m/>
    <s v="样块"/>
    <x v="0"/>
    <m/>
    <s v="已结算"/>
    <s v="杭州"/>
    <n v="7"/>
    <n v="5"/>
    <m/>
    <m/>
    <m/>
    <m/>
    <m/>
    <m/>
    <m/>
    <m/>
    <m/>
    <m/>
    <m/>
    <m/>
    <m/>
    <m/>
    <m/>
    <m/>
    <m/>
    <m/>
    <m/>
    <m/>
    <m/>
    <m/>
    <m/>
    <m/>
    <m/>
    <n v="2"/>
    <m/>
    <m/>
    <n v="5"/>
    <n v="0"/>
    <n v="0"/>
    <n v="0"/>
    <n v="0"/>
    <n v="0"/>
    <n v="0"/>
    <n v="0"/>
    <n v="1"/>
    <n v="12"/>
    <n v="22"/>
    <n v="0"/>
    <n v="0.132"/>
    <n v="21.868"/>
    <n v="0"/>
    <n v="0"/>
    <n v="0"/>
    <n v="9.867999999999999"/>
    <s v="何女士"/>
    <s v="江西省 九江市 浔阳区 人民路街道 名湖广场"/>
    <s v="18465608319-6752"/>
    <m/>
    <m/>
    <m/>
    <m/>
  </r>
  <r>
    <x v="169"/>
    <s v="已收货"/>
    <s v="3071517747432185996"/>
    <s v="谭先生"/>
    <m/>
    <m/>
    <s v="样块"/>
    <x v="0"/>
    <m/>
    <s v="已结算"/>
    <s v="杭州"/>
    <n v="7"/>
    <n v="5"/>
    <m/>
    <m/>
    <m/>
    <m/>
    <m/>
    <m/>
    <m/>
    <m/>
    <m/>
    <m/>
    <m/>
    <m/>
    <m/>
    <m/>
    <m/>
    <m/>
    <m/>
    <m/>
    <m/>
    <m/>
    <m/>
    <m/>
    <m/>
    <m/>
    <m/>
    <n v="2"/>
    <m/>
    <m/>
    <n v="5"/>
    <n v="0"/>
    <n v="0"/>
    <n v="0"/>
    <n v="0"/>
    <n v="0"/>
    <n v="0"/>
    <n v="0"/>
    <n v="1"/>
    <n v="12"/>
    <n v="22"/>
    <n v="0"/>
    <n v="0.132"/>
    <n v="21.868"/>
    <n v="0"/>
    <n v="0"/>
    <n v="0"/>
    <n v="9.867999999999999"/>
    <s v="谭先生"/>
    <s v="广东省 深圳市 龙岗区 横岗街道横岗镇四联隆盛花园8栋901室"/>
    <s v="15794947411-4532"/>
    <m/>
    <m/>
    <m/>
    <m/>
  </r>
  <r>
    <x v="170"/>
    <s v="已收货"/>
    <s v="4891892079892930109"/>
    <s v="杨坤鹏转余栋"/>
    <m/>
    <m/>
    <s v="插座"/>
    <x v="5"/>
    <m/>
    <m/>
    <s v="其他"/>
    <n v="55"/>
    <n v="55"/>
    <m/>
    <m/>
    <m/>
    <m/>
    <m/>
    <m/>
    <m/>
    <m/>
    <m/>
    <m/>
    <m/>
    <m/>
    <m/>
    <m/>
    <m/>
    <m/>
    <m/>
    <m/>
    <m/>
    <m/>
    <m/>
    <m/>
    <m/>
    <m/>
    <m/>
    <m/>
    <m/>
    <m/>
    <n v="8"/>
    <n v="0"/>
    <n v="0"/>
    <n v="0"/>
    <n v="0"/>
    <n v="0"/>
    <n v="0"/>
    <n v="0"/>
    <n v="1"/>
    <n v="63"/>
    <n v="100"/>
    <n v="0"/>
    <n v="0.6"/>
    <n v="99.40000000000001"/>
    <n v="0"/>
    <n v="0"/>
    <n v="0"/>
    <n v="36.40000000000001"/>
    <s v="杨坤鹏转余栋"/>
    <s v="广东省 广州市 白云区 江高镇夏花三路498号部队路A14仓 （YD502-SIN）"/>
    <s v="14749678969-1705"/>
    <m/>
    <m/>
    <m/>
    <m/>
  </r>
  <r>
    <x v="170"/>
    <s v="已收货"/>
    <s v="3073448892608208482"/>
    <s v="尚彦希"/>
    <m/>
    <m/>
    <s v="砂白色1.2米岩板餐桌，定制"/>
    <x v="1"/>
    <s v="120cm*80cm"/>
    <s v="已结算"/>
    <s v="江西"/>
    <n v="1652.5"/>
    <n v="1260"/>
    <m/>
    <m/>
    <m/>
    <m/>
    <n v="220"/>
    <m/>
    <m/>
    <m/>
    <m/>
    <m/>
    <m/>
    <m/>
    <m/>
    <m/>
    <m/>
    <m/>
    <n v="2.5"/>
    <m/>
    <m/>
    <m/>
    <m/>
    <m/>
    <m/>
    <m/>
    <m/>
    <n v="170"/>
    <m/>
    <m/>
    <n v="105"/>
    <n v="30"/>
    <n v="72"/>
    <n v="0"/>
    <n v="0"/>
    <n v="0"/>
    <n v="0"/>
    <n v="0"/>
    <n v="1"/>
    <n v="1859.5"/>
    <n v="2536.44"/>
    <n v="0"/>
    <n v="15.21864"/>
    <n v="2521.22136"/>
    <n v="0"/>
    <n v="0"/>
    <n v="0"/>
    <n v="661.72136"/>
    <s v="尚彦希"/>
    <s v="广东省 广州市 花都区 新华街道云山大道88号2栋1801"/>
    <s v="14749674195-8518"/>
    <m/>
    <m/>
    <m/>
    <m/>
  </r>
  <r>
    <x v="171"/>
    <s v="已收货"/>
    <s v="3072972507984745954"/>
    <s v="王小姐"/>
    <m/>
    <m/>
    <s v="窄柜-下柜洞石背板-0.8米-定制"/>
    <x v="18"/>
    <n v="800"/>
    <s v="已结算"/>
    <s v="江西"/>
    <n v="2448"/>
    <n v="2030"/>
    <m/>
    <m/>
    <m/>
    <m/>
    <n v="200"/>
    <m/>
    <m/>
    <m/>
    <m/>
    <m/>
    <n v="88"/>
    <m/>
    <m/>
    <m/>
    <m/>
    <m/>
    <m/>
    <m/>
    <m/>
    <m/>
    <m/>
    <m/>
    <m/>
    <m/>
    <m/>
    <n v="130"/>
    <m/>
    <m/>
    <n v="99"/>
    <n v="35"/>
    <n v="0"/>
    <n v="0"/>
    <n v="0"/>
    <n v="0"/>
    <n v="0"/>
    <n v="0"/>
    <n v="1"/>
    <n v="2582"/>
    <n v="3925"/>
    <n v="0"/>
    <n v="23.55"/>
    <n v="3901.45"/>
    <n v="0"/>
    <n v="0"/>
    <n v="0"/>
    <n v="1319.45"/>
    <s v="王小姐"/>
    <s v="浙江省 舟山市 定海区 千岛街道东北角港航国际大厦B座29楼浙江正邦船务有限公司"/>
    <s v="18413289441-8654"/>
    <m/>
    <m/>
    <m/>
    <m/>
  </r>
  <r>
    <x v="172"/>
    <s v="已收货"/>
    <s v="3079908265091349078"/>
    <s v="菜鸟新加坡仓SGACNFB"/>
    <m/>
    <m/>
    <s v="200*85樱桃木岩板餐桌"/>
    <x v="32"/>
    <m/>
    <s v="已结算"/>
    <s v="江西"/>
    <n v="2262.5"/>
    <n v="1400"/>
    <n v="2.5"/>
    <n v="660"/>
    <n v="200"/>
    <m/>
    <m/>
    <m/>
    <m/>
    <m/>
    <m/>
    <m/>
    <m/>
    <m/>
    <m/>
    <m/>
    <m/>
    <m/>
    <m/>
    <m/>
    <m/>
    <m/>
    <m/>
    <m/>
    <m/>
    <m/>
    <m/>
    <n v="200"/>
    <m/>
    <m/>
    <n v="99"/>
    <n v="30"/>
    <n v="0"/>
    <n v="0"/>
    <n v="0"/>
    <n v="0"/>
    <n v="0"/>
    <n v="0"/>
    <n v="1"/>
    <n v="2391.5"/>
    <n v="2479.8"/>
    <n v="0"/>
    <n v="14.8788"/>
    <n v="2464.9212"/>
    <n v="0"/>
    <n v="0"/>
    <n v="0"/>
    <n v="73.42120000000023"/>
    <s v="菜鸟新加坡仓SGACNFB"/>
    <s v="广东省 东莞市  沙田镇进港南路SGACNFB菜鸟定制仓1栋2楼B区新加坡APP"/>
    <n v="15015421002"/>
    <m/>
    <m/>
    <m/>
    <m/>
  </r>
  <r>
    <x v="173"/>
    <s v="已收货"/>
    <s v="3080384079017473898"/>
    <s v="Tommy"/>
    <m/>
    <m/>
    <s v="样块*2"/>
    <x v="0"/>
    <m/>
    <s v="已结算"/>
    <s v="杭州"/>
    <n v="12"/>
    <n v="10"/>
    <m/>
    <m/>
    <m/>
    <m/>
    <m/>
    <m/>
    <m/>
    <m/>
    <m/>
    <m/>
    <m/>
    <m/>
    <m/>
    <m/>
    <m/>
    <m/>
    <m/>
    <m/>
    <m/>
    <m/>
    <m/>
    <m/>
    <m/>
    <m/>
    <m/>
    <n v="2"/>
    <m/>
    <m/>
    <n v="5"/>
    <n v="0"/>
    <n v="0"/>
    <n v="0"/>
    <n v="0"/>
    <n v="0"/>
    <n v="0"/>
    <n v="0"/>
    <n v="1"/>
    <n v="17"/>
    <n v="50"/>
    <n v="0"/>
    <n v="0.3"/>
    <n v="49.7"/>
    <n v="0"/>
    <n v="0"/>
    <n v="0"/>
    <n v="32.7"/>
    <s v="Tommy"/>
    <s v="上海 上海市 杨浦区 大桥街道眉州路668弄馨运公寓10号楼1201室"/>
    <s v="13162834334-4929"/>
    <m/>
    <m/>
    <m/>
    <m/>
  </r>
  <r>
    <x v="173"/>
    <s v="已收货"/>
    <s v="4901273641321987728"/>
    <s v="萧小伍"/>
    <m/>
    <m/>
    <s v="样块"/>
    <x v="0"/>
    <m/>
    <s v="已结算"/>
    <s v="杭州"/>
    <n v="7"/>
    <n v="5"/>
    <m/>
    <m/>
    <m/>
    <m/>
    <m/>
    <m/>
    <m/>
    <m/>
    <m/>
    <m/>
    <m/>
    <m/>
    <m/>
    <m/>
    <m/>
    <m/>
    <m/>
    <m/>
    <m/>
    <m/>
    <m/>
    <m/>
    <m/>
    <m/>
    <m/>
    <n v="2"/>
    <m/>
    <m/>
    <n v="5"/>
    <n v="0"/>
    <n v="0"/>
    <n v="0"/>
    <n v="0"/>
    <n v="0"/>
    <n v="0"/>
    <n v="0"/>
    <n v="1"/>
    <n v="12"/>
    <n v="20"/>
    <n v="0"/>
    <n v="0.12"/>
    <n v="19.88"/>
    <n v="0"/>
    <n v="0"/>
    <n v="0"/>
    <n v="7.879999999999999"/>
    <s v="萧小伍"/>
    <s v="浙江省 杭州市 拱墅区 长庆街道拱墅区长庆街道体育场路178号浙报传媒大厦浙江日报社"/>
    <s v="18413289392-6996"/>
    <m/>
    <m/>
    <m/>
    <m/>
  </r>
  <r>
    <x v="173"/>
    <s v="已收货"/>
    <s v="4901278969642424447"/>
    <s v="高艺玲"/>
    <m/>
    <m/>
    <s v="插座"/>
    <x v="5"/>
    <m/>
    <m/>
    <s v="其他"/>
    <n v="55"/>
    <n v="55"/>
    <m/>
    <m/>
    <m/>
    <m/>
    <m/>
    <m/>
    <m/>
    <m/>
    <m/>
    <m/>
    <m/>
    <m/>
    <m/>
    <m/>
    <m/>
    <m/>
    <m/>
    <m/>
    <m/>
    <m/>
    <m/>
    <m/>
    <m/>
    <m/>
    <m/>
    <m/>
    <m/>
    <m/>
    <n v="8"/>
    <n v="0"/>
    <n v="0"/>
    <n v="0"/>
    <n v="0"/>
    <n v="0"/>
    <n v="0"/>
    <n v="0"/>
    <n v="1"/>
    <n v="63"/>
    <n v="100"/>
    <n v="0"/>
    <n v="0.6"/>
    <n v="99.40000000000001"/>
    <n v="0"/>
    <n v="0"/>
    <n v="0"/>
    <n v="36.40000000000001"/>
    <s v="高艺玲"/>
    <s v="云南省 昆明市 西山区 永昌街道金地九樾1-105"/>
    <s v="13124814575-9217"/>
    <m/>
    <m/>
    <m/>
    <m/>
  </r>
  <r>
    <x v="174"/>
    <s v="已收货"/>
    <s v="3085052376502040593"/>
    <s v="沈先生"/>
    <m/>
    <m/>
    <s v="样块*2"/>
    <x v="0"/>
    <m/>
    <s v="已结算"/>
    <s v="杭州"/>
    <n v="12"/>
    <n v="10"/>
    <m/>
    <m/>
    <m/>
    <m/>
    <m/>
    <m/>
    <m/>
    <m/>
    <m/>
    <m/>
    <m/>
    <m/>
    <m/>
    <m/>
    <m/>
    <m/>
    <m/>
    <m/>
    <m/>
    <m/>
    <m/>
    <m/>
    <m/>
    <m/>
    <m/>
    <n v="2"/>
    <m/>
    <m/>
    <n v="5"/>
    <n v="0"/>
    <n v="0"/>
    <n v="0"/>
    <n v="0"/>
    <n v="0"/>
    <n v="0"/>
    <n v="0"/>
    <n v="1"/>
    <n v="17"/>
    <n v="44"/>
    <n v="0"/>
    <n v="0.264"/>
    <n v="43.736"/>
    <n v="0"/>
    <n v="0"/>
    <n v="0"/>
    <n v="26.736"/>
    <s v="沈先生"/>
    <s v="上海 上海市 静安区 大宁路街道宁和小区70号楼"/>
    <s v="18466707287-4268"/>
    <m/>
    <m/>
    <m/>
    <m/>
  </r>
  <r>
    <x v="175"/>
    <s v="已收货"/>
    <s v="3086531906650777990"/>
    <s v="cmcc"/>
    <m/>
    <m/>
    <s v="样块"/>
    <x v="0"/>
    <m/>
    <s v="已结算"/>
    <s v="杭州"/>
    <n v="7"/>
    <n v="5"/>
    <m/>
    <m/>
    <m/>
    <m/>
    <m/>
    <m/>
    <m/>
    <m/>
    <m/>
    <m/>
    <m/>
    <m/>
    <m/>
    <m/>
    <m/>
    <m/>
    <m/>
    <m/>
    <m/>
    <m/>
    <m/>
    <m/>
    <m/>
    <m/>
    <m/>
    <n v="2"/>
    <m/>
    <m/>
    <n v="5"/>
    <n v="0"/>
    <n v="0"/>
    <n v="0"/>
    <n v="0"/>
    <n v="0"/>
    <n v="0"/>
    <n v="0"/>
    <n v="1"/>
    <n v="12"/>
    <n v="17"/>
    <n v="0"/>
    <n v="0.102"/>
    <n v="16.898"/>
    <n v="0"/>
    <n v="0"/>
    <n v="0"/>
    <n v="4.898"/>
    <s v="cmcc"/>
    <s v="浙江省 丽水市 莲都区 万象街道江南景苑10-1201"/>
    <s v="18413289402-5278"/>
    <m/>
    <m/>
    <m/>
    <m/>
  </r>
  <r>
    <x v="176"/>
    <s v="已收货"/>
    <s v="4909704156748536725"/>
    <s v="黄冬花"/>
    <m/>
    <m/>
    <s v="样块"/>
    <x v="0"/>
    <m/>
    <s v="已结算"/>
    <s v="杭州"/>
    <n v="7"/>
    <n v="5"/>
    <m/>
    <m/>
    <m/>
    <m/>
    <m/>
    <m/>
    <m/>
    <m/>
    <m/>
    <m/>
    <m/>
    <m/>
    <m/>
    <m/>
    <m/>
    <m/>
    <m/>
    <m/>
    <m/>
    <m/>
    <m/>
    <m/>
    <m/>
    <m/>
    <m/>
    <n v="2"/>
    <m/>
    <m/>
    <n v="5"/>
    <n v="0"/>
    <n v="0"/>
    <n v="0"/>
    <n v="0"/>
    <n v="0"/>
    <n v="0"/>
    <n v="0"/>
    <n v="1"/>
    <n v="12"/>
    <n v="22"/>
    <n v="0"/>
    <n v="0.132"/>
    <n v="21.868"/>
    <n v="0"/>
    <n v="0"/>
    <n v="0"/>
    <n v="9.867999999999999"/>
    <s v="黄冬花"/>
    <s v="广东省 东莞市  莞城街道西隅大西路23号小物日记店"/>
    <s v="18814331329-4575"/>
    <m/>
    <m/>
    <m/>
    <m/>
  </r>
  <r>
    <x v="176"/>
    <s v="已收货"/>
    <s v="3090117938820214473"/>
    <s v="庄"/>
    <m/>
    <m/>
    <s v="样块*3"/>
    <x v="0"/>
    <m/>
    <s v="已结算"/>
    <s v="杭州"/>
    <n v="17"/>
    <n v="15"/>
    <m/>
    <m/>
    <m/>
    <m/>
    <m/>
    <m/>
    <m/>
    <m/>
    <m/>
    <m/>
    <m/>
    <m/>
    <m/>
    <m/>
    <m/>
    <m/>
    <m/>
    <m/>
    <m/>
    <m/>
    <m/>
    <m/>
    <m/>
    <m/>
    <m/>
    <n v="2"/>
    <m/>
    <m/>
    <n v="5"/>
    <n v="0"/>
    <n v="0"/>
    <n v="0"/>
    <n v="0"/>
    <n v="0"/>
    <n v="0"/>
    <n v="0"/>
    <n v="1"/>
    <n v="22"/>
    <n v="66"/>
    <n v="0"/>
    <n v="0.396"/>
    <n v="65.604"/>
    <n v="0"/>
    <n v="0"/>
    <n v="0"/>
    <n v="43.604"/>
    <s v="庄"/>
    <s v="北京 北京市 丰台区 成寿寺街道北京天誉1号楼1单元2201"/>
    <s v="18400716700-9195"/>
    <m/>
    <m/>
    <m/>
    <m/>
  </r>
  <r>
    <x v="177"/>
    <s v="已收货"/>
    <s v="3092848107311946383"/>
    <s v="张颖"/>
    <m/>
    <m/>
    <s v="样块"/>
    <x v="0"/>
    <m/>
    <s v="已结算"/>
    <s v="杭州"/>
    <n v="7"/>
    <n v="5"/>
    <m/>
    <m/>
    <m/>
    <m/>
    <m/>
    <m/>
    <m/>
    <m/>
    <m/>
    <m/>
    <m/>
    <m/>
    <m/>
    <m/>
    <m/>
    <m/>
    <m/>
    <m/>
    <m/>
    <m/>
    <m/>
    <m/>
    <m/>
    <m/>
    <m/>
    <n v="2"/>
    <m/>
    <m/>
    <n v="5"/>
    <n v="0"/>
    <n v="0"/>
    <n v="0"/>
    <n v="0"/>
    <n v="0"/>
    <n v="0"/>
    <n v="0"/>
    <n v="1"/>
    <n v="12"/>
    <n v="22"/>
    <n v="0"/>
    <n v="0.132"/>
    <n v="21.868"/>
    <n v="0"/>
    <n v="0"/>
    <n v="0"/>
    <n v="9.867999999999999"/>
    <s v="张颖"/>
    <s v="北京 北京市 东城区 崇文门外街道国瑞北路国瑞城中区2号楼2单元1602"/>
    <s v="17810331201-4291"/>
    <m/>
    <m/>
    <m/>
    <m/>
  </r>
  <r>
    <x v="178"/>
    <s v="已收货"/>
    <s v="3093596364937409865"/>
    <s v="刘小婷"/>
    <m/>
    <m/>
    <s v="样块"/>
    <x v="0"/>
    <m/>
    <s v="已结算"/>
    <s v="杭州"/>
    <n v="7"/>
    <n v="5"/>
    <m/>
    <m/>
    <m/>
    <m/>
    <m/>
    <m/>
    <m/>
    <m/>
    <m/>
    <m/>
    <m/>
    <m/>
    <m/>
    <m/>
    <m/>
    <m/>
    <m/>
    <m/>
    <m/>
    <m/>
    <m/>
    <m/>
    <m/>
    <m/>
    <m/>
    <n v="2"/>
    <m/>
    <m/>
    <n v="5"/>
    <n v="0"/>
    <n v="0"/>
    <n v="0"/>
    <n v="0"/>
    <n v="0"/>
    <n v="0"/>
    <n v="0"/>
    <n v="1"/>
    <n v="12"/>
    <n v="22"/>
    <n v="0"/>
    <n v="0.132"/>
    <n v="21.868"/>
    <n v="0"/>
    <n v="0"/>
    <n v="0"/>
    <n v="9.867999999999999"/>
    <s v="刘小婷"/>
    <s v="浙江省 湖州市 安吉县 昌硕街道双溪口村258号"/>
    <s v="15785487857-8739"/>
    <m/>
    <m/>
    <m/>
    <m/>
  </r>
  <r>
    <x v="178"/>
    <s v="已收货"/>
    <s v="4914242029745081504"/>
    <s v="黄懿歆"/>
    <m/>
    <m/>
    <s v="插座*2"/>
    <x v="5"/>
    <m/>
    <s v="已结算"/>
    <s v="其他"/>
    <n v="110"/>
    <n v="110"/>
    <m/>
    <m/>
    <m/>
    <m/>
    <m/>
    <m/>
    <m/>
    <m/>
    <m/>
    <m/>
    <m/>
    <m/>
    <m/>
    <m/>
    <m/>
    <m/>
    <m/>
    <m/>
    <m/>
    <m/>
    <m/>
    <m/>
    <m/>
    <m/>
    <m/>
    <m/>
    <m/>
    <m/>
    <n v="8"/>
    <n v="0"/>
    <n v="0"/>
    <n v="0"/>
    <n v="0"/>
    <n v="0"/>
    <n v="0"/>
    <n v="0"/>
    <n v="1"/>
    <n v="118"/>
    <n v="200"/>
    <n v="0"/>
    <n v="1.2"/>
    <n v="198.8"/>
    <n v="0"/>
    <n v="0"/>
    <n v="0"/>
    <n v="80.80000000000001"/>
    <s v="黄懿歆"/>
    <s v="贵州省 贵阳市 花溪区 溪北街道中铁·阅花溪A组团12栋17楼2号"/>
    <s v="18400314186-5233"/>
    <m/>
    <m/>
    <m/>
    <m/>
  </r>
  <r>
    <x v="178"/>
    <s v="已收货"/>
    <s v="3093811215968071672"/>
    <s v="王"/>
    <m/>
    <m/>
    <s v="补差价"/>
    <x v="4"/>
    <m/>
    <s v="已结算"/>
    <s v="庄毅"/>
    <n v="0"/>
    <n v="0"/>
    <m/>
    <m/>
    <m/>
    <m/>
    <m/>
    <m/>
    <m/>
    <m/>
    <m/>
    <m/>
    <m/>
    <m/>
    <m/>
    <m/>
    <m/>
    <m/>
    <m/>
    <m/>
    <m/>
    <m/>
    <m/>
    <m/>
    <m/>
    <m/>
    <m/>
    <m/>
    <m/>
    <m/>
    <n v="0"/>
    <n v="0"/>
    <n v="0"/>
    <n v="0"/>
    <n v="0"/>
    <n v="0"/>
    <n v="0"/>
    <n v="0"/>
    <n v="1"/>
    <n v="0"/>
    <n v="750"/>
    <n v="0"/>
    <n v="4.5"/>
    <n v="745.5"/>
    <n v="0"/>
    <n v="0"/>
    <n v="0"/>
    <n v="745.5"/>
    <s v="王"/>
    <s v="安徽省 亳州市 谯城区 亳州市经济技术开发区建投铂悦府20栋二单元902"/>
    <s v="18430738956-7666"/>
    <m/>
    <m/>
    <m/>
    <m/>
  </r>
  <r>
    <x v="178"/>
    <s v="已收货"/>
    <s v="3094748186825510397"/>
    <s v="文子"/>
    <m/>
    <m/>
    <s v="样块"/>
    <x v="0"/>
    <m/>
    <s v="已结算"/>
    <s v="杭州"/>
    <n v="7"/>
    <n v="5"/>
    <m/>
    <m/>
    <m/>
    <m/>
    <m/>
    <m/>
    <m/>
    <m/>
    <m/>
    <m/>
    <m/>
    <m/>
    <m/>
    <m/>
    <m/>
    <m/>
    <m/>
    <m/>
    <m/>
    <m/>
    <m/>
    <m/>
    <m/>
    <m/>
    <m/>
    <n v="2"/>
    <m/>
    <m/>
    <n v="5"/>
    <n v="0"/>
    <n v="0"/>
    <n v="0"/>
    <n v="0"/>
    <n v="0"/>
    <n v="0"/>
    <n v="0"/>
    <n v="1"/>
    <n v="12"/>
    <n v="22"/>
    <n v="0"/>
    <n v="0.132"/>
    <n v="21.868"/>
    <n v="0"/>
    <n v="0"/>
    <n v="0"/>
    <n v="9.867999999999999"/>
    <s v="文子"/>
    <s v="福建省 漳州市 龙文区 步文街道龙江北路中梁远洋星海天宸3栋2601"/>
    <s v="17895965949-9669"/>
    <m/>
    <m/>
    <m/>
    <m/>
  </r>
  <r>
    <x v="179"/>
    <s v="已收货"/>
    <s v="4918528765919893645"/>
    <s v="张梅西"/>
    <m/>
    <m/>
    <s v="样块*2"/>
    <x v="0"/>
    <m/>
    <s v="已结算"/>
    <s v="杭州"/>
    <n v="12"/>
    <n v="10"/>
    <m/>
    <m/>
    <m/>
    <m/>
    <m/>
    <m/>
    <m/>
    <m/>
    <m/>
    <m/>
    <m/>
    <m/>
    <m/>
    <m/>
    <m/>
    <m/>
    <m/>
    <m/>
    <m/>
    <m/>
    <m/>
    <m/>
    <m/>
    <m/>
    <m/>
    <n v="2"/>
    <m/>
    <m/>
    <n v="10"/>
    <n v="0"/>
    <n v="0"/>
    <n v="0"/>
    <n v="0"/>
    <n v="0"/>
    <n v="0"/>
    <n v="0"/>
    <n v="1"/>
    <n v="22"/>
    <n v="25"/>
    <n v="0"/>
    <n v="0.15"/>
    <n v="24.85"/>
    <n v="0"/>
    <n v="0"/>
    <n v="0"/>
    <n v="2.850000000000001"/>
    <s v="张梅西"/>
    <s v="北京 北京市 海淀区 西北旺镇栖海澐颂7号楼1单元1102"/>
    <s v="18400807481-8525"/>
    <m/>
    <m/>
    <m/>
    <m/>
  </r>
  <r>
    <x v="180"/>
    <s v="已收货"/>
    <s v="3108940680843940965"/>
    <s v="孟女士"/>
    <s v="单独给师傅免钉胶费用20元"/>
    <m/>
    <s v="砂白色2.0米岩板餐桌"/>
    <x v="1"/>
    <s v="200cm*85cm"/>
    <s v="已结算"/>
    <s v="江西"/>
    <n v="1952.5"/>
    <n v="1450"/>
    <m/>
    <m/>
    <m/>
    <m/>
    <n v="290"/>
    <m/>
    <m/>
    <m/>
    <m/>
    <m/>
    <m/>
    <m/>
    <m/>
    <m/>
    <m/>
    <m/>
    <n v="2.5"/>
    <m/>
    <m/>
    <m/>
    <m/>
    <m/>
    <m/>
    <m/>
    <m/>
    <n v="210"/>
    <m/>
    <m/>
    <n v="228"/>
    <n v="35"/>
    <n v="79"/>
    <n v="0"/>
    <n v="0"/>
    <n v="0"/>
    <n v="20"/>
    <n v="0"/>
    <n v="1"/>
    <n v="2314.5"/>
    <n v="3120.52"/>
    <n v="0"/>
    <n v="18.72312"/>
    <n v="3101.79688"/>
    <n v="0"/>
    <n v="0"/>
    <n v="0"/>
    <n v="787.2968799999999"/>
    <s v="孟女士"/>
    <s v="重庆 重庆市 沙坪坝区 土主街道龙湖熙上二组团5栋2单元501"/>
    <s v="14727238559-4604"/>
    <m/>
    <m/>
    <m/>
    <m/>
  </r>
  <r>
    <x v="180"/>
    <s v="已收货"/>
    <s v="4930686182984355515"/>
    <s v="甜妹子"/>
    <m/>
    <m/>
    <s v="窄柜-整柜洞石背板-1.0米"/>
    <x v="18"/>
    <n v="1000"/>
    <s v="已结算"/>
    <s v="江西"/>
    <n v="4292.74"/>
    <n v="3300"/>
    <n v="359.08"/>
    <n v="120"/>
    <m/>
    <n v="38"/>
    <n v="190"/>
    <n v="54"/>
    <n v="52"/>
    <m/>
    <n v="5"/>
    <m/>
    <m/>
    <m/>
    <m/>
    <n v="2"/>
    <n v="1.1"/>
    <n v="3.5"/>
    <m/>
    <m/>
    <m/>
    <m/>
    <m/>
    <m/>
    <m/>
    <m/>
    <m/>
    <n v="170"/>
    <m/>
    <m/>
    <n v="227"/>
    <n v="63"/>
    <n v="79"/>
    <n v="0"/>
    <n v="0"/>
    <n v="0"/>
    <n v="0"/>
    <n v="120"/>
    <n v="1"/>
    <n v="4781.74"/>
    <n v="5280.7"/>
    <n v="0"/>
    <n v="31.6842"/>
    <n v="5249.0158"/>
    <n v="0"/>
    <n v="0"/>
    <n v="0"/>
    <n v="467.2758000000003"/>
    <s v="甜妹子"/>
    <s v="广东省 深圳市 宝安区 西乡街道碧湾雅园A栋1103"/>
    <s v="15794981017-1621"/>
    <m/>
    <m/>
    <m/>
    <m/>
  </r>
  <r>
    <x v="180"/>
    <s v="已收货"/>
    <s v="4931373384906685131"/>
    <s v="李明"/>
    <m/>
    <m/>
    <s v="砂白色1.4米岩板餐桌"/>
    <x v="1"/>
    <s v="140cm*85cm"/>
    <s v="已结算"/>
    <s v="江西"/>
    <n v="1702.5"/>
    <n v="1300"/>
    <m/>
    <m/>
    <m/>
    <m/>
    <n v="220"/>
    <m/>
    <m/>
    <m/>
    <m/>
    <m/>
    <m/>
    <m/>
    <m/>
    <m/>
    <m/>
    <m/>
    <n v="2.5"/>
    <m/>
    <m/>
    <m/>
    <m/>
    <m/>
    <m/>
    <m/>
    <m/>
    <n v="180"/>
    <m/>
    <m/>
    <n v="96"/>
    <n v="0"/>
    <n v="0"/>
    <n v="0"/>
    <n v="0"/>
    <n v="0"/>
    <n v="0"/>
    <n v="0"/>
    <n v="1"/>
    <n v="1798.5"/>
    <n v="2764.36"/>
    <n v="0"/>
    <n v="16.58616"/>
    <n v="2747.77384"/>
    <n v="0"/>
    <n v="0"/>
    <n v="0"/>
    <n v="949.2738400000003"/>
    <s v="李明"/>
    <s v="广东省 广州市 白云区 太和镇广州市白云区太和镇大沥村大沥庙前路3号转(817620） 邮编：510550"/>
    <s v="13242330593-4538"/>
    <m/>
    <m/>
    <m/>
    <m/>
  </r>
  <r>
    <x v="180"/>
    <s v="未发货"/>
    <s v="4931308621633047840"/>
    <s v="种璐瑶"/>
    <m/>
    <m/>
    <s v="2.1洞石柜"/>
    <x v="3"/>
    <n v="2100"/>
    <m/>
    <s v="江西"/>
    <n v="8933.746666666668"/>
    <n v="5700"/>
    <n v="690"/>
    <s v="52*2"/>
    <s v="2040/6/1.5"/>
    <m/>
    <n v="10"/>
    <n v="92"/>
    <n v="20"/>
    <m/>
    <m/>
    <n v="14"/>
    <n v="154"/>
    <n v="755.08"/>
    <m/>
    <m/>
    <m/>
    <m/>
    <n v="98"/>
    <n v="470"/>
    <m/>
    <m/>
    <m/>
    <m/>
    <m/>
    <m/>
    <m/>
    <n v="470"/>
    <m/>
    <m/>
    <n v="695"/>
    <n v="119"/>
    <n v="200"/>
    <n v="0"/>
    <n v="0"/>
    <n v="0"/>
    <n v="0"/>
    <n v="0"/>
    <n v="1"/>
    <n v="9947.746666666668"/>
    <n v="11045.56"/>
    <n v="0"/>
    <n v="66.27336"/>
    <n v="10979.28664"/>
    <n v="0"/>
    <n v="0"/>
    <n v="0"/>
    <n v="1031.539973333332"/>
    <s v="种璐瑶"/>
    <s v="浙江省 杭州市 余杭区 仓前街道龙湖交控西站杭与城2幢602"/>
    <s v="18413253110-5190"/>
    <m/>
    <m/>
    <m/>
    <m/>
  </r>
  <r>
    <x v="180"/>
    <s v="已收货"/>
    <s v="3109989973532579758"/>
    <s v="朱叶峰"/>
    <m/>
    <m/>
    <s v="1.2米榉木餐边柜"/>
    <x v="9"/>
    <n v="1200"/>
    <s v="已结算"/>
    <s v="江西"/>
    <n v="5356"/>
    <n v="3500"/>
    <n v="718"/>
    <s v="22*6"/>
    <n v="52"/>
    <m/>
    <n v="10"/>
    <n v="200"/>
    <n v="280"/>
    <m/>
    <m/>
    <n v="380"/>
    <n v="84"/>
    <m/>
    <m/>
    <m/>
    <m/>
    <m/>
    <m/>
    <m/>
    <m/>
    <m/>
    <m/>
    <m/>
    <m/>
    <m/>
    <m/>
    <n v="380"/>
    <m/>
    <m/>
    <n v="242"/>
    <n v="0"/>
    <n v="109"/>
    <n v="0"/>
    <n v="0"/>
    <n v="0"/>
    <n v="0"/>
    <n v="0"/>
    <n v="1"/>
    <n v="5707"/>
    <n v="6332.62"/>
    <n v="0"/>
    <n v="37.99572"/>
    <n v="6294.62428"/>
    <n v="0"/>
    <n v="0"/>
    <n v="0"/>
    <n v="587.62428"/>
    <s v="朱叶峰"/>
    <s v="广东省 广州市 海珠区 昌岗街道 昌岗东路271号之一 403 房"/>
    <s v="18466125923-1548"/>
    <m/>
    <m/>
    <m/>
    <m/>
  </r>
  <r>
    <x v="180"/>
    <s v="已收货"/>
    <s v="3110497500918285752"/>
    <s v="王朝"/>
    <m/>
    <m/>
    <s v="曜黑柜-整柜-1.8米"/>
    <x v="19"/>
    <n v="1800"/>
    <s v="已结算"/>
    <s v="江西"/>
    <n v="10421.40833333333"/>
    <n v="8800"/>
    <n v="577"/>
    <n v="283.3333333333333"/>
    <m/>
    <m/>
    <n v="240"/>
    <n v="101.375"/>
    <n v="36"/>
    <n v="60"/>
    <m/>
    <n v="12"/>
    <n v="66"/>
    <n v="46"/>
    <m/>
    <n v="6"/>
    <n v="1.2"/>
    <n v="2.5"/>
    <m/>
    <m/>
    <m/>
    <m/>
    <m/>
    <m/>
    <m/>
    <m/>
    <m/>
    <n v="190"/>
    <m/>
    <m/>
    <n v="310"/>
    <n v="0"/>
    <n v="500"/>
    <n v="0"/>
    <n v="0"/>
    <n v="0"/>
    <n v="0"/>
    <n v="0"/>
    <n v="1"/>
    <n v="11231.40833333333"/>
    <n v="15108.57"/>
    <n v="0"/>
    <n v="90.65142"/>
    <n v="15017.91858"/>
    <n v="0"/>
    <n v="0"/>
    <n v="0"/>
    <n v="3786.510246666665"/>
    <s v="王朝"/>
    <s v="上海 上海市 嘉定区 马陆镇越秀保利嘉悦云上北地块35栋19号2102室"/>
    <s v="18466819837-9905"/>
    <m/>
    <m/>
    <m/>
    <m/>
  </r>
  <r>
    <x v="180"/>
    <s v="退货"/>
    <s v="3108761511707887474"/>
    <s v="拍拍红屁屁"/>
    <m/>
    <m/>
    <s v="砂白色1.6米岩板餐桌"/>
    <x v="1"/>
    <s v="160cm*85cm"/>
    <s v="已结算"/>
    <s v="江西"/>
    <n v="190"/>
    <n v="0"/>
    <m/>
    <m/>
    <m/>
    <m/>
    <m/>
    <m/>
    <m/>
    <m/>
    <m/>
    <m/>
    <m/>
    <m/>
    <m/>
    <m/>
    <m/>
    <m/>
    <m/>
    <m/>
    <m/>
    <m/>
    <m/>
    <m/>
    <m/>
    <m/>
    <m/>
    <n v="190"/>
    <m/>
    <m/>
    <n v="263"/>
    <n v="30"/>
    <n v="60"/>
    <n v="0"/>
    <n v="0"/>
    <n v="170"/>
    <n v="0"/>
    <n v="0"/>
    <n v="1"/>
    <n v="713"/>
    <n v="0"/>
    <n v="0"/>
    <n v="0"/>
    <n v="0"/>
    <n v="0"/>
    <n v="0"/>
    <n v="0"/>
    <n v="-713"/>
    <s v="拍拍红屁屁"/>
    <s v="江苏省 镇江市 句容市 华阳街道北部新城东区29栋1603（拒收韵达快递）"/>
    <s v="15784301412-1726"/>
    <m/>
    <m/>
    <m/>
    <m/>
  </r>
  <r>
    <x v="181"/>
    <s v="已收货"/>
    <s v="3110785250216569668"/>
    <s v="施施"/>
    <s v="1米洞石窄柜"/>
    <m/>
    <s v="窄柜-整柜洞石背板-1.0米"/>
    <x v="18"/>
    <n v="1000"/>
    <m/>
    <s v="江西"/>
    <n v="4292.74"/>
    <n v="3300"/>
    <n v="359.08"/>
    <n v="120"/>
    <m/>
    <n v="38"/>
    <n v="190"/>
    <n v="54"/>
    <n v="52"/>
    <m/>
    <n v="5"/>
    <m/>
    <m/>
    <m/>
    <m/>
    <n v="2"/>
    <n v="1.1"/>
    <n v="3.5"/>
    <m/>
    <m/>
    <m/>
    <m/>
    <m/>
    <m/>
    <m/>
    <m/>
    <m/>
    <n v="170"/>
    <m/>
    <m/>
    <n v="205"/>
    <n v="64"/>
    <n v="98"/>
    <n v="0"/>
    <n v="0"/>
    <n v="0"/>
    <n v="0"/>
    <n v="0"/>
    <n v="1"/>
    <n v="4659.74"/>
    <n v="5280.7"/>
    <n v="0"/>
    <n v="31.6842"/>
    <n v="5249.0158"/>
    <n v="0"/>
    <n v="0"/>
    <n v="0"/>
    <n v="589.2758000000003"/>
    <s v="施施"/>
    <s v="上海 上海市 浦东新区 三林镇江高路105弄前滩江悦名庭2号1101室"/>
    <s v="18466659712-1846"/>
    <m/>
    <m/>
    <m/>
    <m/>
  </r>
  <r>
    <x v="181"/>
    <s v="已收货"/>
    <s v="3111874430079426188"/>
    <s v="大快头ID二五二零"/>
    <m/>
    <m/>
    <s v="1.8洞石柜"/>
    <x v="3"/>
    <n v="1800"/>
    <s v="已结算"/>
    <s v="江西"/>
    <n v="8887.746666666666"/>
    <n v="6100"/>
    <n v="580"/>
    <n v="80"/>
    <n v="567.08"/>
    <m/>
    <s v="2040/6/1.5"/>
    <n v="380"/>
    <n v="14"/>
    <m/>
    <m/>
    <n v="10"/>
    <n v="198"/>
    <s v="52*2"/>
    <m/>
    <m/>
    <m/>
    <m/>
    <n v="126"/>
    <n v="22"/>
    <n v="480"/>
    <m/>
    <m/>
    <m/>
    <m/>
    <m/>
    <m/>
    <n v="480"/>
    <m/>
    <m/>
    <n v="144"/>
    <n v="100"/>
    <n v="150"/>
    <n v="0"/>
    <n v="0"/>
    <n v="0"/>
    <n v="0"/>
    <n v="0"/>
    <n v="1"/>
    <n v="9281.746666666666"/>
    <n v="10854.52"/>
    <n v="0"/>
    <n v="65.12712000000001"/>
    <n v="10789.39288"/>
    <n v="0"/>
    <n v="0"/>
    <n v="0"/>
    <n v="1507.646213333335"/>
    <s v="大快头ID二五二零"/>
    <s v="广东省东莞市长安镇莞长路95号一辉大厦隔壁大快头集运ID二五二零区"/>
    <s v="大19902476417"/>
    <m/>
    <m/>
    <m/>
    <m/>
  </r>
  <r>
    <x v="181"/>
    <s v="已收货"/>
    <s v="3111972351242426188"/>
    <s v="大快头ID二五二零"/>
    <m/>
    <m/>
    <s v="补差价"/>
    <x v="3"/>
    <m/>
    <s v="已结算"/>
    <s v="江西"/>
    <n v="0"/>
    <n v="0"/>
    <m/>
    <m/>
    <m/>
    <m/>
    <m/>
    <m/>
    <m/>
    <m/>
    <m/>
    <m/>
    <m/>
    <m/>
    <m/>
    <m/>
    <m/>
    <m/>
    <m/>
    <m/>
    <m/>
    <m/>
    <m/>
    <m/>
    <m/>
    <m/>
    <m/>
    <m/>
    <m/>
    <m/>
    <n v="0"/>
    <n v="0"/>
    <n v="0"/>
    <n v="0"/>
    <n v="0"/>
    <n v="0"/>
    <n v="0"/>
    <n v="0"/>
    <n v="1"/>
    <n v="0"/>
    <n v="455"/>
    <n v="0"/>
    <n v="2.73"/>
    <n v="452.27"/>
    <n v="0"/>
    <n v="0"/>
    <n v="0"/>
    <n v="452.27"/>
    <s v="大快头ID二五二零"/>
    <s v="广东省东莞市长安镇莞长路95号一辉大厦隔壁大快头集运ID二五二零区"/>
    <s v="大19902476417"/>
    <m/>
    <m/>
    <m/>
    <m/>
  </r>
  <r>
    <x v="182"/>
    <s v="已收货"/>
    <s v="4936271943100042707"/>
    <s v="王先生"/>
    <m/>
    <m/>
    <s v="1.8洞石柜"/>
    <x v="3"/>
    <n v="1800"/>
    <s v="已结算"/>
    <s v="江西"/>
    <n v="8313.746666666666"/>
    <n v="6080"/>
    <n v="580"/>
    <n v="80"/>
    <n v="567.08"/>
    <m/>
    <s v="2040/6/1.5"/>
    <n v="380"/>
    <n v="14"/>
    <m/>
    <m/>
    <n v="10"/>
    <n v="198"/>
    <s v="52*2"/>
    <m/>
    <m/>
    <m/>
    <m/>
    <m/>
    <n v="74"/>
    <m/>
    <m/>
    <m/>
    <m/>
    <m/>
    <m/>
    <m/>
    <n v="380"/>
    <m/>
    <m/>
    <n v="392"/>
    <n v="112"/>
    <n v="205"/>
    <n v="0"/>
    <n v="0"/>
    <n v="0"/>
    <n v="0"/>
    <n v="0"/>
    <n v="1"/>
    <n v="9022.746666666666"/>
    <n v="10464.28"/>
    <n v="0"/>
    <n v="62.78568000000001"/>
    <n v="10401.49432"/>
    <n v="0"/>
    <n v="0"/>
    <n v="0"/>
    <n v="1378.747653333334"/>
    <s v="王先生"/>
    <s v="广东省 佛山市 禅城区 张槎街道宁泰路8号大华紫樾府2栋1901"/>
    <s v="18466323298-8523"/>
    <m/>
    <m/>
    <m/>
    <m/>
  </r>
  <r>
    <x v="183"/>
    <s v="已收货"/>
    <s v="4937277495658382945"/>
    <s v="刘钊岐"/>
    <m/>
    <m/>
    <s v="砂白色1.6米岩板餐桌"/>
    <x v="1"/>
    <s v="160cm*85cm"/>
    <s v="已结算"/>
    <s v="江西"/>
    <n v="1782.5"/>
    <n v="1350"/>
    <m/>
    <m/>
    <m/>
    <m/>
    <n v="240"/>
    <m/>
    <m/>
    <m/>
    <m/>
    <m/>
    <m/>
    <m/>
    <m/>
    <m/>
    <m/>
    <m/>
    <n v="2.5"/>
    <m/>
    <m/>
    <m/>
    <m/>
    <m/>
    <m/>
    <m/>
    <m/>
    <n v="190"/>
    <m/>
    <m/>
    <n v="90"/>
    <n v="30"/>
    <n v="75"/>
    <n v="0"/>
    <n v="0"/>
    <n v="0"/>
    <n v="0"/>
    <n v="0"/>
    <n v="1"/>
    <n v="1977.5"/>
    <n v="2854.27"/>
    <n v="0"/>
    <n v="17.12562"/>
    <n v="2837.14438"/>
    <n v="0"/>
    <n v="0"/>
    <n v="0"/>
    <n v="859.6443800000002"/>
    <s v="刘钊岐"/>
    <s v="浙江省 杭州市 余杭区 良渚街道 才泊嘉院6号楼1806室"/>
    <s v="18413250782-8216"/>
    <m/>
    <m/>
    <m/>
    <m/>
  </r>
  <r>
    <x v="183"/>
    <s v="已收货"/>
    <s v="4937702042084317940"/>
    <s v="树杰"/>
    <m/>
    <m/>
    <s v="追加岩板"/>
    <x v="5"/>
    <m/>
    <m/>
    <s v="江西"/>
    <n v="0"/>
    <n v="0"/>
    <m/>
    <m/>
    <m/>
    <m/>
    <m/>
    <m/>
    <m/>
    <m/>
    <m/>
    <m/>
    <m/>
    <m/>
    <m/>
    <m/>
    <m/>
    <m/>
    <m/>
    <m/>
    <m/>
    <m/>
    <m/>
    <m/>
    <m/>
    <m/>
    <m/>
    <m/>
    <m/>
    <m/>
    <n v="0"/>
    <n v="0"/>
    <n v="0"/>
    <n v="0"/>
    <n v="0"/>
    <n v="0"/>
    <n v="0"/>
    <n v="0"/>
    <n v="1"/>
    <n v="0"/>
    <n v="533"/>
    <n v="0"/>
    <n v="3.198"/>
    <n v="529.802"/>
    <n v="0"/>
    <n v="0"/>
    <n v="0"/>
    <n v="529.802"/>
    <s v="树杰"/>
    <s v="广东省 广州市 白云区 太和镇 龙归龙河西路西南五横路4号（波屯斯鞋业一楼）启顺国际物流QS5734-SYD"/>
    <s v="14737697527-8190"/>
    <m/>
    <m/>
    <m/>
    <m/>
  </r>
  <r>
    <x v="184"/>
    <s v="已收货"/>
    <s v="4939678728056795307"/>
    <s v="王博"/>
    <m/>
    <m/>
    <s v="窄柜-整柜洞石背板-1.0米"/>
    <x v="18"/>
    <n v="1000"/>
    <s v="已结算"/>
    <s v="江西"/>
    <n v="4228.74"/>
    <n v="3300"/>
    <n v="359.08"/>
    <n v="120"/>
    <m/>
    <n v="38"/>
    <n v="180"/>
    <n v="54"/>
    <n v="52"/>
    <m/>
    <n v="5"/>
    <m/>
    <m/>
    <m/>
    <m/>
    <n v="2"/>
    <n v="1.1"/>
    <n v="3.5"/>
    <m/>
    <m/>
    <m/>
    <m/>
    <m/>
    <m/>
    <m/>
    <m/>
    <m/>
    <n v="170"/>
    <m/>
    <m/>
    <n v="304"/>
    <n v="58"/>
    <n v="111"/>
    <n v="0"/>
    <n v="0"/>
    <n v="0"/>
    <n v="0"/>
    <n v="0"/>
    <n v="1"/>
    <n v="4701.74"/>
    <n v="5285.7"/>
    <n v="0"/>
    <n v="31.7142"/>
    <n v="5253.985799999999"/>
    <n v="0"/>
    <n v="0"/>
    <n v="0"/>
    <n v="552.2457999999997"/>
    <s v="王博"/>
    <s v="北京 北京市 丰台区 王佐镇 山湖路6号院翡翠西湖二期5号楼2单元401"/>
    <s v="18400824173-7010"/>
    <m/>
    <m/>
    <m/>
    <m/>
  </r>
  <r>
    <x v="184"/>
    <s v="已收货"/>
    <s v="4940160014231786804"/>
    <s v="刘亮"/>
    <m/>
    <m/>
    <s v="砂白色1.8米岩板餐桌"/>
    <x v="1"/>
    <s v="180cm*85cm"/>
    <s v="已结算"/>
    <s v="江西"/>
    <n v="1832.5"/>
    <n v="1400"/>
    <m/>
    <m/>
    <m/>
    <m/>
    <n v="240"/>
    <m/>
    <m/>
    <m/>
    <m/>
    <m/>
    <m/>
    <m/>
    <m/>
    <m/>
    <m/>
    <m/>
    <n v="2.5"/>
    <m/>
    <m/>
    <m/>
    <m/>
    <m/>
    <m/>
    <m/>
    <m/>
    <n v="190"/>
    <m/>
    <m/>
    <n v="180"/>
    <n v="35"/>
    <n v="80"/>
    <n v="0"/>
    <n v="0"/>
    <n v="0"/>
    <n v="0"/>
    <n v="0"/>
    <n v="1"/>
    <n v="2127.5"/>
    <n v="3043.04"/>
    <n v="0"/>
    <n v="18.25824"/>
    <n v="3024.78176"/>
    <n v="0"/>
    <n v="0"/>
    <n v="0"/>
    <n v="897.2817599999998"/>
    <s v="刘亮"/>
    <s v="辽宁省 沈阳市 于洪区 造化街道 松山西路中铁丁香水岸44#322"/>
    <s v="17896113734-7049"/>
    <m/>
    <m/>
    <m/>
    <m/>
  </r>
  <r>
    <x v="184"/>
    <s v="已收货"/>
    <s v="3118906129158184654"/>
    <s v="智爱"/>
    <m/>
    <m/>
    <s v="1.8洞石柜"/>
    <x v="3"/>
    <n v="1800"/>
    <s v="已结算"/>
    <s v="江西"/>
    <n v="8323.746666666666"/>
    <n v="6080"/>
    <n v="580"/>
    <n v="80"/>
    <n v="567.08"/>
    <m/>
    <s v="2040/6/1.5"/>
    <n v="380"/>
    <n v="14"/>
    <m/>
    <m/>
    <n v="10"/>
    <n v="198"/>
    <s v="52*2"/>
    <m/>
    <m/>
    <m/>
    <m/>
    <m/>
    <n v="84"/>
    <m/>
    <m/>
    <m/>
    <m/>
    <m/>
    <m/>
    <m/>
    <n v="380"/>
    <m/>
    <m/>
    <n v="590"/>
    <n v="112"/>
    <n v="200"/>
    <n v="0"/>
    <n v="0"/>
    <n v="0"/>
    <n v="0"/>
    <n v="0"/>
    <n v="1"/>
    <n v="9225.746666666666"/>
    <n v="10464.28"/>
    <n v="0"/>
    <n v="62.78568000000001"/>
    <n v="10401.49432"/>
    <n v="0"/>
    <n v="0"/>
    <n v="0"/>
    <n v="1175.747653333334"/>
    <s v="智爱"/>
    <s v="北京 北京市 通州区 通运街道 M5运河1号3号楼1111"/>
    <s v="86-15210340701"/>
    <m/>
    <m/>
    <m/>
    <m/>
  </r>
  <r>
    <x v="184"/>
    <s v="已收货"/>
    <s v="4940945821211022100"/>
    <s v="郑先生"/>
    <m/>
    <m/>
    <s v="砂白色1.8米岩板餐桌"/>
    <x v="1"/>
    <s v="180cm*85cm"/>
    <s v="已结算"/>
    <s v="江西"/>
    <n v="1902.5"/>
    <n v="1400"/>
    <m/>
    <m/>
    <m/>
    <m/>
    <n v="240"/>
    <m/>
    <m/>
    <m/>
    <m/>
    <m/>
    <m/>
    <m/>
    <m/>
    <m/>
    <m/>
    <m/>
    <n v="2.5"/>
    <m/>
    <m/>
    <m/>
    <m/>
    <m/>
    <m/>
    <m/>
    <m/>
    <n v="260"/>
    <m/>
    <m/>
    <n v="173"/>
    <n v="0"/>
    <n v="60"/>
    <n v="0"/>
    <n v="0"/>
    <n v="0"/>
    <n v="0"/>
    <n v="0"/>
    <n v="1"/>
    <n v="2135.5"/>
    <n v="2983.04"/>
    <n v="0"/>
    <n v="17.89824"/>
    <n v="2965.14176"/>
    <n v="0"/>
    <n v="0"/>
    <n v="0"/>
    <n v="829.64176"/>
    <s v="郑先生"/>
    <s v="四川省 成都市 锦江区 沙河街道 万科城市花园彩域94栋C-101"/>
    <s v="18418982494-7976"/>
    <m/>
    <m/>
    <m/>
    <m/>
  </r>
  <r>
    <x v="185"/>
    <s v="已收货"/>
    <s v="3119188153916165881"/>
    <s v="胡克栋"/>
    <m/>
    <m/>
    <s v="样块"/>
    <x v="0"/>
    <m/>
    <s v="已结算"/>
    <s v="杭州"/>
    <n v="7"/>
    <n v="5"/>
    <m/>
    <m/>
    <m/>
    <m/>
    <m/>
    <m/>
    <m/>
    <m/>
    <m/>
    <m/>
    <m/>
    <m/>
    <m/>
    <m/>
    <m/>
    <m/>
    <m/>
    <m/>
    <m/>
    <m/>
    <m/>
    <m/>
    <m/>
    <m/>
    <m/>
    <n v="2"/>
    <m/>
    <m/>
    <n v="5"/>
    <n v="0"/>
    <n v="0"/>
    <n v="0"/>
    <n v="0"/>
    <n v="0"/>
    <n v="0"/>
    <n v="0"/>
    <n v="1"/>
    <n v="12"/>
    <n v="22"/>
    <n v="0"/>
    <n v="0.132"/>
    <n v="21.868"/>
    <n v="0"/>
    <n v="0"/>
    <n v="0"/>
    <n v="9.867999999999999"/>
    <s v="胡克栋"/>
    <s v="甘肃省 兰州市 榆中县 和平镇牡丹路金科公寓16栋"/>
    <s v="15619424060-1999"/>
    <m/>
    <m/>
    <m/>
    <m/>
  </r>
  <r>
    <x v="185"/>
    <s v="已收货"/>
    <s v="3120419893540777990"/>
    <s v="王庆红"/>
    <m/>
    <m/>
    <s v="榉木多巴胺凳子"/>
    <x v="15"/>
    <m/>
    <m/>
    <s v="江西"/>
    <n v="658"/>
    <n v="658"/>
    <m/>
    <m/>
    <m/>
    <m/>
    <m/>
    <m/>
    <m/>
    <m/>
    <m/>
    <m/>
    <m/>
    <m/>
    <m/>
    <m/>
    <m/>
    <m/>
    <m/>
    <m/>
    <m/>
    <m/>
    <m/>
    <m/>
    <m/>
    <m/>
    <m/>
    <m/>
    <m/>
    <m/>
    <n v="0"/>
    <n v="0"/>
    <n v="0"/>
    <n v="0"/>
    <n v="0"/>
    <n v="0"/>
    <n v="0"/>
    <n v="0"/>
    <n v="1"/>
    <n v="658"/>
    <n v="916.5"/>
    <n v="0"/>
    <n v="5.499000000000001"/>
    <n v="911.001"/>
    <n v="0"/>
    <n v="0"/>
    <n v="0"/>
    <n v="253.001"/>
    <s v="王庆红"/>
    <s v="浙江省 丽水市 莲都区 南明山街道 江南路消防救援站"/>
    <s v="18413272576-9886"/>
    <m/>
    <m/>
    <m/>
    <m/>
  </r>
  <r>
    <x v="185"/>
    <s v="已退款"/>
    <s v="3120884257095963388"/>
    <s v="林俊"/>
    <m/>
    <m/>
    <s v="样块"/>
    <x v="0"/>
    <m/>
    <s v="已结算"/>
    <s v="江西"/>
    <n v="7"/>
    <n v="5"/>
    <m/>
    <m/>
    <m/>
    <m/>
    <m/>
    <m/>
    <m/>
    <m/>
    <m/>
    <m/>
    <m/>
    <m/>
    <m/>
    <m/>
    <m/>
    <m/>
    <m/>
    <m/>
    <m/>
    <m/>
    <m/>
    <m/>
    <m/>
    <m/>
    <m/>
    <n v="2"/>
    <m/>
    <m/>
    <n v="5"/>
    <n v="0"/>
    <n v="0"/>
    <n v="0"/>
    <n v="0"/>
    <n v="0"/>
    <n v="0"/>
    <n v="0"/>
    <n v="1"/>
    <n v="12"/>
    <n v="0"/>
    <n v="0"/>
    <n v="0"/>
    <n v="0"/>
    <n v="0"/>
    <n v="0"/>
    <n v="0"/>
    <n v="-12"/>
    <s v="林俊"/>
    <s v="福建省 福州市 仓山区 建新镇绿映路融侨悦江南8座1201"/>
    <s v="18480124303-7588"/>
    <m/>
    <m/>
    <m/>
    <m/>
  </r>
  <r>
    <x v="185"/>
    <s v="已收货"/>
    <s v="4942839386408156045"/>
    <s v="胡月月"/>
    <m/>
    <m/>
    <s v="隔板"/>
    <x v="5"/>
    <m/>
    <s v="已结算"/>
    <s v="江西"/>
    <n v="50"/>
    <n v="50"/>
    <m/>
    <m/>
    <m/>
    <m/>
    <m/>
    <m/>
    <m/>
    <m/>
    <m/>
    <m/>
    <m/>
    <m/>
    <m/>
    <m/>
    <m/>
    <m/>
    <m/>
    <m/>
    <m/>
    <m/>
    <m/>
    <m/>
    <m/>
    <m/>
    <m/>
    <m/>
    <m/>
    <m/>
    <n v="15"/>
    <n v="0"/>
    <n v="0"/>
    <n v="0"/>
    <n v="0"/>
    <n v="0"/>
    <n v="0"/>
    <n v="0"/>
    <n v="1"/>
    <n v="65"/>
    <n v="79"/>
    <n v="0"/>
    <n v="0.474"/>
    <n v="78.526"/>
    <n v="0"/>
    <n v="0"/>
    <n v="0"/>
    <n v="13.526"/>
    <s v="胡月月"/>
    <s v="浙江省 台州市 椒江区 洪家街道 海城路荣安棠樾5幢1501 室"/>
    <s v="15786493595-4166"/>
    <m/>
    <m/>
    <m/>
    <m/>
  </r>
  <r>
    <x v="185"/>
    <s v="已收货"/>
    <s v="4943411893833531537"/>
    <s v="河马一"/>
    <m/>
    <m/>
    <s v="砂白色1.6米岩板餐桌"/>
    <x v="1"/>
    <s v="160cm*85cm"/>
    <s v="已结算"/>
    <s v="江西"/>
    <n v="1782.5"/>
    <n v="1350"/>
    <m/>
    <m/>
    <m/>
    <m/>
    <n v="240"/>
    <m/>
    <m/>
    <m/>
    <m/>
    <m/>
    <m/>
    <m/>
    <m/>
    <m/>
    <m/>
    <m/>
    <n v="2.5"/>
    <m/>
    <m/>
    <m/>
    <m/>
    <m/>
    <m/>
    <m/>
    <m/>
    <n v="190"/>
    <m/>
    <m/>
    <n v="102"/>
    <n v="30"/>
    <n v="0"/>
    <n v="0"/>
    <n v="0"/>
    <n v="0"/>
    <n v="0"/>
    <n v="0"/>
    <n v="1"/>
    <n v="1914.5"/>
    <n v="2854.27"/>
    <n v="0"/>
    <n v="17.12562"/>
    <n v="2837.14438"/>
    <n v="0"/>
    <n v="0"/>
    <n v="0"/>
    <n v="922.6443800000002"/>
    <s v="河马一"/>
    <s v="广东省 佛山市 禅城区 石湾镇街道汇银·奥林匹克花园 41 座 1402"/>
    <s v="18466322302-9218"/>
    <m/>
    <m/>
    <m/>
    <m/>
  </r>
  <r>
    <x v="186"/>
    <s v="已收货"/>
    <s v="3121378502395763582"/>
    <s v="晏先生"/>
    <m/>
    <m/>
    <s v="砂白色1.8米岩板餐桌"/>
    <x v="1"/>
    <s v="180cm*85cm"/>
    <s v="已结算"/>
    <s v="江西"/>
    <n v="1852.5"/>
    <n v="1400"/>
    <m/>
    <m/>
    <m/>
    <m/>
    <n v="240"/>
    <m/>
    <m/>
    <m/>
    <m/>
    <m/>
    <m/>
    <m/>
    <m/>
    <m/>
    <m/>
    <m/>
    <n v="2.5"/>
    <m/>
    <m/>
    <m/>
    <m/>
    <m/>
    <m/>
    <m/>
    <m/>
    <n v="210"/>
    <m/>
    <m/>
    <n v="107"/>
    <n v="35"/>
    <n v="79"/>
    <n v="0"/>
    <n v="0"/>
    <n v="0"/>
    <n v="0"/>
    <n v="0"/>
    <n v="1"/>
    <n v="2073.5"/>
    <n v="2983.04"/>
    <n v="0"/>
    <n v="17.89824"/>
    <n v="2965.14176"/>
    <n v="0"/>
    <n v="0"/>
    <n v="0"/>
    <n v="891.64176"/>
    <s v="晏先生"/>
    <s v="广东省佛山市禅城区祖庙街道东建明德城翰府4座1704"/>
    <s v="13528941041-2065"/>
    <m/>
    <m/>
    <m/>
    <m/>
  </r>
  <r>
    <x v="186"/>
    <s v="已收货"/>
    <s v="4945380807625846927"/>
    <s v="火山"/>
    <m/>
    <m/>
    <s v="定制1.45窄柜"/>
    <x v="18"/>
    <n v="1450"/>
    <s v="已结算"/>
    <s v="江西"/>
    <n v="5857"/>
    <n v="4400"/>
    <n v="290"/>
    <n v="405"/>
    <n v="486"/>
    <m/>
    <s v="22*5"/>
    <n v="38"/>
    <s v="52*2"/>
    <m/>
    <m/>
    <n v="10"/>
    <n v="14"/>
    <m/>
    <m/>
    <m/>
    <m/>
    <m/>
    <m/>
    <m/>
    <m/>
    <m/>
    <m/>
    <m/>
    <m/>
    <m/>
    <m/>
    <n v="405"/>
    <m/>
    <m/>
    <n v="299"/>
    <n v="86"/>
    <n v="80"/>
    <n v="0"/>
    <n v="0"/>
    <n v="0"/>
    <n v="0"/>
    <n v="0"/>
    <n v="1"/>
    <n v="6322"/>
    <n v="6775"/>
    <n v="0"/>
    <n v="40.65"/>
    <n v="6734.35"/>
    <n v="0"/>
    <n v="0"/>
    <n v="0"/>
    <n v="412.3500000000004"/>
    <s v="火山"/>
    <s v="广东省 广州市 番禺区 南村镇番禺区南村镇铂世湾f7 27"/>
    <s v="13144403461-4566"/>
    <m/>
    <m/>
    <m/>
    <m/>
  </r>
  <r>
    <x v="186"/>
    <s v="已收货"/>
    <s v="3123388561504793765"/>
    <s v="大宝"/>
    <m/>
    <m/>
    <s v="砂白色2.0米岩板餐桌"/>
    <x v="1"/>
    <s v="200cm*85cm"/>
    <s v="已结算"/>
    <s v="庄毅"/>
    <n v="1938.5"/>
    <n v="1630"/>
    <m/>
    <m/>
    <m/>
    <m/>
    <n v="306"/>
    <m/>
    <m/>
    <m/>
    <m/>
    <m/>
    <m/>
    <m/>
    <m/>
    <m/>
    <m/>
    <m/>
    <n v="2.5"/>
    <m/>
    <m/>
    <m/>
    <m/>
    <m/>
    <m/>
    <m/>
    <m/>
    <m/>
    <m/>
    <m/>
    <n v="278.5"/>
    <n v="0"/>
    <n v="188"/>
    <n v="0"/>
    <n v="0"/>
    <n v="0"/>
    <n v="0"/>
    <n v="0"/>
    <n v="1"/>
    <n v="2405"/>
    <n v="3120.52"/>
    <n v="0"/>
    <n v="18.72312"/>
    <n v="3101.79688"/>
    <n v="0"/>
    <n v="0"/>
    <n v="0"/>
    <n v="696.7968799999999"/>
    <s v="大宝"/>
    <s v="四川省 成都市 武侯区 火车南站街道芳草地3栋5单元8-15"/>
    <s v="17823176672-6914"/>
    <m/>
    <m/>
    <m/>
    <m/>
  </r>
  <r>
    <x v="186"/>
    <s v="已收货"/>
    <s v="3123401881550963388"/>
    <s v="林俊"/>
    <m/>
    <m/>
    <s v="砂白色1.4米岩板餐桌"/>
    <x v="1"/>
    <s v="140cm*85cm"/>
    <s v="已结算"/>
    <s v="江西"/>
    <n v="1722.5"/>
    <n v="1300"/>
    <m/>
    <m/>
    <m/>
    <m/>
    <n v="240"/>
    <m/>
    <m/>
    <m/>
    <m/>
    <m/>
    <m/>
    <m/>
    <m/>
    <m/>
    <m/>
    <m/>
    <n v="2.5"/>
    <m/>
    <m/>
    <m/>
    <m/>
    <m/>
    <m/>
    <m/>
    <m/>
    <n v="180"/>
    <m/>
    <m/>
    <n v="109"/>
    <n v="30"/>
    <n v="69"/>
    <n v="0"/>
    <n v="0"/>
    <n v="0"/>
    <n v="0"/>
    <n v="0"/>
    <n v="1"/>
    <n v="1930.5"/>
    <n v="2759.36"/>
    <n v="0"/>
    <n v="16.55616"/>
    <n v="2742.80384"/>
    <n v="0"/>
    <n v="0"/>
    <n v="0"/>
    <n v="812.30384"/>
    <s v="林俊"/>
    <s v="福建省 福州市 仓山区 建新镇绿映路融侨悦江南8座1201"/>
    <s v="18480124303-7588"/>
    <m/>
    <m/>
    <m/>
    <m/>
  </r>
  <r>
    <x v="187"/>
    <s v="已收货"/>
    <s v="4945830013696219714"/>
    <s v="陶陶"/>
    <m/>
    <m/>
    <s v="窄柜-整柜洞石背板-0.8米"/>
    <x v="18"/>
    <n v="800"/>
    <s v="已结算"/>
    <s v="江西"/>
    <n v="4103.18"/>
    <n v="3100"/>
    <n v="307.08"/>
    <n v="115"/>
    <m/>
    <n v="38"/>
    <n v="180"/>
    <n v="54"/>
    <n v="52"/>
    <m/>
    <n v="4"/>
    <m/>
    <m/>
    <m/>
    <n v="3.5"/>
    <n v="5"/>
    <n v="1.1"/>
    <n v="3.5"/>
    <m/>
    <m/>
    <m/>
    <m/>
    <m/>
    <m/>
    <m/>
    <m/>
    <n v="70"/>
    <n v="170"/>
    <m/>
    <m/>
    <n v="163"/>
    <n v="51"/>
    <n v="78"/>
    <n v="0"/>
    <n v="0"/>
    <n v="0"/>
    <n v="0"/>
    <n v="0"/>
    <n v="1"/>
    <n v="4395.18"/>
    <n v="5285.7"/>
    <n v="0"/>
    <n v="31.7142"/>
    <n v="5253.985799999999"/>
    <n v="0"/>
    <n v="0"/>
    <n v="0"/>
    <n v="858.8057999999992"/>
    <s v="陈君琳"/>
    <s v="浙江省 金华市 义乌市 稠江街道云潮府21栋22楼2201"/>
    <s v="15787479550-5122"/>
    <m/>
    <m/>
    <m/>
    <m/>
  </r>
  <r>
    <x v="187"/>
    <s v="已收货"/>
    <s v="4947148728233397336"/>
    <s v="香香"/>
    <m/>
    <m/>
    <s v="样块"/>
    <x v="0"/>
    <m/>
    <s v="已结算"/>
    <s v="杭州"/>
    <n v="7"/>
    <n v="5"/>
    <m/>
    <m/>
    <m/>
    <m/>
    <m/>
    <m/>
    <m/>
    <m/>
    <m/>
    <m/>
    <m/>
    <m/>
    <m/>
    <m/>
    <m/>
    <m/>
    <m/>
    <m/>
    <m/>
    <m/>
    <m/>
    <m/>
    <m/>
    <m/>
    <m/>
    <n v="2"/>
    <m/>
    <m/>
    <n v="5"/>
    <n v="0"/>
    <n v="0"/>
    <n v="0"/>
    <n v="0"/>
    <n v="0"/>
    <n v="0"/>
    <n v="0"/>
    <n v="1"/>
    <n v="12"/>
    <n v="22"/>
    <n v="0"/>
    <n v="0.132"/>
    <n v="21.868"/>
    <n v="0"/>
    <n v="0"/>
    <n v="0"/>
    <n v="9.867999999999999"/>
    <s v="陶陶"/>
    <s v="江苏省 苏州市 常熟市 琴川街道中南林樾香庭15-2602"/>
    <s v="17895051429-6637"/>
    <m/>
    <m/>
    <m/>
    <m/>
  </r>
  <r>
    <x v="187"/>
    <s v="已收货"/>
    <s v="4947693589721064411"/>
    <s v="李娜"/>
    <m/>
    <m/>
    <s v="1.5基础柜aa柱子"/>
    <x v="25"/>
    <n v="1500"/>
    <s v="已结算"/>
    <s v="庄毅-江西"/>
    <n v="5538.6"/>
    <n v="4500"/>
    <n v="501"/>
    <n v="28"/>
    <n v="14"/>
    <m/>
    <n v="10"/>
    <s v="180*1.5*0.48"/>
    <s v="72*2"/>
    <m/>
    <m/>
    <n v="20"/>
    <s v="26*2"/>
    <n v="60"/>
    <m/>
    <m/>
    <m/>
    <m/>
    <m/>
    <n v="80"/>
    <m/>
    <m/>
    <m/>
    <m/>
    <m/>
    <m/>
    <m/>
    <n v="80"/>
    <m/>
    <m/>
    <n v="1186"/>
    <n v="40"/>
    <n v="125"/>
    <n v="0"/>
    <n v="0"/>
    <n v="0"/>
    <n v="0"/>
    <n v="0"/>
    <n v="1"/>
    <n v="6889.6"/>
    <n v="7740.9"/>
    <n v="0"/>
    <n v="46.4454"/>
    <n v="7694.4546"/>
    <n v="0"/>
    <n v="0"/>
    <n v="0"/>
    <n v="804.8545999999997"/>
    <s v="香香"/>
    <s v="浙江省 杭州市 建德市 洋溪街道江洋溪街道 一江春水一江春水"/>
    <s v="18413273034-9470"/>
    <m/>
    <m/>
    <m/>
    <m/>
  </r>
  <r>
    <x v="188"/>
    <s v="已收货"/>
    <s v="3126563940757467160"/>
    <s v="梁芳"/>
    <m/>
    <m/>
    <s v="砂白色1.6米岩板餐桌"/>
    <x v="1"/>
    <s v="160cm*85cm"/>
    <s v="已结算"/>
    <s v="江西"/>
    <n v="1782.5"/>
    <n v="1350"/>
    <m/>
    <m/>
    <m/>
    <m/>
    <n v="240"/>
    <m/>
    <m/>
    <m/>
    <m/>
    <m/>
    <m/>
    <m/>
    <m/>
    <m/>
    <m/>
    <m/>
    <n v="2.5"/>
    <m/>
    <m/>
    <m/>
    <m/>
    <m/>
    <m/>
    <m/>
    <m/>
    <n v="190"/>
    <m/>
    <m/>
    <n v="103"/>
    <n v="30"/>
    <n v="69"/>
    <n v="0"/>
    <n v="0"/>
    <n v="0"/>
    <n v="0"/>
    <n v="0"/>
    <n v="1"/>
    <n v="1984.5"/>
    <n v="2849.27"/>
    <n v="0"/>
    <n v="17.09562"/>
    <n v="2832.17438"/>
    <n v="0"/>
    <n v="0"/>
    <n v="0"/>
    <n v="847.6743799999999"/>
    <s v="李娜"/>
    <s v="海南省 三亚市 吉阳区 吉阳镇海南省三亚市吉阳区迎宾路中段万科湖畔度假公园二期万科里.G6A"/>
    <s v="17689845404-5248"/>
    <m/>
    <m/>
    <m/>
    <m/>
  </r>
  <r>
    <x v="188"/>
    <s v="已收货"/>
    <s v="4949625601525833947"/>
    <s v="卢欢"/>
    <m/>
    <m/>
    <s v="砂白色1.6米岩板餐桌"/>
    <x v="1"/>
    <s v="160cm*85cm"/>
    <s v="已结算"/>
    <s v="江西"/>
    <n v="1782.5"/>
    <n v="1350"/>
    <m/>
    <m/>
    <m/>
    <m/>
    <n v="240"/>
    <m/>
    <m/>
    <m/>
    <m/>
    <m/>
    <m/>
    <m/>
    <m/>
    <m/>
    <m/>
    <m/>
    <n v="2.5"/>
    <m/>
    <m/>
    <m/>
    <m/>
    <m/>
    <m/>
    <m/>
    <m/>
    <n v="190"/>
    <m/>
    <m/>
    <n v="93"/>
    <n v="30"/>
    <n v="118"/>
    <n v="0"/>
    <n v="0"/>
    <n v="0"/>
    <n v="0"/>
    <n v="0"/>
    <n v="1"/>
    <n v="2023.5"/>
    <n v="2849.27"/>
    <n v="0"/>
    <n v="17.09562"/>
    <n v="2832.17438"/>
    <n v="0"/>
    <n v="0"/>
    <n v="0"/>
    <n v="808.6743799999999"/>
    <s v="梁芳"/>
    <s v="湖南省 长沙市 雨花区 东山街道绿地城际空间站二期F2栋3401"/>
    <s v="15783460272-6182"/>
    <m/>
    <m/>
    <m/>
    <m/>
  </r>
  <r>
    <x v="189"/>
    <s v="已收货"/>
    <s v="3128012292109777990"/>
    <s v="cmcc"/>
    <m/>
    <m/>
    <s v="砂白色1.8米岩板餐桌，定制"/>
    <x v="1"/>
    <s v="180cm*80cm"/>
    <s v="已结算"/>
    <s v="江西"/>
    <n v="1742.5"/>
    <n v="1400"/>
    <m/>
    <m/>
    <m/>
    <m/>
    <n v="240"/>
    <m/>
    <m/>
    <m/>
    <m/>
    <m/>
    <m/>
    <m/>
    <m/>
    <m/>
    <m/>
    <m/>
    <n v="2.5"/>
    <m/>
    <m/>
    <m/>
    <m/>
    <m/>
    <m/>
    <m/>
    <m/>
    <n v="100"/>
    <m/>
    <m/>
    <n v="300"/>
    <n v="0"/>
    <n v="0"/>
    <n v="0"/>
    <n v="0"/>
    <n v="0"/>
    <n v="0"/>
    <n v="0"/>
    <n v="1"/>
    <n v="2042.5"/>
    <n v="2930"/>
    <n v="0"/>
    <n v="17.58"/>
    <n v="2912.42"/>
    <n v="0"/>
    <n v="0"/>
    <n v="0"/>
    <n v="869.9200000000001"/>
    <s v="拍拍红屁屁"/>
    <s v="江苏省 镇江市 句容市 华阳街道北部新城东区29栋1603（拒收韵达快递）"/>
    <s v="15784301412-1726"/>
    <m/>
    <m/>
    <m/>
    <m/>
  </r>
  <r>
    <x v="189"/>
    <s v="已收货"/>
    <s v="4950625357011307336"/>
    <s v="梁先生"/>
    <m/>
    <m/>
    <s v="窄柜-整柜洞石背板-1.0米"/>
    <x v="18"/>
    <n v="1000"/>
    <s v="已结算"/>
    <s v="庄毅"/>
    <n v="3994.71"/>
    <n v="3300"/>
    <n v="359.08"/>
    <n v="120"/>
    <m/>
    <n v="38"/>
    <n v="106.8"/>
    <n v="59.23"/>
    <m/>
    <m/>
    <n v="5"/>
    <m/>
    <m/>
    <m/>
    <m/>
    <n v="2"/>
    <n v="1.1"/>
    <n v="3.5"/>
    <m/>
    <m/>
    <m/>
    <m/>
    <m/>
    <m/>
    <m/>
    <m/>
    <m/>
    <m/>
    <m/>
    <m/>
    <n v="393"/>
    <n v="0"/>
    <n v="90"/>
    <n v="0"/>
    <n v="158"/>
    <n v="0"/>
    <n v="0"/>
    <n v="0"/>
    <n v="1"/>
    <n v="4635.71"/>
    <n v="5285.7"/>
    <n v="0"/>
    <n v="31.7142"/>
    <n v="5253.985799999999"/>
    <n v="0"/>
    <n v="0"/>
    <n v="0"/>
    <n v="618.2757999999994"/>
    <s v="梁先生"/>
    <s v="四川省成都市锦江区狮子山街道万科城市花园69栋C-102"/>
    <s v="14727239772-8108"/>
    <m/>
    <m/>
    <m/>
    <m/>
  </r>
  <r>
    <x v="189"/>
    <s v="已收货"/>
    <s v="3128000522271136577"/>
    <s v="李焯翾"/>
    <m/>
    <m/>
    <s v="1.8基础柜aa柱子(341拦截费用客户付)"/>
    <x v="25"/>
    <n v="1800"/>
    <s v="已结算"/>
    <s v="江西"/>
    <n v="0"/>
    <n v="0"/>
    <m/>
    <m/>
    <m/>
    <m/>
    <m/>
    <m/>
    <m/>
    <m/>
    <m/>
    <m/>
    <m/>
    <m/>
    <m/>
    <m/>
    <m/>
    <m/>
    <m/>
    <m/>
    <m/>
    <m/>
    <m/>
    <m/>
    <m/>
    <m/>
    <m/>
    <m/>
    <m/>
    <m/>
    <n v="0"/>
    <n v="0"/>
    <n v="0"/>
    <n v="0"/>
    <n v="0"/>
    <n v="0"/>
    <n v="0"/>
    <n v="0"/>
    <n v="1"/>
    <n v="0"/>
    <n v="442"/>
    <n v="0"/>
    <n v="2.652"/>
    <n v="439.348"/>
    <n v="0"/>
    <n v="0"/>
    <n v="0"/>
    <n v="439.348"/>
    <s v="李焯翾"/>
    <s v="河南省 郑州市 管城回族区 商都路街道国龙绿城怡园2期3号楼3单元1002"/>
    <s v="15786743099-8722"/>
    <m/>
    <m/>
    <m/>
    <m/>
  </r>
  <r>
    <x v="189"/>
    <s v="已收货"/>
    <s v="4950891614891920524"/>
    <s v="潘荔"/>
    <m/>
    <m/>
    <s v="砂白色1.4米岩板餐桌"/>
    <x v="1"/>
    <s v="140cm*85cm"/>
    <s v="已结算"/>
    <s v="江西"/>
    <n v="1722.5"/>
    <n v="1300"/>
    <m/>
    <m/>
    <m/>
    <m/>
    <n v="240"/>
    <m/>
    <m/>
    <m/>
    <m/>
    <m/>
    <m/>
    <m/>
    <m/>
    <m/>
    <m/>
    <m/>
    <n v="2.5"/>
    <m/>
    <m/>
    <m/>
    <m/>
    <m/>
    <m/>
    <m/>
    <m/>
    <n v="180"/>
    <m/>
    <m/>
    <n v="113"/>
    <n v="35"/>
    <n v="75"/>
    <n v="0"/>
    <n v="0"/>
    <n v="0"/>
    <n v="0"/>
    <n v="0"/>
    <n v="1"/>
    <n v="1945.5"/>
    <n v="2764.36"/>
    <n v="0"/>
    <n v="16.58616"/>
    <n v="2747.77384"/>
    <n v="0"/>
    <n v="0"/>
    <n v="0"/>
    <n v="802.2738400000003"/>
    <s v="潘荔"/>
    <s v="湖北省 襄阳市 襄城区 檀溪街道君临山1栋1113室"/>
    <s v="18472268908-7377"/>
    <m/>
    <m/>
    <m/>
    <m/>
  </r>
  <r>
    <x v="189"/>
    <s v="已收货"/>
    <s v="4950934346651262003"/>
    <s v="Tong"/>
    <m/>
    <m/>
    <s v="定制1.8洞石柜"/>
    <x v="3"/>
    <n v="1800"/>
    <s v="已结算"/>
    <s v="江西"/>
    <n v="8626.746666666666"/>
    <n v="6300"/>
    <n v="660"/>
    <n v="80"/>
    <n v="567.08"/>
    <m/>
    <s v="2040/6/1.5"/>
    <n v="380"/>
    <n v="14"/>
    <m/>
    <m/>
    <n v="10"/>
    <n v="198"/>
    <s v="52*2"/>
    <m/>
    <m/>
    <m/>
    <m/>
    <m/>
    <n v="87"/>
    <m/>
    <m/>
    <m/>
    <m/>
    <m/>
    <m/>
    <m/>
    <n v="380"/>
    <m/>
    <m/>
    <n v="350"/>
    <n v="30"/>
    <n v="178"/>
    <n v="0"/>
    <n v="0"/>
    <n v="0"/>
    <n v="0"/>
    <n v="0"/>
    <n v="1"/>
    <n v="9184.746666666666"/>
    <n v="10469.28"/>
    <n v="0"/>
    <n v="62.81568000000001"/>
    <n v="10406.46432"/>
    <n v="0"/>
    <n v="0"/>
    <n v="0"/>
    <n v="1221.717653333335"/>
    <s v="Tong"/>
    <s v="广东省 惠州市 惠城区 桥东街道中海阅江府二期二栋二单元1901"/>
    <s v="18466393939-3642"/>
    <m/>
    <m/>
    <m/>
    <m/>
  </r>
  <r>
    <x v="190"/>
    <s v="已收货"/>
    <s v="4956938571030913425"/>
    <s v="闻智远"/>
    <m/>
    <m/>
    <s v="窄柜-整柜洞石背板-1.2米"/>
    <x v="18"/>
    <n v="1200"/>
    <s v="已结算"/>
    <s v="庄毅"/>
    <n v="4496.299999999999"/>
    <n v="3600"/>
    <n v="411.08"/>
    <n v="125"/>
    <m/>
    <n v="76"/>
    <n v="122.16"/>
    <n v="62.4"/>
    <m/>
    <m/>
    <m/>
    <n v="8"/>
    <m/>
    <n v="3"/>
    <m/>
    <m/>
    <m/>
    <n v="3.37"/>
    <m/>
    <m/>
    <s v="5*30"/>
    <m/>
    <m/>
    <n v="1.16"/>
    <n v="1.1"/>
    <n v="10"/>
    <m/>
    <m/>
    <m/>
    <m/>
    <n v="258"/>
    <n v="0"/>
    <n v="96"/>
    <n v="0"/>
    <n v="0"/>
    <n v="0"/>
    <n v="0"/>
    <n v="500"/>
    <n v="1"/>
    <n v="5350.299999999999"/>
    <n v="5782.04"/>
    <n v="0"/>
    <n v="34.69224"/>
    <n v="5747.34776"/>
    <n v="0"/>
    <n v="0"/>
    <n v="0"/>
    <n v="397.0477600000004"/>
    <s v="闻智远"/>
    <s v="上海 上海市 浦东新区 康桥镇秀沿路58弄海上溪云153-102（冰鲜产品"/>
    <s v="18466788896-5183"/>
    <m/>
    <m/>
    <m/>
    <m/>
  </r>
  <r>
    <x v="191"/>
    <s v="已收货"/>
    <s v="4959945288785429200"/>
    <s v="牛牛"/>
    <m/>
    <m/>
    <s v="插座"/>
    <x v="18"/>
    <m/>
    <s v="已结算"/>
    <s v="庄毅"/>
    <n v="55"/>
    <m/>
    <n v="55"/>
    <m/>
    <m/>
    <m/>
    <m/>
    <m/>
    <m/>
    <m/>
    <m/>
    <m/>
    <m/>
    <m/>
    <m/>
    <m/>
    <m/>
    <m/>
    <m/>
    <m/>
    <m/>
    <m/>
    <m/>
    <m/>
    <m/>
    <m/>
    <m/>
    <m/>
    <m/>
    <m/>
    <n v="8"/>
    <n v="0"/>
    <n v="0"/>
    <n v="0"/>
    <n v="0"/>
    <n v="0"/>
    <n v="0"/>
    <n v="0"/>
    <n v="1"/>
    <n v="63"/>
    <n v="100"/>
    <n v="0"/>
    <n v="0.6"/>
    <n v="99.40000000000001"/>
    <n v="0"/>
    <n v="0"/>
    <n v="0"/>
    <n v="36.40000000000001"/>
    <s v="牛牛"/>
    <s v="广东省 广州市 白云区 永平街道白云堡大道1号白云堡豪苑2排3号"/>
    <s v="17896421721-5810"/>
    <m/>
    <m/>
    <m/>
    <m/>
  </r>
  <r>
    <x v="191"/>
    <s v="已收货"/>
    <s v="4959807519645068429"/>
    <s v="章夏荷"/>
    <s v="追加抽屉轨道38"/>
    <m/>
    <s v="床头柜"/>
    <x v="20"/>
    <m/>
    <s v="已结算"/>
    <s v="江西"/>
    <n v="783"/>
    <n v="700"/>
    <m/>
    <m/>
    <m/>
    <m/>
    <m/>
    <m/>
    <m/>
    <m/>
    <m/>
    <m/>
    <n v="38"/>
    <m/>
    <m/>
    <m/>
    <m/>
    <m/>
    <m/>
    <m/>
    <m/>
    <m/>
    <m/>
    <m/>
    <m/>
    <m/>
    <m/>
    <n v="45"/>
    <m/>
    <m/>
    <n v="55"/>
    <n v="0"/>
    <n v="0"/>
    <n v="0"/>
    <n v="0"/>
    <n v="0"/>
    <n v="0"/>
    <n v="0"/>
    <n v="1"/>
    <n v="838"/>
    <n v="1058"/>
    <n v="0"/>
    <n v="6.348"/>
    <n v="1051.652"/>
    <n v="0"/>
    <n v="0"/>
    <n v="0"/>
    <n v="213.652"/>
    <s v="章夏荷"/>
    <s v="浙江省 杭州市 拱墅区 和睦街道伟星星瓒颂锦府11幢2104（放家门口不要放菜鸟驿站！！！！！）"/>
    <s v="18413298804-2654"/>
    <m/>
    <m/>
    <m/>
    <m/>
  </r>
  <r>
    <x v="191"/>
    <s v="已收货"/>
    <s v="3136826319636553677"/>
    <s v="刘岳"/>
    <m/>
    <m/>
    <s v="1.4黑胡桃桌"/>
    <x v="30"/>
    <s v="140cm*85cm"/>
    <s v="已结算"/>
    <s v="江西"/>
    <n v="2682.5"/>
    <n v="2250"/>
    <n v="240"/>
    <n v="2.5"/>
    <n v="190"/>
    <m/>
    <m/>
    <m/>
    <m/>
    <m/>
    <m/>
    <m/>
    <m/>
    <m/>
    <m/>
    <m/>
    <m/>
    <m/>
    <m/>
    <m/>
    <m/>
    <m/>
    <m/>
    <m/>
    <m/>
    <m/>
    <m/>
    <n v="190"/>
    <m/>
    <m/>
    <n v="449"/>
    <n v="66"/>
    <n v="72"/>
    <n v="0"/>
    <n v="0"/>
    <n v="0"/>
    <n v="0"/>
    <n v="0"/>
    <n v="1"/>
    <n v="3269.5"/>
    <n v="3490.87"/>
    <n v="0"/>
    <n v="20.94522"/>
    <n v="3469.92478"/>
    <n v="0"/>
    <n v="0"/>
    <n v="0"/>
    <n v="200.4247799999998"/>
    <s v="刘岳"/>
    <s v="黑龙江省 哈尔滨市 南岗区 王岗镇 慧安街79号中海云麓公馆一期16号楼3单元1501"/>
    <s v="18445743915-5799"/>
    <m/>
    <m/>
    <m/>
    <m/>
  </r>
  <r>
    <x v="192"/>
    <s v="已收货"/>
    <s v="4961243594720153845"/>
    <s v="沈蘑菇"/>
    <m/>
    <m/>
    <s v="窄柜-整柜洞石背板-1.0米"/>
    <x v="18"/>
    <n v="1000"/>
    <s v="已结算"/>
    <s v="江西"/>
    <n v="4418.71"/>
    <n v="3300"/>
    <n v="359.08"/>
    <n v="120"/>
    <m/>
    <n v="38"/>
    <n v="190"/>
    <n v="54"/>
    <n v="52"/>
    <m/>
    <n v="5"/>
    <m/>
    <m/>
    <m/>
    <m/>
    <n v="2"/>
    <n v="1.1"/>
    <n v="3.5"/>
    <m/>
    <m/>
    <m/>
    <m/>
    <m/>
    <m/>
    <m/>
    <m/>
    <m/>
    <n v="160"/>
    <m/>
    <m/>
    <n v="350"/>
    <n v="30"/>
    <n v="100"/>
    <n v="0"/>
    <n v="0"/>
    <n v="0"/>
    <n v="0"/>
    <n v="0"/>
    <n v="1"/>
    <n v="4898.71"/>
    <n v="5285.7"/>
    <n v="0"/>
    <n v="31.7142"/>
    <n v="5253.985799999999"/>
    <n v="0"/>
    <n v="0"/>
    <n v="0"/>
    <n v="355.2757999999994"/>
    <s v="沈蘑菇"/>
    <s v="北京 北京市 东城区 北新桥街道东直门内北小街八号院一号楼一单元102"/>
    <s v="18400943218-3031"/>
    <m/>
    <m/>
    <m/>
    <m/>
  </r>
  <r>
    <x v="193"/>
    <s v="已收货"/>
    <s v="4963154076916866211"/>
    <s v="关利男"/>
    <m/>
    <m/>
    <s v="样块"/>
    <x v="0"/>
    <m/>
    <s v="已结算"/>
    <s v="杭州"/>
    <n v="7"/>
    <n v="5"/>
    <m/>
    <m/>
    <m/>
    <m/>
    <m/>
    <m/>
    <m/>
    <m/>
    <m/>
    <m/>
    <m/>
    <m/>
    <m/>
    <m/>
    <m/>
    <m/>
    <m/>
    <m/>
    <m/>
    <m/>
    <m/>
    <m/>
    <m/>
    <m/>
    <m/>
    <n v="2"/>
    <m/>
    <m/>
    <n v="5"/>
    <n v="0"/>
    <n v="0"/>
    <n v="0"/>
    <n v="0"/>
    <n v="0"/>
    <n v="0"/>
    <n v="0"/>
    <n v="1"/>
    <n v="12"/>
    <n v="22"/>
    <n v="0"/>
    <n v="0.132"/>
    <n v="21.868"/>
    <n v="0"/>
    <n v="0"/>
    <n v="0"/>
    <n v="9.867999999999999"/>
    <s v="关利男"/>
    <s v="吉林省 吉林市 昌邑区 民主街道雾凇中路199号兰天国际商贸中心 5-17"/>
    <s v="17896111647-3184"/>
    <m/>
    <m/>
    <m/>
    <m/>
  </r>
  <r>
    <x v="193"/>
    <s v="已收货"/>
    <s v="4964338586285215505"/>
    <s v="刘"/>
    <m/>
    <m/>
    <s v="原木色1.8米餐桌"/>
    <x v="1"/>
    <s v="180cm*85cm"/>
    <s v="已结算"/>
    <s v="江西"/>
    <n v="2040"/>
    <n v="1900"/>
    <m/>
    <m/>
    <m/>
    <m/>
    <m/>
    <m/>
    <m/>
    <m/>
    <m/>
    <m/>
    <m/>
    <m/>
    <m/>
    <m/>
    <m/>
    <m/>
    <m/>
    <m/>
    <m/>
    <m/>
    <m/>
    <m/>
    <m/>
    <m/>
    <m/>
    <n v="140"/>
    <m/>
    <m/>
    <n v="104"/>
    <n v="30"/>
    <n v="68"/>
    <n v="0"/>
    <n v="0"/>
    <n v="0"/>
    <n v="0"/>
    <n v="0"/>
    <n v="1"/>
    <n v="2242"/>
    <n v="2988.04"/>
    <n v="0"/>
    <n v="17.92824"/>
    <n v="2970.11176"/>
    <n v="0"/>
    <n v="0"/>
    <n v="0"/>
    <n v="728.1117599999998"/>
    <s v="刘"/>
    <s v="湖北省 荆门市 东宝区 龙泉街道城控桃花源X2栋一单元802"/>
    <s v="18425149227-1227"/>
    <m/>
    <m/>
    <m/>
    <m/>
  </r>
  <r>
    <x v="193"/>
    <s v="已收货"/>
    <s v="4964348379801215505"/>
    <s v="刘"/>
    <m/>
    <m/>
    <s v="补差价"/>
    <x v="1"/>
    <m/>
    <s v="已结算"/>
    <s v="江西"/>
    <n v="0"/>
    <n v="0"/>
    <m/>
    <m/>
    <m/>
    <m/>
    <m/>
    <m/>
    <m/>
    <m/>
    <m/>
    <m/>
    <m/>
    <m/>
    <m/>
    <m/>
    <m/>
    <m/>
    <m/>
    <m/>
    <m/>
    <m/>
    <m/>
    <m/>
    <m/>
    <m/>
    <m/>
    <m/>
    <m/>
    <m/>
    <n v="0"/>
    <n v="0"/>
    <n v="0"/>
    <n v="0"/>
    <n v="0"/>
    <n v="0"/>
    <n v="0"/>
    <n v="0"/>
    <n v="1"/>
    <n v="0"/>
    <n v="354"/>
    <n v="0"/>
    <n v="2.124"/>
    <n v="351.876"/>
    <n v="0"/>
    <n v="0"/>
    <n v="0"/>
    <n v="351.876"/>
    <s v="刘"/>
    <s v="湖北省 荆门市 东宝区 龙泉街道城控桃花源X2栋一单元802"/>
    <s v="18425149227-1227"/>
    <m/>
    <m/>
    <m/>
    <m/>
  </r>
  <r>
    <x v="193"/>
    <s v="已收货"/>
    <s v="4964669065069438449"/>
    <s v="何玥"/>
    <m/>
    <m/>
    <s v="窄柜-整柜洞石背板-1.0米"/>
    <x v="18"/>
    <n v="1000"/>
    <s v="已结算"/>
    <s v="江西"/>
    <n v="4282.74"/>
    <n v="3300"/>
    <n v="359.08"/>
    <n v="120"/>
    <m/>
    <n v="38"/>
    <n v="180"/>
    <n v="54"/>
    <n v="52"/>
    <m/>
    <n v="5"/>
    <m/>
    <m/>
    <m/>
    <m/>
    <n v="2"/>
    <n v="1.1"/>
    <n v="3.5"/>
    <m/>
    <m/>
    <m/>
    <m/>
    <m/>
    <m/>
    <m/>
    <m/>
    <m/>
    <n v="170"/>
    <m/>
    <m/>
    <m/>
    <m/>
    <m/>
    <n v="0"/>
    <n v="0"/>
    <n v="0"/>
    <n v="0"/>
    <n v="0"/>
    <n v="1"/>
    <n v="4282.74"/>
    <n v="5285.7"/>
    <n v="0"/>
    <n v="31.7142"/>
    <n v="5253.985799999999"/>
    <n v="0"/>
    <n v="0"/>
    <n v="0"/>
    <n v="971.2457999999997"/>
    <s v="何玥"/>
    <s v="北京北京市 朝阳区 平房乡天鹅湾北区6号楼2单元508"/>
    <s v="18400824446-9383"/>
    <m/>
    <m/>
    <m/>
    <m/>
  </r>
  <r>
    <x v="194"/>
    <s v="已收货"/>
    <s v="3141867432329505999"/>
    <s v="张"/>
    <m/>
    <m/>
    <s v="组合柜+2.1洞洞板基础柜"/>
    <x v="14"/>
    <m/>
    <s v="已结算"/>
    <s v="江西"/>
    <n v="0"/>
    <n v="0"/>
    <m/>
    <m/>
    <m/>
    <m/>
    <m/>
    <m/>
    <m/>
    <m/>
    <m/>
    <m/>
    <m/>
    <m/>
    <m/>
    <m/>
    <m/>
    <m/>
    <m/>
    <m/>
    <m/>
    <m/>
    <m/>
    <m/>
    <m/>
    <m/>
    <m/>
    <m/>
    <m/>
    <m/>
    <m/>
    <m/>
    <m/>
    <n v="0"/>
    <n v="0"/>
    <n v="0"/>
    <n v="0"/>
    <n v="0"/>
    <n v="1"/>
    <n v="0"/>
    <n v="135"/>
    <n v="0"/>
    <n v="0.8100000000000001"/>
    <n v="134.19"/>
    <n v="0"/>
    <n v="0"/>
    <n v="0"/>
    <n v="134.19"/>
    <s v="张"/>
    <s v="重庆重庆市 渝北区 龙山街道诚投天邻风景10号楼"/>
    <s v="18426538418-7851"/>
    <m/>
    <m/>
    <m/>
    <m/>
  </r>
  <r>
    <x v="194"/>
    <s v="已收货"/>
    <s v="3141444291511505999"/>
    <s v="张"/>
    <m/>
    <m/>
    <m/>
    <x v="14"/>
    <m/>
    <s v="已结算"/>
    <s v="江西"/>
    <n v="11965.5"/>
    <n v="3330"/>
    <n v="28"/>
    <s v="22*2"/>
    <n v="5400"/>
    <m/>
    <n v="320"/>
    <n v="655"/>
    <n v="350"/>
    <m/>
    <m/>
    <n v="22"/>
    <n v="10"/>
    <n v="30.5"/>
    <m/>
    <m/>
    <m/>
    <n v="230"/>
    <n v="20.5"/>
    <n v="2.5"/>
    <n v="25"/>
    <m/>
    <m/>
    <m/>
    <n v="10"/>
    <m/>
    <m/>
    <s v="22*4"/>
    <n v="470"/>
    <n v="230"/>
    <n v="28"/>
    <n v="52"/>
    <n v="620"/>
    <n v="0"/>
    <n v="0"/>
    <n v="0"/>
    <n v="0"/>
    <n v="0"/>
    <n v="1"/>
    <n v="12665.5"/>
    <n v="13751.54"/>
    <n v="0"/>
    <n v="82.50924000000001"/>
    <n v="13669.03076"/>
    <n v="0"/>
    <n v="0"/>
    <n v="0"/>
    <n v="1003.530760000001"/>
    <s v="张"/>
    <s v="重庆重庆市 渝北区 龙山街道诚投天邻风景10号楼"/>
    <s v="18426538418-7851"/>
    <m/>
    <m/>
    <m/>
    <m/>
  </r>
  <r>
    <x v="194"/>
    <s v="已收货"/>
    <s v="4965587642045735316"/>
    <s v="刘淘宝"/>
    <m/>
    <m/>
    <s v="升降桌：樱桃木，1.5带高台版"/>
    <x v="8"/>
    <n v="1500"/>
    <s v="已结算"/>
    <s v="江西"/>
    <n v="3268.11"/>
    <n v="1800"/>
    <m/>
    <n v="80"/>
    <m/>
    <m/>
    <m/>
    <n v="52"/>
    <n v="1050"/>
    <m/>
    <m/>
    <m/>
    <m/>
    <m/>
    <m/>
    <m/>
    <m/>
    <m/>
    <m/>
    <m/>
    <m/>
    <m/>
    <n v="152"/>
    <m/>
    <m/>
    <m/>
    <m/>
    <n v="135"/>
    <m/>
    <m/>
    <m/>
    <m/>
    <m/>
    <n v="0"/>
    <n v="0"/>
    <n v="0"/>
    <n v="0"/>
    <n v="0"/>
    <n v="1"/>
    <n v="3268.11"/>
    <n v="3638.5"/>
    <n v="0"/>
    <n v="21.831"/>
    <n v="3616.669"/>
    <n v="0"/>
    <n v="0"/>
    <n v="0"/>
    <n v="348.5589999999997"/>
    <s v="刘淘宝"/>
    <s v="福建省 福州市 闽侯县 南屿镇三盛托斯卡纳二期S2栋602室"/>
    <s v="18480118062-5621"/>
    <m/>
    <m/>
    <m/>
    <m/>
  </r>
  <r>
    <x v="194"/>
    <s v="已收货"/>
    <s v="4965855194589262003"/>
    <s v="Tong"/>
    <m/>
    <m/>
    <s v="补差价"/>
    <x v="3"/>
    <m/>
    <m/>
    <s v="江西"/>
    <n v="0"/>
    <n v="0"/>
    <m/>
    <m/>
    <m/>
    <m/>
    <m/>
    <m/>
    <m/>
    <m/>
    <m/>
    <m/>
    <m/>
    <m/>
    <m/>
    <m/>
    <m/>
    <m/>
    <m/>
    <m/>
    <m/>
    <m/>
    <m/>
    <m/>
    <m/>
    <m/>
    <m/>
    <m/>
    <m/>
    <m/>
    <m/>
    <m/>
    <m/>
    <n v="0"/>
    <n v="0"/>
    <n v="0"/>
    <n v="0"/>
    <n v="0"/>
    <n v="1"/>
    <n v="0"/>
    <n v="534.16"/>
    <n v="0"/>
    <n v="3.20496"/>
    <n v="530.9550399999999"/>
    <n v="0"/>
    <n v="0"/>
    <n v="0"/>
    <n v="530.9550399999999"/>
    <s v="Tong"/>
    <s v="广东省 惠州市 惠城区 桥东街道中海阅江府二期二栋二单元1901"/>
    <s v="18466397997-2111"/>
    <m/>
    <m/>
    <m/>
    <m/>
  </r>
  <r>
    <x v="195"/>
    <s v="已收货"/>
    <s v="4968819505682852141"/>
    <s v="颗粒"/>
    <m/>
    <m/>
    <s v="样块"/>
    <x v="0"/>
    <m/>
    <s v="已结算"/>
    <s v="杭州"/>
    <n v="7"/>
    <n v="5"/>
    <m/>
    <m/>
    <m/>
    <m/>
    <m/>
    <m/>
    <m/>
    <m/>
    <m/>
    <m/>
    <m/>
    <m/>
    <m/>
    <m/>
    <m/>
    <m/>
    <m/>
    <m/>
    <m/>
    <m/>
    <m/>
    <m/>
    <m/>
    <m/>
    <m/>
    <n v="2"/>
    <m/>
    <m/>
    <n v="5"/>
    <n v="0"/>
    <n v="0"/>
    <n v="0"/>
    <n v="0"/>
    <n v="0"/>
    <n v="0"/>
    <n v="0"/>
    <n v="1"/>
    <n v="12"/>
    <n v="17"/>
    <n v="0"/>
    <n v="0.102"/>
    <n v="16.898"/>
    <n v="0"/>
    <n v="0"/>
    <n v="0"/>
    <n v="4.898"/>
    <s v="颗粒"/>
    <s v="陕西省 西安市 雁塔区 长延堡街道世家星城1期c区35号楼"/>
    <s v="15786429259-1215"/>
    <m/>
    <m/>
    <m/>
    <m/>
  </r>
  <r>
    <x v="196"/>
    <s v="已收货"/>
    <s v="4969851879068428342"/>
    <s v="夏天"/>
    <m/>
    <m/>
    <s v="砂白色2米岩板餐桌"/>
    <x v="1"/>
    <s v="200cm*85cm"/>
    <s v="已结算"/>
    <s v="江西"/>
    <n v="1882.5"/>
    <n v="1450"/>
    <m/>
    <m/>
    <m/>
    <m/>
    <n v="290"/>
    <m/>
    <m/>
    <m/>
    <m/>
    <m/>
    <m/>
    <m/>
    <m/>
    <m/>
    <m/>
    <m/>
    <n v="2.5"/>
    <m/>
    <m/>
    <m/>
    <m/>
    <m/>
    <m/>
    <m/>
    <m/>
    <n v="140"/>
    <m/>
    <m/>
    <n v="300"/>
    <n v="100"/>
    <n v="150"/>
    <n v="0"/>
    <n v="0"/>
    <n v="0"/>
    <n v="0"/>
    <n v="0"/>
    <n v="1"/>
    <n v="2432.5"/>
    <n v="3139.5"/>
    <n v="0"/>
    <n v="18.837"/>
    <n v="3120.663"/>
    <n v="0"/>
    <n v="0"/>
    <n v="0"/>
    <n v="688.163"/>
    <s v="夏天"/>
    <s v="四川省 成都市 郫都区 合作街道新希望皇冠国际12栋1单元703"/>
    <s v="18418969594-8923"/>
    <m/>
    <m/>
    <m/>
    <m/>
  </r>
  <r>
    <x v="197"/>
    <s v="已收货"/>
    <s v="3149814399247284195"/>
    <s v="梁峰"/>
    <m/>
    <m/>
    <s v="单腿"/>
    <x v="5"/>
    <m/>
    <m/>
    <s v="江西"/>
    <n v="0"/>
    <n v="0"/>
    <m/>
    <m/>
    <m/>
    <m/>
    <m/>
    <m/>
    <m/>
    <m/>
    <m/>
    <m/>
    <m/>
    <m/>
    <m/>
    <m/>
    <m/>
    <m/>
    <m/>
    <m/>
    <m/>
    <m/>
    <m/>
    <m/>
    <m/>
    <m/>
    <m/>
    <m/>
    <m/>
    <m/>
    <m/>
    <n v="100"/>
    <n v="150"/>
    <n v="0"/>
    <n v="0"/>
    <n v="0"/>
    <n v="0"/>
    <n v="0"/>
    <n v="1"/>
    <n v="250"/>
    <n v="100"/>
    <n v="0"/>
    <n v="0.6"/>
    <n v="99.40000000000001"/>
    <n v="0"/>
    <n v="0"/>
    <n v="0"/>
    <n v="-150.6"/>
    <s v="梁峰"/>
    <s v="广西壮族自治区 柳州市 城中区 静兰街道桂柳路30号碧园大城小院16栋"/>
    <s v="13078096820-3292"/>
    <m/>
    <m/>
    <m/>
    <m/>
  </r>
  <r>
    <x v="198"/>
    <s v="已收货"/>
    <s v="3151845624287845760"/>
    <s v="谢韬"/>
    <m/>
    <m/>
    <s v="样块*2"/>
    <x v="0"/>
    <m/>
    <s v="已结算"/>
    <s v="杭州"/>
    <n v="12"/>
    <n v="10"/>
    <m/>
    <m/>
    <m/>
    <m/>
    <m/>
    <m/>
    <m/>
    <m/>
    <m/>
    <m/>
    <m/>
    <m/>
    <m/>
    <m/>
    <m/>
    <m/>
    <m/>
    <m/>
    <m/>
    <m/>
    <m/>
    <m/>
    <m/>
    <m/>
    <m/>
    <n v="2"/>
    <m/>
    <m/>
    <n v="5"/>
    <n v="0"/>
    <n v="0"/>
    <n v="0"/>
    <n v="0"/>
    <n v="0"/>
    <n v="0"/>
    <n v="0"/>
    <n v="1"/>
    <n v="17"/>
    <n v="50"/>
    <n v="0"/>
    <n v="0.3"/>
    <n v="49.7"/>
    <n v="0"/>
    <n v="0"/>
    <n v="0"/>
    <n v="32.7"/>
    <s v="谢韬"/>
    <s v="广东省 深圳市 宝安区 新安街道万科未来之光家园七栋1502"/>
    <s v="15767544176-6754"/>
    <m/>
    <m/>
    <m/>
    <m/>
  </r>
  <r>
    <x v="199"/>
    <s v="已退款"/>
    <s v="4978716375859757806"/>
    <s v="小星"/>
    <m/>
    <m/>
    <s v="样块*2"/>
    <x v="0"/>
    <m/>
    <s v="已结算"/>
    <s v="杭州"/>
    <n v="12"/>
    <n v="10"/>
    <m/>
    <m/>
    <m/>
    <m/>
    <m/>
    <m/>
    <m/>
    <m/>
    <m/>
    <m/>
    <m/>
    <m/>
    <m/>
    <m/>
    <m/>
    <m/>
    <m/>
    <m/>
    <m/>
    <m/>
    <m/>
    <m/>
    <m/>
    <m/>
    <m/>
    <n v="2"/>
    <m/>
    <m/>
    <n v="5"/>
    <n v="0"/>
    <n v="0"/>
    <n v="0"/>
    <n v="0"/>
    <n v="0"/>
    <n v="0"/>
    <n v="0"/>
    <n v="1"/>
    <n v="17"/>
    <n v="0"/>
    <n v="0"/>
    <n v="0"/>
    <n v="0"/>
    <n v="0"/>
    <n v="0"/>
    <n v="0"/>
    <n v="-17"/>
    <s v="小星"/>
    <s v="四川省 成都市 彭州市 致和街道城投云湖5栋401"/>
    <s v="18400819593-2427"/>
    <m/>
    <m/>
    <m/>
    <m/>
  </r>
  <r>
    <x v="200"/>
    <s v="已收货"/>
    <s v="3157620602485981799"/>
    <s v="周先生"/>
    <m/>
    <m/>
    <s v="1.74洞洞板基础柜"/>
    <x v="25"/>
    <n v="1740"/>
    <s v="已结算"/>
    <s v="江西"/>
    <n v="6798"/>
    <n v="4950"/>
    <n v="300"/>
    <n v="562"/>
    <s v="52*2"/>
    <m/>
    <n v="240"/>
    <n v="420"/>
    <s v="3*22"/>
    <m/>
    <m/>
    <n v="10"/>
    <n v="22"/>
    <n v="124"/>
    <m/>
    <m/>
    <m/>
    <m/>
    <m/>
    <m/>
    <m/>
    <m/>
    <m/>
    <m/>
    <m/>
    <m/>
    <m/>
    <n v="420"/>
    <m/>
    <m/>
    <n v="400"/>
    <n v="50"/>
    <n v="130"/>
    <n v="0"/>
    <n v="0"/>
    <n v="0"/>
    <n v="0"/>
    <n v="0"/>
    <n v="1"/>
    <n v="7378"/>
    <n v="10205"/>
    <n v="0"/>
    <n v="61.23"/>
    <n v="10143.77"/>
    <n v="0"/>
    <n v="0"/>
    <n v="0"/>
    <n v="2765.77"/>
    <s v="周先生"/>
    <s v="浙江省 台州市 三门县 海游镇滨江花园7-204"/>
    <s v="15786494318-6392"/>
    <m/>
    <m/>
    <m/>
    <m/>
  </r>
  <r>
    <x v="201"/>
    <s v="已收货"/>
    <s v="4983533066552262003"/>
    <s v="Tong"/>
    <m/>
    <m/>
    <s v="样块"/>
    <x v="0"/>
    <m/>
    <s v="已结算"/>
    <s v="杭州"/>
    <n v="7"/>
    <n v="5"/>
    <m/>
    <m/>
    <m/>
    <m/>
    <m/>
    <m/>
    <m/>
    <m/>
    <m/>
    <m/>
    <m/>
    <m/>
    <m/>
    <m/>
    <m/>
    <m/>
    <m/>
    <m/>
    <m/>
    <m/>
    <m/>
    <m/>
    <m/>
    <m/>
    <m/>
    <n v="2"/>
    <m/>
    <m/>
    <n v="5"/>
    <n v="0"/>
    <n v="0"/>
    <n v="0"/>
    <n v="0"/>
    <n v="0"/>
    <n v="0"/>
    <n v="0"/>
    <n v="1"/>
    <n v="12"/>
    <n v="25"/>
    <n v="0"/>
    <n v="0.15"/>
    <n v="24.85"/>
    <n v="0"/>
    <n v="0"/>
    <n v="0"/>
    <n v="12.85"/>
    <s v="Tong"/>
    <s v="广东省 惠州市 惠城区 桥东街道中海阅江府二期二栋二单元1901"/>
    <s v="17817594535-1091"/>
    <m/>
    <m/>
    <m/>
    <m/>
  </r>
  <r>
    <x v="201"/>
    <s v="已收货"/>
    <s v="4984000778244567335"/>
    <s v="罗先生"/>
    <m/>
    <m/>
    <s v="2插座"/>
    <x v="5"/>
    <m/>
    <s v="已结算"/>
    <s v="其他"/>
    <n v="110"/>
    <n v="110"/>
    <m/>
    <m/>
    <m/>
    <m/>
    <m/>
    <m/>
    <m/>
    <m/>
    <m/>
    <m/>
    <m/>
    <m/>
    <m/>
    <m/>
    <m/>
    <m/>
    <m/>
    <m/>
    <m/>
    <m/>
    <m/>
    <m/>
    <m/>
    <m/>
    <m/>
    <m/>
    <m/>
    <m/>
    <n v="8"/>
    <n v="0"/>
    <n v="0"/>
    <n v="0"/>
    <n v="0"/>
    <n v="0"/>
    <n v="0"/>
    <n v="0"/>
    <n v="1"/>
    <n v="118"/>
    <n v="200"/>
    <n v="0"/>
    <n v="1.2"/>
    <n v="198.8"/>
    <n v="0"/>
    <n v="0"/>
    <n v="0"/>
    <n v="80.80000000000001"/>
    <s v="罗先生"/>
    <s v="上海 上海市 浦东新区 南汇新城镇宜浩·欧景236弄46号302室"/>
    <s v="18466800766-2389"/>
    <m/>
    <m/>
    <m/>
    <m/>
  </r>
  <r>
    <x v="201"/>
    <s v="已收货"/>
    <s v="4985427204183101600"/>
    <s v="项聪颖"/>
    <m/>
    <m/>
    <s v="样块"/>
    <x v="0"/>
    <m/>
    <s v="已结算"/>
    <s v="杭州"/>
    <n v="7"/>
    <n v="5"/>
    <m/>
    <m/>
    <m/>
    <m/>
    <m/>
    <m/>
    <m/>
    <m/>
    <m/>
    <m/>
    <m/>
    <m/>
    <m/>
    <m/>
    <m/>
    <m/>
    <m/>
    <m/>
    <m/>
    <m/>
    <m/>
    <m/>
    <m/>
    <m/>
    <m/>
    <n v="2"/>
    <m/>
    <m/>
    <n v="5"/>
    <n v="0"/>
    <n v="0"/>
    <n v="0"/>
    <n v="0"/>
    <n v="0"/>
    <n v="0"/>
    <n v="0"/>
    <n v="1"/>
    <n v="12"/>
    <n v="25"/>
    <n v="0"/>
    <n v="0.15"/>
    <n v="24.85"/>
    <n v="0"/>
    <n v="0"/>
    <n v="0"/>
    <n v="12.85"/>
    <s v="项聪颖"/>
    <s v="浙江省 宁波市 鄞州区 首南街道首南中路1000号宁波博物馆"/>
    <s v="15786418722-6628"/>
    <m/>
    <m/>
    <m/>
    <m/>
  </r>
  <r>
    <x v="202"/>
    <s v="已收货"/>
    <s v="4986838191069952344"/>
    <s v="马"/>
    <s v="缺配件，更换所有抽屉围板为多层板"/>
    <m/>
    <s v="曜黑柜-整柜-1.97米-定制"/>
    <x v="19"/>
    <n v="1970"/>
    <s v="已结算"/>
    <s v="江西"/>
    <n v="10999.18"/>
    <n v="8800"/>
    <n v="619.08"/>
    <n v="283.3333333333333"/>
    <n v="30"/>
    <m/>
    <n v="350"/>
    <n v="20"/>
    <n v="36"/>
    <n v="14"/>
    <m/>
    <m/>
    <n v="66"/>
    <n v="410"/>
    <m/>
    <m/>
    <m/>
    <m/>
    <n v="20"/>
    <n v="44"/>
    <n v="340"/>
    <m/>
    <m/>
    <m/>
    <m/>
    <m/>
    <m/>
    <n v="410"/>
    <m/>
    <m/>
    <n v="608"/>
    <n v="126"/>
    <n v="280"/>
    <n v="0"/>
    <n v="0"/>
    <n v="0"/>
    <n v="0"/>
    <n v="0"/>
    <n v="1"/>
    <n v="12013.18"/>
    <n v="15200"/>
    <n v="0"/>
    <n v="91.2"/>
    <n v="15108.8"/>
    <n v="0"/>
    <n v="0"/>
    <n v="0"/>
    <n v="3095.619999999999"/>
    <s v="马"/>
    <s v="河南省 郑州市 中原区  翠竹街石佛祥园7-1402"/>
    <s v="18466443053-4138"/>
    <m/>
    <m/>
    <m/>
    <m/>
  </r>
  <r>
    <x v="203"/>
    <s v="已收货"/>
    <s v="4988088144143486210"/>
    <s v="齐檬洋"/>
    <s v="已发 背板按照一整张_x000a_产品成本+岩板+灯带+背板+电力轨道+打包+隔板轨道+雕刻+亚克力+玻璃+五金"/>
    <m/>
    <s v="定制2.4洞石柜"/>
    <x v="3"/>
    <n v="2400"/>
    <s v="已结算"/>
    <s v="江西"/>
    <n v="10505.73"/>
    <n v="7600"/>
    <n v="830.08"/>
    <n v="340"/>
    <m/>
    <n v="120"/>
    <n v="920"/>
    <n v="104"/>
    <n v="98"/>
    <n v="20"/>
    <m/>
    <n v="5"/>
    <n v="154"/>
    <m/>
    <n v="17.5"/>
    <m/>
    <m/>
    <m/>
    <m/>
    <m/>
    <m/>
    <m/>
    <m/>
    <m/>
    <m/>
    <m/>
    <m/>
    <n v="460"/>
    <m/>
    <m/>
    <n v="622"/>
    <n v="195"/>
    <n v="150"/>
    <n v="0"/>
    <n v="0"/>
    <n v="0"/>
    <n v="0"/>
    <n v="0"/>
    <n v="1"/>
    <n v="11472.73"/>
    <n v="12164.52"/>
    <n v="0"/>
    <n v="72.98712"/>
    <n v="12091.53288"/>
    <n v="0"/>
    <n v="0"/>
    <n v="0"/>
    <n v="618.8028799999993"/>
    <s v="齐檬洋"/>
    <s v="浙江省 台州市 天台县 赤城街道九峰村叶家井42号"/>
    <s v="18413588743-2631"/>
    <m/>
    <m/>
    <m/>
    <m/>
  </r>
  <r>
    <x v="203"/>
    <s v="已收货"/>
    <s v="4987718031735486210"/>
    <s v="齐檬洋"/>
    <m/>
    <m/>
    <s v="补差价"/>
    <x v="3"/>
    <m/>
    <s v="已结算"/>
    <s v="江西"/>
    <n v="0"/>
    <n v="0"/>
    <m/>
    <m/>
    <m/>
    <m/>
    <m/>
    <m/>
    <m/>
    <m/>
    <m/>
    <m/>
    <m/>
    <m/>
    <m/>
    <m/>
    <m/>
    <m/>
    <m/>
    <m/>
    <m/>
    <m/>
    <m/>
    <m/>
    <m/>
    <m/>
    <m/>
    <m/>
    <m/>
    <m/>
    <n v="0"/>
    <n v="0"/>
    <n v="0"/>
    <n v="0"/>
    <n v="0"/>
    <n v="0"/>
    <n v="0"/>
    <n v="0"/>
    <n v="1"/>
    <n v="0"/>
    <n v="2480"/>
    <n v="0"/>
    <n v="14.88"/>
    <n v="2465.12"/>
    <n v="0"/>
    <n v="0"/>
    <n v="0"/>
    <n v="2465.12"/>
    <s v="齐檬洋"/>
    <s v="浙江省 台州市 天台县 赤城街道九峰村叶家井42号"/>
    <s v="18413588743-2631"/>
    <m/>
    <m/>
    <m/>
    <m/>
  </r>
  <r>
    <x v="203"/>
    <s v="已退款"/>
    <s v="3164065860408317861"/>
    <s v="刘小姐"/>
    <m/>
    <m/>
    <s v="样块"/>
    <x v="0"/>
    <m/>
    <s v="已结算"/>
    <s v="杭州"/>
    <n v="2"/>
    <n v="0"/>
    <m/>
    <m/>
    <m/>
    <m/>
    <m/>
    <m/>
    <m/>
    <m/>
    <m/>
    <m/>
    <m/>
    <m/>
    <m/>
    <m/>
    <m/>
    <m/>
    <m/>
    <m/>
    <m/>
    <m/>
    <m/>
    <m/>
    <m/>
    <m/>
    <m/>
    <n v="2"/>
    <m/>
    <m/>
    <n v="0"/>
    <n v="0"/>
    <n v="0"/>
    <n v="0"/>
    <n v="0"/>
    <n v="0"/>
    <n v="0"/>
    <n v="0"/>
    <n v="1"/>
    <n v="2"/>
    <n v="0"/>
    <n v="0"/>
    <n v="0"/>
    <n v="0"/>
    <n v="0"/>
    <n v="0"/>
    <n v="0"/>
    <n v="-2"/>
    <s v="刘小姐"/>
    <s v="广东省 深圳市 南山区 桃源街道 汉园茗院B区3栋2单元1003"/>
    <s v="13113639040-1321"/>
    <m/>
    <m/>
    <m/>
    <m/>
  </r>
  <r>
    <x v="203"/>
    <s v="已收货"/>
    <s v="3164150282495397568"/>
    <s v="林先生"/>
    <s v="发错两次快递，发错的板子让物流退回"/>
    <m/>
    <s v="砂白色1.6米岩板餐桌（发错两次快递，发错的板子让物流退回）"/>
    <x v="1"/>
    <s v="160cm*85cm"/>
    <s v="已结算"/>
    <s v="江西"/>
    <n v="1782.5"/>
    <n v="1350"/>
    <m/>
    <m/>
    <m/>
    <m/>
    <n v="240"/>
    <m/>
    <m/>
    <m/>
    <m/>
    <m/>
    <m/>
    <m/>
    <m/>
    <m/>
    <m/>
    <m/>
    <n v="2.5"/>
    <m/>
    <m/>
    <m/>
    <m/>
    <m/>
    <m/>
    <m/>
    <m/>
    <n v="190"/>
    <m/>
    <m/>
    <n v="138"/>
    <n v="35"/>
    <n v="100"/>
    <n v="0"/>
    <n v="0"/>
    <n v="0"/>
    <n v="0"/>
    <n v="0"/>
    <n v="1"/>
    <n v="2055.5"/>
    <n v="2754.55"/>
    <n v="0"/>
    <n v="16.5273"/>
    <n v="2738.0227"/>
    <n v="0"/>
    <n v="0"/>
    <n v="0"/>
    <n v="682.5227"/>
    <s v="林先生"/>
    <s v="福建省 厦门市 思明区 嘉莲街道莲秀里鹭江新城一期南门9#903"/>
    <s v="18649624307-8633"/>
    <m/>
    <m/>
    <m/>
    <m/>
  </r>
  <r>
    <x v="204"/>
    <s v="已收货"/>
    <s v="4990013425203542801"/>
    <s v="李冰玉"/>
    <m/>
    <m/>
    <s v="1.2窄柜"/>
    <x v="18"/>
    <n v="1200"/>
    <s v="已结算"/>
    <s v="江西"/>
    <n v="4528.54"/>
    <n v="3400"/>
    <n v="115"/>
    <m/>
    <m/>
    <m/>
    <m/>
    <m/>
    <n v="27791"/>
    <m/>
    <m/>
    <n v="8"/>
    <n v="411.08"/>
    <n v="3"/>
    <m/>
    <m/>
    <m/>
    <n v="190"/>
    <n v="52"/>
    <n v="10"/>
    <s v="300*1.2*0.48"/>
    <m/>
    <m/>
    <m/>
    <s v="5*10"/>
    <m/>
    <m/>
    <n v="54"/>
    <m/>
    <m/>
    <n v="339"/>
    <n v="76"/>
    <n v="105"/>
    <n v="0"/>
    <n v="200"/>
    <n v="0"/>
    <n v="0"/>
    <n v="0"/>
    <n v="1"/>
    <n v="5248.54"/>
    <n v="5978.95"/>
    <n v="0"/>
    <n v="35.8737"/>
    <n v="5943.0763"/>
    <n v="0"/>
    <n v="0"/>
    <n v="0"/>
    <n v="694.5362999999998"/>
    <s v="李冰玉"/>
    <s v="山东省 临沂市 兰山区 金雀山街道沂蒙路189号五金站家属院菜鸟驿站"/>
    <s v="18764962940-7786"/>
    <m/>
    <m/>
    <m/>
    <m/>
  </r>
  <r>
    <x v="204"/>
    <s v="已收货"/>
    <s v="4990031641055288812"/>
    <s v="細婷"/>
    <s v="福建张女士退货岩板转寄"/>
    <m/>
    <s v="砂白色1.8米岩板餐桌"/>
    <x v="1"/>
    <s v="180cm*85cm"/>
    <s v="已结算"/>
    <s v="庄毅"/>
    <n v="1677.9"/>
    <n v="1400"/>
    <m/>
    <m/>
    <m/>
    <m/>
    <n v="275.4"/>
    <m/>
    <m/>
    <m/>
    <m/>
    <m/>
    <m/>
    <m/>
    <m/>
    <m/>
    <m/>
    <m/>
    <n v="2.5"/>
    <m/>
    <m/>
    <m/>
    <m/>
    <m/>
    <m/>
    <m/>
    <m/>
    <m/>
    <m/>
    <m/>
    <n v="350"/>
    <n v="100"/>
    <n v="150"/>
    <n v="0"/>
    <n v="0"/>
    <n v="0"/>
    <n v="0"/>
    <n v="0"/>
    <n v="1"/>
    <n v="2277.9"/>
    <n v="2871.25"/>
    <n v="0"/>
    <n v="17.2275"/>
    <n v="2854.0225"/>
    <n v="0"/>
    <n v="0"/>
    <n v="0"/>
    <n v="576.1224999999999"/>
    <s v="細婷"/>
    <s v="广东省 佛山市 顺德区 容桂街道华丰三路11号"/>
    <s v="15015715372-5294"/>
    <m/>
    <m/>
    <m/>
    <m/>
  </r>
  <r>
    <x v="204"/>
    <s v="已收货"/>
    <s v="4989824067248652338"/>
    <s v="LLDS"/>
    <m/>
    <m/>
    <s v="样块"/>
    <x v="0"/>
    <m/>
    <s v="已结算"/>
    <s v="杭州"/>
    <n v="7"/>
    <n v="5"/>
    <m/>
    <m/>
    <m/>
    <m/>
    <m/>
    <m/>
    <m/>
    <m/>
    <m/>
    <m/>
    <m/>
    <m/>
    <m/>
    <m/>
    <m/>
    <m/>
    <m/>
    <m/>
    <m/>
    <m/>
    <m/>
    <m/>
    <m/>
    <m/>
    <m/>
    <n v="2"/>
    <m/>
    <m/>
    <n v="5"/>
    <n v="0"/>
    <n v="0"/>
    <n v="0"/>
    <n v="0"/>
    <n v="0"/>
    <n v="0"/>
    <n v="0"/>
    <n v="1"/>
    <n v="12"/>
    <n v="17"/>
    <n v="0"/>
    <n v="0.102"/>
    <n v="16.898"/>
    <n v="0"/>
    <n v="0"/>
    <n v="0"/>
    <n v="4.898"/>
    <s v="LLDS"/>
    <s v="浙江省 杭州市 拱墅区 半山街道金星桃源居东苑7幢一单元1103"/>
    <s v="18413247686-1308"/>
    <m/>
    <m/>
    <m/>
    <m/>
  </r>
  <r>
    <x v="204"/>
    <s v="已收货"/>
    <s v="4989894699795421412"/>
    <s v="管女士"/>
    <m/>
    <m/>
    <s v="砂白色1.3米岩板餐桌，定制"/>
    <x v="1"/>
    <s v="130cm*70cm"/>
    <s v="已结算"/>
    <s v="江西"/>
    <n v="1672.5"/>
    <n v="1280"/>
    <m/>
    <m/>
    <m/>
    <m/>
    <n v="220"/>
    <m/>
    <m/>
    <m/>
    <m/>
    <m/>
    <m/>
    <m/>
    <m/>
    <m/>
    <m/>
    <m/>
    <n v="2.5"/>
    <m/>
    <m/>
    <m/>
    <m/>
    <m/>
    <m/>
    <m/>
    <m/>
    <n v="170"/>
    <m/>
    <m/>
    <n v="300"/>
    <n v="30"/>
    <n v="78"/>
    <n v="0"/>
    <n v="0"/>
    <n v="0"/>
    <n v="0"/>
    <n v="0"/>
    <n v="1"/>
    <n v="2080.5"/>
    <n v="2679.88"/>
    <n v="0"/>
    <n v="16.07928"/>
    <n v="2663.80072"/>
    <n v="0"/>
    <n v="0"/>
    <n v="0"/>
    <n v="583.3007200000002"/>
    <s v="管女士"/>
    <s v="北京 北京市 东城区 建国门街道禄米仓胡同67号院2号楼乙门5层14号"/>
    <s v="13161414194-6067"/>
    <m/>
    <m/>
    <m/>
    <m/>
  </r>
  <r>
    <x v="204"/>
    <s v="已收货"/>
    <s v="4990170637230542801"/>
    <s v="李冰玉"/>
    <s v="福建张女士退货岩板转寄"/>
    <m/>
    <s v="隔板补差价"/>
    <x v="18"/>
    <m/>
    <s v="已结算"/>
    <s v="江西"/>
    <n v="0"/>
    <n v="0"/>
    <m/>
    <m/>
    <m/>
    <m/>
    <m/>
    <m/>
    <m/>
    <m/>
    <m/>
    <m/>
    <m/>
    <m/>
    <m/>
    <m/>
    <m/>
    <m/>
    <m/>
    <m/>
    <m/>
    <m/>
    <m/>
    <m/>
    <m/>
    <m/>
    <m/>
    <m/>
    <m/>
    <m/>
    <n v="0"/>
    <n v="0"/>
    <n v="0"/>
    <n v="0"/>
    <n v="0"/>
    <n v="0"/>
    <n v="0"/>
    <n v="0"/>
    <n v="1"/>
    <n v="0"/>
    <n v="79"/>
    <n v="0"/>
    <n v="0.474"/>
    <n v="78.526"/>
    <n v="0"/>
    <n v="0"/>
    <n v="0"/>
    <n v="78.526"/>
    <s v="李冰玉"/>
    <s v="山东省 临沂市 兰山区 金雀山街道沂蒙路189号五金站家属院菜鸟驿站"/>
    <s v="18764962940-7786"/>
    <m/>
    <m/>
    <m/>
    <m/>
  </r>
  <r>
    <x v="204"/>
    <s v="已收货"/>
    <s v="3165874608994317861"/>
    <s v="刘小姐"/>
    <m/>
    <m/>
    <s v="洞石色1.8米岩板餐桌，定制"/>
    <x v="1"/>
    <s v="180cm*85cm"/>
    <s v="已结算"/>
    <s v="江西"/>
    <n v="1752.5"/>
    <n v="1400"/>
    <m/>
    <m/>
    <m/>
    <m/>
    <n v="220"/>
    <m/>
    <m/>
    <m/>
    <m/>
    <m/>
    <m/>
    <m/>
    <m/>
    <m/>
    <m/>
    <m/>
    <n v="2.5"/>
    <m/>
    <m/>
    <m/>
    <m/>
    <m/>
    <m/>
    <m/>
    <m/>
    <n v="130"/>
    <m/>
    <m/>
    <n v="300"/>
    <n v="30"/>
    <n v="88"/>
    <n v="0"/>
    <n v="0"/>
    <n v="0"/>
    <n v="0"/>
    <n v="0"/>
    <n v="1"/>
    <n v="2170.5"/>
    <n v="2871.25"/>
    <n v="0"/>
    <n v="17.2275"/>
    <n v="2854.0225"/>
    <n v="0"/>
    <n v="0"/>
    <n v="0"/>
    <n v="683.5225"/>
    <s v="刘小姐"/>
    <s v="广东省 深圳市 南山区 桃源街道 汉园茗院B区3栋2单元1003"/>
    <s v="13113639040-1321"/>
    <m/>
    <m/>
    <m/>
    <m/>
  </r>
  <r>
    <x v="204"/>
    <s v="已收货"/>
    <s v="4991084856872350815"/>
    <s v="星澜野"/>
    <m/>
    <m/>
    <s v="样块"/>
    <x v="0"/>
    <m/>
    <s v="已结算"/>
    <s v="杭州"/>
    <n v="7"/>
    <n v="5"/>
    <m/>
    <m/>
    <m/>
    <m/>
    <m/>
    <m/>
    <m/>
    <m/>
    <m/>
    <m/>
    <m/>
    <m/>
    <m/>
    <m/>
    <m/>
    <m/>
    <m/>
    <m/>
    <m/>
    <m/>
    <m/>
    <m/>
    <m/>
    <m/>
    <m/>
    <n v="2"/>
    <m/>
    <m/>
    <n v="5"/>
    <n v="0"/>
    <n v="0"/>
    <n v="0"/>
    <n v="0"/>
    <n v="0"/>
    <n v="0"/>
    <n v="0"/>
    <n v="1"/>
    <n v="12"/>
    <n v="17"/>
    <n v="0"/>
    <n v="0.102"/>
    <n v="16.898"/>
    <n v="0"/>
    <n v="0"/>
    <n v="0"/>
    <n v="4.898"/>
    <s v="星澜野"/>
    <s v="浙江省 杭州市 萧山区 闻堰街道和雅闻兴府21幢1单元1502室（送货上门）"/>
    <s v="15785242625-2888"/>
    <m/>
    <m/>
    <m/>
    <m/>
  </r>
  <r>
    <x v="204"/>
    <s v="已收货"/>
    <s v="3165436383028317861"/>
    <s v="刘小姐"/>
    <m/>
    <m/>
    <s v="追加洞石岩板"/>
    <x v="1"/>
    <m/>
    <s v="已结算"/>
    <s v="江西"/>
    <n v="0"/>
    <n v="0"/>
    <m/>
    <m/>
    <m/>
    <m/>
    <m/>
    <m/>
    <m/>
    <m/>
    <m/>
    <m/>
    <m/>
    <m/>
    <m/>
    <m/>
    <m/>
    <m/>
    <m/>
    <m/>
    <m/>
    <m/>
    <m/>
    <m/>
    <m/>
    <m/>
    <m/>
    <m/>
    <m/>
    <m/>
    <n v="0"/>
    <n v="0"/>
    <n v="0"/>
    <n v="0"/>
    <n v="0"/>
    <n v="0"/>
    <n v="0"/>
    <n v="0"/>
    <n v="1"/>
    <n v="0"/>
    <n v="200"/>
    <n v="0"/>
    <n v="1.2"/>
    <n v="198.8"/>
    <n v="0"/>
    <n v="0"/>
    <n v="0"/>
    <n v="198.8"/>
    <s v="刘小姐"/>
    <s v="广东省 深圳市 南山区 桃源街道 汉园茗院B区3栋2单元1003"/>
    <s v="13113639040-1321"/>
    <m/>
    <m/>
    <m/>
    <m/>
  </r>
  <r>
    <x v="204"/>
    <s v="未发货"/>
    <s v="3165893474916067281"/>
    <s v="速腾#"/>
    <s v="产品成本+岩板+轨道+打包费+无线灯带"/>
    <m/>
    <s v="1.4岛台+1.8双腿餐桌，白色岩板，台湾轨道，带无线灯带"/>
    <x v="16"/>
    <n v="1400"/>
    <s v="已结算"/>
    <s v="江西"/>
    <n v="5850"/>
    <n v="4800"/>
    <n v="367"/>
    <m/>
    <m/>
    <m/>
    <n v="245"/>
    <n v="48"/>
    <m/>
    <m/>
    <m/>
    <m/>
    <m/>
    <m/>
    <m/>
    <m/>
    <m/>
    <m/>
    <m/>
    <m/>
    <m/>
    <m/>
    <m/>
    <m/>
    <m/>
    <m/>
    <m/>
    <n v="390"/>
    <m/>
    <m/>
    <n v="500"/>
    <n v="80"/>
    <n v="0"/>
    <n v="0"/>
    <n v="0"/>
    <n v="0"/>
    <n v="0"/>
    <n v="0"/>
    <n v="1"/>
    <n v="6430"/>
    <n v="7654.52"/>
    <n v="0"/>
    <n v="45.92712"/>
    <n v="7608.59288"/>
    <n v="0"/>
    <n v="0"/>
    <n v="0"/>
    <n v="1178.59288"/>
    <s v="速腾#"/>
    <s v="广东省 东莞市 null 洪梅镇望沙路4号#69281647#(000000)"/>
    <s v="17322162538"/>
    <m/>
    <m/>
    <m/>
    <m/>
  </r>
  <r>
    <x v="204"/>
    <s v="已收货"/>
    <s v="4991585078567434638"/>
    <s v="索菲"/>
    <m/>
    <m/>
    <s v="组合柜"/>
    <x v="14"/>
    <m/>
    <s v="已结算"/>
    <s v="江西"/>
    <n v="2500"/>
    <n v="2300"/>
    <n v="22"/>
    <n v="28"/>
    <n v="150"/>
    <m/>
    <m/>
    <m/>
    <m/>
    <m/>
    <m/>
    <m/>
    <m/>
    <m/>
    <m/>
    <m/>
    <m/>
    <m/>
    <m/>
    <m/>
    <m/>
    <m/>
    <m/>
    <m/>
    <m/>
    <m/>
    <m/>
    <n v="150"/>
    <m/>
    <m/>
    <n v="250"/>
    <n v="33"/>
    <n v="118"/>
    <n v="0"/>
    <n v="0"/>
    <n v="0"/>
    <n v="0"/>
    <n v="0"/>
    <n v="1"/>
    <n v="2901"/>
    <n v="3644.53"/>
    <n v="0"/>
    <n v="21.86718"/>
    <n v="3622.66282"/>
    <n v="0"/>
    <n v="0"/>
    <n v="0"/>
    <n v="721.66282"/>
    <s v="索菲"/>
    <s v="北京 北京市 朝阳区 孙河乡京顺路香江花园 公寓B座107"/>
    <s v="13164211440-1287"/>
    <m/>
    <m/>
    <m/>
    <m/>
  </r>
  <r>
    <x v="205"/>
    <s v="未发货"/>
    <s v="4991917070620599318"/>
    <s v="龙勇光转欣蕊"/>
    <m/>
    <m/>
    <s v="组合柜年后发"/>
    <x v="14"/>
    <m/>
    <s v="已结算"/>
    <s v="江西"/>
    <n v="5612"/>
    <n v="5000"/>
    <n v="120"/>
    <n v="22"/>
    <n v="28"/>
    <m/>
    <n v="150"/>
    <n v="10"/>
    <s v="22*6"/>
    <m/>
    <m/>
    <n v="150"/>
    <m/>
    <m/>
    <m/>
    <m/>
    <m/>
    <m/>
    <m/>
    <m/>
    <m/>
    <m/>
    <m/>
    <m/>
    <m/>
    <m/>
    <m/>
    <n v="150"/>
    <m/>
    <m/>
    <n v="250"/>
    <n v="33"/>
    <n v="0"/>
    <n v="0"/>
    <n v="0"/>
    <n v="0"/>
    <n v="0"/>
    <n v="0"/>
    <n v="1"/>
    <n v="5895"/>
    <n v="7748.4"/>
    <n v="0"/>
    <n v="46.4904"/>
    <n v="7701.9096"/>
    <n v="0"/>
    <n v="0"/>
    <n v="0"/>
    <n v="1806.9096"/>
    <s v="龙勇光转欣蕊"/>
    <s v="广东省 广州市 白云区 江高镇夏花三路498号部队路A14仓"/>
    <s v="17896419407-1174"/>
    <m/>
    <m/>
    <m/>
    <m/>
  </r>
  <r>
    <x v="206"/>
    <s v="已收货"/>
    <s v="3167716587976018674"/>
    <s v="包纸"/>
    <m/>
    <m/>
    <s v="1.7旋转柜"/>
    <x v="2"/>
    <n v="1700"/>
    <s v="已结算"/>
    <s v="江西"/>
    <n v="8871"/>
    <n v="7000"/>
    <m/>
    <m/>
    <m/>
    <m/>
    <m/>
    <m/>
    <n v="44"/>
    <m/>
    <m/>
    <n v="22"/>
    <n v="565"/>
    <n v="551"/>
    <m/>
    <m/>
    <m/>
    <m/>
    <m/>
    <n v="124"/>
    <m/>
    <m/>
    <m/>
    <m/>
    <m/>
    <m/>
    <m/>
    <n v="565"/>
    <m/>
    <m/>
    <n v="650"/>
    <n v="30"/>
    <n v="239"/>
    <n v="0"/>
    <n v="0"/>
    <n v="0"/>
    <n v="0"/>
    <n v="0"/>
    <n v="1"/>
    <n v="9790"/>
    <n v="11212"/>
    <n v="0"/>
    <n v="67.27200000000001"/>
    <n v="11144.728"/>
    <n v="0"/>
    <n v="0"/>
    <n v="0"/>
    <n v="1354.727999999999"/>
    <s v="包纸"/>
    <s v="广东省 深圳市 南山区 西丽街道鼎胜金域世家AA5A"/>
    <s v="15712171392-2173"/>
    <m/>
    <m/>
    <m/>
    <m/>
  </r>
  <r>
    <x v="206"/>
    <s v="已收货"/>
    <s v="4993673832187542801"/>
    <s v="李照征"/>
    <m/>
    <m/>
    <s v="样块"/>
    <x v="0"/>
    <m/>
    <s v="已结算"/>
    <s v="杭州"/>
    <n v="7"/>
    <n v="5"/>
    <m/>
    <m/>
    <m/>
    <m/>
    <m/>
    <m/>
    <m/>
    <m/>
    <m/>
    <m/>
    <m/>
    <m/>
    <m/>
    <m/>
    <m/>
    <m/>
    <m/>
    <m/>
    <m/>
    <m/>
    <m/>
    <m/>
    <m/>
    <m/>
    <m/>
    <n v="2"/>
    <m/>
    <m/>
    <n v="5"/>
    <n v="0"/>
    <n v="0"/>
    <n v="0"/>
    <n v="0"/>
    <n v="0"/>
    <n v="0"/>
    <n v="0"/>
    <n v="1"/>
    <n v="12"/>
    <n v="20"/>
    <n v="0"/>
    <n v="0.12"/>
    <n v="19.88"/>
    <n v="0"/>
    <n v="0"/>
    <n v="0"/>
    <n v="7.879999999999999"/>
    <s v="西早永日"/>
    <s v="上海 上海市 青浦区 盈浦街道富绅名邸6-602"/>
    <s v="18466665722-4607"/>
    <m/>
    <m/>
    <m/>
    <m/>
  </r>
  <r>
    <x v="206"/>
    <s v="已收货"/>
    <s v="4994143959230373921"/>
    <s v="西早永日"/>
    <m/>
    <m/>
    <s v="样块"/>
    <x v="0"/>
    <m/>
    <s v="已结算"/>
    <s v="杭州"/>
    <n v="7"/>
    <n v="5"/>
    <m/>
    <m/>
    <m/>
    <m/>
    <m/>
    <m/>
    <m/>
    <m/>
    <m/>
    <m/>
    <m/>
    <m/>
    <m/>
    <m/>
    <m/>
    <m/>
    <m/>
    <m/>
    <m/>
    <m/>
    <m/>
    <m/>
    <m/>
    <m/>
    <m/>
    <n v="2"/>
    <m/>
    <m/>
    <n v="5"/>
    <n v="0"/>
    <n v="0"/>
    <n v="0"/>
    <n v="0"/>
    <n v="0"/>
    <n v="0"/>
    <n v="0"/>
    <n v="1"/>
    <n v="12"/>
    <n v="22"/>
    <n v="0"/>
    <n v="0.132"/>
    <n v="21.868"/>
    <n v="0"/>
    <n v="0"/>
    <n v="0"/>
    <n v="9.867999999999999"/>
    <s v="李照征"/>
    <s v="山东省 临沂市 兰山区 金雀山街道沂蒙路189号五金站家属院菜鸟驿站"/>
    <s v="18764962940-7786"/>
    <m/>
    <m/>
    <m/>
    <m/>
  </r>
  <r>
    <x v="206"/>
    <s v="已收货"/>
    <s v="3169278769829196979"/>
    <s v="王先生"/>
    <m/>
    <m/>
    <s v="砂白色1.6米岩板餐桌"/>
    <x v="1"/>
    <s v="160cm*85cm"/>
    <s v="已结算"/>
    <s v="江西"/>
    <n v="1782.5"/>
    <n v="1350"/>
    <m/>
    <m/>
    <m/>
    <m/>
    <n v="240"/>
    <m/>
    <m/>
    <m/>
    <m/>
    <m/>
    <m/>
    <m/>
    <m/>
    <m/>
    <m/>
    <m/>
    <n v="2.5"/>
    <m/>
    <m/>
    <m/>
    <m/>
    <m/>
    <m/>
    <m/>
    <m/>
    <n v="190"/>
    <m/>
    <m/>
    <n v="550"/>
    <n v="30"/>
    <n v="0"/>
    <n v="0"/>
    <n v="0"/>
    <n v="0"/>
    <n v="0"/>
    <n v="0"/>
    <n v="1"/>
    <n v="2362.5"/>
    <n v="2809.55"/>
    <n v="0"/>
    <n v="16.8573"/>
    <n v="2792.6927"/>
    <n v="0"/>
    <n v="0"/>
    <n v="0"/>
    <n v="430.1927000000001"/>
    <s v="王先生"/>
    <s v="内蒙古自治区 兴安盟 扎赉特旗 音德尔镇北望居4号楼1单元702"/>
    <s v="17836618571-5602"/>
    <m/>
    <m/>
    <m/>
    <m/>
  </r>
  <r>
    <x v="206"/>
    <s v="已收货"/>
    <s v="4995592202924677822"/>
    <s v="苓邺"/>
    <m/>
    <m/>
    <s v="洞石1.2樱桃餐桌"/>
    <x v="28"/>
    <n v="1200"/>
    <s v="已结算"/>
    <s v="江西"/>
    <n v="2222.5"/>
    <n v="1400"/>
    <n v="680"/>
    <n v="140"/>
    <n v="2.5"/>
    <m/>
    <m/>
    <m/>
    <m/>
    <m/>
    <m/>
    <m/>
    <m/>
    <m/>
    <m/>
    <m/>
    <m/>
    <m/>
    <m/>
    <m/>
    <m/>
    <m/>
    <m/>
    <m/>
    <m/>
    <m/>
    <m/>
    <n v="140"/>
    <m/>
    <m/>
    <n v="250"/>
    <n v="33"/>
    <n v="100"/>
    <n v="0"/>
    <n v="0"/>
    <n v="0"/>
    <n v="0"/>
    <n v="0"/>
    <n v="1"/>
    <n v="2605.5"/>
    <n v="3171.02"/>
    <n v="0"/>
    <n v="19.02612"/>
    <n v="3151.99388"/>
    <n v="0"/>
    <n v="0"/>
    <n v="0"/>
    <n v="546.49388"/>
    <s v="苓邺"/>
    <s v="浙江省 宁波市 鄞州区 白鹤街道中海江东兴樾4号楼202"/>
    <s v="18413305627-4768"/>
    <m/>
    <m/>
    <m/>
    <m/>
  </r>
  <r>
    <x v="207"/>
    <s v="已收货"/>
    <s v="3172029097699819070"/>
    <s v="印立"/>
    <m/>
    <m/>
    <s v="定制150*75樱桃木桌"/>
    <x v="28"/>
    <s v="150cm*75cm"/>
    <s v="已结算"/>
    <s v="江西"/>
    <n v="1822.5"/>
    <n v="1400"/>
    <n v="2.5"/>
    <n v="240"/>
    <n v="180"/>
    <m/>
    <m/>
    <m/>
    <m/>
    <m/>
    <m/>
    <m/>
    <m/>
    <m/>
    <m/>
    <m/>
    <m/>
    <m/>
    <m/>
    <m/>
    <m/>
    <m/>
    <m/>
    <m/>
    <m/>
    <m/>
    <m/>
    <n v="180"/>
    <m/>
    <n v="220"/>
    <n v="250"/>
    <n v="33"/>
    <n v="72"/>
    <n v="0"/>
    <n v="0"/>
    <n v="0"/>
    <n v="0"/>
    <n v="0"/>
    <n v="1"/>
    <n v="2177.5"/>
    <n v="2933.78"/>
    <n v="0"/>
    <n v="17.60268"/>
    <n v="2916.17732"/>
    <n v="0"/>
    <n v="0"/>
    <n v="0"/>
    <n v="738.6773200000002"/>
    <s v="印立"/>
    <s v="重庆 重庆市 渝北区 仙桃街道睦邻路25号海成云悦4-802"/>
    <s v="13164446229-4657"/>
    <m/>
    <m/>
    <m/>
    <m/>
  </r>
  <r>
    <x v="207"/>
    <s v="已收货"/>
    <s v="3172166004686819070"/>
    <s v="印立"/>
    <m/>
    <m/>
    <s v="差价"/>
    <x v="4"/>
    <m/>
    <s v="已结算"/>
    <s v="江西"/>
    <n v="0"/>
    <n v="0"/>
    <m/>
    <m/>
    <m/>
    <m/>
    <m/>
    <m/>
    <m/>
    <m/>
    <m/>
    <m/>
    <m/>
    <m/>
    <m/>
    <m/>
    <m/>
    <m/>
    <m/>
    <m/>
    <m/>
    <m/>
    <m/>
    <m/>
    <m/>
    <m/>
    <m/>
    <m/>
    <m/>
    <m/>
    <n v="0"/>
    <n v="0"/>
    <n v="0"/>
    <n v="0"/>
    <n v="0"/>
    <n v="0"/>
    <n v="0"/>
    <n v="0"/>
    <n v="1"/>
    <n v="0"/>
    <n v="507"/>
    <n v="0"/>
    <n v="3.042"/>
    <n v="503.958"/>
    <n v="0"/>
    <n v="0"/>
    <n v="0"/>
    <n v="503.958"/>
    <s v="印立"/>
    <s v="重庆 重庆市 渝北区 仙桃街道睦邻路25号海成云悦4-802"/>
    <s v="13164446229-4657"/>
    <m/>
    <m/>
    <m/>
    <m/>
  </r>
  <r>
    <x v="207"/>
    <s v="已收货"/>
    <s v="4997951317507007620"/>
    <s v="廖小姐"/>
    <m/>
    <m/>
    <s v="砂白色1.7米岩板餐桌，定制"/>
    <x v="1"/>
    <s v="170cm*85cm"/>
    <s v="已结算"/>
    <s v="江西"/>
    <n v="1832.5"/>
    <n v="1400"/>
    <m/>
    <m/>
    <m/>
    <m/>
    <n v="240"/>
    <m/>
    <m/>
    <m/>
    <m/>
    <m/>
    <m/>
    <m/>
    <m/>
    <m/>
    <m/>
    <m/>
    <n v="2.5"/>
    <m/>
    <m/>
    <m/>
    <m/>
    <m/>
    <m/>
    <m/>
    <m/>
    <n v="190"/>
    <m/>
    <m/>
    <n v="300"/>
    <n v="30"/>
    <n v="88"/>
    <n v="0"/>
    <n v="0"/>
    <n v="0"/>
    <n v="0"/>
    <n v="0"/>
    <n v="1"/>
    <n v="2250.5"/>
    <n v="2749.55"/>
    <n v="0"/>
    <n v="16.4973"/>
    <n v="2733.0527"/>
    <n v="0"/>
    <n v="0"/>
    <n v="0"/>
    <n v="482.5527000000002"/>
    <s v="廖小姐"/>
    <s v="广东省 广州市 天河区 石牌街道中山大道西55号华南师范大学高教新村C座C1704"/>
    <s v="13048048332-9829"/>
    <m/>
    <m/>
    <m/>
    <m/>
  </r>
  <r>
    <x v="208"/>
    <s v="已收货"/>
    <s v="3172307955753650759"/>
    <s v="廖小姐"/>
    <m/>
    <m/>
    <s v="补差价"/>
    <x v="4"/>
    <m/>
    <s v="已结算"/>
    <s v="江西"/>
    <n v="0"/>
    <n v="0"/>
    <m/>
    <m/>
    <m/>
    <m/>
    <m/>
    <m/>
    <m/>
    <m/>
    <m/>
    <m/>
    <m/>
    <m/>
    <m/>
    <m/>
    <m/>
    <m/>
    <m/>
    <m/>
    <m/>
    <m/>
    <m/>
    <m/>
    <m/>
    <m/>
    <m/>
    <m/>
    <m/>
    <m/>
    <n v="0"/>
    <n v="0"/>
    <n v="0"/>
    <n v="0"/>
    <n v="0"/>
    <n v="0"/>
    <n v="0"/>
    <n v="0"/>
    <n v="1"/>
    <n v="0"/>
    <n v="51"/>
    <n v="0"/>
    <n v="0.306"/>
    <n v="50.694"/>
    <n v="0"/>
    <n v="0"/>
    <n v="0"/>
    <n v="50.694"/>
    <s v="廖小姐"/>
    <s v="广东省 广州市 天河区 石牌街道中山大道西55号华南师范大学高教新村C1704"/>
    <s v="13145710581-9365"/>
    <m/>
    <m/>
    <m/>
    <m/>
  </r>
  <r>
    <x v="208"/>
    <s v="未发货"/>
    <s v="4999357982989757806"/>
    <s v="小星"/>
    <m/>
    <m/>
    <s v="砂白色1.6米岩板餐桌"/>
    <x v="1"/>
    <s v="160cm*85cm"/>
    <m/>
    <s v="江西"/>
    <n v="1782.5"/>
    <n v="1350"/>
    <m/>
    <m/>
    <m/>
    <m/>
    <n v="240"/>
    <m/>
    <m/>
    <m/>
    <m/>
    <m/>
    <m/>
    <m/>
    <m/>
    <m/>
    <m/>
    <m/>
    <n v="2.5"/>
    <m/>
    <m/>
    <m/>
    <m/>
    <m/>
    <m/>
    <m/>
    <m/>
    <n v="190"/>
    <m/>
    <m/>
    <n v="300"/>
    <n v="30"/>
    <n v="70"/>
    <n v="0"/>
    <n v="0"/>
    <n v="0"/>
    <n v="0"/>
    <n v="0"/>
    <n v="1"/>
    <n v="2182.5"/>
    <n v="2754.55"/>
    <n v="0"/>
    <n v="16.5273"/>
    <n v="2738.0227"/>
    <n v="0"/>
    <n v="0"/>
    <n v="0"/>
    <n v="555.5227"/>
    <s v="小星"/>
    <s v="四川省 成都市 彭州市 致和街道城投云湖5栋401(000000)"/>
    <s v="18400819593-2427"/>
    <m/>
    <m/>
    <m/>
    <m/>
  </r>
  <r>
    <x v="209"/>
    <s v="已收货"/>
    <s v="5006964457246559512"/>
    <s v="李"/>
    <m/>
    <m/>
    <s v="样块"/>
    <x v="0"/>
    <m/>
    <s v="已结算"/>
    <s v="杭州"/>
    <n v="7"/>
    <n v="5"/>
    <m/>
    <m/>
    <m/>
    <m/>
    <m/>
    <m/>
    <m/>
    <m/>
    <m/>
    <m/>
    <m/>
    <m/>
    <m/>
    <m/>
    <m/>
    <m/>
    <m/>
    <m/>
    <m/>
    <m/>
    <m/>
    <m/>
    <m/>
    <m/>
    <m/>
    <n v="2"/>
    <m/>
    <m/>
    <n v="5"/>
    <n v="0"/>
    <n v="0"/>
    <n v="0"/>
    <n v="0"/>
    <n v="0"/>
    <n v="0"/>
    <n v="0"/>
    <n v="1"/>
    <n v="12"/>
    <n v="22"/>
    <n v="0"/>
    <n v="0.132"/>
    <n v="21.868"/>
    <n v="0"/>
    <n v="0"/>
    <n v="0"/>
    <n v="9.867999999999999"/>
    <s v="李"/>
    <s v="河南省 郑州市 中原区 林山寨街道工人路 于砦北街 学府一号小区 北门 4号楼"/>
    <s v="17613457026-3880"/>
    <m/>
    <m/>
    <m/>
    <m/>
  </r>
  <r>
    <x v="209"/>
    <s v="已收货"/>
    <s v="5006684883318893645"/>
    <s v="张梅西"/>
    <m/>
    <m/>
    <s v="样块"/>
    <x v="0"/>
    <m/>
    <s v="已结算"/>
    <s v="杭州"/>
    <n v="7"/>
    <n v="5"/>
    <m/>
    <m/>
    <m/>
    <m/>
    <m/>
    <m/>
    <m/>
    <m/>
    <m/>
    <m/>
    <m/>
    <m/>
    <m/>
    <m/>
    <m/>
    <m/>
    <m/>
    <m/>
    <m/>
    <m/>
    <m/>
    <m/>
    <m/>
    <m/>
    <m/>
    <n v="2"/>
    <m/>
    <m/>
    <n v="5"/>
    <n v="0"/>
    <n v="0"/>
    <n v="0"/>
    <n v="0"/>
    <n v="0"/>
    <n v="0"/>
    <n v="0"/>
    <n v="1"/>
    <n v="12"/>
    <n v="22"/>
    <n v="0"/>
    <n v="0.132"/>
    <n v="21.868"/>
    <n v="0"/>
    <n v="0"/>
    <n v="0"/>
    <n v="9.867999999999999"/>
    <s v="张梅西"/>
    <s v="北京 北京市 西城区 新街口街道西直门北顺城街玉桃园2区22号楼2门302"/>
    <s v="18400868318-9643"/>
    <m/>
    <m/>
    <m/>
    <m/>
  </r>
  <r>
    <x v="210"/>
    <s v="售后处理中"/>
    <s v="3183374785161228259"/>
    <s v="宗雪娟"/>
    <m/>
    <m/>
    <s v="定制长2.4米，高2.35米洞石柜子"/>
    <x v="3"/>
    <n v="2400"/>
    <m/>
    <s v="江西"/>
    <n v="10767.58"/>
    <n v="8200"/>
    <n v="830.08"/>
    <m/>
    <m/>
    <n v="120"/>
    <n v="750"/>
    <n v="104"/>
    <n v="98"/>
    <m/>
    <m/>
    <m/>
    <n v="154"/>
    <m/>
    <n v="17.5"/>
    <m/>
    <n v="20"/>
    <n v="14"/>
    <m/>
    <m/>
    <m/>
    <m/>
    <m/>
    <m/>
    <m/>
    <m/>
    <m/>
    <n v="460"/>
    <m/>
    <m/>
    <n v="550"/>
    <n v="50"/>
    <n v="150"/>
    <n v="0"/>
    <n v="0"/>
    <n v="0"/>
    <n v="0"/>
    <n v="0"/>
    <n v="1"/>
    <n v="11517.58"/>
    <n v="12164.52"/>
    <n v="0"/>
    <n v="72.98712"/>
    <n v="12091.53288"/>
    <n v="0"/>
    <n v="0"/>
    <n v="0"/>
    <n v="573.9528800000007"/>
    <s v="宗雪娟"/>
    <s v="河北省 石家庄市 长安区 高营镇万科翡翠书院5号院10-1-804(000000)"/>
    <s v="18920329925"/>
    <m/>
    <m/>
    <m/>
    <m/>
  </r>
  <r>
    <x v="210"/>
    <s v="售后处理中"/>
    <s v="3183055466322228259"/>
    <s v="宗雪娟"/>
    <m/>
    <m/>
    <s v="补差价"/>
    <x v="3"/>
    <m/>
    <m/>
    <s v="江西"/>
    <n v="0"/>
    <n v="0"/>
    <m/>
    <m/>
    <m/>
    <m/>
    <m/>
    <m/>
    <m/>
    <m/>
    <m/>
    <m/>
    <m/>
    <m/>
    <m/>
    <m/>
    <m/>
    <m/>
    <m/>
    <m/>
    <m/>
    <m/>
    <m/>
    <m/>
    <m/>
    <m/>
    <m/>
    <m/>
    <m/>
    <m/>
    <n v="0"/>
    <n v="0"/>
    <n v="0"/>
    <n v="0"/>
    <n v="0"/>
    <n v="0"/>
    <n v="0"/>
    <n v="0"/>
    <n v="1"/>
    <n v="0"/>
    <n v="2334.64"/>
    <n v="0"/>
    <n v="14.00784"/>
    <n v="2320.63216"/>
    <n v="0"/>
    <n v="0"/>
    <n v="0"/>
    <n v="2320.63216"/>
    <s v="宗雪娟"/>
    <s v="河北省 石家庄市 长安区 万科翡翠书院5号院10-801(050011)"/>
    <s v="17897430591-3735"/>
    <m/>
    <m/>
    <m/>
    <m/>
  </r>
  <r>
    <x v="210"/>
    <s v="已收货"/>
    <s v="5010629978069402623"/>
    <s v="TENG"/>
    <m/>
    <m/>
    <s v="1.2米洞石窄柜"/>
    <x v="18"/>
    <n v="1200"/>
    <s v="已结算"/>
    <s v="江西"/>
    <n v="4510.54"/>
    <n v="3400"/>
    <n v="115"/>
    <m/>
    <m/>
    <m/>
    <m/>
    <m/>
    <n v="27791"/>
    <m/>
    <m/>
    <n v="8"/>
    <n v="411.08"/>
    <n v="3"/>
    <m/>
    <m/>
    <m/>
    <n v="190"/>
    <n v="52"/>
    <n v="10"/>
    <s v="300*1.2*0.48"/>
    <m/>
    <m/>
    <m/>
    <s v="5*10"/>
    <m/>
    <m/>
    <n v="54"/>
    <m/>
    <m/>
    <n v="300"/>
    <n v="30"/>
    <n v="68"/>
    <n v="0"/>
    <n v="0"/>
    <n v="0"/>
    <n v="0"/>
    <n v="0"/>
    <n v="1"/>
    <n v="4908.54"/>
    <n v="5978.95"/>
    <n v="0"/>
    <n v="35.8737"/>
    <n v="5943.0763"/>
    <n v="0"/>
    <n v="0"/>
    <n v="0"/>
    <n v="1034.5363"/>
    <s v="TENG"/>
    <s v="江苏省 徐州市 鼓楼区 丰财街道响山路锦绣滨湖小区三期48-2-102 （送货到门）"/>
    <s v="15780620215-7957"/>
    <m/>
    <m/>
    <m/>
    <m/>
  </r>
  <r>
    <x v="210"/>
    <s v="已收货"/>
    <s v="5011051610701893645"/>
    <s v="张梅西"/>
    <m/>
    <m/>
    <s v="样块"/>
    <x v="0"/>
    <m/>
    <s v="已结算"/>
    <s v="杭州"/>
    <n v="7"/>
    <n v="5"/>
    <m/>
    <m/>
    <m/>
    <m/>
    <m/>
    <m/>
    <m/>
    <m/>
    <m/>
    <m/>
    <m/>
    <m/>
    <m/>
    <m/>
    <m/>
    <m/>
    <m/>
    <m/>
    <m/>
    <m/>
    <m/>
    <m/>
    <m/>
    <m/>
    <m/>
    <n v="2"/>
    <m/>
    <m/>
    <n v="5"/>
    <n v="0"/>
    <n v="0"/>
    <n v="0"/>
    <n v="0"/>
    <n v="0"/>
    <n v="0"/>
    <n v="0"/>
    <n v="1"/>
    <n v="12"/>
    <n v="22"/>
    <n v="0"/>
    <n v="0.132"/>
    <n v="21.868"/>
    <n v="0"/>
    <n v="0"/>
    <n v="0"/>
    <n v="9.867999999999999"/>
    <s v="张梅西"/>
    <s v="北京 北京市 西城区 新街口街道西直门北顺城街玉桃园2区22号楼2门302"/>
    <s v="18400868318-9643"/>
    <m/>
    <m/>
    <m/>
    <m/>
  </r>
  <r>
    <x v="211"/>
    <s v="已收货"/>
    <s v="5014980578413738833"/>
    <s v="黄梦荻"/>
    <m/>
    <m/>
    <s v="砂白色1.8米岩板餐桌"/>
    <x v="1"/>
    <s v="180cm*85cm"/>
    <s v="已结算"/>
    <s v="江西"/>
    <n v="1732.5"/>
    <n v="1400"/>
    <m/>
    <m/>
    <m/>
    <m/>
    <n v="240"/>
    <m/>
    <m/>
    <m/>
    <m/>
    <m/>
    <m/>
    <m/>
    <m/>
    <m/>
    <m/>
    <m/>
    <n v="2.5"/>
    <m/>
    <m/>
    <m/>
    <m/>
    <m/>
    <m/>
    <m/>
    <m/>
    <n v="90"/>
    <m/>
    <m/>
    <n v="100"/>
    <n v="0"/>
    <n v="260"/>
    <n v="0"/>
    <n v="0"/>
    <n v="0"/>
    <n v="0"/>
    <n v="0"/>
    <n v="1"/>
    <n v="2092.5"/>
    <n v="2871.25"/>
    <n v="0"/>
    <n v="17.2275"/>
    <n v="2854.0225"/>
    <n v="0"/>
    <n v="0"/>
    <n v="0"/>
    <n v="761.5225"/>
    <s v="黄梦荻"/>
    <s v="上海 上海市 浦东新区 北蔡镇开云艾尚里二期16号301室"/>
    <s v="18466706956-5622"/>
    <m/>
    <m/>
    <m/>
    <m/>
  </r>
  <r>
    <x v="212"/>
    <s v="已收货"/>
    <s v="3189157969460122797"/>
    <s v="冉先生"/>
    <m/>
    <m/>
    <s v="样块"/>
    <x v="0"/>
    <m/>
    <s v="已结算"/>
    <s v="杭州"/>
    <n v="7"/>
    <n v="5"/>
    <m/>
    <m/>
    <m/>
    <m/>
    <m/>
    <m/>
    <m/>
    <m/>
    <m/>
    <m/>
    <m/>
    <m/>
    <m/>
    <m/>
    <m/>
    <m/>
    <m/>
    <m/>
    <m/>
    <m/>
    <m/>
    <m/>
    <m/>
    <m/>
    <m/>
    <n v="2"/>
    <m/>
    <m/>
    <n v="5"/>
    <n v="0"/>
    <n v="0"/>
    <n v="0"/>
    <n v="0"/>
    <n v="0"/>
    <n v="0"/>
    <n v="0"/>
    <n v="1"/>
    <n v="12"/>
    <n v="22"/>
    <n v="0"/>
    <n v="0.132"/>
    <n v="21.868"/>
    <n v="0"/>
    <n v="0"/>
    <n v="0"/>
    <n v="9.867999999999999"/>
    <s v="冉先生"/>
    <s v="重庆 重庆市 沙坪坝区 土主街道重庆融创文旅城·御铂南区9栋"/>
    <s v="18423011537-1714"/>
    <m/>
    <m/>
    <m/>
    <m/>
  </r>
  <r>
    <x v="212"/>
    <s v="已收货"/>
    <s v="3191241577891136577"/>
    <s v="李焯翾"/>
    <m/>
    <m/>
    <s v="返回拦截费用"/>
    <x v="4"/>
    <m/>
    <s v="已结算"/>
    <s v="江西"/>
    <n v="0"/>
    <n v="0"/>
    <m/>
    <m/>
    <m/>
    <m/>
    <m/>
    <m/>
    <m/>
    <m/>
    <m/>
    <m/>
    <m/>
    <m/>
    <m/>
    <m/>
    <m/>
    <m/>
    <m/>
    <m/>
    <m/>
    <m/>
    <m/>
    <m/>
    <m/>
    <m/>
    <m/>
    <m/>
    <m/>
    <m/>
    <n v="0"/>
    <n v="0"/>
    <n v="0"/>
    <n v="0"/>
    <n v="0"/>
    <n v="0"/>
    <n v="0"/>
    <n v="0"/>
    <n v="1"/>
    <n v="0"/>
    <n v="341"/>
    <n v="0"/>
    <n v="2.046"/>
    <n v="338.954"/>
    <n v="0"/>
    <n v="0"/>
    <n v="0"/>
    <n v="338.954"/>
    <s v="李焯翾"/>
    <s v="河南省 郑州市 管城回族区 商都路街道 国龙绿城怡园2期3号楼3单元1002分机号7154"/>
    <n v="18416726806"/>
    <m/>
    <m/>
    <m/>
    <m/>
  </r>
  <r>
    <x v="213"/>
    <s v="已收货"/>
    <s v="3191937999081328361"/>
    <s v="兰森尼"/>
    <m/>
    <m/>
    <s v="砂白色2.0米岩板餐桌，定制"/>
    <x v="1"/>
    <s v="200cm*85cm"/>
    <m/>
    <s v="江西"/>
    <n v="2222.5"/>
    <n v="1450"/>
    <m/>
    <m/>
    <m/>
    <m/>
    <n v="560"/>
    <m/>
    <m/>
    <m/>
    <m/>
    <m/>
    <m/>
    <m/>
    <m/>
    <m/>
    <m/>
    <m/>
    <n v="2.5"/>
    <m/>
    <m/>
    <m/>
    <m/>
    <m/>
    <m/>
    <m/>
    <m/>
    <n v="210"/>
    <m/>
    <m/>
    <n v="300"/>
    <n v="30"/>
    <n v="70"/>
    <n v="0"/>
    <n v="0"/>
    <n v="0"/>
    <n v="0"/>
    <n v="0"/>
    <n v="1"/>
    <n v="2622.5"/>
    <n v="3183.78"/>
    <n v="0"/>
    <n v="19.10268"/>
    <n v="3164.67732"/>
    <n v="0"/>
    <n v="0"/>
    <n v="0"/>
    <n v="542.1773200000002"/>
    <s v="兰森尼"/>
    <s v="新疆维吾尔自治区 乌鲁木齐市 新市区 二工乡新馨美寓9号楼3单元603(000000)"/>
    <s v="18466169289-9572"/>
    <m/>
    <m/>
    <m/>
    <m/>
  </r>
  <r>
    <x v="213"/>
    <s v="已收货"/>
    <s v="3192328453352328361"/>
    <s v="兰森尼"/>
    <m/>
    <m/>
    <s v="补差价"/>
    <x v="1"/>
    <m/>
    <m/>
    <s v="江西"/>
    <n v="0"/>
    <n v="0"/>
    <m/>
    <m/>
    <m/>
    <m/>
    <m/>
    <m/>
    <m/>
    <m/>
    <m/>
    <m/>
    <m/>
    <m/>
    <m/>
    <m/>
    <m/>
    <m/>
    <m/>
    <m/>
    <m/>
    <m/>
    <m/>
    <m/>
    <m/>
    <m/>
    <m/>
    <m/>
    <m/>
    <m/>
    <n v="0"/>
    <n v="0"/>
    <n v="0"/>
    <n v="0"/>
    <n v="0"/>
    <n v="0"/>
    <n v="0"/>
    <n v="0"/>
    <n v="1"/>
    <n v="0"/>
    <n v="54.56"/>
    <n v="0"/>
    <n v="0.32736"/>
    <n v="54.23264"/>
    <n v="0"/>
    <n v="0"/>
    <n v="0"/>
    <n v="54.23264"/>
    <s v="兰森尼"/>
    <s v="新疆维吾尔自治区 乌鲁木齐市 新市区 二工乡新馨美寓9号楼3单元603(000000)"/>
    <s v="18466169289-9572"/>
    <m/>
    <m/>
    <m/>
    <m/>
  </r>
  <r>
    <x v="214"/>
    <s v="已收货"/>
    <s v="4501892844011032422"/>
    <s v="李照征"/>
    <m/>
    <m/>
    <s v="插座"/>
    <x v="5"/>
    <m/>
    <s v="已结算"/>
    <s v="其他"/>
    <n v="55"/>
    <n v="55"/>
    <m/>
    <m/>
    <m/>
    <m/>
    <m/>
    <m/>
    <m/>
    <m/>
    <m/>
    <m/>
    <m/>
    <m/>
    <m/>
    <m/>
    <m/>
    <m/>
    <m/>
    <m/>
    <m/>
    <m/>
    <m/>
    <m/>
    <m/>
    <m/>
    <m/>
    <m/>
    <m/>
    <m/>
    <n v="8"/>
    <n v="0"/>
    <n v="0"/>
    <n v="0"/>
    <n v="0"/>
    <n v="0"/>
    <n v="0"/>
    <n v="0"/>
    <n v="1"/>
    <n v="63"/>
    <n v="100"/>
    <n v="0"/>
    <n v="0.6"/>
    <n v="99.40000000000001"/>
    <n v="0"/>
    <n v="0"/>
    <n v="0"/>
    <n v="36.40000000000001"/>
    <s v="李照征"/>
    <s v="山东省 临沂市 兰山区 金雀山街道沂蒙路189号五金站家属院菜鸟驿站"/>
    <s v="18764962940-7786"/>
    <m/>
    <m/>
    <m/>
    <m/>
  </r>
  <r>
    <x v="214"/>
    <s v="已收货"/>
    <s v="3197452513852358180"/>
    <s v="崔继军"/>
    <m/>
    <m/>
    <s v="1.2米洞石窄柜"/>
    <x v="18"/>
    <n v="1200"/>
    <m/>
    <s v="江西"/>
    <n v="4664.139999999999"/>
    <n v="3200"/>
    <n v="115"/>
    <m/>
    <m/>
    <m/>
    <m/>
    <m/>
    <n v="27791"/>
    <m/>
    <m/>
    <n v="8"/>
    <n v="411.08"/>
    <n v="3"/>
    <m/>
    <m/>
    <m/>
    <m/>
    <n v="62.4"/>
    <n v="10"/>
    <n v="220"/>
    <m/>
    <m/>
    <m/>
    <m/>
    <m/>
    <m/>
    <n v="190"/>
    <m/>
    <m/>
    <n v="300"/>
    <n v="30"/>
    <n v="80"/>
    <n v="0"/>
    <n v="0"/>
    <n v="0"/>
    <n v="0"/>
    <n v="0"/>
    <n v="1"/>
    <n v="5074.139999999999"/>
    <n v="5978.95"/>
    <n v="0"/>
    <n v="35.8737"/>
    <n v="5943.0763"/>
    <n v="0"/>
    <n v="0"/>
    <n v="0"/>
    <n v="868.9363000000003"/>
    <s v="崔继军"/>
    <s v="北京 北京市 海淀区 温泉镇谭韵雅庭22号地12号楼四单元501(000000)"/>
    <s v="17810306185-8696"/>
    <m/>
    <m/>
    <m/>
    <m/>
  </r>
  <r>
    <x v="215"/>
    <s v="已收货"/>
    <s v="5024996031837328524"/>
    <s v="黄磊"/>
    <m/>
    <m/>
    <s v="椅子补差价"/>
    <x v="15"/>
    <m/>
    <s v="已结算"/>
    <s v="其他"/>
    <n v="0"/>
    <n v="0"/>
    <m/>
    <m/>
    <m/>
    <m/>
    <m/>
    <m/>
    <m/>
    <m/>
    <m/>
    <m/>
    <m/>
    <m/>
    <m/>
    <m/>
    <m/>
    <m/>
    <m/>
    <m/>
    <m/>
    <m/>
    <m/>
    <m/>
    <m/>
    <m/>
    <m/>
    <m/>
    <m/>
    <m/>
    <n v="0"/>
    <n v="0"/>
    <n v="0"/>
    <n v="0"/>
    <n v="0"/>
    <n v="0"/>
    <n v="0"/>
    <n v="0"/>
    <n v="1"/>
    <n v="0"/>
    <n v="333.52"/>
    <n v="0"/>
    <n v="2.00112"/>
    <n v="331.51888"/>
    <n v="0"/>
    <n v="0"/>
    <n v="0"/>
    <n v="331.51888"/>
    <s v="杨剑文黄磊"/>
    <s v="甘肃省 天水市 秦州区 东关街道西北角天麟金水湾小区5#楼1单元2101号"/>
    <s v="18466659098-1556"/>
    <m/>
    <m/>
    <m/>
    <m/>
  </r>
  <r>
    <x v="215"/>
    <s v="已收货"/>
    <s v="5025466658667930109"/>
    <s v="杨坤鹏转余栋"/>
    <m/>
    <m/>
    <s v="3个插座"/>
    <x v="5"/>
    <m/>
    <s v="已结算"/>
    <s v="其他"/>
    <n v="165"/>
    <n v="165"/>
    <m/>
    <m/>
    <m/>
    <m/>
    <m/>
    <m/>
    <m/>
    <m/>
    <m/>
    <m/>
    <m/>
    <m/>
    <m/>
    <m/>
    <m/>
    <m/>
    <m/>
    <m/>
    <m/>
    <m/>
    <m/>
    <m/>
    <m/>
    <m/>
    <m/>
    <m/>
    <m/>
    <m/>
    <n v="8"/>
    <n v="0"/>
    <n v="0"/>
    <n v="0"/>
    <n v="0"/>
    <n v="0"/>
    <n v="0"/>
    <n v="0"/>
    <n v="1"/>
    <n v="173"/>
    <n v="300"/>
    <n v="0"/>
    <n v="1.8"/>
    <n v="298.2"/>
    <n v="0"/>
    <n v="0"/>
    <n v="0"/>
    <n v="125.2"/>
    <s v="杨坤鹏转余栋"/>
    <s v="广东省 广州市 白云区 江高镇夏花三路498号部队路A14仓 （YD502-SIN）"/>
    <s v="14749571996-2433"/>
    <m/>
    <m/>
    <m/>
    <m/>
  </r>
  <r>
    <x v="215"/>
    <s v="已收货"/>
    <s v="4501921538004004444"/>
    <s v="朱先生"/>
    <m/>
    <m/>
    <s v="砂白色1.4米岩板餐桌"/>
    <x v="1"/>
    <s v="140cm*85cm"/>
    <s v="已结算"/>
    <s v="江西"/>
    <n v="1702.5"/>
    <n v="1300"/>
    <m/>
    <m/>
    <m/>
    <m/>
    <n v="220"/>
    <m/>
    <m/>
    <m/>
    <m/>
    <m/>
    <m/>
    <m/>
    <m/>
    <m/>
    <m/>
    <m/>
    <n v="2.5"/>
    <m/>
    <m/>
    <m/>
    <m/>
    <m/>
    <m/>
    <m/>
    <m/>
    <n v="180"/>
    <m/>
    <m/>
    <n v="300"/>
    <n v="30"/>
    <n v="65"/>
    <n v="0"/>
    <n v="0"/>
    <n v="0"/>
    <n v="0"/>
    <n v="0"/>
    <n v="1"/>
    <n v="2097.5"/>
    <n v="2602.4"/>
    <n v="0"/>
    <n v="15.6144"/>
    <n v="2586.7856"/>
    <n v="0"/>
    <n v="0"/>
    <n v="0"/>
    <n v="489.2856000000002"/>
    <s v="朱先生"/>
    <s v="广东省 广州市 番禺区 沙湾街道香柏华府13栋301"/>
    <s v="18466115659-7729"/>
    <m/>
    <m/>
    <m/>
    <m/>
  </r>
  <r>
    <x v="216"/>
    <s v="已收货"/>
    <s v="3199584147190452461"/>
    <s v="黄金五花肉"/>
    <m/>
    <m/>
    <s v="样块"/>
    <x v="0"/>
    <m/>
    <s v="已结算"/>
    <s v="杭州"/>
    <n v="7"/>
    <n v="5"/>
    <m/>
    <m/>
    <m/>
    <m/>
    <m/>
    <m/>
    <m/>
    <m/>
    <m/>
    <m/>
    <m/>
    <m/>
    <m/>
    <m/>
    <m/>
    <m/>
    <m/>
    <m/>
    <m/>
    <m/>
    <m/>
    <m/>
    <m/>
    <m/>
    <m/>
    <n v="2"/>
    <m/>
    <m/>
    <n v="5"/>
    <n v="0"/>
    <n v="0"/>
    <n v="0"/>
    <n v="0"/>
    <n v="0"/>
    <n v="0"/>
    <n v="0"/>
    <n v="1"/>
    <n v="12"/>
    <n v="17"/>
    <n v="0"/>
    <n v="0.102"/>
    <n v="16.898"/>
    <n v="0"/>
    <n v="0"/>
    <n v="0"/>
    <n v="4.898"/>
    <s v="黄金五花肉"/>
    <s v="江苏省 南京市 建邺区 沙洲街道雨润大街19号双和园东区4幢17楼 务必送上楼或者3幢/北门丰巢柜"/>
    <s v="15780621747-5919"/>
    <m/>
    <m/>
    <m/>
    <m/>
  </r>
  <r>
    <x v="216"/>
    <s v="已收货"/>
    <s v="5026632338838185740"/>
    <s v="郝全"/>
    <m/>
    <m/>
    <s v="1.6米黑胡桃木岩板餐桌"/>
    <x v="30"/>
    <s v="160cm*85cm"/>
    <s v="已结算"/>
    <s v="江西"/>
    <n v="2712.5"/>
    <n v="2300"/>
    <n v="2.5"/>
    <n v="220"/>
    <n v="190"/>
    <m/>
    <m/>
    <m/>
    <m/>
    <m/>
    <m/>
    <m/>
    <m/>
    <m/>
    <m/>
    <m/>
    <m/>
    <m/>
    <m/>
    <m/>
    <m/>
    <m/>
    <m/>
    <m/>
    <m/>
    <m/>
    <m/>
    <n v="190"/>
    <m/>
    <m/>
    <n v="300"/>
    <n v="30"/>
    <n v="75"/>
    <n v="0"/>
    <n v="0"/>
    <n v="0"/>
    <n v="0"/>
    <n v="0"/>
    <n v="1"/>
    <n v="3117.5"/>
    <n v="3530.77"/>
    <n v="0"/>
    <n v="21.18462"/>
    <n v="3509.58538"/>
    <n v="0"/>
    <n v="0"/>
    <n v="0"/>
    <n v="392.08538"/>
    <s v="郝全"/>
    <s v="山西省 大同市 平城区 振华街道大同市天锐华城西区3栋3单元1101"/>
    <s v="14735146645-2658"/>
    <m/>
    <m/>
    <m/>
    <m/>
  </r>
  <r>
    <x v="216"/>
    <s v="已收货"/>
    <s v="5027333185397558820"/>
    <s v="杨朱斌"/>
    <m/>
    <m/>
    <s v="砂白色2.0米岩板餐桌"/>
    <x v="1"/>
    <s v="200cm*85cm"/>
    <s v="已结算"/>
    <s v="江西"/>
    <n v="2102.5"/>
    <n v="1450"/>
    <m/>
    <m/>
    <m/>
    <m/>
    <n v="510"/>
    <m/>
    <m/>
    <m/>
    <m/>
    <m/>
    <m/>
    <m/>
    <m/>
    <m/>
    <m/>
    <m/>
    <n v="2.5"/>
    <m/>
    <m/>
    <m/>
    <m/>
    <m/>
    <m/>
    <m/>
    <m/>
    <n v="140"/>
    <m/>
    <m/>
    <n v="300"/>
    <n v="30"/>
    <n v="109"/>
    <n v="0"/>
    <n v="0"/>
    <n v="0"/>
    <n v="0"/>
    <n v="0"/>
    <n v="1"/>
    <n v="2541.5"/>
    <n v="2933.78"/>
    <n v="0"/>
    <n v="17.60268"/>
    <n v="2916.17732"/>
    <n v="0"/>
    <n v="0"/>
    <n v="0"/>
    <n v="374.6773200000002"/>
    <s v="杨朱斌"/>
    <s v="浙江省 宁波市 鄞州区 东郊街道江东金茂府14幢40单元501"/>
    <s v="18413305427-9258"/>
    <m/>
    <m/>
    <m/>
    <m/>
  </r>
  <r>
    <x v="216"/>
    <s v="已收货"/>
    <s v="3200411607023537598"/>
    <s v="李铭"/>
    <m/>
    <m/>
    <s v="砂白色1.4米岩板餐桌"/>
    <x v="1"/>
    <s v="140cm*85cm"/>
    <m/>
    <s v="江西"/>
    <n v="1732.5"/>
    <n v="1300"/>
    <m/>
    <m/>
    <m/>
    <m/>
    <n v="240"/>
    <m/>
    <m/>
    <m/>
    <m/>
    <m/>
    <m/>
    <m/>
    <m/>
    <m/>
    <m/>
    <m/>
    <n v="2.5"/>
    <m/>
    <m/>
    <m/>
    <m/>
    <m/>
    <m/>
    <m/>
    <m/>
    <n v="190"/>
    <m/>
    <m/>
    <n v="300"/>
    <n v="30"/>
    <n v="70"/>
    <n v="0"/>
    <n v="0"/>
    <n v="0"/>
    <n v="0"/>
    <n v="0"/>
    <n v="1"/>
    <n v="2132.5"/>
    <n v="2674.41"/>
    <n v="0"/>
    <n v="16.04646"/>
    <n v="2658.36354"/>
    <n v="0"/>
    <n v="0"/>
    <n v="0"/>
    <n v="525.8635399999998"/>
    <s v="李铭"/>
    <s v="河南省 郑州市 金水区 文化路街道正弘蓝堡湾2期南区4号楼2203(000000)"/>
    <s v="17864146858-6534"/>
    <m/>
    <m/>
    <m/>
    <m/>
  </r>
  <r>
    <x v="217"/>
    <s v="已收货"/>
    <s v="5029369020904827125"/>
    <s v="Q先生"/>
    <m/>
    <m/>
    <s v="样块"/>
    <x v="0"/>
    <m/>
    <s v="已结算"/>
    <s v="杭州"/>
    <n v="7"/>
    <n v="5"/>
    <m/>
    <m/>
    <m/>
    <m/>
    <m/>
    <m/>
    <m/>
    <m/>
    <m/>
    <m/>
    <m/>
    <m/>
    <m/>
    <m/>
    <m/>
    <m/>
    <m/>
    <m/>
    <m/>
    <m/>
    <m/>
    <m/>
    <m/>
    <m/>
    <m/>
    <n v="2"/>
    <m/>
    <m/>
    <n v="5"/>
    <n v="0"/>
    <n v="0"/>
    <n v="0"/>
    <n v="0"/>
    <n v="0"/>
    <n v="0"/>
    <n v="0"/>
    <n v="1"/>
    <n v="12"/>
    <n v="22"/>
    <n v="0"/>
    <n v="0.132"/>
    <n v="21.868"/>
    <n v="0"/>
    <n v="0"/>
    <n v="0"/>
    <n v="9.867999999999999"/>
    <s v="Q先生"/>
    <s v="浙江省 杭州市 上城区 笕桥街道蔡阳路67号春来晓园15栋2单元102"/>
    <s v="18413255258-8444"/>
    <m/>
    <m/>
    <m/>
    <m/>
  </r>
  <r>
    <x v="217"/>
    <s v="已收货"/>
    <s v="3202379943842031288"/>
    <s v="唐靓靓"/>
    <m/>
    <m/>
    <s v="2个插座"/>
    <x v="5"/>
    <m/>
    <s v="已结算"/>
    <s v="其他"/>
    <n v="110"/>
    <n v="110"/>
    <m/>
    <m/>
    <m/>
    <m/>
    <m/>
    <m/>
    <m/>
    <m/>
    <m/>
    <m/>
    <m/>
    <m/>
    <m/>
    <m/>
    <m/>
    <m/>
    <m/>
    <m/>
    <m/>
    <m/>
    <m/>
    <m/>
    <m/>
    <m/>
    <m/>
    <m/>
    <m/>
    <m/>
    <n v="8"/>
    <n v="0"/>
    <n v="0"/>
    <n v="0"/>
    <n v="0"/>
    <n v="0"/>
    <n v="0"/>
    <n v="0"/>
    <n v="1"/>
    <n v="118"/>
    <n v="200"/>
    <n v="0"/>
    <n v="1.2"/>
    <n v="198.8"/>
    <n v="0"/>
    <n v="0"/>
    <n v="0"/>
    <n v="80.80000000000001"/>
    <s v="唐靓靓"/>
    <s v="上海 上海市 浦东新区 川沙新镇市六灶镇周祝公路2352号504室"/>
    <s v="13124830879-8682"/>
    <m/>
    <m/>
    <m/>
    <m/>
  </r>
  <r>
    <x v="218"/>
    <s v="已收货"/>
    <s v="5031838945681405710"/>
    <s v="李大姐"/>
    <m/>
    <m/>
    <s v="样块*2"/>
    <x v="0"/>
    <m/>
    <s v="已结算"/>
    <s v="杭州"/>
    <n v="12"/>
    <n v="10"/>
    <m/>
    <m/>
    <m/>
    <m/>
    <m/>
    <m/>
    <m/>
    <m/>
    <m/>
    <m/>
    <m/>
    <m/>
    <m/>
    <m/>
    <m/>
    <m/>
    <m/>
    <m/>
    <m/>
    <m/>
    <m/>
    <m/>
    <m/>
    <m/>
    <m/>
    <n v="2"/>
    <m/>
    <m/>
    <n v="5"/>
    <n v="0"/>
    <n v="0"/>
    <n v="0"/>
    <n v="0"/>
    <n v="0"/>
    <n v="0"/>
    <n v="0"/>
    <n v="1"/>
    <n v="17"/>
    <n v="44"/>
    <n v="0"/>
    <n v="0.264"/>
    <n v="43.736"/>
    <n v="0"/>
    <n v="0"/>
    <n v="0"/>
    <n v="26.736"/>
    <s v="李大姐"/>
    <s v="江苏省 苏州市 昆山市 玉山镇庆丰西路669号昆山智谷创意产业园D区西南角2楼006室洞见瑜伽馆"/>
    <s v="18468587687-3221"/>
    <m/>
    <m/>
    <m/>
    <m/>
  </r>
  <r>
    <x v="219"/>
    <s v="已收货"/>
    <s v="5037298850227109543"/>
    <s v="杨君伟"/>
    <m/>
    <m/>
    <s v="砂白色1.6米岩板餐桌"/>
    <x v="1"/>
    <s v="160cm*85cm"/>
    <s v="已结算"/>
    <s v="江西"/>
    <n v="1782.5"/>
    <n v="1350"/>
    <m/>
    <m/>
    <m/>
    <m/>
    <n v="240"/>
    <m/>
    <m/>
    <m/>
    <m/>
    <m/>
    <m/>
    <m/>
    <m/>
    <m/>
    <m/>
    <m/>
    <n v="2.5"/>
    <m/>
    <m/>
    <m/>
    <m/>
    <m/>
    <m/>
    <m/>
    <m/>
    <n v="190"/>
    <m/>
    <m/>
    <n v="300"/>
    <n v="30"/>
    <n v="120"/>
    <n v="0"/>
    <n v="0"/>
    <n v="0"/>
    <n v="0"/>
    <n v="0"/>
    <n v="1"/>
    <n v="2232.5"/>
    <n v="2749.55"/>
    <n v="0"/>
    <n v="16.4973"/>
    <n v="2733.0527"/>
    <n v="0"/>
    <n v="0"/>
    <n v="0"/>
    <n v="500.5527000000002"/>
    <s v="杨君伟"/>
    <s v="浙江省 温州市 龙湾区 蒲州街道开元樾品园4栋1004号"/>
    <s v="15786944344-6405"/>
    <m/>
    <m/>
    <m/>
    <m/>
  </r>
  <r>
    <x v="219"/>
    <s v="已收货"/>
    <s v="3210721863514837177"/>
    <s v="景巧英"/>
    <m/>
    <m/>
    <s v="0.8米黑胡桃柜定制，围板多层板"/>
    <x v="18"/>
    <n v="800"/>
    <m/>
    <s v="江西"/>
    <n v="4910.74"/>
    <n v="4000"/>
    <n v="115"/>
    <n v="180"/>
    <n v="1.16"/>
    <m/>
    <n v="3.37"/>
    <n v="1.1"/>
    <n v="1.03"/>
    <m/>
    <m/>
    <n v="8"/>
    <n v="5"/>
    <n v="307.08"/>
    <m/>
    <m/>
    <m/>
    <m/>
    <n v="3"/>
    <n v="52"/>
    <n v="90"/>
    <m/>
    <m/>
    <m/>
    <n v="54"/>
    <m/>
    <m/>
    <n v="90"/>
    <m/>
    <m/>
    <n v="150"/>
    <n v="100"/>
    <n v="300"/>
    <n v="100"/>
    <n v="0"/>
    <n v="0"/>
    <n v="0"/>
    <n v="100"/>
    <n v="1"/>
    <n v="5660.74"/>
    <n v="9098"/>
    <n v="0"/>
    <n v="54.588"/>
    <n v="9043.412"/>
    <n v="0"/>
    <n v="0"/>
    <n v="0"/>
    <n v="3382.672"/>
    <s v="景巧英"/>
    <s v="山西省 太原市 晋源区 金胜镇恒大青运城7-2-1102(000000)"/>
    <s v="13834652265"/>
    <m/>
    <m/>
    <m/>
    <m/>
  </r>
  <r>
    <x v="220"/>
    <s v="已收货"/>
    <s v="4501950915006003129"/>
    <s v="S887962_nsterom"/>
    <m/>
    <m/>
    <s v="样块*2"/>
    <x v="0"/>
    <m/>
    <s v="已结算"/>
    <s v="杭州"/>
    <n v="12"/>
    <n v="10"/>
    <m/>
    <m/>
    <m/>
    <m/>
    <m/>
    <m/>
    <m/>
    <m/>
    <m/>
    <m/>
    <m/>
    <m/>
    <m/>
    <m/>
    <m/>
    <m/>
    <m/>
    <m/>
    <m/>
    <m/>
    <m/>
    <m/>
    <m/>
    <m/>
    <m/>
    <n v="2"/>
    <m/>
    <m/>
    <n v="5"/>
    <n v="0"/>
    <n v="0"/>
    <n v="0"/>
    <n v="0"/>
    <n v="0"/>
    <n v="0"/>
    <n v="0"/>
    <n v="1"/>
    <n v="17"/>
    <n v="44"/>
    <n v="0"/>
    <n v="0.264"/>
    <n v="43.736"/>
    <n v="0"/>
    <n v="0"/>
    <n v="0"/>
    <n v="26.736"/>
    <s v="S887962_nsterom"/>
    <s v="广东省 珠海市 香洲区 南屏科技园屏北一路11号eBuy仓H207A号保利达A柜S887962号"/>
    <m/>
    <m/>
    <m/>
    <m/>
    <m/>
  </r>
  <r>
    <x v="220"/>
    <s v="已收货"/>
    <s v="5040340743989871343"/>
    <s v="宋丹"/>
    <m/>
    <m/>
    <s v="样块"/>
    <x v="0"/>
    <m/>
    <s v="已结算"/>
    <s v="杭州"/>
    <n v="7"/>
    <n v="5"/>
    <m/>
    <m/>
    <m/>
    <m/>
    <m/>
    <m/>
    <m/>
    <m/>
    <m/>
    <m/>
    <m/>
    <m/>
    <m/>
    <m/>
    <m/>
    <m/>
    <m/>
    <m/>
    <m/>
    <m/>
    <m/>
    <m/>
    <m/>
    <m/>
    <m/>
    <n v="2"/>
    <m/>
    <m/>
    <n v="5"/>
    <n v="0"/>
    <n v="0"/>
    <n v="0"/>
    <n v="0"/>
    <n v="0"/>
    <n v="0"/>
    <n v="0"/>
    <n v="1"/>
    <n v="12"/>
    <n v="22"/>
    <n v="0"/>
    <n v="0.132"/>
    <n v="21.868"/>
    <n v="0"/>
    <n v="0"/>
    <n v="0"/>
    <n v="9.867999999999999"/>
    <s v="宋丹"/>
    <s v="山东省 济宁市 邹城市 钢山街道货场路格林豪泰东沿街商铺优⁺Life"/>
    <m/>
    <m/>
    <m/>
    <m/>
    <m/>
  </r>
  <r>
    <x v="221"/>
    <s v="已收货"/>
    <s v="5042317143656174229"/>
    <s v="喻东"/>
    <m/>
    <m/>
    <s v="砂白色1.8米岩板餐桌"/>
    <x v="1"/>
    <s v="180cm*85cm"/>
    <s v="已结算"/>
    <s v="江西"/>
    <n v="1832.5"/>
    <n v="1400"/>
    <m/>
    <m/>
    <m/>
    <m/>
    <n v="240"/>
    <m/>
    <m/>
    <m/>
    <m/>
    <m/>
    <m/>
    <m/>
    <m/>
    <m/>
    <m/>
    <m/>
    <n v="2.5"/>
    <m/>
    <m/>
    <m/>
    <m/>
    <m/>
    <m/>
    <m/>
    <m/>
    <n v="190"/>
    <m/>
    <m/>
    <n v="300"/>
    <n v="30"/>
    <n v="70"/>
    <n v="0"/>
    <n v="0"/>
    <n v="0"/>
    <n v="0"/>
    <n v="0"/>
    <n v="1"/>
    <n v="2232.5"/>
    <n v="2871.25"/>
    <n v="0"/>
    <n v="17.2275"/>
    <n v="2854.0225"/>
    <n v="0"/>
    <n v="0"/>
    <n v="0"/>
    <n v="621.5225"/>
    <s v="喻东"/>
    <s v="重庆 重庆市 南岸区 铜元局街道中建壹品南滨星光城2-7-5"/>
    <m/>
    <m/>
    <m/>
    <m/>
    <m/>
  </r>
  <r>
    <x v="222"/>
    <s v="已收货"/>
    <s v="5042656586427904820"/>
    <s v="王阳"/>
    <m/>
    <m/>
    <s v="砂白色1.4米岩板餐桌"/>
    <x v="1"/>
    <s v="140cm*85cm"/>
    <s v="已结算"/>
    <s v="江西"/>
    <n v="1722.5"/>
    <n v="1300"/>
    <m/>
    <m/>
    <m/>
    <m/>
    <n v="240"/>
    <m/>
    <m/>
    <m/>
    <m/>
    <m/>
    <m/>
    <m/>
    <m/>
    <m/>
    <m/>
    <m/>
    <n v="2.5"/>
    <m/>
    <m/>
    <m/>
    <m/>
    <m/>
    <m/>
    <m/>
    <m/>
    <n v="180"/>
    <m/>
    <m/>
    <n v="300"/>
    <n v="30"/>
    <n v="98"/>
    <n v="0"/>
    <n v="0"/>
    <n v="0"/>
    <n v="0"/>
    <n v="0"/>
    <n v="1"/>
    <n v="2150.5"/>
    <n v="2674.41"/>
    <n v="0"/>
    <n v="16.04646"/>
    <n v="2658.36354"/>
    <n v="0"/>
    <n v="0"/>
    <n v="0"/>
    <n v="507.8635399999998"/>
    <s v="王阳"/>
    <s v="上海 上海市 嘉定区 徐行镇新建一路1800弄莫里斯花源354-602"/>
    <m/>
    <m/>
    <m/>
    <m/>
    <m/>
  </r>
  <r>
    <x v="222"/>
    <s v="已收货"/>
    <s v="3216580141454373795"/>
    <s v="陈胜强"/>
    <m/>
    <m/>
    <s v="1.2窄柜，下柜55cm"/>
    <x v="18"/>
    <n v="1200"/>
    <m/>
    <s v="江西"/>
    <n v="4351.48"/>
    <n v="3300"/>
    <n v="115"/>
    <m/>
    <m/>
    <m/>
    <m/>
    <m/>
    <n v="52"/>
    <m/>
    <m/>
    <n v="8"/>
    <n v="411.08"/>
    <n v="3"/>
    <m/>
    <m/>
    <m/>
    <m/>
    <n v="62.4"/>
    <n v="10"/>
    <n v="220"/>
    <m/>
    <m/>
    <m/>
    <m/>
    <m/>
    <m/>
    <n v="170"/>
    <m/>
    <m/>
    <n v="350"/>
    <n v="60"/>
    <n v="100"/>
    <n v="0"/>
    <n v="0"/>
    <n v="0"/>
    <n v="0"/>
    <n v="0"/>
    <n v="1"/>
    <n v="4861.48"/>
    <n v="5978.95"/>
    <n v="0"/>
    <n v="35.8737"/>
    <n v="5943.0763"/>
    <n v="0"/>
    <n v="0"/>
    <n v="0"/>
    <n v="1081.5963"/>
    <s v="陈胜强"/>
    <s v="福建省 厦门市 集美区 杏林街道官任豪庭官任一里10号6A804(000000)"/>
    <s v="17895922363-2120"/>
    <m/>
    <m/>
    <m/>
    <m/>
  </r>
  <r>
    <x v="222"/>
    <s v="已收货"/>
    <s v="3216820440209373795"/>
    <s v="陈胜强"/>
    <m/>
    <m/>
    <s v="差价"/>
    <x v="18"/>
    <m/>
    <m/>
    <s v="江西"/>
    <n v="0"/>
    <n v="0"/>
    <m/>
    <m/>
    <m/>
    <m/>
    <m/>
    <m/>
    <m/>
    <m/>
    <m/>
    <m/>
    <m/>
    <m/>
    <m/>
    <m/>
    <m/>
    <m/>
    <m/>
    <m/>
    <m/>
    <m/>
    <m/>
    <m/>
    <m/>
    <m/>
    <m/>
    <m/>
    <m/>
    <m/>
    <n v="0"/>
    <n v="0"/>
    <n v="0"/>
    <n v="0"/>
    <n v="0"/>
    <n v="0"/>
    <n v="0"/>
    <n v="0"/>
    <n v="1"/>
    <n v="0"/>
    <n v="274.56"/>
    <n v="0"/>
    <n v="1.64736"/>
    <n v="272.91264"/>
    <n v="0"/>
    <n v="0"/>
    <n v="0"/>
    <n v="272.91264"/>
    <s v="陈胜强"/>
    <s v="福建省 厦门市 集美区 杏林街道官任豪庭官任一里10号6A804(000000)"/>
    <s v="17895922363-2120"/>
    <m/>
    <m/>
    <m/>
    <m/>
  </r>
  <r>
    <x v="223"/>
    <s v="已收货"/>
    <s v="3220492980714123160"/>
    <s v="刘泽超"/>
    <m/>
    <m/>
    <s v="样块"/>
    <x v="0"/>
    <m/>
    <s v="已结算"/>
    <s v="杭州"/>
    <n v="7"/>
    <n v="5"/>
    <m/>
    <m/>
    <m/>
    <m/>
    <m/>
    <m/>
    <m/>
    <m/>
    <m/>
    <m/>
    <m/>
    <m/>
    <m/>
    <m/>
    <m/>
    <m/>
    <m/>
    <m/>
    <m/>
    <m/>
    <m/>
    <m/>
    <m/>
    <m/>
    <m/>
    <n v="2"/>
    <m/>
    <m/>
    <n v="5"/>
    <n v="0"/>
    <n v="0"/>
    <n v="0"/>
    <n v="0"/>
    <n v="0"/>
    <n v="0"/>
    <n v="0"/>
    <n v="1"/>
    <n v="12"/>
    <n v="22"/>
    <n v="0"/>
    <n v="0.132"/>
    <n v="21.868"/>
    <n v="0"/>
    <n v="0"/>
    <n v="0"/>
    <n v="9.867999999999999"/>
    <s v="刘泽超"/>
    <s v="广东省 佛山市 禅城区 石湾镇街道前进路5号泷景花园8期星堤 五座1602"/>
    <s v="15112953367-7864"/>
    <m/>
    <m/>
    <m/>
    <m/>
  </r>
  <r>
    <x v="224"/>
    <s v="已收货"/>
    <s v="5050714790901666440"/>
    <s v="杜文皓"/>
    <m/>
    <m/>
    <s v="样块"/>
    <x v="0"/>
    <m/>
    <s v="已结算"/>
    <s v="杭州"/>
    <n v="7"/>
    <n v="5"/>
    <m/>
    <m/>
    <m/>
    <m/>
    <m/>
    <m/>
    <m/>
    <m/>
    <m/>
    <m/>
    <m/>
    <m/>
    <m/>
    <m/>
    <m/>
    <m/>
    <m/>
    <m/>
    <m/>
    <m/>
    <m/>
    <m/>
    <m/>
    <m/>
    <m/>
    <n v="2"/>
    <m/>
    <m/>
    <n v="5"/>
    <n v="0"/>
    <n v="0"/>
    <n v="0"/>
    <n v="0"/>
    <n v="0"/>
    <n v="0"/>
    <n v="0"/>
    <n v="1"/>
    <n v="12"/>
    <n v="22"/>
    <n v="0"/>
    <n v="0.132"/>
    <n v="21.868"/>
    <n v="0"/>
    <n v="0"/>
    <n v="0"/>
    <n v="9.867999999999999"/>
    <s v="杜文皓"/>
    <s v="安徽省 芜湖市 镜湖区 天门山街道颐景湾畔36栋4单元102"/>
    <s v="13083261404-2045"/>
    <m/>
    <m/>
    <m/>
    <m/>
  </r>
  <r>
    <x v="225"/>
    <s v="已收货"/>
    <s v="5052881700882748539"/>
    <s v="邓施涵"/>
    <m/>
    <m/>
    <s v="窄柜-整柜洞石背板-0.8米"/>
    <x v="18"/>
    <n v="800"/>
    <s v="已结算"/>
    <s v="江西"/>
    <n v="4153.18"/>
    <n v="3300"/>
    <n v="307.08"/>
    <n v="115"/>
    <m/>
    <n v="38"/>
    <n v="180"/>
    <n v="54"/>
    <n v="52"/>
    <m/>
    <n v="4"/>
    <m/>
    <m/>
    <m/>
    <n v="3.5"/>
    <n v="5"/>
    <n v="1.1"/>
    <n v="3.5"/>
    <m/>
    <m/>
    <m/>
    <m/>
    <m/>
    <m/>
    <m/>
    <m/>
    <m/>
    <n v="90"/>
    <m/>
    <m/>
    <n v="150"/>
    <n v="0"/>
    <n v="300"/>
    <n v="0"/>
    <n v="0"/>
    <n v="0"/>
    <n v="0"/>
    <n v="0"/>
    <n v="1"/>
    <n v="4603.18"/>
    <n v="5534.16"/>
    <n v="0"/>
    <n v="33.20496"/>
    <n v="5500.95504"/>
    <n v="0"/>
    <n v="0"/>
    <n v="0"/>
    <n v="897.7750399999995"/>
    <s v="邓施涵"/>
    <s v="上海 上海市 浦东新区 花木街道锦绣路陆家嘴锦绣前城23号楼2304"/>
    <s v="13162922964-7243"/>
    <m/>
    <m/>
    <m/>
    <m/>
  </r>
  <r>
    <x v="225"/>
    <s v="已收货"/>
    <s v="3228579588367470981"/>
    <s v="马玮铭"/>
    <m/>
    <m/>
    <s v="样块"/>
    <x v="0"/>
    <m/>
    <s v="已结算"/>
    <s v="杭州"/>
    <n v="7"/>
    <n v="5"/>
    <m/>
    <m/>
    <m/>
    <m/>
    <m/>
    <m/>
    <m/>
    <m/>
    <m/>
    <m/>
    <m/>
    <m/>
    <m/>
    <m/>
    <m/>
    <m/>
    <m/>
    <m/>
    <m/>
    <m/>
    <m/>
    <m/>
    <m/>
    <m/>
    <m/>
    <n v="2"/>
    <m/>
    <m/>
    <n v="5"/>
    <n v="0"/>
    <n v="0"/>
    <n v="0"/>
    <n v="0"/>
    <n v="0"/>
    <n v="0"/>
    <n v="0"/>
    <n v="1"/>
    <n v="12"/>
    <n v="22"/>
    <n v="0"/>
    <n v="0.132"/>
    <n v="21.868"/>
    <n v="0"/>
    <n v="0"/>
    <n v="0"/>
    <n v="9.867999999999999"/>
    <s v="马玮铭"/>
    <s v="湖北省 荆门市 东宝区 龙泉街道白云大道88号风华雅庭D2栋"/>
    <s v="15623465073-6582"/>
    <m/>
    <m/>
    <m/>
    <m/>
  </r>
  <r>
    <x v="226"/>
    <s v="已收货"/>
    <s v="5054605236050522517"/>
    <s v="郑元元"/>
    <m/>
    <m/>
    <s v="样块"/>
    <x v="0"/>
    <m/>
    <s v="已结算"/>
    <s v="杭州"/>
    <n v="7"/>
    <n v="5"/>
    <m/>
    <m/>
    <m/>
    <m/>
    <m/>
    <m/>
    <m/>
    <m/>
    <m/>
    <m/>
    <m/>
    <m/>
    <m/>
    <m/>
    <m/>
    <m/>
    <m/>
    <m/>
    <m/>
    <m/>
    <m/>
    <m/>
    <m/>
    <m/>
    <m/>
    <n v="2"/>
    <m/>
    <m/>
    <n v="5"/>
    <n v="0"/>
    <n v="0"/>
    <n v="0"/>
    <n v="0"/>
    <n v="0"/>
    <n v="0"/>
    <n v="0"/>
    <n v="1"/>
    <n v="12"/>
    <n v="22"/>
    <n v="0"/>
    <n v="0.132"/>
    <n v="21.868"/>
    <n v="0"/>
    <n v="0"/>
    <n v="0"/>
    <n v="9.867999999999999"/>
    <s v="郑元元"/>
    <s v="浙江省 杭州市 滨江区 长河街道秋溢路228号国美设计6楼"/>
    <s v="18413290186-2917"/>
    <m/>
    <m/>
    <m/>
    <m/>
  </r>
  <r>
    <x v="226"/>
    <s v="已收货"/>
    <s v="5055809833074573722"/>
    <s v="曾庆锟"/>
    <m/>
    <m/>
    <s v="样块"/>
    <x v="0"/>
    <m/>
    <s v="已结算"/>
    <s v="杭州"/>
    <n v="7"/>
    <n v="5"/>
    <m/>
    <m/>
    <m/>
    <m/>
    <m/>
    <m/>
    <m/>
    <m/>
    <m/>
    <m/>
    <m/>
    <m/>
    <m/>
    <m/>
    <m/>
    <m/>
    <m/>
    <m/>
    <m/>
    <m/>
    <m/>
    <m/>
    <m/>
    <m/>
    <m/>
    <n v="2"/>
    <m/>
    <m/>
    <n v="5"/>
    <n v="0"/>
    <n v="0"/>
    <n v="0"/>
    <n v="0"/>
    <n v="0"/>
    <n v="0"/>
    <n v="0"/>
    <n v="1"/>
    <n v="12"/>
    <n v="17"/>
    <n v="0"/>
    <n v="0.102"/>
    <n v="16.898"/>
    <n v="0"/>
    <n v="0"/>
    <n v="0"/>
    <n v="4.898"/>
    <s v="曾庆锟"/>
    <s v="广东省 佛山市 南海区 狮山镇罗村街道钜隆风度广场南门"/>
    <s v="13202480404-8249"/>
    <m/>
    <m/>
    <m/>
    <m/>
  </r>
  <r>
    <x v="227"/>
    <s v="已发"/>
    <s v="3232442641297998281"/>
    <s v="Zhao Yang"/>
    <m/>
    <m/>
    <s v="窄柜-整柜洞石背板-1.0米-万用插座"/>
    <x v="18"/>
    <n v="1000"/>
    <m/>
    <s v="江西"/>
    <n v="3488"/>
    <n v="3300"/>
    <m/>
    <m/>
    <m/>
    <m/>
    <m/>
    <m/>
    <m/>
    <m/>
    <m/>
    <m/>
    <n v="18"/>
    <m/>
    <m/>
    <m/>
    <m/>
    <m/>
    <m/>
    <m/>
    <m/>
    <m/>
    <m/>
    <m/>
    <m/>
    <m/>
    <m/>
    <n v="170"/>
    <m/>
    <m/>
    <n v="350"/>
    <n v="60"/>
    <n v="100"/>
    <n v="0"/>
    <n v="0"/>
    <n v="0"/>
    <n v="0"/>
    <n v="0"/>
    <n v="1"/>
    <n v="3998"/>
    <n v="5738.14"/>
    <n v="0"/>
    <n v="34.42884"/>
    <n v="5703.711160000001"/>
    <n v="0"/>
    <n v="0"/>
    <n v="0"/>
    <n v="1705.711160000001"/>
    <s v="Zhao Yang"/>
    <s v="广东省 东莞市 null 沙田镇#RVT8HV4Q#中国/广东省/东莞市/沙田镇穗丰年路启盈二楼C区（澳洲海运集运）@SF1BA7(000000)"/>
    <s v="15015421102"/>
    <m/>
    <m/>
    <m/>
    <m/>
  </r>
  <r>
    <x v="227"/>
    <s v="已收货"/>
    <s v="3232689493377181868"/>
    <s v="向兴"/>
    <m/>
    <m/>
    <s v="90*170窄柜"/>
    <x v="18"/>
    <n v="900"/>
    <s v="已结算"/>
    <s v="江西"/>
    <n v="4418.71"/>
    <n v="3050"/>
    <m/>
    <m/>
    <m/>
    <m/>
    <m/>
    <m/>
    <m/>
    <m/>
    <m/>
    <m/>
    <m/>
    <m/>
    <m/>
    <m/>
    <m/>
    <m/>
    <m/>
    <m/>
    <m/>
    <m/>
    <m/>
    <m/>
    <m/>
    <m/>
    <m/>
    <n v="170"/>
    <m/>
    <m/>
    <n v="350"/>
    <n v="60"/>
    <n v="100"/>
    <n v="0"/>
    <n v="0"/>
    <n v="0"/>
    <n v="0"/>
    <n v="0"/>
    <n v="1"/>
    <n v="4928.71"/>
    <n v="5546"/>
    <n v="0"/>
    <n v="33.276"/>
    <n v="5512.724"/>
    <n v="0"/>
    <n v="0"/>
    <n v="0"/>
    <n v="584.0140000000001"/>
    <s v="向兴"/>
    <s v="四川省 成都市 金牛区 金泉街道黄金东二路399号保利梧桐语速递易(610000)"/>
    <s v="18423727121-1409"/>
    <m/>
    <m/>
    <m/>
    <m/>
  </r>
  <r>
    <x v="228"/>
    <s v="已收货"/>
    <s v="5057665887396012427"/>
    <s v="杨小姐"/>
    <m/>
    <m/>
    <s v="1.5米榉木柜"/>
    <x v="9"/>
    <n v="1500"/>
    <s v="已结算"/>
    <s v="江西"/>
    <n v="6437"/>
    <n v="3800"/>
    <n v="320"/>
    <s v="22*5"/>
    <n v="907"/>
    <m/>
    <n v="228"/>
    <n v="300"/>
    <n v="48"/>
    <m/>
    <m/>
    <n v="46"/>
    <n v="8"/>
    <n v="20"/>
    <m/>
    <m/>
    <m/>
    <m/>
    <m/>
    <n v="380"/>
    <m/>
    <m/>
    <m/>
    <m/>
    <m/>
    <m/>
    <m/>
    <n v="380"/>
    <m/>
    <m/>
    <n v="550"/>
    <n v="50"/>
    <n v="150"/>
    <n v="0"/>
    <n v="0"/>
    <n v="0"/>
    <n v="0"/>
    <n v="50"/>
    <n v="1"/>
    <n v="7237"/>
    <n v="7512.42"/>
    <n v="0"/>
    <n v="45.07452"/>
    <n v="7467.34548"/>
    <n v="0"/>
    <n v="0"/>
    <n v="0"/>
    <n v="230.34548"/>
    <s v="杨小姐"/>
    <s v="广东省 珠海市 斗门区 白藤街道湖心金茂悦C1栋1603(000000)"/>
    <s v="18466383872-4019"/>
    <m/>
    <m/>
    <m/>
    <m/>
  </r>
  <r>
    <x v="228"/>
    <s v="已收货"/>
    <s v="3235315081363137151"/>
    <s v="钱"/>
    <m/>
    <m/>
    <s v="榉木洞石整柜1.8米（多抽组合）（分类抽屉+玻璃移门+开门）"/>
    <x v="3"/>
    <n v="1800"/>
    <m/>
    <s v="江西"/>
    <n v="7159.08"/>
    <n v="5000"/>
    <n v="580"/>
    <n v="80"/>
    <n v="567.08"/>
    <m/>
    <s v="2040/6/1.5"/>
    <n v="380"/>
    <n v="14"/>
    <m/>
    <m/>
    <n v="10"/>
    <s v="22*9"/>
    <s v="52*2"/>
    <m/>
    <m/>
    <m/>
    <m/>
    <n v="126"/>
    <n v="22"/>
    <m/>
    <m/>
    <m/>
    <m/>
    <m/>
    <m/>
    <m/>
    <n v="380"/>
    <m/>
    <m/>
    <n v="550"/>
    <n v="50"/>
    <n v="150"/>
    <n v="0"/>
    <n v="0"/>
    <n v="0"/>
    <n v="0"/>
    <n v="50"/>
    <n v="1"/>
    <n v="7959.08"/>
    <n v="10540.68"/>
    <n v="0"/>
    <n v="63.24408"/>
    <n v="10477.43592"/>
    <n v="0"/>
    <n v="0"/>
    <n v="0"/>
    <n v="2518.35592"/>
    <s v="钱"/>
    <s v="广东省 深圳市 龙华区 福城街道万科启城家园8栋二单元901(000000)"/>
    <s v="15794980538-9158"/>
    <m/>
    <m/>
    <m/>
    <m/>
  </r>
  <r>
    <x v="229"/>
    <s v="已收货"/>
    <s v="3237283527071219897"/>
    <s v="张元"/>
    <m/>
    <m/>
    <s v="样块"/>
    <x v="0"/>
    <m/>
    <s v="已结算"/>
    <s v="杭州"/>
    <n v="7"/>
    <n v="5"/>
    <m/>
    <m/>
    <m/>
    <m/>
    <m/>
    <m/>
    <m/>
    <m/>
    <m/>
    <m/>
    <m/>
    <m/>
    <m/>
    <m/>
    <m/>
    <m/>
    <m/>
    <m/>
    <m/>
    <m/>
    <m/>
    <m/>
    <m/>
    <m/>
    <m/>
    <n v="2"/>
    <m/>
    <m/>
    <n v="5"/>
    <n v="0"/>
    <n v="0"/>
    <n v="0"/>
    <n v="0"/>
    <n v="0"/>
    <n v="0"/>
    <n v="0"/>
    <n v="1"/>
    <n v="12"/>
    <n v="22"/>
    <n v="0"/>
    <n v="0.132"/>
    <n v="21.868"/>
    <n v="0"/>
    <n v="0"/>
    <n v="0"/>
    <n v="9.867999999999999"/>
    <s v="张元"/>
    <s v="北京 北京市 朝阳区 左家庄街道三源里街3号楼1408"/>
    <s v="18401609341-2867"/>
    <m/>
    <m/>
    <m/>
    <m/>
  </r>
  <r>
    <x v="230"/>
    <s v="已收货"/>
    <s v="3237427526674188360"/>
    <s v="王可"/>
    <m/>
    <m/>
    <s v="样块"/>
    <x v="0"/>
    <m/>
    <s v="已结算"/>
    <s v="杭州"/>
    <n v="7"/>
    <n v="5"/>
    <m/>
    <m/>
    <m/>
    <m/>
    <m/>
    <m/>
    <m/>
    <m/>
    <m/>
    <m/>
    <m/>
    <m/>
    <m/>
    <m/>
    <m/>
    <m/>
    <m/>
    <m/>
    <m/>
    <m/>
    <m/>
    <m/>
    <m/>
    <m/>
    <m/>
    <n v="2"/>
    <m/>
    <m/>
    <n v="5"/>
    <n v="0"/>
    <n v="0"/>
    <n v="0"/>
    <n v="0"/>
    <n v="0"/>
    <n v="0"/>
    <n v="0"/>
    <n v="1"/>
    <n v="12"/>
    <n v="22"/>
    <n v="0"/>
    <n v="0.132"/>
    <n v="21.868"/>
    <n v="0"/>
    <n v="0"/>
    <n v="0"/>
    <n v="9.867999999999999"/>
    <s v="王可"/>
    <s v="上海 上海市 普陀区 石泉路街道石川春晓南区4号604室"/>
    <s v="13162842154-1770"/>
    <m/>
    <m/>
    <m/>
    <m/>
  </r>
  <r>
    <x v="230"/>
    <s v="已收货"/>
    <s v="3238671434751243175"/>
    <s v="赵伟"/>
    <m/>
    <m/>
    <s v="样块"/>
    <x v="0"/>
    <m/>
    <s v="已结算"/>
    <s v="杭州"/>
    <n v="7"/>
    <n v="5"/>
    <m/>
    <m/>
    <m/>
    <m/>
    <m/>
    <m/>
    <m/>
    <m/>
    <m/>
    <m/>
    <m/>
    <m/>
    <m/>
    <m/>
    <m/>
    <m/>
    <m/>
    <m/>
    <m/>
    <m/>
    <m/>
    <m/>
    <m/>
    <m/>
    <m/>
    <n v="2"/>
    <m/>
    <m/>
    <n v="5"/>
    <n v="0"/>
    <n v="0"/>
    <n v="0"/>
    <n v="0"/>
    <n v="0"/>
    <n v="0"/>
    <n v="0"/>
    <n v="1"/>
    <n v="12"/>
    <n v="44"/>
    <n v="0"/>
    <n v="0.264"/>
    <n v="43.736"/>
    <n v="0"/>
    <n v="0"/>
    <n v="0"/>
    <n v="31.736"/>
    <s v="赵伟"/>
    <s v="安徽省 合肥市 巢湖市 半汤街道琥珀新天地东苑5幢"/>
    <s v="18430787160-4256"/>
    <m/>
    <m/>
    <m/>
    <m/>
  </r>
  <r>
    <x v="231"/>
    <s v="已收货"/>
    <s v="5066556590318232018"/>
    <s v="刘晓宇"/>
    <m/>
    <m/>
    <s v="样块*2"/>
    <x v="0"/>
    <m/>
    <s v="已结算"/>
    <s v="杭州"/>
    <n v="12"/>
    <n v="10"/>
    <m/>
    <m/>
    <m/>
    <m/>
    <m/>
    <m/>
    <m/>
    <m/>
    <m/>
    <m/>
    <m/>
    <m/>
    <m/>
    <m/>
    <m/>
    <m/>
    <m/>
    <m/>
    <m/>
    <m/>
    <m/>
    <m/>
    <m/>
    <m/>
    <m/>
    <n v="2"/>
    <m/>
    <m/>
    <n v="5"/>
    <n v="0"/>
    <n v="0"/>
    <n v="0"/>
    <n v="0"/>
    <n v="0"/>
    <n v="0"/>
    <n v="0"/>
    <n v="1"/>
    <n v="17"/>
    <n v="44"/>
    <n v="0"/>
    <n v="0.264"/>
    <n v="43.736"/>
    <n v="0"/>
    <n v="0"/>
    <n v="0"/>
    <n v="26.736"/>
    <s v="刘晓宇"/>
    <s v="重庆 重庆市 沙坪坝区 虎溪街道龙湖U城1组团3栋"/>
    <s v="14727234415-2964"/>
    <m/>
    <m/>
    <m/>
    <m/>
  </r>
  <r>
    <x v="231"/>
    <s v="退货"/>
    <s v="5067945110722719629"/>
    <s v="燕子"/>
    <m/>
    <m/>
    <s v="砂白色1.4米岩板餐桌，定制"/>
    <x v="1"/>
    <s v="140cm*70cm"/>
    <s v="已结算"/>
    <s v="江西"/>
    <n v="1712.5"/>
    <n v="1300"/>
    <m/>
    <m/>
    <m/>
    <m/>
    <n v="220"/>
    <m/>
    <m/>
    <m/>
    <m/>
    <m/>
    <m/>
    <m/>
    <m/>
    <m/>
    <m/>
    <m/>
    <n v="2.5"/>
    <m/>
    <m/>
    <m/>
    <m/>
    <m/>
    <m/>
    <m/>
    <m/>
    <n v="190"/>
    <m/>
    <m/>
    <n v="300"/>
    <n v="30"/>
    <n v="70"/>
    <n v="0"/>
    <n v="0"/>
    <n v="0"/>
    <n v="0"/>
    <n v="0"/>
    <n v="1"/>
    <n v="2112.5"/>
    <n v="0"/>
    <n v="0"/>
    <n v="0"/>
    <n v="0"/>
    <n v="0"/>
    <n v="0"/>
    <n v="0"/>
    <n v="-2112.5"/>
    <s v="燕子"/>
    <s v="河南省 郑州市 中原区 汝河路街道沁河路28号沁河苑2号院(000000)"/>
    <s v="18430795763-4236"/>
    <m/>
    <m/>
    <m/>
    <m/>
  </r>
  <r>
    <x v="232"/>
    <s v="已收货"/>
    <s v="3248154662394180074"/>
    <s v="林旭艳"/>
    <s v="样块"/>
    <s v="样块"/>
    <s v="样块"/>
    <x v="0"/>
    <m/>
    <s v="已结算"/>
    <s v="杭州"/>
    <n v="7"/>
    <m/>
    <m/>
    <m/>
    <m/>
    <m/>
    <m/>
    <m/>
    <m/>
    <m/>
    <m/>
    <m/>
    <m/>
    <m/>
    <m/>
    <m/>
    <m/>
    <m/>
    <m/>
    <m/>
    <m/>
    <m/>
    <m/>
    <m/>
    <m/>
    <m/>
    <m/>
    <m/>
    <m/>
    <m/>
    <n v="5"/>
    <n v="0"/>
    <n v="0"/>
    <n v="0"/>
    <n v="0"/>
    <n v="0"/>
    <n v="0"/>
    <n v="0"/>
    <n v="1"/>
    <n v="12"/>
    <n v="22.5"/>
    <n v="0"/>
    <n v="0.135"/>
    <n v="22.365"/>
    <n v="0"/>
    <n v="0"/>
    <n v="0"/>
    <n v="10.365"/>
    <s v="林旭艳"/>
    <s v="浙江省 温州市 鹿城区 南汇街道上田小区20栋2101室"/>
    <s v="18413516409-9042"/>
    <m/>
    <m/>
    <m/>
    <m/>
  </r>
  <r>
    <x v="233"/>
    <s v="已收货"/>
    <s v="3257202795193869669"/>
    <s v="王艳"/>
    <m/>
    <m/>
    <s v="定制160*70 榉木桌"/>
    <x v="1"/>
    <s v="180cm*80cm"/>
    <m/>
    <s v="江西"/>
    <n v="1522.5"/>
    <n v="1400"/>
    <m/>
    <m/>
    <m/>
    <m/>
    <n v="220"/>
    <m/>
    <m/>
    <m/>
    <m/>
    <m/>
    <m/>
    <m/>
    <m/>
    <m/>
    <m/>
    <m/>
    <m/>
    <m/>
    <m/>
    <m/>
    <m/>
    <m/>
    <m/>
    <m/>
    <m/>
    <m/>
    <m/>
    <m/>
    <m/>
    <m/>
    <n v="0"/>
    <m/>
    <m/>
    <m/>
    <m/>
    <m/>
    <n v="1"/>
    <n v="1522.5"/>
    <n v="2836"/>
    <n v="0"/>
    <n v="17.016"/>
    <n v="2818.984"/>
    <n v="0"/>
    <n v="0"/>
    <n v="0"/>
    <n v="1296.484"/>
    <s v="王艳"/>
    <s v="江苏省 苏州市 昆山市 花桥镇绿地21城A区55弄11号"/>
    <s v="17851494913-6540"/>
    <m/>
    <m/>
    <m/>
    <m/>
  </r>
  <r>
    <x v="234"/>
    <s v="已收货"/>
    <s v="5081789124695917014"/>
    <s v="赵文燕"/>
    <m/>
    <m/>
    <s v="定制1.1米窄柜，水波纹"/>
    <x v="33"/>
    <m/>
    <m/>
    <s v="江西"/>
    <n v="4158.28"/>
    <n v="3200"/>
    <m/>
    <m/>
    <m/>
    <m/>
    <n v="210"/>
    <n v="42.5"/>
    <n v="31"/>
    <m/>
    <m/>
    <m/>
    <n v="18"/>
    <m/>
    <m/>
    <m/>
    <m/>
    <m/>
    <m/>
    <m/>
    <m/>
    <m/>
    <m/>
    <m/>
    <m/>
    <m/>
    <m/>
    <m/>
    <m/>
    <m/>
    <m/>
    <m/>
    <n v="90"/>
    <m/>
    <m/>
    <m/>
    <m/>
    <n v="30"/>
    <n v="1"/>
    <n v="4278.28"/>
    <n v="5800"/>
    <n v="0"/>
    <n v="34.8"/>
    <n v="5765.2"/>
    <n v="0"/>
    <n v="0"/>
    <n v="0"/>
    <n v="1486.92"/>
    <s v="赵文燕"/>
    <s v="河北省 沧州市 黄骅市 黄骅港开发区正康·中梁渤海壹品1-3-302"/>
    <s v="18433979494-7222"/>
    <m/>
    <m/>
    <m/>
    <m/>
  </r>
  <r>
    <x v="235"/>
    <s v="已收货"/>
    <s v="5083434002324457345"/>
    <s v="李响"/>
    <m/>
    <m/>
    <s v="2米榉木餐桌"/>
    <x v="1"/>
    <s v="200cm*85cm"/>
    <s v="已结算"/>
    <s v="江西"/>
    <n v="1832.5"/>
    <n v="1450"/>
    <m/>
    <m/>
    <m/>
    <m/>
    <n v="290"/>
    <m/>
    <m/>
    <m/>
    <m/>
    <m/>
    <m/>
    <m/>
    <m/>
    <m/>
    <m/>
    <m/>
    <m/>
    <m/>
    <m/>
    <m/>
    <m/>
    <m/>
    <m/>
    <m/>
    <m/>
    <n v="90"/>
    <m/>
    <m/>
    <n v="249"/>
    <m/>
    <n v="61"/>
    <m/>
    <m/>
    <m/>
    <m/>
    <m/>
    <n v="1"/>
    <n v="2142.5"/>
    <n v="2928.78"/>
    <n v="0"/>
    <n v="17.57268"/>
    <n v="2911.20732"/>
    <n v="0"/>
    <n v="0"/>
    <n v="0"/>
    <n v="768.70732"/>
    <s v="李响"/>
    <s v="河北省 秦皇岛市 昌黎县 大蒲河镇阿那亚北岸三期38-4-301"/>
    <s v="17531191694-2939"/>
    <m/>
    <m/>
    <m/>
    <m/>
  </r>
  <r>
    <x v="236"/>
    <s v="已收货"/>
    <s v="5084240367586752233"/>
    <s v="姚程"/>
    <m/>
    <m/>
    <s v="定制110*70白色岩板榉木餐桌"/>
    <x v="1"/>
    <m/>
    <m/>
    <s v="江西"/>
    <n v="1462.5"/>
    <n v="1260"/>
    <m/>
    <m/>
    <m/>
    <m/>
    <n v="140"/>
    <m/>
    <m/>
    <m/>
    <m/>
    <m/>
    <m/>
    <m/>
    <m/>
    <m/>
    <m/>
    <m/>
    <m/>
    <m/>
    <m/>
    <m/>
    <m/>
    <m/>
    <m/>
    <m/>
    <m/>
    <n v="60"/>
    <m/>
    <m/>
    <n v="188"/>
    <m/>
    <n v="70"/>
    <m/>
    <m/>
    <m/>
    <m/>
    <m/>
    <n v="1"/>
    <n v="1720.5"/>
    <n v="2524"/>
    <n v="0"/>
    <n v="15.144"/>
    <n v="2508.856"/>
    <n v="0"/>
    <n v="0"/>
    <n v="0"/>
    <n v="788.3560000000002"/>
    <s v="有福气"/>
    <s v="山东省 菏泽市 巨野县 凤凰街道招商街文苑花园A区南门东侧有福气面包店"/>
    <s v="17854180410-9541"/>
    <m/>
    <m/>
    <m/>
    <m/>
  </r>
  <r>
    <x v="237"/>
    <s v="已收货"/>
    <s v="3266810259621794192"/>
    <s v="小苟"/>
    <m/>
    <m/>
    <s v="定制1800*800白色岩板"/>
    <x v="1"/>
    <s v="180cm*80cm"/>
    <s v="已结算"/>
    <s v="江西"/>
    <n v="1762.5"/>
    <n v="1400"/>
    <m/>
    <m/>
    <m/>
    <m/>
    <n v="270"/>
    <m/>
    <m/>
    <m/>
    <m/>
    <m/>
    <m/>
    <m/>
    <m/>
    <m/>
    <m/>
    <m/>
    <m/>
    <m/>
    <m/>
    <m/>
    <m/>
    <m/>
    <m/>
    <m/>
    <m/>
    <n v="90"/>
    <m/>
    <m/>
    <n v="185"/>
    <m/>
    <n v="70"/>
    <m/>
    <m/>
    <m/>
    <m/>
    <m/>
    <n v="1"/>
    <n v="2017.5"/>
    <n v="2876.25"/>
    <n v="0"/>
    <n v="17.2575"/>
    <n v="2858.9925"/>
    <n v="0"/>
    <n v="0"/>
    <n v="0"/>
    <n v="841.4924999999998"/>
    <s v="小苟"/>
    <s v="湖北省 武汉市 洪山区 珞南街道 雄楚大街350号幸福路武警龙港小区3-1-702"/>
    <s v="15783461230-8318"/>
    <m/>
    <m/>
    <m/>
    <m/>
  </r>
  <r>
    <x v="238"/>
    <s v="已收货"/>
    <s v="3268154210078181868"/>
    <s v="向兴"/>
    <m/>
    <m/>
    <s v="0.9*1.8窄柜，补差价"/>
    <x v="33"/>
    <m/>
    <s v="已结算"/>
    <s v="江西"/>
    <n v="0"/>
    <n v="0"/>
    <n v="0"/>
    <m/>
    <m/>
    <m/>
    <n v="0"/>
    <m/>
    <m/>
    <m/>
    <m/>
    <m/>
    <m/>
    <m/>
    <m/>
    <m/>
    <m/>
    <m/>
    <m/>
    <m/>
    <m/>
    <m/>
    <m/>
    <m/>
    <m/>
    <m/>
    <m/>
    <n v="0"/>
    <m/>
    <m/>
    <m/>
    <m/>
    <m/>
    <m/>
    <m/>
    <m/>
    <m/>
    <m/>
    <n v="1"/>
    <n v="0"/>
    <n v="85"/>
    <n v="0"/>
    <n v="0.51"/>
    <n v="84.48999999999999"/>
    <n v="0"/>
    <n v="0"/>
    <n v="0"/>
    <n v="84.48999999999999"/>
    <s v="向兴"/>
    <s v="四川省 成都市 金牛区 金泉街道黄金东二路399号保利梧桐语速递易"/>
    <s v="18423727121-1409"/>
    <m/>
    <m/>
    <m/>
    <m/>
  </r>
  <r>
    <x v="238"/>
    <s v="已发"/>
    <s v="5067510123159336731"/>
    <s v="陈"/>
    <m/>
    <m/>
    <s v="1.6岩板桌常规，延迟4月"/>
    <x v="1"/>
    <m/>
    <s v="已结算"/>
    <s v="江西"/>
    <n v="1762.5"/>
    <n v="1350"/>
    <m/>
    <m/>
    <m/>
    <m/>
    <n v="220"/>
    <m/>
    <m/>
    <m/>
    <m/>
    <m/>
    <m/>
    <m/>
    <m/>
    <m/>
    <m/>
    <m/>
    <m/>
    <m/>
    <m/>
    <m/>
    <m/>
    <m/>
    <m/>
    <m/>
    <m/>
    <n v="190"/>
    <m/>
    <m/>
    <n v="103"/>
    <n v="30"/>
    <n v="78"/>
    <m/>
    <m/>
    <m/>
    <m/>
    <m/>
    <n v="1"/>
    <n v="1973.5"/>
    <n v="2754.55"/>
    <n v="0"/>
    <n v="16.5273"/>
    <n v="2738.0227"/>
    <n v="0"/>
    <n v="0"/>
    <n v="0"/>
    <n v="764.5227"/>
    <s v="陈"/>
    <s v="湖南省 长沙市 岳麓区 洋湖街道中海·阅山府6栋1单元1302"/>
    <s v="14749570952-1278"/>
    <m/>
    <m/>
    <m/>
    <m/>
  </r>
  <r>
    <x v="238"/>
    <s v="已收货"/>
    <s v="4502100350037038917"/>
    <s v="欧阳"/>
    <m/>
    <m/>
    <s v="1.8常规榉木岩板桌"/>
    <x v="1"/>
    <m/>
    <s v="已结算"/>
    <s v="江西"/>
    <n v="1792.5"/>
    <n v="1400"/>
    <m/>
    <m/>
    <m/>
    <m/>
    <n v="220"/>
    <m/>
    <m/>
    <m/>
    <m/>
    <m/>
    <m/>
    <m/>
    <m/>
    <m/>
    <m/>
    <m/>
    <m/>
    <m/>
    <m/>
    <m/>
    <m/>
    <m/>
    <m/>
    <m/>
    <m/>
    <m/>
    <m/>
    <m/>
    <n v="100"/>
    <n v="30"/>
    <n v="65"/>
    <n v="301.5"/>
    <m/>
    <m/>
    <m/>
    <m/>
    <n v="1"/>
    <n v="2289"/>
    <n v="2876.25"/>
    <n v="0"/>
    <n v="17.2575"/>
    <n v="2858.9925"/>
    <n v="0"/>
    <n v="0"/>
    <n v="0"/>
    <n v="569.9924999999998"/>
    <s v="欧阳"/>
    <s v="湖南省 长沙市 浏阳市 集里街道天阔5栋902"/>
    <s v="15578943204-3064"/>
    <m/>
    <m/>
    <m/>
    <m/>
  </r>
  <r>
    <x v="166"/>
    <s v="已发，灯带变压器有问题"/>
    <s v="3053342172697207296"/>
    <s v="舟舟"/>
    <m/>
    <m/>
    <s v="1.3米带高台"/>
    <x v="34"/>
    <m/>
    <m/>
    <s v="江西"/>
    <n v="2200.87"/>
    <n v="1700"/>
    <m/>
    <m/>
    <m/>
    <m/>
    <n v="0"/>
    <n v="94"/>
    <m/>
    <m/>
    <m/>
    <m/>
    <m/>
    <m/>
    <m/>
    <m/>
    <m/>
    <m/>
    <m/>
    <m/>
    <m/>
    <m/>
    <m/>
    <m/>
    <m/>
    <m/>
    <m/>
    <n v="120"/>
    <m/>
    <m/>
    <n v="280"/>
    <m/>
    <n v="300"/>
    <m/>
    <m/>
    <m/>
    <m/>
    <m/>
    <m/>
    <m/>
    <m/>
    <n v="0"/>
    <n v="0"/>
    <n v="0"/>
    <n v="0"/>
    <n v="0"/>
    <m/>
    <m/>
    <s v="舟舟"/>
    <s v="上海 上海市 长宁区 新华路街道法华镇路751弄西镇小区18号楼601室"/>
    <s v="18466658942-6583"/>
    <m/>
    <m/>
    <m/>
    <m/>
  </r>
  <r>
    <x v="239"/>
    <s v="已发"/>
    <s v="3055054080688207296"/>
    <s v="舟舟"/>
    <m/>
    <m/>
    <s v="1.2米洞石窄柜"/>
    <x v="33"/>
    <m/>
    <s v="已结算"/>
    <s v="江西"/>
    <n v="3836.2"/>
    <n v="3200"/>
    <n v="411.08"/>
    <m/>
    <m/>
    <m/>
    <n v="230"/>
    <n v="43.5"/>
    <n v="60"/>
    <m/>
    <m/>
    <m/>
    <n v="18"/>
    <m/>
    <m/>
    <m/>
    <m/>
    <m/>
    <m/>
    <m/>
    <m/>
    <m/>
    <m/>
    <m/>
    <m/>
    <m/>
    <m/>
    <n v="220"/>
    <m/>
    <m/>
    <n v="280"/>
    <m/>
    <m/>
    <m/>
    <m/>
    <m/>
    <m/>
    <m/>
    <n v="1"/>
    <n v="4116.2"/>
    <m/>
    <n v="0"/>
    <n v="0"/>
    <n v="0"/>
    <n v="0"/>
    <n v="0"/>
    <n v="0"/>
    <n v="-4116.2"/>
    <s v="舟舟"/>
    <s v="上海 上海市 长宁区 新华路街道法华镇路751弄西镇小区18号楼601室"/>
    <s v="18466658942-6583"/>
    <m/>
    <m/>
    <m/>
    <m/>
  </r>
  <r>
    <x v="240"/>
    <s v="已发"/>
    <s v="3272741655326142166"/>
    <s v="羊羊羊"/>
    <m/>
    <m/>
    <s v="2000*850*750"/>
    <x v="1"/>
    <s v="200cm*85cm"/>
    <s v="已结算"/>
    <s v="江西"/>
    <n v="1832.5"/>
    <n v="1450"/>
    <m/>
    <m/>
    <m/>
    <m/>
    <n v="290"/>
    <m/>
    <m/>
    <m/>
    <m/>
    <m/>
    <m/>
    <m/>
    <m/>
    <m/>
    <m/>
    <m/>
    <m/>
    <m/>
    <m/>
    <m/>
    <m/>
    <m/>
    <m/>
    <m/>
    <m/>
    <n v="90"/>
    <m/>
    <m/>
    <n v="287"/>
    <m/>
    <n v="60"/>
    <m/>
    <n v="138"/>
    <m/>
    <m/>
    <m/>
    <n v="1"/>
    <n v="2317.5"/>
    <n v="2933.78"/>
    <n v="0"/>
    <n v="17.60268"/>
    <n v="2916.17732"/>
    <n v="0"/>
    <n v="0"/>
    <n v="0"/>
    <n v="598.6773200000002"/>
    <s v="羊羊羊"/>
    <s v="云南省 昆明市 五华区 龙翔街道红菱路云南建投春城华府6栋1602"/>
    <s v="17898757089-9740"/>
    <m/>
    <m/>
    <m/>
    <m/>
  </r>
  <r>
    <x v="241"/>
    <s v="岩板歪的，换岩板，赔付150，自己安装"/>
    <s v="3274413278563132798"/>
    <s v="刘晓萌"/>
    <m/>
    <m/>
    <s v="1600*750*750"/>
    <x v="1"/>
    <s v="160cm*75cm"/>
    <s v="已结算"/>
    <s v="江西"/>
    <n v="1602.5"/>
    <n v="1350"/>
    <m/>
    <m/>
    <m/>
    <m/>
    <n v="170"/>
    <m/>
    <m/>
    <m/>
    <m/>
    <m/>
    <m/>
    <m/>
    <m/>
    <m/>
    <m/>
    <m/>
    <m/>
    <m/>
    <m/>
    <m/>
    <m/>
    <m/>
    <m/>
    <m/>
    <m/>
    <n v="80"/>
    <m/>
    <m/>
    <n v="216"/>
    <m/>
    <m/>
    <m/>
    <m/>
    <m/>
    <m/>
    <n v="150"/>
    <n v="1"/>
    <n v="1968.5"/>
    <n v="2754.55"/>
    <n v="0"/>
    <n v="16.5273"/>
    <n v="2738.0227"/>
    <n v="0"/>
    <n v="0"/>
    <n v="0"/>
    <n v="769.5227"/>
    <s v="刘晓萌"/>
    <s v="北京 北京市 朝阳区 高碑店乡兴隆家园北区11号楼2410（请送到家门口）"/>
    <s v="15501078144-9117"/>
    <m/>
    <m/>
    <m/>
    <m/>
  </r>
  <r>
    <x v="242"/>
    <s v="已发"/>
    <s v="3279834589882916087"/>
    <s v="黄小马"/>
    <m/>
    <m/>
    <s v="1600*850*750"/>
    <x v="1"/>
    <s v="160cm*85cm"/>
    <s v="已结算"/>
    <s v="江西"/>
    <n v="1762.5"/>
    <n v="1350"/>
    <m/>
    <m/>
    <m/>
    <m/>
    <n v="220"/>
    <m/>
    <m/>
    <m/>
    <m/>
    <m/>
    <m/>
    <m/>
    <m/>
    <m/>
    <m/>
    <m/>
    <m/>
    <m/>
    <m/>
    <m/>
    <m/>
    <m/>
    <m/>
    <m/>
    <m/>
    <n v="190"/>
    <m/>
    <m/>
    <n v="103"/>
    <n v="30"/>
    <n v="74"/>
    <m/>
    <m/>
    <m/>
    <m/>
    <n v="44.47"/>
    <n v="1"/>
    <n v="2013.97"/>
    <n v="2821.55"/>
    <n v="0"/>
    <n v="16.9293"/>
    <n v="2804.6207"/>
    <n v="0"/>
    <n v="0"/>
    <n v="0"/>
    <n v="790.6507000000004"/>
    <s v="黄小马"/>
    <s v="广东省 广州市 黄埔区 鱼珠街道富颐华庭r区9栋3602"/>
    <s v="14739047620-9533"/>
    <m/>
    <m/>
    <m/>
    <m/>
  </r>
  <r>
    <x v="243"/>
    <s v="已发"/>
    <s v="4502117883011106046"/>
    <s v="刘小姐"/>
    <m/>
    <m/>
    <s v="0.83米洞石窄柜_x000a_下柜加高10cm，顶柜追高13cm，背板追高13cm_x000a_右边顶柜无玻璃隔板"/>
    <x v="33"/>
    <m/>
    <s v="已结算"/>
    <s v="江西"/>
    <n v="3703.85"/>
    <n v="3100"/>
    <n v="335"/>
    <m/>
    <m/>
    <m/>
    <n v="180"/>
    <n v="39.85"/>
    <n v="31"/>
    <m/>
    <m/>
    <m/>
    <n v="18"/>
    <m/>
    <m/>
    <m/>
    <m/>
    <m/>
    <m/>
    <m/>
    <m/>
    <m/>
    <m/>
    <m/>
    <m/>
    <m/>
    <m/>
    <m/>
    <m/>
    <m/>
    <m/>
    <m/>
    <n v="84"/>
    <m/>
    <m/>
    <m/>
    <m/>
    <m/>
    <n v="1"/>
    <n v="3787.85"/>
    <n v="5975"/>
    <n v="0"/>
    <n v="35.85"/>
    <n v="5939.15"/>
    <n v="0"/>
    <n v="0"/>
    <n v="0"/>
    <n v="2151.3"/>
    <s v="刘小姐"/>
    <s v="广东省 肇庆市 端州区 城东街道 天鹅堡2期1栋1704"/>
    <s v="14716067305-1664"/>
    <m/>
    <m/>
    <m/>
    <m/>
  </r>
  <r>
    <x v="244"/>
    <s v="已发"/>
    <s v="4502092320085015720"/>
    <s v="袁晓园"/>
    <m/>
    <m/>
    <s v="1米窄柜，下柜深度43，上柜38"/>
    <x v="33"/>
    <m/>
    <s v="已结算"/>
    <s v="江西"/>
    <n v="3736.08"/>
    <n v="3100"/>
    <n v="359.08"/>
    <m/>
    <m/>
    <m/>
    <n v="180"/>
    <n v="49"/>
    <n v="31"/>
    <m/>
    <m/>
    <m/>
    <n v="17"/>
    <m/>
    <m/>
    <m/>
    <m/>
    <m/>
    <m/>
    <m/>
    <m/>
    <m/>
    <m/>
    <m/>
    <m/>
    <m/>
    <m/>
    <m/>
    <m/>
    <m/>
    <m/>
    <m/>
    <n v="100"/>
    <m/>
    <m/>
    <m/>
    <m/>
    <m/>
    <n v="1"/>
    <n v="3836.08"/>
    <n v="5738.14"/>
    <n v="0"/>
    <n v="34.42884"/>
    <n v="5703.711160000001"/>
    <n v="0"/>
    <n v="0"/>
    <n v="0"/>
    <n v="1867.631160000001"/>
    <s v="袁晓园"/>
    <s v="北京 北京市 朝阳区 六里屯街道北京市朝阳区甜水园北里13号楼902"/>
    <s v="18400680275-1293"/>
    <m/>
    <m/>
    <m/>
    <m/>
  </r>
  <r>
    <x v="245"/>
    <s v="已发"/>
    <s v="3284205097563943655"/>
    <s v="钱向华"/>
    <m/>
    <m/>
    <s v="1.2米洞石窄柜"/>
    <x v="33"/>
    <m/>
    <s v="已结算"/>
    <s v="江西"/>
    <n v="1762.5"/>
    <n v="3200"/>
    <n v="411.08"/>
    <m/>
    <m/>
    <m/>
    <n v="230"/>
    <n v="43.5"/>
    <n v="31"/>
    <m/>
    <m/>
    <m/>
    <n v="18"/>
    <m/>
    <m/>
    <m/>
    <m/>
    <m/>
    <m/>
    <m/>
    <m/>
    <m/>
    <m/>
    <m/>
    <m/>
    <m/>
    <m/>
    <m/>
    <m/>
    <m/>
    <n v="210"/>
    <m/>
    <n v="240"/>
    <m/>
    <m/>
    <m/>
    <m/>
    <m/>
    <n v="1"/>
    <n v="2212.5"/>
    <n v="5978.95"/>
    <n v="0"/>
    <n v="35.8737"/>
    <n v="5943.0763"/>
    <n v="0"/>
    <n v="0"/>
    <n v="0"/>
    <n v="3730.5763"/>
    <s v="钱向华"/>
    <s v="上海 上海市 宝山区 杨行镇镇泰路111弄11号202"/>
    <s v="18466835861-1000"/>
    <m/>
    <m/>
    <m/>
    <m/>
  </r>
  <r>
    <x v="180"/>
    <s v="未发货"/>
    <s v="4931308621633047840"/>
    <s v="种璐瑶"/>
    <m/>
    <m/>
    <s v="2.1洞石柜"/>
    <x v="35"/>
    <m/>
    <s v="已结算"/>
    <s v="江西"/>
    <n v="6391"/>
    <n v="5700"/>
    <m/>
    <m/>
    <m/>
    <m/>
    <n v="660"/>
    <m/>
    <n v="31"/>
    <m/>
    <m/>
    <m/>
    <m/>
    <m/>
    <m/>
    <m/>
    <m/>
    <m/>
    <m/>
    <m/>
    <m/>
    <m/>
    <m/>
    <m/>
    <m/>
    <m/>
    <m/>
    <m/>
    <m/>
    <m/>
    <m/>
    <m/>
    <m/>
    <m/>
    <m/>
    <m/>
    <m/>
    <m/>
    <m/>
    <m/>
    <m/>
    <n v="0"/>
    <n v="0"/>
    <n v="0"/>
    <n v="0"/>
    <n v="0"/>
    <n v="0"/>
    <n v="0"/>
    <m/>
    <m/>
    <m/>
    <m/>
    <m/>
    <m/>
    <m/>
  </r>
  <r>
    <x v="148"/>
    <s v="售后：岩板擦不干净130上门"/>
    <s v="3022982508210329895"/>
    <s v="苩震子"/>
    <m/>
    <m/>
    <s v="140*80黑色岩板餐桌"/>
    <x v="1"/>
    <m/>
    <s v="已结算"/>
    <s v="江西"/>
    <n v="1540"/>
    <n v="1300"/>
    <m/>
    <m/>
    <m/>
    <m/>
    <n v="160"/>
    <m/>
    <m/>
    <m/>
    <m/>
    <m/>
    <m/>
    <m/>
    <m/>
    <m/>
    <m/>
    <m/>
    <m/>
    <m/>
    <m/>
    <m/>
    <m/>
    <m/>
    <m/>
    <m/>
    <m/>
    <n v="80"/>
    <m/>
    <m/>
    <n v="187"/>
    <m/>
    <n v="68"/>
    <m/>
    <n v="130"/>
    <m/>
    <m/>
    <m/>
    <m/>
    <m/>
    <m/>
    <n v="0"/>
    <n v="0"/>
    <n v="0"/>
    <n v="0"/>
    <n v="0"/>
    <n v="0"/>
    <n v="0"/>
    <m/>
    <m/>
    <m/>
    <m/>
    <m/>
    <m/>
    <m/>
  </r>
  <r>
    <x v="246"/>
    <m/>
    <s v="4502136961008037825"/>
    <s v="章莉萍"/>
    <m/>
    <m/>
    <s v="1600*850*750"/>
    <x v="1"/>
    <m/>
    <m/>
    <m/>
    <m/>
    <m/>
    <m/>
    <m/>
    <m/>
    <m/>
    <m/>
    <m/>
    <m/>
    <m/>
    <m/>
    <m/>
    <m/>
    <m/>
    <m/>
    <m/>
    <m/>
    <m/>
    <m/>
    <m/>
    <m/>
    <m/>
    <m/>
    <m/>
    <m/>
    <m/>
    <m/>
    <m/>
    <m/>
    <m/>
    <m/>
    <m/>
    <m/>
    <m/>
    <m/>
    <m/>
    <m/>
    <m/>
    <n v="1"/>
    <n v="0"/>
    <m/>
    <n v="0"/>
    <n v="0"/>
    <n v="0"/>
    <n v="0"/>
    <n v="0"/>
    <m/>
    <m/>
    <m/>
    <m/>
    <m/>
    <m/>
    <m/>
    <m/>
    <m/>
  </r>
  <r>
    <x v="247"/>
    <s v="售后：岩板边缘不平打磨150"/>
    <s v="2701720670055012279"/>
    <s v="周女士"/>
    <m/>
    <m/>
    <s v="1600*850*750"/>
    <x v="36"/>
    <m/>
    <s v="已结算"/>
    <s v="江西"/>
    <n v="2440"/>
    <n v="2200"/>
    <m/>
    <m/>
    <m/>
    <m/>
    <n v="160"/>
    <m/>
    <m/>
    <m/>
    <m/>
    <m/>
    <m/>
    <m/>
    <m/>
    <m/>
    <m/>
    <m/>
    <m/>
    <m/>
    <m/>
    <m/>
    <m/>
    <m/>
    <m/>
    <m/>
    <m/>
    <n v="80"/>
    <m/>
    <m/>
    <n v="252"/>
    <m/>
    <n v="69"/>
    <m/>
    <n v="150"/>
    <m/>
    <m/>
    <m/>
    <n v="1"/>
    <n v="2911"/>
    <n v="3406.63"/>
    <n v="0"/>
    <n v="20.43978"/>
    <n v="3386.19022"/>
    <n v="0"/>
    <n v="0"/>
    <n v="0"/>
    <n v="475.19022"/>
    <s v="周女士"/>
    <s v="四川省 成都市 武侯区 桂溪街道天泰路47号御府花都B区1栋-1-1-601"/>
    <s v="14727233887-6786"/>
    <m/>
    <m/>
    <m/>
    <m/>
  </r>
  <r>
    <x v="248"/>
    <s v="已发，直达"/>
    <s v="3284279186334888852"/>
    <s v="方菲"/>
    <m/>
    <m/>
    <s v="1.6柜+1.2单腿桌"/>
    <x v="37"/>
    <m/>
    <s v="已结算"/>
    <s v="江西"/>
    <n v="4963"/>
    <n v="4280"/>
    <m/>
    <m/>
    <m/>
    <m/>
    <n v="220"/>
    <n v="52"/>
    <n v="31"/>
    <m/>
    <m/>
    <m/>
    <m/>
    <m/>
    <m/>
    <m/>
    <m/>
    <m/>
    <m/>
    <m/>
    <m/>
    <m/>
    <m/>
    <m/>
    <m/>
    <m/>
    <m/>
    <n v="380"/>
    <m/>
    <m/>
    <n v="500"/>
    <m/>
    <n v="268"/>
    <m/>
    <n v="90"/>
    <m/>
    <m/>
    <m/>
    <n v="1"/>
    <n v="5821"/>
    <n v="8096.3"/>
    <n v="0"/>
    <n v="48.5778"/>
    <n v="8047.7222"/>
    <n v="0"/>
    <n v="0"/>
    <n v="0"/>
    <n v="2226.7222"/>
    <s v="方菲"/>
    <s v="浙江省 杭州市 桐庐县 江南镇万星悦城燕庐1号楼4单元1303"/>
    <s v="18413253022-4292"/>
    <m/>
    <m/>
    <m/>
    <m/>
  </r>
  <r>
    <x v="249"/>
    <s v="已发，顶柜开裂，赔付50+插座"/>
    <s v="4502117053076082343"/>
    <s v="张先生"/>
    <m/>
    <m/>
    <s v="定制2.8米柜，分独立1.8米柜+1米柜，下柜高度追加到1米，总高度2.22米；上柜顶柜做木板翻门柜，洞石背板+黑色隔板槽+黑色平板岩板"/>
    <x v="35"/>
    <m/>
    <s v="已结算"/>
    <s v="江西"/>
    <n v="11267.16"/>
    <n v="9700"/>
    <n v="926.16"/>
    <m/>
    <m/>
    <m/>
    <n v="440"/>
    <n v="75"/>
    <n v="126"/>
    <m/>
    <m/>
    <m/>
    <m/>
    <m/>
    <m/>
    <m/>
    <m/>
    <m/>
    <m/>
    <m/>
    <m/>
    <m/>
    <m/>
    <m/>
    <m/>
    <m/>
    <m/>
    <m/>
    <m/>
    <m/>
    <n v="1435"/>
    <n v="205"/>
    <n v="268"/>
    <n v="105"/>
    <n v="90"/>
    <m/>
    <m/>
    <m/>
    <n v="1"/>
    <n v="13370.16"/>
    <n v="17498"/>
    <n v="0"/>
    <n v="104.988"/>
    <n v="17393.012"/>
    <n v="0"/>
    <n v="0"/>
    <n v="0"/>
    <n v="4022.851999999999"/>
    <s v="张先生"/>
    <s v="黑龙江省 大庆市 让胡路区 银浪街道 黑龙江省大庆市让胡路区创业城14-30-1-2102"/>
    <s v="18445787607-7813"/>
    <m/>
    <m/>
    <m/>
    <m/>
  </r>
  <r>
    <x v="249"/>
    <s v="已发"/>
    <s v="2701731578017177085"/>
    <s v="张玲玮"/>
    <m/>
    <m/>
    <s v="1.2米洞石窄柜"/>
    <x v="33"/>
    <m/>
    <s v="已结算"/>
    <s v="江西"/>
    <n v="4119.28"/>
    <n v="3200"/>
    <n v="411.08"/>
    <m/>
    <m/>
    <m/>
    <n v="230"/>
    <n v="43.5"/>
    <n v="31"/>
    <m/>
    <m/>
    <m/>
    <n v="18"/>
    <m/>
    <m/>
    <m/>
    <m/>
    <m/>
    <m/>
    <m/>
    <m/>
    <m/>
    <m/>
    <m/>
    <m/>
    <m/>
    <m/>
    <m/>
    <n v="185.7"/>
    <m/>
    <n v="235"/>
    <n v="74"/>
    <n v="119"/>
    <m/>
    <m/>
    <m/>
    <m/>
    <m/>
    <n v="1"/>
    <n v="4547.28"/>
    <n v="6130.21"/>
    <n v="0"/>
    <n v="36.78126"/>
    <n v="6093.42874"/>
    <n v="0"/>
    <n v="0"/>
    <n v="0"/>
    <n v="1546.148740000001"/>
    <s v="张玲玮"/>
    <s v="浙江省 嘉兴市 南湖区 东栅街道文贤路东方普罗旺斯141幢1单元2801室"/>
    <s v="18413441673-2828"/>
    <m/>
    <m/>
    <m/>
    <m/>
  </r>
  <r>
    <x v="250"/>
    <s v="已发"/>
    <s v="2701765705060014262"/>
    <s v="张雨桐"/>
    <m/>
    <m/>
    <s v="1600*850*750"/>
    <x v="1"/>
    <m/>
    <s v="已结算"/>
    <s v="江西"/>
    <n v="1702.5"/>
    <n v="1350"/>
    <m/>
    <m/>
    <m/>
    <m/>
    <n v="220"/>
    <m/>
    <m/>
    <m/>
    <m/>
    <m/>
    <m/>
    <m/>
    <m/>
    <m/>
    <m/>
    <m/>
    <n v="2.5"/>
    <m/>
    <m/>
    <m/>
    <m/>
    <m/>
    <m/>
    <m/>
    <m/>
    <n v="130"/>
    <m/>
    <m/>
    <n v="191"/>
    <n v="35"/>
    <n v="80"/>
    <m/>
    <m/>
    <m/>
    <m/>
    <m/>
    <n v="1"/>
    <n v="2008.5"/>
    <n v="2767.92"/>
    <n v="0"/>
    <n v="16.60752"/>
    <n v="2751.31248"/>
    <n v="0"/>
    <n v="0"/>
    <n v="0"/>
    <n v="742.8124800000001"/>
    <s v="张雨桐"/>
    <s v="山西省 运城市 盐湖区 北城街道天宝四季春城·郎园2-2-802"/>
    <s v="18400718799-5264"/>
    <m/>
    <m/>
    <m/>
    <m/>
  </r>
  <r>
    <x v="250"/>
    <s v="已发"/>
    <s v="4502164863031117545"/>
    <s v="巴晓元"/>
    <m/>
    <m/>
    <s v="2000*850*750"/>
    <x v="1"/>
    <m/>
    <s v="已结算"/>
    <s v="江西"/>
    <n v="1892.5"/>
    <n v="1400"/>
    <m/>
    <m/>
    <m/>
    <m/>
    <n v="290"/>
    <m/>
    <m/>
    <m/>
    <m/>
    <m/>
    <m/>
    <m/>
    <m/>
    <m/>
    <m/>
    <m/>
    <n v="2.5"/>
    <m/>
    <m/>
    <m/>
    <m/>
    <m/>
    <m/>
    <m/>
    <m/>
    <n v="200"/>
    <m/>
    <m/>
    <m/>
    <m/>
    <n v="80"/>
    <m/>
    <m/>
    <m/>
    <m/>
    <m/>
    <n v="1"/>
    <n v="1972.5"/>
    <n v="2952.67"/>
    <n v="0"/>
    <n v="17.71602"/>
    <n v="2934.95398"/>
    <n v="0"/>
    <n v="0"/>
    <n v="0"/>
    <n v="962.4539800000002"/>
    <s v="巴晓元"/>
    <s v="江苏省 苏州市 虎丘区 浒墅关镇首开金茂熙和悦花园15幢2单元403"/>
    <s v="18468544520-4029"/>
    <m/>
    <m/>
    <m/>
    <m/>
  </r>
  <r>
    <x v="251"/>
    <s v="售后中"/>
    <s v="2701764732105174571"/>
    <s v="汪凡丁"/>
    <m/>
    <m/>
    <s v="1600*750*750"/>
    <x v="38"/>
    <m/>
    <s v="已结算"/>
    <s v="江西"/>
    <n v="1900"/>
    <n v="1700"/>
    <m/>
    <m/>
    <m/>
    <m/>
    <n v="0"/>
    <m/>
    <m/>
    <m/>
    <m/>
    <m/>
    <m/>
    <m/>
    <m/>
    <m/>
    <m/>
    <m/>
    <m/>
    <m/>
    <m/>
    <m/>
    <m/>
    <m/>
    <m/>
    <m/>
    <m/>
    <n v="200"/>
    <m/>
    <m/>
    <m/>
    <m/>
    <m/>
    <m/>
    <m/>
    <m/>
    <m/>
    <m/>
    <n v="1"/>
    <n v="1900"/>
    <n v="3020"/>
    <n v="0"/>
    <n v="18.12"/>
    <n v="3001.88"/>
    <n v="0"/>
    <n v="0"/>
    <n v="0"/>
    <n v="1101.88"/>
    <s v="汪凡丁"/>
    <s v="江苏省 苏州市 吴中区 香山街道中海寰湖时代506幢305室"/>
    <s v="18468597671-7411"/>
    <m/>
    <m/>
    <m/>
    <m/>
  </r>
  <r>
    <x v="251"/>
    <s v="已发"/>
    <s v="4502194095129027306"/>
    <s v="胡敏洁"/>
    <m/>
    <m/>
    <s v="1800*750*750"/>
    <x v="1"/>
    <m/>
    <s v="已结算"/>
    <s v="江西"/>
    <n v="1772.5"/>
    <n v="1350"/>
    <m/>
    <m/>
    <m/>
    <m/>
    <n v="220"/>
    <m/>
    <m/>
    <m/>
    <m/>
    <m/>
    <m/>
    <m/>
    <m/>
    <m/>
    <m/>
    <m/>
    <n v="2.5"/>
    <m/>
    <m/>
    <m/>
    <m/>
    <m/>
    <m/>
    <m/>
    <m/>
    <n v="200"/>
    <m/>
    <m/>
    <m/>
    <m/>
    <n v="70"/>
    <m/>
    <m/>
    <m/>
    <m/>
    <m/>
    <n v="1"/>
    <n v="1842.5"/>
    <n v="2820.63"/>
    <n v="0"/>
    <n v="16.92378"/>
    <n v="2803.70622"/>
    <n v="0"/>
    <n v="0"/>
    <n v="0"/>
    <n v="961.20622"/>
    <s v="胡敏洁"/>
    <s v="湖南省 长沙市 开福区 秀峰街道北城周南学府3栋801"/>
    <s v="13126485515-1711"/>
    <m/>
    <m/>
    <m/>
    <m/>
  </r>
  <r>
    <x v="251"/>
    <s v="已发"/>
    <s v="2701820065192001871"/>
    <s v="卢女士"/>
    <m/>
    <m/>
    <s v="1.2米洞石窄柜"/>
    <x v="33"/>
    <m/>
    <s v="已结算"/>
    <s v="江西"/>
    <n v="4079.28"/>
    <n v="3000"/>
    <n v="411.08"/>
    <m/>
    <m/>
    <m/>
    <n v="220"/>
    <n v="43.5"/>
    <n v="31"/>
    <m/>
    <m/>
    <m/>
    <n v="18"/>
    <m/>
    <m/>
    <m/>
    <m/>
    <m/>
    <m/>
    <m/>
    <m/>
    <m/>
    <m/>
    <m/>
    <m/>
    <m/>
    <m/>
    <n v="170"/>
    <n v="185.7"/>
    <m/>
    <n v="402"/>
    <n v="73"/>
    <n v="65"/>
    <m/>
    <m/>
    <m/>
    <m/>
    <m/>
    <n v="1"/>
    <n v="4619.28"/>
    <n v="5853.4"/>
    <n v="0"/>
    <n v="35.1204"/>
    <n v="5818.2796"/>
    <n v="0"/>
    <n v="0"/>
    <n v="0"/>
    <n v="1198.9996"/>
    <s v="卢女士"/>
    <s v="四川省 成都市 锦江区 柳江街道锦江区白鹭湾天府养云12栋2单元-402"/>
    <s v="15520815844-5705"/>
    <m/>
    <m/>
    <m/>
    <m/>
  </r>
  <r>
    <x v="251"/>
    <s v="已发"/>
    <s v="2701761996112039168"/>
    <s v="刘晓悦"/>
    <m/>
    <m/>
    <s v="1400*800*750"/>
    <x v="1"/>
    <m/>
    <s v="已结算"/>
    <s v="江西"/>
    <n v="1832.5"/>
    <n v="1250"/>
    <m/>
    <m/>
    <m/>
    <m/>
    <n v="420"/>
    <m/>
    <m/>
    <m/>
    <m/>
    <m/>
    <m/>
    <m/>
    <m/>
    <m/>
    <m/>
    <m/>
    <n v="2.5"/>
    <m/>
    <m/>
    <m/>
    <m/>
    <m/>
    <m/>
    <m/>
    <m/>
    <n v="160"/>
    <m/>
    <m/>
    <m/>
    <m/>
    <n v="60"/>
    <m/>
    <m/>
    <m/>
    <m/>
    <m/>
    <n v="1"/>
    <n v="1892.5"/>
    <n v="2799"/>
    <n v="0"/>
    <n v="16.794"/>
    <n v="2782.206"/>
    <n v="0"/>
    <n v="0"/>
    <n v="0"/>
    <n v="889.7060000000001"/>
    <s v="刘晓悦"/>
    <s v="广东省 韶关市 武江区 惠民街道金桂城8栋1702"/>
    <s v="17896425992-8279"/>
    <m/>
    <m/>
    <m/>
    <m/>
  </r>
  <r>
    <x v="251"/>
    <s v="已发"/>
    <s v="2701763150105115054"/>
    <s v="杨先生"/>
    <m/>
    <m/>
    <s v="1.2米洞洞板窄柜"/>
    <x v="33"/>
    <m/>
    <s v="已结算"/>
    <s v="江西"/>
    <n v="3893.58"/>
    <n v="3000"/>
    <n v="411.08"/>
    <m/>
    <m/>
    <m/>
    <n v="220"/>
    <n v="43.5"/>
    <n v="31"/>
    <m/>
    <m/>
    <m/>
    <n v="18"/>
    <m/>
    <m/>
    <m/>
    <m/>
    <m/>
    <m/>
    <m/>
    <m/>
    <m/>
    <m/>
    <m/>
    <m/>
    <m/>
    <m/>
    <n v="170"/>
    <m/>
    <m/>
    <m/>
    <m/>
    <n v="99"/>
    <m/>
    <m/>
    <m/>
    <m/>
    <m/>
    <n v="1"/>
    <n v="3992.58"/>
    <n v="5370.6"/>
    <n v="0"/>
    <n v="32.2236"/>
    <n v="5338.3764"/>
    <n v="0"/>
    <n v="0"/>
    <n v="0"/>
    <n v="1345.7964"/>
    <s v="杨先生"/>
    <s v="湖北省 武汉市 武昌区 中南路街道 百瑞景1期1栋503室"/>
    <s v="18472269147-2444，"/>
    <m/>
    <m/>
    <m/>
    <m/>
  </r>
  <r>
    <x v="251"/>
    <s v="已发"/>
    <s v="4502191826181029839"/>
    <s v="花花"/>
    <m/>
    <m/>
    <s v="1800*850*750"/>
    <x v="1"/>
    <m/>
    <s v="已结算"/>
    <s v="江西"/>
    <n v="1792.5"/>
    <n v="1400"/>
    <m/>
    <m/>
    <m/>
    <m/>
    <n v="220"/>
    <m/>
    <m/>
    <m/>
    <m/>
    <m/>
    <m/>
    <m/>
    <m/>
    <m/>
    <m/>
    <m/>
    <n v="2.5"/>
    <m/>
    <m/>
    <m/>
    <m/>
    <m/>
    <m/>
    <m/>
    <m/>
    <n v="170"/>
    <m/>
    <m/>
    <n v="151"/>
    <n v="30"/>
    <n v="80"/>
    <m/>
    <m/>
    <m/>
    <m/>
    <m/>
    <n v="1"/>
    <n v="2053.5"/>
    <n v="2986.93"/>
    <n v="0"/>
    <n v="17.92158"/>
    <n v="2969.00842"/>
    <n v="0"/>
    <n v="0"/>
    <n v="0"/>
    <n v="915.5084199999997"/>
    <s v="花花"/>
    <s v="陕西省 西安市 雁塔区 杜城街道雁南朗境13号楼2单元8楼1号"/>
    <s v="15664724101-6918"/>
    <m/>
    <m/>
    <m/>
    <m/>
  </r>
  <r>
    <x v="252"/>
    <s v="已发"/>
    <s v="4502177316184015146"/>
    <s v="徐77"/>
    <m/>
    <m/>
    <m/>
    <x v="0"/>
    <m/>
    <m/>
    <s v="江西"/>
    <m/>
    <n v="10"/>
    <m/>
    <m/>
    <m/>
    <m/>
    <m/>
    <m/>
    <m/>
    <m/>
    <m/>
    <m/>
    <m/>
    <m/>
    <m/>
    <m/>
    <m/>
    <m/>
    <m/>
    <m/>
    <m/>
    <m/>
    <m/>
    <m/>
    <m/>
    <m/>
    <m/>
    <m/>
    <m/>
    <m/>
    <m/>
    <m/>
    <n v="78"/>
    <m/>
    <m/>
    <m/>
    <m/>
    <m/>
    <n v="1"/>
    <n v="78"/>
    <n v="39"/>
    <n v="0"/>
    <n v="0.234"/>
    <n v="38.766"/>
    <n v="0"/>
    <n v="0"/>
    <m/>
    <m/>
    <s v="徐77"/>
    <s v="广东省 广州市 荔湾区 白鹤洞街道广钢新城中海锦御华庭B1栋517房"/>
    <s v="18466101780-7737"/>
    <m/>
    <m/>
    <m/>
    <m/>
  </r>
  <r>
    <x v="252"/>
    <s v="已发"/>
    <s v="2701791878046047055"/>
    <s v="屈野"/>
    <m/>
    <m/>
    <s v="榉木常规2cm板材2.1×0.8大板桌+1.6*0.8榉木岩板餐桌"/>
    <x v="39"/>
    <m/>
    <s v="已结算"/>
    <s v="江西"/>
    <n v="2820"/>
    <n v="2600"/>
    <m/>
    <m/>
    <m/>
    <m/>
    <n v="220"/>
    <m/>
    <m/>
    <m/>
    <m/>
    <m/>
    <m/>
    <m/>
    <m/>
    <m/>
    <m/>
    <m/>
    <m/>
    <m/>
    <m/>
    <m/>
    <m/>
    <m/>
    <m/>
    <m/>
    <m/>
    <m/>
    <m/>
    <m/>
    <m/>
    <m/>
    <m/>
    <m/>
    <m/>
    <m/>
    <m/>
    <m/>
    <n v="1"/>
    <n v="2820"/>
    <n v="2704.74"/>
    <n v="0"/>
    <n v="16.22844"/>
    <n v="2688.51156"/>
    <n v="0"/>
    <n v="0"/>
    <n v="0"/>
    <n v="-131.4884400000001"/>
    <s v="屈野"/>
    <s v="湖南省 长沙市 天心区 友谊路332号友谊路青园5栋2单元4楼西户（405）"/>
    <s v="17896414017-5291"/>
    <m/>
    <m/>
    <m/>
    <m/>
  </r>
  <r>
    <x v="253"/>
    <s v="已发"/>
    <s v="2701780466041081656"/>
    <s v="徒爷 "/>
    <m/>
    <m/>
    <m/>
    <x v="0"/>
    <m/>
    <m/>
    <s v="江西"/>
    <m/>
    <n v="10"/>
    <m/>
    <m/>
    <m/>
    <m/>
    <m/>
    <m/>
    <m/>
    <m/>
    <m/>
    <m/>
    <m/>
    <m/>
    <m/>
    <m/>
    <m/>
    <m/>
    <m/>
    <m/>
    <m/>
    <m/>
    <m/>
    <m/>
    <m/>
    <m/>
    <m/>
    <m/>
    <m/>
    <m/>
    <m/>
    <m/>
    <m/>
    <m/>
    <m/>
    <m/>
    <m/>
    <m/>
    <n v="1"/>
    <n v="0"/>
    <n v="22"/>
    <n v="0"/>
    <n v="0.132"/>
    <n v="21.868"/>
    <n v="0"/>
    <n v="0"/>
    <m/>
    <m/>
    <s v="徒爷"/>
    <s v="海南省 海口市 龙华区 城西镇迎宾大道恒大文化旅游城四期20栋一单元1308房"/>
    <s v="17898966713-1048"/>
    <m/>
    <m/>
    <m/>
    <m/>
  </r>
  <r>
    <x v="253"/>
    <s v="改尺寸，1米做备货"/>
    <s v="4502196684031016909"/>
    <s v="KK"/>
    <m/>
    <m/>
    <s v="0.88米洞石板窄柜"/>
    <x v="33"/>
    <m/>
    <s v="已结算"/>
    <s v="江西"/>
    <n v="3456"/>
    <n v="2850"/>
    <n v="335"/>
    <m/>
    <m/>
    <m/>
    <n v="190"/>
    <n v="33"/>
    <n v="31"/>
    <m/>
    <m/>
    <m/>
    <n v="17"/>
    <m/>
    <m/>
    <m/>
    <m/>
    <m/>
    <m/>
    <m/>
    <m/>
    <m/>
    <m/>
    <m/>
    <m/>
    <m/>
    <m/>
    <m/>
    <m/>
    <m/>
    <m/>
    <m/>
    <m/>
    <m/>
    <m/>
    <m/>
    <m/>
    <m/>
    <n v="1"/>
    <n v="3456"/>
    <n v="5615.6"/>
    <n v="0"/>
    <n v="33.6936"/>
    <n v="5581.906400000001"/>
    <n v="0"/>
    <n v="0"/>
    <n v="0"/>
    <n v="2125.906400000001"/>
    <s v="KK"/>
    <s v="上海 上海市 普陀区 长征镇上河湾34号701"/>
    <s v="18466943634-9347"/>
    <m/>
    <m/>
    <m/>
    <m/>
  </r>
  <r>
    <x v="253"/>
    <s v="已发"/>
    <s v="2701782483053020292"/>
    <s v="钱丹妮"/>
    <m/>
    <m/>
    <s v="樱桃木 组合柜72*38*36【730+680+680"/>
    <x v="14"/>
    <m/>
    <s v="已结算"/>
    <s v="江西"/>
    <n v="2090"/>
    <n v="2090"/>
    <m/>
    <m/>
    <m/>
    <m/>
    <m/>
    <m/>
    <m/>
    <m/>
    <m/>
    <m/>
    <m/>
    <m/>
    <m/>
    <m/>
    <m/>
    <m/>
    <m/>
    <m/>
    <m/>
    <m/>
    <m/>
    <m/>
    <m/>
    <m/>
    <m/>
    <m/>
    <m/>
    <m/>
    <m/>
    <m/>
    <m/>
    <m/>
    <m/>
    <m/>
    <m/>
    <m/>
    <n v="1"/>
    <n v="2090"/>
    <n v="3669"/>
    <n v="0"/>
    <n v="22.014"/>
    <n v="3646.986"/>
    <n v="0"/>
    <n v="0"/>
    <n v="0"/>
    <n v="1556.986"/>
    <s v="钱女士"/>
    <s v="上海 上海市 青浦区  金字圩路436弄绿城春晓园28-702"/>
    <s v="18466666200-6306"/>
    <m/>
    <m/>
    <m/>
    <m/>
  </r>
  <r>
    <x v="254"/>
    <s v="已收货,岩板不擦不掉，找师傅"/>
    <s v="2701790688076021583"/>
    <s v="卢小姐"/>
    <m/>
    <m/>
    <s v="1400*850*750"/>
    <x v="1"/>
    <m/>
    <s v="已结算"/>
    <s v="江西"/>
    <n v="1650"/>
    <n v="1300"/>
    <m/>
    <m/>
    <m/>
    <m/>
    <n v="220"/>
    <m/>
    <m/>
    <m/>
    <m/>
    <m/>
    <m/>
    <m/>
    <m/>
    <m/>
    <m/>
    <m/>
    <m/>
    <m/>
    <m/>
    <m/>
    <m/>
    <m/>
    <m/>
    <m/>
    <m/>
    <n v="130"/>
    <m/>
    <m/>
    <m/>
    <m/>
    <n v="108"/>
    <n v="10"/>
    <n v="135"/>
    <m/>
    <n v="156"/>
    <m/>
    <n v="1"/>
    <n v="2059"/>
    <n v="2624.6"/>
    <n v="0"/>
    <n v="15.7476"/>
    <n v="2608.8524"/>
    <n v="0"/>
    <n v="0"/>
    <n v="0"/>
    <n v="549.8523999999998"/>
    <s v="卢小姐"/>
    <s v="浙江省 杭州市 萧山区 宁围街道中天大家悦潮云望府2幢1903"/>
    <s v="18413246573-5536"/>
    <m/>
    <m/>
    <m/>
    <m/>
  </r>
  <r>
    <x v="254"/>
    <s v="已发"/>
    <s v="3301125783549079861"/>
    <s v="周陈虹"/>
    <m/>
    <m/>
    <s v="1.2米洞石窄柜+书柜"/>
    <x v="33"/>
    <m/>
    <s v="已结算"/>
    <s v="江西"/>
    <n v="3653.58"/>
    <n v="3000"/>
    <n v="411.08"/>
    <m/>
    <m/>
    <m/>
    <n v="150"/>
    <n v="43.5"/>
    <n v="31"/>
    <m/>
    <m/>
    <m/>
    <n v="18"/>
    <m/>
    <m/>
    <m/>
    <m/>
    <m/>
    <m/>
    <m/>
    <m/>
    <m/>
    <m/>
    <m/>
    <m/>
    <m/>
    <m/>
    <m/>
    <m/>
    <m/>
    <m/>
    <m/>
    <m/>
    <m/>
    <m/>
    <m/>
    <m/>
    <m/>
    <n v="1"/>
    <n v="3653.58"/>
    <n v="150"/>
    <n v="0"/>
    <n v="0.9"/>
    <n v="149.1"/>
    <n v="0"/>
    <n v="0"/>
    <n v="0"/>
    <n v="-3504.48"/>
    <s v="周陈虹"/>
    <s v="上海 上海市 浦东新区 唐镇春泉路45弄56号802"/>
    <s v="18466820883-1118"/>
    <m/>
    <m/>
    <m/>
    <m/>
  </r>
  <r>
    <x v="255"/>
    <s v="已收货"/>
    <s v="2701794507113038872"/>
    <s v="panda大熊猫"/>
    <m/>
    <m/>
    <s v="曜黑柜-整柜-1.8米"/>
    <x v="40"/>
    <n v="1800"/>
    <s v="已结算"/>
    <s v="江西"/>
    <n v="10188.98333333334"/>
    <n v="8200"/>
    <n v="577"/>
    <n v="283.3333333333333"/>
    <m/>
    <m/>
    <n v="240"/>
    <n v="103.95"/>
    <n v="31"/>
    <n v="60"/>
    <m/>
    <n v="12"/>
    <n v="66"/>
    <n v="46"/>
    <m/>
    <n v="6"/>
    <n v="1.2"/>
    <n v="2.5"/>
    <m/>
    <m/>
    <m/>
    <m/>
    <m/>
    <m/>
    <m/>
    <m/>
    <m/>
    <n v="560"/>
    <m/>
    <m/>
    <n v="374"/>
    <n v="117"/>
    <n v="0"/>
    <n v="0"/>
    <n v="0"/>
    <n v="0"/>
    <n v="0"/>
    <n v="0"/>
    <n v="1"/>
    <n v="10679.98333333334"/>
    <n v="14785.27"/>
    <n v="0"/>
    <n v="88.71162000000001"/>
    <n v="14696.55838"/>
    <n v="0"/>
    <n v="0"/>
    <n v="0"/>
    <n v="4016.575046666665"/>
    <s v="panda大熊猫"/>
    <s v="江苏省 苏州市 吴中区 金鸡湖街道双湖湾花园1期3幢1004室"/>
    <s v="18468540445-6096"/>
    <m/>
    <m/>
    <m/>
    <m/>
  </r>
  <r>
    <x v="255"/>
    <s v="已发"/>
    <s v="2701792164107024670"/>
    <s v="周陈虹"/>
    <m/>
    <m/>
    <s v="带玻璃门"/>
    <x v="26"/>
    <m/>
    <m/>
    <s v="江西"/>
    <m/>
    <m/>
    <m/>
    <m/>
    <m/>
    <m/>
    <m/>
    <n v="104.06"/>
    <n v="31"/>
    <m/>
    <m/>
    <m/>
    <m/>
    <m/>
    <m/>
    <m/>
    <m/>
    <m/>
    <m/>
    <m/>
    <m/>
    <m/>
    <m/>
    <m/>
    <m/>
    <m/>
    <m/>
    <m/>
    <m/>
    <m/>
    <m/>
    <m/>
    <m/>
    <m/>
    <m/>
    <m/>
    <m/>
    <m/>
    <n v="1"/>
    <n v="0"/>
    <n v="2796.94"/>
    <n v="0"/>
    <n v="16.78164"/>
    <n v="2780.15836"/>
    <n v="0"/>
    <n v="0"/>
    <m/>
    <m/>
    <s v="周陈虹"/>
    <s v="上海 上海市 浦东新区 唐镇春泉路45弄56号802"/>
    <s v="18466820883-1118"/>
    <m/>
    <m/>
    <m/>
    <m/>
  </r>
  <r>
    <x v="255"/>
    <m/>
    <s v="2701785972125073392"/>
    <s v="李诗明"/>
    <m/>
    <m/>
    <s v="新黑胡桃柜1.2米单下柜"/>
    <x v="41"/>
    <m/>
    <m/>
    <s v="江西"/>
    <m/>
    <m/>
    <m/>
    <m/>
    <m/>
    <m/>
    <n v="240"/>
    <m/>
    <n v="31"/>
    <m/>
    <m/>
    <m/>
    <m/>
    <m/>
    <m/>
    <m/>
    <m/>
    <m/>
    <m/>
    <m/>
    <m/>
    <m/>
    <m/>
    <m/>
    <m/>
    <m/>
    <m/>
    <m/>
    <m/>
    <m/>
    <m/>
    <m/>
    <m/>
    <m/>
    <m/>
    <m/>
    <m/>
    <m/>
    <n v="1"/>
    <n v="0"/>
    <n v="8677"/>
    <n v="0"/>
    <n v="52.062"/>
    <n v="8624.938"/>
    <n v="0"/>
    <n v="0"/>
    <m/>
    <m/>
    <s v="李诗明"/>
    <s v="广西壮族自治区 南宁市 良庆区 良庆镇 地矿春山富居1-2302"/>
    <s v="17677994360-2016"/>
    <m/>
    <m/>
    <m/>
    <m/>
  </r>
  <r>
    <x v="255"/>
    <m/>
    <s v="2701796989142000555"/>
    <s v="李诗明"/>
    <m/>
    <m/>
    <s v="1800*480*1950"/>
    <x v="40"/>
    <m/>
    <m/>
    <s v="江西"/>
    <m/>
    <m/>
    <m/>
    <m/>
    <m/>
    <m/>
    <n v="240"/>
    <m/>
    <n v="31"/>
    <m/>
    <m/>
    <m/>
    <m/>
    <m/>
    <m/>
    <m/>
    <m/>
    <m/>
    <m/>
    <m/>
    <m/>
    <m/>
    <m/>
    <m/>
    <m/>
    <m/>
    <m/>
    <m/>
    <m/>
    <m/>
    <m/>
    <m/>
    <m/>
    <m/>
    <m/>
    <m/>
    <m/>
    <m/>
    <n v="1"/>
    <n v="0"/>
    <n v="14790.27"/>
    <n v="0"/>
    <n v="88.74162"/>
    <n v="14701.52838"/>
    <n v="0"/>
    <n v="0"/>
    <m/>
    <m/>
    <s v="李诗明"/>
    <s v="广西壮族自治区 南宁市 良庆区 良庆镇 地矿春山富居1-2302"/>
    <s v="17677994360-2016"/>
    <m/>
    <m/>
    <m/>
    <m/>
  </r>
  <r>
    <x v="256"/>
    <s v="已发"/>
    <s v="4502214072127009415"/>
    <s v="彭麒"/>
    <m/>
    <m/>
    <s v="0.8米洞石窄柜"/>
    <x v="33"/>
    <m/>
    <m/>
    <s v="江西"/>
    <m/>
    <m/>
    <n v="307.08"/>
    <m/>
    <m/>
    <m/>
    <n v="230"/>
    <m/>
    <n v="31"/>
    <m/>
    <m/>
    <m/>
    <n v="18"/>
    <m/>
    <m/>
    <m/>
    <m/>
    <m/>
    <m/>
    <m/>
    <m/>
    <m/>
    <m/>
    <m/>
    <m/>
    <m/>
    <m/>
    <m/>
    <m/>
    <m/>
    <m/>
    <m/>
    <m/>
    <m/>
    <m/>
    <m/>
    <m/>
    <m/>
    <n v="1"/>
    <n v="0"/>
    <n v="4978"/>
    <n v="0"/>
    <n v="29.868"/>
    <n v="4948.132"/>
    <n v="0"/>
    <n v="0"/>
    <m/>
    <m/>
    <s v="彭麒"/>
    <s v="重庆 重庆市 万州区 高笋塘街道 静园路575号好运来D2栋10-1"/>
    <s v="18418947540-2073"/>
    <m/>
    <m/>
    <m/>
    <m/>
  </r>
  <r>
    <x v="257"/>
    <s v="已发"/>
    <s v="备货"/>
    <s v="备货"/>
    <m/>
    <m/>
    <s v="1.4米：140*75  1张_x000a_1.6米：160*80  1张_x000a_1.8米：180*85  2张_x000a_2.0米：200*85  1张"/>
    <x v="1"/>
    <m/>
    <m/>
    <s v="江西"/>
    <m/>
    <m/>
    <m/>
    <m/>
    <m/>
    <m/>
    <n v="220"/>
    <m/>
    <m/>
    <m/>
    <m/>
    <m/>
    <m/>
    <m/>
    <m/>
    <m/>
    <m/>
    <m/>
    <m/>
    <m/>
    <m/>
    <m/>
    <m/>
    <m/>
    <m/>
    <m/>
    <m/>
    <m/>
    <m/>
    <m/>
    <m/>
    <m/>
    <m/>
    <m/>
    <m/>
    <m/>
    <m/>
    <m/>
    <n v="1"/>
    <n v="0"/>
    <m/>
    <n v="0"/>
    <n v="0"/>
    <n v="0"/>
    <n v="0"/>
    <n v="0"/>
    <m/>
    <m/>
    <m/>
    <m/>
    <m/>
    <m/>
    <m/>
    <m/>
    <m/>
  </r>
  <r>
    <x v="257"/>
    <m/>
    <s v="备货"/>
    <s v="备货"/>
    <m/>
    <m/>
    <s v="1米洞石窄柜"/>
    <x v="33"/>
    <m/>
    <m/>
    <s v="江西"/>
    <m/>
    <m/>
    <n v="359.08"/>
    <m/>
    <m/>
    <m/>
    <n v="190"/>
    <m/>
    <n v="31"/>
    <m/>
    <m/>
    <m/>
    <n v="18"/>
    <m/>
    <m/>
    <m/>
    <m/>
    <m/>
    <m/>
    <m/>
    <m/>
    <m/>
    <m/>
    <m/>
    <m/>
    <m/>
    <m/>
    <m/>
    <m/>
    <m/>
    <m/>
    <m/>
    <m/>
    <m/>
    <m/>
    <m/>
    <m/>
    <m/>
    <n v="1"/>
    <n v="0"/>
    <m/>
    <n v="0"/>
    <n v="0"/>
    <n v="0"/>
    <n v="0"/>
    <n v="0"/>
    <m/>
    <m/>
    <m/>
    <m/>
    <m/>
    <m/>
    <m/>
    <m/>
    <m/>
  </r>
  <r>
    <x v="257"/>
    <s v="定制尺寸出错"/>
    <s v="2701791662157048276"/>
    <s v="李波"/>
    <m/>
    <m/>
    <s v="1600*850*750"/>
    <x v="1"/>
    <m/>
    <m/>
    <s v="江西"/>
    <m/>
    <m/>
    <m/>
    <m/>
    <m/>
    <m/>
    <n v="220"/>
    <m/>
    <m/>
    <m/>
    <m/>
    <m/>
    <m/>
    <m/>
    <m/>
    <m/>
    <m/>
    <m/>
    <m/>
    <m/>
    <m/>
    <m/>
    <m/>
    <m/>
    <m/>
    <m/>
    <m/>
    <m/>
    <m/>
    <m/>
    <m/>
    <m/>
    <n v="52"/>
    <m/>
    <m/>
    <m/>
    <m/>
    <m/>
    <n v="1"/>
    <n v="52"/>
    <n v="2699.74"/>
    <n v="0"/>
    <n v="16.19844"/>
    <n v="2683.54156"/>
    <n v="0"/>
    <n v="0"/>
    <m/>
    <m/>
    <s v="李波"/>
    <s v="山西省 运城市 盐湖区 姚孟街道五洲观澜B7-1402"/>
    <s v="14735146394-4103"/>
    <m/>
    <m/>
    <m/>
    <m/>
  </r>
  <r>
    <x v="258"/>
    <s v="已发"/>
    <s v="4502250111156062835"/>
    <s v="冯玥"/>
    <m/>
    <m/>
    <s v="2000*850*750"/>
    <x v="1"/>
    <m/>
    <m/>
    <s v="江西"/>
    <m/>
    <m/>
    <m/>
    <m/>
    <m/>
    <m/>
    <n v="290"/>
    <m/>
    <m/>
    <m/>
    <m/>
    <m/>
    <m/>
    <m/>
    <m/>
    <m/>
    <m/>
    <m/>
    <m/>
    <m/>
    <m/>
    <m/>
    <m/>
    <m/>
    <m/>
    <m/>
    <m/>
    <m/>
    <m/>
    <m/>
    <m/>
    <m/>
    <n v="60"/>
    <m/>
    <m/>
    <m/>
    <m/>
    <m/>
    <n v="1"/>
    <n v="60"/>
    <n v="2880.26"/>
    <n v="0"/>
    <n v="17.28156"/>
    <n v="2862.97844"/>
    <n v="0"/>
    <n v="0"/>
    <m/>
    <m/>
    <s v="冯玥"/>
    <s v="四川省 成都市 成华区 龙潭街道北湖云湾北区 5栋802"/>
    <s v="14727236096-9448"/>
    <m/>
    <m/>
    <m/>
    <m/>
  </r>
  <r>
    <x v="258"/>
    <s v="已发"/>
    <s v="2701817403146008173"/>
    <s v="王123"/>
    <m/>
    <m/>
    <s v="2000*850*750"/>
    <x v="36"/>
    <m/>
    <m/>
    <s v="江西"/>
    <m/>
    <m/>
    <m/>
    <m/>
    <m/>
    <m/>
    <n v="290"/>
    <m/>
    <m/>
    <m/>
    <m/>
    <m/>
    <m/>
    <m/>
    <m/>
    <m/>
    <m/>
    <m/>
    <m/>
    <m/>
    <m/>
    <m/>
    <m/>
    <m/>
    <m/>
    <m/>
    <m/>
    <m/>
    <m/>
    <m/>
    <m/>
    <m/>
    <m/>
    <m/>
    <m/>
    <m/>
    <m/>
    <m/>
    <n v="1"/>
    <n v="0"/>
    <n v="2387.19"/>
    <n v="0"/>
    <n v="14.32314"/>
    <n v="2372.86686"/>
    <n v="0"/>
    <n v="0"/>
    <m/>
    <m/>
    <s v="王123"/>
    <s v="江苏省 南京市 玄武区 红山街道南京招商局中心臻境西区3栋103"/>
    <s v="15784003558-7201"/>
    <m/>
    <m/>
    <m/>
    <m/>
  </r>
  <r>
    <x v="258"/>
    <s v="已发"/>
    <s v="4502255436167008824"/>
    <s v="司雪阳"/>
    <m/>
    <m/>
    <s v="1.2米洞石窄柜"/>
    <x v="33"/>
    <m/>
    <m/>
    <s v="江西"/>
    <m/>
    <m/>
    <n v="411.08"/>
    <m/>
    <m/>
    <m/>
    <n v="230"/>
    <n v="43.5"/>
    <n v="31"/>
    <m/>
    <m/>
    <m/>
    <n v="18"/>
    <m/>
    <m/>
    <m/>
    <m/>
    <m/>
    <m/>
    <m/>
    <m/>
    <m/>
    <m/>
    <m/>
    <m/>
    <m/>
    <m/>
    <m/>
    <m/>
    <m/>
    <m/>
    <m/>
    <n v="95"/>
    <m/>
    <m/>
    <m/>
    <m/>
    <m/>
    <n v="1"/>
    <n v="95"/>
    <n v="5858.4"/>
    <n v="0"/>
    <n v="35.1504"/>
    <n v="5823.249599999999"/>
    <n v="0"/>
    <n v="0"/>
    <m/>
    <m/>
    <s v="司雪阳"/>
    <s v="北京 北京市 海淀区 马连洼街道梅园小区4号楼2单元402室"/>
    <s v="18400860836-9829"/>
    <m/>
    <m/>
    <m/>
    <m/>
  </r>
  <r>
    <x v="259"/>
    <s v="已发"/>
    <s v="4502258100171049431"/>
    <s v="张庚"/>
    <m/>
    <m/>
    <s v="1400*750*750"/>
    <x v="1"/>
    <m/>
    <m/>
    <s v="江西"/>
    <m/>
    <m/>
    <m/>
    <m/>
    <m/>
    <m/>
    <n v="220"/>
    <m/>
    <m/>
    <m/>
    <m/>
    <m/>
    <m/>
    <m/>
    <m/>
    <m/>
    <m/>
    <m/>
    <m/>
    <m/>
    <m/>
    <m/>
    <m/>
    <m/>
    <m/>
    <m/>
    <m/>
    <m/>
    <m/>
    <m/>
    <m/>
    <m/>
    <n v="65"/>
    <m/>
    <m/>
    <m/>
    <m/>
    <m/>
    <n v="1"/>
    <n v="65"/>
    <n v="2629.6"/>
    <n v="0"/>
    <n v="15.7776"/>
    <n v="2613.8224"/>
    <n v="0"/>
    <n v="0"/>
    <m/>
    <m/>
    <s v="张庚"/>
    <s v="安徽省 淮北市 相山区 任圩街道淮北中湖明月丁香苑5号楼1303"/>
    <s v="15784094712-3483"/>
    <m/>
    <m/>
    <m/>
    <m/>
  </r>
  <r>
    <x v="259"/>
    <m/>
    <s v="4502252772196043049"/>
    <s v="刘先生"/>
    <m/>
    <m/>
    <s v="2.1洞石柜，需要拆装，电梯高2米；发货前请视频确认板材质量，不要带大疤的"/>
    <x v="35"/>
    <m/>
    <m/>
    <s v="江西"/>
    <m/>
    <m/>
    <m/>
    <m/>
    <m/>
    <m/>
    <n v="680"/>
    <m/>
    <n v="31"/>
    <m/>
    <m/>
    <m/>
    <m/>
    <m/>
    <m/>
    <m/>
    <m/>
    <m/>
    <m/>
    <m/>
    <m/>
    <m/>
    <m/>
    <m/>
    <m/>
    <m/>
    <m/>
    <m/>
    <m/>
    <m/>
    <m/>
    <m/>
    <m/>
    <m/>
    <m/>
    <m/>
    <m/>
    <m/>
    <n v="1"/>
    <n v="0"/>
    <n v="12235.71"/>
    <n v="0"/>
    <n v="73.41426"/>
    <n v="12162.29574"/>
    <n v="0"/>
    <n v="0"/>
    <m/>
    <m/>
    <s v="刘先生"/>
    <s v="广东省 珠海市 香洲区 南屏镇广通物流园德邦快递轉澳門63537461劉先生"/>
    <s v="18466385061-8626"/>
    <m/>
    <m/>
    <m/>
    <m/>
  </r>
  <r>
    <x v="157"/>
    <m/>
    <s v="3043347061134373655"/>
    <s v="孙小力"/>
    <m/>
    <m/>
    <s v="榉木2.1米整柜+1.6米单腿餐桌"/>
    <x v="37"/>
    <m/>
    <m/>
    <s v="江西"/>
    <m/>
    <m/>
    <m/>
    <m/>
    <m/>
    <m/>
    <n v="260"/>
    <m/>
    <n v="31"/>
    <m/>
    <m/>
    <m/>
    <m/>
    <m/>
    <m/>
    <m/>
    <m/>
    <m/>
    <m/>
    <m/>
    <m/>
    <m/>
    <m/>
    <m/>
    <m/>
    <m/>
    <m/>
    <m/>
    <m/>
    <m/>
    <m/>
    <m/>
    <m/>
    <m/>
    <m/>
    <m/>
    <m/>
    <m/>
    <m/>
    <m/>
    <m/>
    <n v="0"/>
    <n v="0"/>
    <n v="0"/>
    <n v="0"/>
    <n v="0"/>
    <m/>
    <m/>
    <m/>
    <m/>
    <m/>
    <m/>
    <m/>
    <m/>
    <m/>
  </r>
  <r>
    <x v="260"/>
    <m/>
    <s v="4502277614107110819"/>
    <s v="王玉"/>
    <m/>
    <m/>
    <s v="0.8米洞石窄柜"/>
    <x v="33"/>
    <m/>
    <m/>
    <s v="江西"/>
    <m/>
    <m/>
    <n v="307.08"/>
    <m/>
    <m/>
    <m/>
    <n v="160"/>
    <m/>
    <n v="31"/>
    <m/>
    <m/>
    <m/>
    <n v="18"/>
    <m/>
    <m/>
    <m/>
    <m/>
    <m/>
    <m/>
    <m/>
    <m/>
    <m/>
    <m/>
    <m/>
    <m/>
    <m/>
    <m/>
    <m/>
    <m/>
    <m/>
    <m/>
    <m/>
    <m/>
    <m/>
    <m/>
    <m/>
    <m/>
    <m/>
    <n v="1"/>
    <n v="0"/>
    <n v="14277.21"/>
    <n v="0"/>
    <n v="85.66325999999999"/>
    <n v="14191.54674"/>
    <n v="0"/>
    <n v="0"/>
    <m/>
    <m/>
    <s v="王玉"/>
    <s v="福建省 泉州市 鲤城区 浮桥街道新延路与规划三路交叉口北180米，源昌江南城18栋1502"/>
    <s v="18480177875-6371"/>
    <m/>
    <m/>
    <m/>
    <m/>
  </r>
  <r>
    <x v="260"/>
    <m/>
    <s v="4502277614107110819"/>
    <s v="王玉"/>
    <m/>
    <m/>
    <s v="1.5米AA柱基础柜"/>
    <x v="42"/>
    <m/>
    <m/>
    <s v="江西"/>
    <m/>
    <m/>
    <m/>
    <m/>
    <m/>
    <m/>
    <n v="240"/>
    <m/>
    <n v="31"/>
    <m/>
    <m/>
    <m/>
    <m/>
    <m/>
    <m/>
    <m/>
    <m/>
    <m/>
    <m/>
    <m/>
    <m/>
    <m/>
    <m/>
    <m/>
    <m/>
    <m/>
    <m/>
    <m/>
    <m/>
    <m/>
    <m/>
    <m/>
    <m/>
    <m/>
    <m/>
    <m/>
    <m/>
    <m/>
    <n v="1"/>
    <n v="0"/>
    <n v="14277.21"/>
    <n v="0"/>
    <n v="85.66325999999999"/>
    <n v="14191.54674"/>
    <n v="0"/>
    <n v="0"/>
    <m/>
    <m/>
    <s v="王玉"/>
    <s v="福建省 泉州市 鲤城区 浮桥街道新延路与规划三路交叉口北180米，源昌江南城18栋1502"/>
    <s v="18480177875-6371"/>
    <m/>
    <m/>
    <m/>
    <m/>
  </r>
  <r>
    <x v="261"/>
    <s v="已发"/>
    <s v="2701837345019001767"/>
    <s v="活活"/>
    <m/>
    <m/>
    <s v="基础柜地脚"/>
    <x v="43"/>
    <m/>
    <m/>
    <s v="江西"/>
    <m/>
    <m/>
    <m/>
    <m/>
    <m/>
    <m/>
    <m/>
    <m/>
    <m/>
    <m/>
    <m/>
    <m/>
    <m/>
    <m/>
    <m/>
    <m/>
    <m/>
    <m/>
    <m/>
    <m/>
    <m/>
    <m/>
    <m/>
    <m/>
    <m/>
    <m/>
    <m/>
    <m/>
    <m/>
    <m/>
    <m/>
    <m/>
    <m/>
    <m/>
    <m/>
    <m/>
    <m/>
    <m/>
    <n v="1"/>
    <n v="0"/>
    <n v="146"/>
    <n v="0"/>
    <n v="0.876"/>
    <n v="145.124"/>
    <n v="0"/>
    <n v="0"/>
    <m/>
    <m/>
    <s v="活活"/>
    <s v="广东省 广州市 番禺区 东环街道广州番禺东环街"/>
    <s v="14745258928-9459，"/>
    <m/>
    <m/>
    <m/>
    <m/>
  </r>
  <r>
    <x v="262"/>
    <s v="已发"/>
    <s v="4502300401005030412"/>
    <s v="子贤"/>
    <m/>
    <m/>
    <s v="1.35*0.6洞石岩板"/>
    <x v="1"/>
    <m/>
    <m/>
    <s v="江西"/>
    <m/>
    <m/>
    <m/>
    <m/>
    <m/>
    <m/>
    <n v="320"/>
    <m/>
    <m/>
    <m/>
    <m/>
    <m/>
    <m/>
    <m/>
    <m/>
    <m/>
    <m/>
    <m/>
    <m/>
    <m/>
    <m/>
    <m/>
    <m/>
    <m/>
    <m/>
    <m/>
    <m/>
    <m/>
    <m/>
    <m/>
    <m/>
    <m/>
    <m/>
    <m/>
    <m/>
    <m/>
    <m/>
    <m/>
    <n v="1"/>
    <n v="0"/>
    <n v="2739"/>
    <n v="0"/>
    <n v="16.434"/>
    <n v="2722.566"/>
    <n v="0"/>
    <n v="0"/>
    <m/>
    <m/>
    <s v="子贤"/>
    <s v="广东省 广州市 越秀区 登峰街道广园东路金贵村长腰岭三街二号801"/>
    <s v="15710702774-5124"/>
    <m/>
    <m/>
    <m/>
    <m/>
  </r>
  <r>
    <x v="262"/>
    <s v="已发"/>
    <s v="4502289638016036132"/>
    <s v="侯雨"/>
    <m/>
    <m/>
    <s v="1米洞石窄柜"/>
    <x v="33"/>
    <m/>
    <m/>
    <s v="江西"/>
    <m/>
    <m/>
    <n v="359.08"/>
    <m/>
    <m/>
    <m/>
    <n v="190"/>
    <m/>
    <n v="31"/>
    <m/>
    <m/>
    <m/>
    <n v="18"/>
    <m/>
    <m/>
    <m/>
    <m/>
    <m/>
    <m/>
    <m/>
    <m/>
    <m/>
    <m/>
    <m/>
    <m/>
    <m/>
    <m/>
    <m/>
    <m/>
    <m/>
    <m/>
    <m/>
    <m/>
    <m/>
    <m/>
    <m/>
    <m/>
    <m/>
    <n v="1"/>
    <n v="0"/>
    <n v="5620.6"/>
    <n v="0"/>
    <n v="33.7236"/>
    <n v="5586.8764"/>
    <n v="0"/>
    <n v="0"/>
    <m/>
    <m/>
    <s v="侯雨"/>
    <s v="山东省 青岛市 黄岛区 隐珠街道 黄岛区海景路398号28号楼1单元1204户"/>
    <s v="18416726225-7041"/>
    <m/>
    <m/>
    <m/>
    <m/>
  </r>
  <r>
    <x v="262"/>
    <s v="已发"/>
    <s v="4502290357027043141"/>
    <s v="陆宏玲"/>
    <m/>
    <m/>
    <s v="1600*850*750"/>
    <x v="36"/>
    <m/>
    <m/>
    <s v="江西"/>
    <m/>
    <m/>
    <m/>
    <m/>
    <m/>
    <m/>
    <n v="220"/>
    <m/>
    <m/>
    <m/>
    <m/>
    <m/>
    <m/>
    <m/>
    <m/>
    <m/>
    <m/>
    <m/>
    <m/>
    <m/>
    <m/>
    <m/>
    <m/>
    <m/>
    <m/>
    <m/>
    <m/>
    <m/>
    <m/>
    <m/>
    <m/>
    <m/>
    <n v="70"/>
    <m/>
    <m/>
    <m/>
    <m/>
    <m/>
    <n v="1"/>
    <n v="70"/>
    <n v="3343.07"/>
    <n v="0"/>
    <n v="20.05842"/>
    <n v="3323.01158"/>
    <n v="0"/>
    <n v="0"/>
    <m/>
    <m/>
    <s v="陆宏玲"/>
    <s v="安徽省 合肥市 瑶海区 七里塘街道新店雅苑C区12栋1701"/>
    <s v="13124814438-6705"/>
    <m/>
    <m/>
    <m/>
    <m/>
  </r>
  <r>
    <x v="263"/>
    <s v="已发"/>
    <s v="4502295900033001531"/>
    <s v="六某某"/>
    <m/>
    <m/>
    <s v="1600*800*750"/>
    <x v="1"/>
    <m/>
    <m/>
    <s v="江西"/>
    <m/>
    <m/>
    <m/>
    <m/>
    <m/>
    <m/>
    <n v="480"/>
    <m/>
    <m/>
    <m/>
    <m/>
    <m/>
    <m/>
    <m/>
    <m/>
    <m/>
    <m/>
    <m/>
    <m/>
    <m/>
    <m/>
    <m/>
    <m/>
    <m/>
    <m/>
    <m/>
    <m/>
    <m/>
    <m/>
    <m/>
    <m/>
    <m/>
    <m/>
    <m/>
    <m/>
    <m/>
    <m/>
    <m/>
    <n v="1"/>
    <n v="0"/>
    <n v="2699.74"/>
    <n v="0"/>
    <n v="16.19844"/>
    <n v="2683.54156"/>
    <n v="0"/>
    <n v="0"/>
    <m/>
    <m/>
    <s v="六某某"/>
    <s v="江西省 九江市 庐山市 南康镇庐山市城东4期1栋2单元603"/>
    <s v="18465605974-9375"/>
    <m/>
    <m/>
    <m/>
    <m/>
  </r>
  <r>
    <x v="263"/>
    <s v="已发"/>
    <s v="2701849657028016669"/>
    <s v="梁雪桐"/>
    <m/>
    <m/>
    <s v="1600*800*750"/>
    <x v="1"/>
    <m/>
    <m/>
    <s v="江西"/>
    <m/>
    <m/>
    <m/>
    <m/>
    <m/>
    <m/>
    <n v="220"/>
    <m/>
    <m/>
    <m/>
    <m/>
    <m/>
    <m/>
    <m/>
    <m/>
    <m/>
    <m/>
    <m/>
    <m/>
    <m/>
    <m/>
    <m/>
    <m/>
    <m/>
    <m/>
    <m/>
    <m/>
    <m/>
    <m/>
    <m/>
    <m/>
    <m/>
    <m/>
    <m/>
    <m/>
    <m/>
    <m/>
    <m/>
    <n v="1"/>
    <n v="0"/>
    <n v="2699.74"/>
    <n v="0"/>
    <n v="16.19844"/>
    <n v="2683.54156"/>
    <n v="0"/>
    <n v="0"/>
    <m/>
    <m/>
    <s v="梁雪桐"/>
    <s v="广西壮族自治区 北海市 海城区 高德街道中港城2期长沙湾4幢2304"/>
    <s v="15577931473-4047"/>
    <m/>
    <m/>
    <m/>
    <m/>
  </r>
  <r>
    <x v="263"/>
    <s v="已发"/>
    <s v="4502316817007060327"/>
    <s v="九久勼"/>
    <m/>
    <m/>
    <s v="1米洞石窄柜"/>
    <x v="33"/>
    <m/>
    <m/>
    <s v="江西"/>
    <m/>
    <m/>
    <n v="359.08"/>
    <m/>
    <m/>
    <m/>
    <n v="190"/>
    <m/>
    <n v="31"/>
    <m/>
    <m/>
    <m/>
    <n v="18"/>
    <m/>
    <m/>
    <m/>
    <m/>
    <m/>
    <m/>
    <m/>
    <m/>
    <m/>
    <m/>
    <m/>
    <m/>
    <m/>
    <m/>
    <m/>
    <m/>
    <m/>
    <m/>
    <m/>
    <m/>
    <m/>
    <m/>
    <m/>
    <m/>
    <m/>
    <n v="1"/>
    <n v="0"/>
    <n v="5620.6"/>
    <n v="0"/>
    <n v="33.7236"/>
    <n v="5586.8764"/>
    <n v="0"/>
    <n v="0"/>
    <m/>
    <m/>
    <s v="九久勼"/>
    <s v="湖北省 武汉市 武昌区 中南路街道石牌岭路岭地金居B栋一单元2603"/>
    <s v="15783640114-7678"/>
    <m/>
    <m/>
    <m/>
    <m/>
  </r>
  <r>
    <x v="264"/>
    <s v="已发"/>
    <s v="2701852502048050474"/>
    <s v="汪(525440)"/>
    <m/>
    <m/>
    <s v="1.8*1洞石岩板"/>
    <x v="1"/>
    <m/>
    <m/>
    <s v="江西"/>
    <m/>
    <m/>
    <m/>
    <m/>
    <m/>
    <m/>
    <n v="680"/>
    <m/>
    <m/>
    <m/>
    <m/>
    <m/>
    <m/>
    <m/>
    <m/>
    <m/>
    <m/>
    <m/>
    <m/>
    <m/>
    <m/>
    <m/>
    <m/>
    <m/>
    <m/>
    <m/>
    <m/>
    <m/>
    <m/>
    <m/>
    <m/>
    <m/>
    <m/>
    <m/>
    <m/>
    <m/>
    <m/>
    <m/>
    <n v="1"/>
    <n v="0"/>
    <n v="3420"/>
    <n v="0"/>
    <n v="20.52"/>
    <n v="3399.48"/>
    <n v="0"/>
    <n v="0"/>
    <m/>
    <m/>
    <s v="汪(525440)"/>
    <s v="广东省 东莞市  万江街道新和帮凹村新下路5号环邮仓(525440）号"/>
    <n v="15818688186"/>
    <m/>
    <m/>
    <m/>
    <m/>
  </r>
  <r>
    <x v="265"/>
    <m/>
    <s v="4502313686095021915"/>
    <s v="卡卡"/>
    <m/>
    <m/>
    <s v="1.8米木背板榉木餐边柜，长红玻璃"/>
    <x v="9"/>
    <m/>
    <m/>
    <s v="江西"/>
    <m/>
    <m/>
    <m/>
    <m/>
    <m/>
    <m/>
    <n v="130"/>
    <m/>
    <n v="31"/>
    <m/>
    <m/>
    <m/>
    <m/>
    <m/>
    <m/>
    <m/>
    <m/>
    <m/>
    <m/>
    <m/>
    <m/>
    <m/>
    <m/>
    <m/>
    <m/>
    <m/>
    <m/>
    <m/>
    <m/>
    <m/>
    <m/>
    <m/>
    <m/>
    <m/>
    <m/>
    <m/>
    <m/>
    <m/>
    <n v="1"/>
    <n v="0"/>
    <n v="8168.45"/>
    <n v="0"/>
    <n v="49.0107"/>
    <n v="8119.4393"/>
    <n v="0"/>
    <n v="0"/>
    <m/>
    <m/>
    <s v="卡卡"/>
    <s v="贵州省 黔南布依族苗族自治州 瓮安县 瓮水街道锦美河畔阳光b区2号楼7-3"/>
    <s v="18468541869-6407"/>
    <m/>
    <m/>
    <m/>
    <m/>
  </r>
  <r>
    <x v="265"/>
    <s v="已发"/>
    <s v="4502310771110033538"/>
    <s v="潘德沐"/>
    <m/>
    <m/>
    <s v="1.2米洞石窄柜"/>
    <x v="33"/>
    <m/>
    <m/>
    <s v="江西"/>
    <m/>
    <m/>
    <n v="411.08"/>
    <m/>
    <m/>
    <m/>
    <n v="220"/>
    <n v="43.5"/>
    <n v="31"/>
    <m/>
    <m/>
    <m/>
    <n v="18"/>
    <m/>
    <m/>
    <m/>
    <m/>
    <m/>
    <m/>
    <m/>
    <m/>
    <m/>
    <m/>
    <m/>
    <m/>
    <m/>
    <m/>
    <m/>
    <m/>
    <m/>
    <m/>
    <m/>
    <m/>
    <m/>
    <m/>
    <m/>
    <m/>
    <m/>
    <n v="1"/>
    <n v="0"/>
    <n v="5858.4"/>
    <n v="0"/>
    <n v="35.1504"/>
    <n v="5823.249599999999"/>
    <n v="0"/>
    <n v="0"/>
    <m/>
    <m/>
    <s v="潘德沐"/>
    <s v="广东省 东莞市  万江街道天健阅江来4栋502"/>
    <s v="18824520752-8264"/>
    <m/>
    <m/>
    <m/>
    <m/>
  </r>
  <r>
    <x v="265"/>
    <m/>
    <s v="4502307205105103822"/>
    <s v="丁小姐"/>
    <m/>
    <m/>
    <m/>
    <x v="44"/>
    <m/>
    <m/>
    <s v="江西"/>
    <m/>
    <m/>
    <m/>
    <m/>
    <m/>
    <m/>
    <m/>
    <m/>
    <m/>
    <m/>
    <m/>
    <m/>
    <m/>
    <m/>
    <m/>
    <m/>
    <m/>
    <m/>
    <m/>
    <m/>
    <m/>
    <m/>
    <m/>
    <m/>
    <m/>
    <m/>
    <m/>
    <m/>
    <m/>
    <m/>
    <m/>
    <m/>
    <m/>
    <m/>
    <m/>
    <m/>
    <m/>
    <m/>
    <n v="1"/>
    <n v="0"/>
    <n v="199.76"/>
    <n v="0"/>
    <n v="1.19856"/>
    <n v="198.56144"/>
    <n v="0"/>
    <n v="0"/>
    <m/>
    <m/>
    <s v="丁小姐"/>
    <s v="广东省 广州市 黄埔区 文冲街道文冲安置房八期H7栋203房"/>
    <s v="13242815503-8606"/>
    <m/>
    <m/>
    <m/>
    <m/>
  </r>
  <r>
    <x v="265"/>
    <s v="已发"/>
    <s v="2701851492140020684"/>
    <s v="刘显睿"/>
    <m/>
    <m/>
    <s v="1600*800*750"/>
    <x v="1"/>
    <m/>
    <m/>
    <s v="江西"/>
    <m/>
    <m/>
    <m/>
    <m/>
    <m/>
    <m/>
    <n v="220"/>
    <m/>
    <m/>
    <m/>
    <m/>
    <m/>
    <m/>
    <m/>
    <m/>
    <m/>
    <m/>
    <m/>
    <m/>
    <m/>
    <m/>
    <m/>
    <m/>
    <m/>
    <m/>
    <m/>
    <m/>
    <m/>
    <m/>
    <m/>
    <m/>
    <m/>
    <m/>
    <m/>
    <m/>
    <m/>
    <m/>
    <m/>
    <n v="1"/>
    <n v="0"/>
    <n v="2699.74"/>
    <n v="0"/>
    <n v="16.19844"/>
    <n v="2683.54156"/>
    <n v="0"/>
    <n v="0"/>
    <m/>
    <m/>
    <s v="刘显睿"/>
    <s v="湖北省 孝感市 孝南区 孝感开发区槐荫街道天纵御府2栋2单元24楼"/>
    <s v="15783646951-2723"/>
    <m/>
    <m/>
    <m/>
    <m/>
  </r>
  <r>
    <x v="266"/>
    <s v="已发"/>
    <s v="2701871510031025482"/>
    <s v="罗文通"/>
    <m/>
    <m/>
    <s v="2000*850*750"/>
    <x v="1"/>
    <m/>
    <m/>
    <s v="江西"/>
    <m/>
    <m/>
    <m/>
    <m/>
    <m/>
    <m/>
    <n v="290"/>
    <m/>
    <m/>
    <m/>
    <m/>
    <m/>
    <m/>
    <m/>
    <m/>
    <m/>
    <m/>
    <m/>
    <m/>
    <m/>
    <m/>
    <m/>
    <m/>
    <m/>
    <m/>
    <m/>
    <m/>
    <m/>
    <m/>
    <m/>
    <m/>
    <m/>
    <m/>
    <m/>
    <m/>
    <m/>
    <m/>
    <m/>
    <n v="1"/>
    <n v="0"/>
    <n v="3024.03"/>
    <n v="0"/>
    <n v="18.14418"/>
    <n v="3005.88582"/>
    <n v="0"/>
    <n v="0"/>
    <m/>
    <m/>
    <s v="罗文通"/>
    <s v="四川省 成都市 双流区 黄龙溪镇黄龙溪"/>
    <s v="13094431949-7397"/>
    <m/>
    <m/>
    <m/>
    <m/>
  </r>
  <r>
    <x v="267"/>
    <s v="已发"/>
    <s v="3297759996216072459"/>
    <s v="李嘉儿"/>
    <m/>
    <m/>
    <s v="1400*800*750"/>
    <x v="1"/>
    <m/>
    <m/>
    <s v="江西"/>
    <m/>
    <m/>
    <m/>
    <m/>
    <m/>
    <m/>
    <n v="220"/>
    <m/>
    <m/>
    <m/>
    <m/>
    <m/>
    <m/>
    <m/>
    <m/>
    <m/>
    <m/>
    <m/>
    <m/>
    <m/>
    <m/>
    <m/>
    <m/>
    <m/>
    <m/>
    <m/>
    <m/>
    <m/>
    <m/>
    <m/>
    <m/>
    <m/>
    <m/>
    <m/>
    <m/>
    <m/>
    <m/>
    <m/>
    <n v="1"/>
    <n v="0"/>
    <n v="2726.98"/>
    <n v="0"/>
    <n v="16.36188"/>
    <n v="2710.61812"/>
    <n v="0"/>
    <n v="0"/>
    <m/>
    <m/>
    <s v="李嘉儿"/>
    <s v="广东省 东莞市  东城街道海德琥珀台8栋2单元1104"/>
    <s v="18824533744-7987"/>
    <m/>
    <m/>
    <m/>
    <m/>
  </r>
  <r>
    <x v="267"/>
    <s v="已发"/>
    <s v="3297443054244029653"/>
    <s v="杨洁"/>
    <m/>
    <m/>
    <s v="1600*800*750"/>
    <x v="1"/>
    <m/>
    <m/>
    <s v="江西"/>
    <m/>
    <m/>
    <m/>
    <m/>
    <m/>
    <m/>
    <n v="220"/>
    <m/>
    <m/>
    <m/>
    <m/>
    <m/>
    <m/>
    <m/>
    <m/>
    <m/>
    <m/>
    <m/>
    <m/>
    <m/>
    <m/>
    <m/>
    <m/>
    <m/>
    <m/>
    <m/>
    <m/>
    <m/>
    <m/>
    <m/>
    <m/>
    <m/>
    <m/>
    <m/>
    <m/>
    <m/>
    <m/>
    <m/>
    <n v="1"/>
    <n v="0"/>
    <n v="2699.74"/>
    <n v="0"/>
    <n v="16.19844"/>
    <n v="2683.54156"/>
    <n v="0"/>
    <n v="0"/>
    <m/>
    <m/>
    <s v="杨洁"/>
    <s v="福建省 福州市 台江区 上海街道工业路博美诗邦5座1104室"/>
    <s v="18480100477-3298"/>
    <m/>
    <m/>
    <m/>
    <m/>
  </r>
  <r>
    <x v="267"/>
    <m/>
    <s v="5111225679759002307"/>
    <s v="Mickey"/>
    <m/>
    <m/>
    <s v="1.8洞石柜"/>
    <x v="35"/>
    <m/>
    <m/>
    <s v="江西"/>
    <m/>
    <m/>
    <m/>
    <m/>
    <m/>
    <m/>
    <n v="580"/>
    <m/>
    <n v="31"/>
    <m/>
    <m/>
    <m/>
    <m/>
    <m/>
    <m/>
    <m/>
    <m/>
    <m/>
    <m/>
    <m/>
    <m/>
    <m/>
    <m/>
    <m/>
    <m/>
    <m/>
    <m/>
    <m/>
    <m/>
    <m/>
    <m/>
    <m/>
    <m/>
    <m/>
    <m/>
    <m/>
    <m/>
    <m/>
    <n v="1"/>
    <n v="0"/>
    <n v="11895.39"/>
    <n v="0"/>
    <n v="71.37233999999999"/>
    <n v="11824.01766"/>
    <n v="0"/>
    <n v="0"/>
    <m/>
    <m/>
    <s v="Mickey"/>
    <s v="上海 上海市 浦东新区 金桥镇金葵路288弄18号802室"/>
    <s v="18466943104-6649"/>
    <m/>
    <m/>
    <m/>
    <m/>
  </r>
  <r>
    <x v="268"/>
    <s v="已发"/>
    <s v="5112223848540017018"/>
    <s v="顾立锋"/>
    <m/>
    <m/>
    <s v="组合柜地脚"/>
    <x v="14"/>
    <m/>
    <m/>
    <s v="江西"/>
    <m/>
    <m/>
    <m/>
    <m/>
    <m/>
    <m/>
    <m/>
    <m/>
    <m/>
    <m/>
    <m/>
    <m/>
    <m/>
    <m/>
    <m/>
    <m/>
    <m/>
    <m/>
    <m/>
    <m/>
    <m/>
    <m/>
    <m/>
    <m/>
    <m/>
    <m/>
    <m/>
    <m/>
    <m/>
    <m/>
    <m/>
    <m/>
    <m/>
    <m/>
    <m/>
    <m/>
    <m/>
    <m/>
    <n v="1"/>
    <n v="0"/>
    <n v="142"/>
    <n v="0"/>
    <n v="0.852"/>
    <n v="141.148"/>
    <n v="0"/>
    <n v="0"/>
    <m/>
    <m/>
    <s v="顾立锋"/>
    <s v="江苏省 无锡市 锡山区"/>
    <s v="18468313590-6878"/>
    <m/>
    <m/>
    <m/>
    <m/>
  </r>
  <r>
    <x v="268"/>
    <s v="已发"/>
    <s v="5115783241340027720"/>
    <s v="周陈虹"/>
    <m/>
    <m/>
    <s v="1.8箱体床"/>
    <x v="45"/>
    <m/>
    <m/>
    <s v="江西"/>
    <m/>
    <m/>
    <m/>
    <m/>
    <m/>
    <m/>
    <m/>
    <m/>
    <m/>
    <m/>
    <m/>
    <m/>
    <m/>
    <m/>
    <m/>
    <m/>
    <m/>
    <m/>
    <m/>
    <m/>
    <m/>
    <m/>
    <m/>
    <m/>
    <m/>
    <m/>
    <m/>
    <m/>
    <m/>
    <m/>
    <m/>
    <m/>
    <m/>
    <m/>
    <m/>
    <m/>
    <m/>
    <m/>
    <n v="1"/>
    <n v="0"/>
    <n v="142"/>
    <n v="0"/>
    <n v="0.852"/>
    <n v="141.148"/>
    <n v="0"/>
    <n v="0"/>
    <m/>
    <m/>
    <s v="周陈虹"/>
    <s v="上海 上海市 浦东新区 唐镇春泉路45弄56号802"/>
    <s v="18466820883-1118"/>
    <m/>
    <m/>
    <m/>
    <m/>
  </r>
  <r>
    <x v="269"/>
    <m/>
    <s v="5112276194329029734"/>
    <s v="大队长"/>
    <m/>
    <m/>
    <s v="樱桃木老款餐桌1300*800*750"/>
    <x v="28"/>
    <m/>
    <m/>
    <s v="江西"/>
    <m/>
    <m/>
    <m/>
    <m/>
    <m/>
    <m/>
    <m/>
    <m/>
    <m/>
    <m/>
    <m/>
    <m/>
    <m/>
    <m/>
    <m/>
    <m/>
    <m/>
    <m/>
    <m/>
    <m/>
    <m/>
    <m/>
    <m/>
    <m/>
    <m/>
    <m/>
    <m/>
    <m/>
    <m/>
    <m/>
    <m/>
    <m/>
    <m/>
    <m/>
    <m/>
    <m/>
    <m/>
    <m/>
    <n v="1"/>
    <n v="0"/>
    <n v="1694"/>
    <n v="0"/>
    <n v="10.164"/>
    <n v="1683.836"/>
    <n v="0"/>
    <n v="0"/>
    <m/>
    <m/>
    <s v="大队长"/>
    <s v="北京 北京市 海淀区 北下关街道学院南路甲82号院北门"/>
    <s v="18400891316-3406"/>
    <m/>
    <m/>
    <m/>
    <m/>
  </r>
  <r>
    <x v="270"/>
    <m/>
    <s v="3298648729849018797"/>
    <s v="韩女生"/>
    <m/>
    <m/>
    <s v="1.2米洞石窄柜，备货"/>
    <x v="33"/>
    <m/>
    <m/>
    <s v="江西"/>
    <m/>
    <m/>
    <n v="411.08"/>
    <m/>
    <m/>
    <m/>
    <n v="220"/>
    <n v="43.5"/>
    <n v="31"/>
    <m/>
    <m/>
    <m/>
    <n v="18"/>
    <m/>
    <m/>
    <m/>
    <m/>
    <m/>
    <m/>
    <m/>
    <m/>
    <m/>
    <m/>
    <m/>
    <m/>
    <m/>
    <m/>
    <m/>
    <m/>
    <m/>
    <m/>
    <m/>
    <m/>
    <m/>
    <m/>
    <m/>
    <m/>
    <m/>
    <n v="1"/>
    <n v="0"/>
    <n v="5853.4"/>
    <n v="0"/>
    <n v="35.1204"/>
    <n v="5818.2796"/>
    <n v="0"/>
    <n v="0"/>
    <m/>
    <m/>
    <s v="韩女生"/>
    <s v="北京 北京市 丰台区 南苑街道建发璟院5号楼2单元101的地下室，室内二层"/>
    <s v="18400942864-8507"/>
    <m/>
    <m/>
    <m/>
    <m/>
  </r>
  <r>
    <x v="246"/>
    <m/>
    <m/>
    <m/>
    <m/>
    <m/>
    <m/>
    <x v="4"/>
    <m/>
    <m/>
    <m/>
    <m/>
    <m/>
    <m/>
    <m/>
    <m/>
    <m/>
    <m/>
    <m/>
    <m/>
    <m/>
    <m/>
    <m/>
    <m/>
    <m/>
    <m/>
    <m/>
    <m/>
    <m/>
    <m/>
    <m/>
    <m/>
    <m/>
    <m/>
    <m/>
    <m/>
    <m/>
    <m/>
    <m/>
    <m/>
    <m/>
    <m/>
    <m/>
    <m/>
    <m/>
    <m/>
    <m/>
    <m/>
    <m/>
    <n v="1"/>
    <n v="0"/>
    <m/>
    <n v="0"/>
    <n v="0"/>
    <n v="0"/>
    <n v="0"/>
    <n v="0"/>
    <m/>
    <m/>
    <m/>
    <m/>
    <m/>
    <m/>
    <m/>
    <m/>
    <m/>
  </r>
  <r>
    <x v="246"/>
    <m/>
    <m/>
    <m/>
    <m/>
    <m/>
    <m/>
    <x v="4"/>
    <m/>
    <m/>
    <m/>
    <m/>
    <m/>
    <m/>
    <m/>
    <m/>
    <m/>
    <m/>
    <m/>
    <m/>
    <m/>
    <m/>
    <m/>
    <m/>
    <m/>
    <m/>
    <m/>
    <m/>
    <m/>
    <m/>
    <m/>
    <m/>
    <m/>
    <m/>
    <m/>
    <m/>
    <m/>
    <m/>
    <m/>
    <m/>
    <m/>
    <m/>
    <m/>
    <m/>
    <m/>
    <m/>
    <m/>
    <m/>
    <m/>
    <n v="1"/>
    <n v="0"/>
    <m/>
    <n v="0"/>
    <n v="0"/>
    <n v="0"/>
    <n v="0"/>
    <n v="0"/>
    <m/>
    <m/>
    <m/>
    <m/>
    <m/>
    <m/>
    <m/>
    <m/>
    <m/>
  </r>
  <r>
    <x v="246"/>
    <m/>
    <m/>
    <m/>
    <m/>
    <m/>
    <m/>
    <x v="4"/>
    <m/>
    <m/>
    <m/>
    <m/>
    <m/>
    <m/>
    <m/>
    <m/>
    <m/>
    <m/>
    <m/>
    <m/>
    <m/>
    <m/>
    <m/>
    <m/>
    <m/>
    <m/>
    <m/>
    <m/>
    <m/>
    <m/>
    <m/>
    <m/>
    <m/>
    <m/>
    <m/>
    <m/>
    <m/>
    <m/>
    <m/>
    <m/>
    <m/>
    <m/>
    <m/>
    <m/>
    <m/>
    <m/>
    <m/>
    <m/>
    <m/>
    <n v="1"/>
    <n v="0"/>
    <m/>
    <n v="0"/>
    <n v="0"/>
    <n v="0"/>
    <n v="0"/>
    <n v="0"/>
    <m/>
    <m/>
    <m/>
    <m/>
    <m/>
    <m/>
    <m/>
    <m/>
    <m/>
  </r>
  <r>
    <x v="246"/>
    <m/>
    <m/>
    <m/>
    <m/>
    <m/>
    <m/>
    <x v="4"/>
    <m/>
    <m/>
    <m/>
    <m/>
    <m/>
    <m/>
    <m/>
    <m/>
    <m/>
    <m/>
    <m/>
    <m/>
    <m/>
    <m/>
    <m/>
    <m/>
    <m/>
    <m/>
    <m/>
    <m/>
    <m/>
    <m/>
    <m/>
    <m/>
    <m/>
    <m/>
    <m/>
    <m/>
    <m/>
    <m/>
    <m/>
    <m/>
    <m/>
    <m/>
    <m/>
    <m/>
    <m/>
    <m/>
    <m/>
    <m/>
    <m/>
    <n v="1"/>
    <n v="0"/>
    <m/>
    <n v="0"/>
    <n v="0"/>
    <n v="0"/>
    <n v="0"/>
    <n v="0"/>
    <m/>
    <m/>
    <m/>
    <m/>
    <m/>
    <m/>
    <m/>
    <m/>
    <m/>
  </r>
  <r>
    <x v="246"/>
    <m/>
    <m/>
    <m/>
    <m/>
    <m/>
    <m/>
    <x v="4"/>
    <m/>
    <m/>
    <m/>
    <m/>
    <m/>
    <m/>
    <m/>
    <m/>
    <m/>
    <m/>
    <m/>
    <m/>
    <m/>
    <m/>
    <m/>
    <m/>
    <m/>
    <m/>
    <m/>
    <m/>
    <m/>
    <m/>
    <m/>
    <m/>
    <m/>
    <m/>
    <m/>
    <m/>
    <m/>
    <m/>
    <m/>
    <m/>
    <m/>
    <m/>
    <n v="0"/>
    <n v="0"/>
    <n v="0"/>
    <n v="0"/>
    <n v="0"/>
    <n v="0"/>
    <n v="0"/>
    <n v="1"/>
    <n v="0"/>
    <m/>
    <n v="0"/>
    <n v="0"/>
    <n v="0"/>
    <n v="0"/>
    <n v="0"/>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pivotTable1.xml><?xml version="1.0" encoding="utf-8"?>
<pivotTableDefinition xmlns:r="http://schemas.openxmlformats.org/officeDocument/2006/relationships" xmlns="http://schemas.openxmlformats.org/spreadsheetml/2006/main" name="数据透视表3" cacheId="25" dataOnRows="0" dataCaption="值"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CI5:CY24" firstHeaderRow="0" firstDataRow="1" firstDataCol="4"/>
  <pivotFields count="67">
    <pivotField axis="axisRow" showDropDowns="1" compact="0" outline="0" subtotalTop="1" dragToRow="1" dragToCol="1" dragToPage="1" dragToData="1" dragOff="1" showAll="0" topAutoShow="1" itemPageCount="10" sortType="manual" defaultSubtotal="0">
      <items count="469">
        <item t="data" sd="1" m="1" x="274"/>
        <item t="data" sd="1" m="1" x="275"/>
        <item t="data" sd="1" m="1" x="276"/>
        <item t="data" sd="1" m="1" x="277"/>
        <item t="data" sd="1" m="1" x="278"/>
        <item t="data" sd="1" m="1" x="279"/>
        <item t="data" sd="1" m="1" x="280"/>
        <item t="data" sd="1" m="1" x="281"/>
        <item t="data" sd="1" m="1" x="282"/>
        <item t="data" sd="1" m="1" x="283"/>
        <item t="data" sd="1" m="1" x="284"/>
        <item t="data" sd="1" m="1" x="285"/>
        <item t="data" sd="1" m="1" x="286"/>
        <item t="data" sd="1" m="1" x="287"/>
        <item t="data" sd="1" m="1" x="288"/>
        <item t="data" sd="1" m="1" x="289"/>
        <item t="data" sd="1" m="1" x="290"/>
        <item t="data" sd="1" m="1" x="291"/>
        <item t="data" sd="1" m="1" x="292"/>
        <item t="data" sd="1" m="1" x="293"/>
        <item t="data" sd="1" m="1" x="294"/>
        <item t="data" sd="1" m="1" x="295"/>
        <item t="data" sd="1" m="1" x="296"/>
        <item t="data" sd="1" m="1" x="297"/>
        <item t="data" sd="1" m="1" x="298"/>
        <item t="data" sd="1" m="1" x="300"/>
        <item t="data" sd="1" m="1" x="301"/>
        <item t="data" sd="1" m="1" x="302"/>
        <item t="data" sd="1" m="1" x="303"/>
        <item t="data" sd="1" m="1" x="304"/>
        <item t="data" sd="1" m="1" x="299"/>
        <item t="data" sd="1" m="1" x="305"/>
        <item t="data" sd="1" m="1" x="306"/>
        <item t="data" sd="1" m="1" x="308"/>
        <item t="data" sd="1" m="1" x="309"/>
        <item t="data" sd="1" m="1" x="310"/>
        <item t="data" sd="1" m="1" x="311"/>
        <item t="data" sd="1" m="1" x="312"/>
        <item t="data" sd="1" m="1" x="313"/>
        <item t="data" sd="1" m="1" x="314"/>
        <item t="data" sd="1" m="1" x="315"/>
        <item t="data" sd="1" m="1" x="317"/>
        <item t="data" sd="1" m="1" x="318"/>
        <item t="data" sd="1" m="1" x="319"/>
        <item t="data" sd="1" m="1" x="320"/>
        <item t="data" sd="1" m="1" x="321"/>
        <item t="data" sd="1" m="1" x="322"/>
        <item t="data" sd="1" m="1" x="323"/>
        <item t="data" sd="1" m="1" x="324"/>
        <item t="data" sd="1" m="1" x="325"/>
        <item t="data" sd="1" m="1" x="326"/>
        <item t="data" sd="1" m="1" x="327"/>
        <item t="data" sd="1" m="1" x="328"/>
        <item t="data" sd="1" m="1" x="330"/>
        <item t="data" sd="1" m="1" x="331"/>
        <item t="data" sd="1" m="1" x="332"/>
        <item t="data" sd="1" m="1" x="467"/>
        <item t="data" sd="1" m="1" x="336"/>
        <item t="data" sd="1" m="1" x="337"/>
        <item t="data" sd="1" m="1" x="338"/>
        <item t="data" sd="1" m="1" x="339"/>
        <item t="data" sd="1" m="1" x="340"/>
        <item t="data" sd="1" m="1" x="341"/>
        <item t="data" sd="1" m="1" x="342"/>
        <item t="data" sd="1" m="1" x="344"/>
        <item t="data" sd="1" m="1" x="345"/>
        <item t="data" sd="1" m="1" x="346"/>
        <item t="data" sd="1" m="1" x="347"/>
        <item t="data" sd="1" m="1" x="348"/>
        <item t="data" sd="1" m="1" x="349"/>
        <item t="data" sd="1" m="1" x="351"/>
        <item t="data" sd="1" m="1" x="352"/>
        <item t="data" sd="1" m="1" x="353"/>
        <item t="data" sd="1" m="1" x="354"/>
        <item t="data" sd="1" m="1" x="355"/>
        <item t="data" sd="1" m="1" x="356"/>
        <item t="data" sd="1" m="1" x="357"/>
        <item t="data" sd="1" m="1" x="359"/>
        <item t="data" sd="1" m="1" x="360"/>
        <item t="data" sd="1" m="1" x="361"/>
        <item t="data" sd="1" m="1" x="362"/>
        <item t="data" sd="1" m="1" x="363"/>
        <item t="data" sd="1" m="1" x="364"/>
        <item t="data" sd="1" m="1" x="365"/>
        <item t="data" sd="1" m="1" x="366"/>
        <item t="data" sd="1" m="1" x="367"/>
        <item t="data" sd="1" m="1" x="368"/>
        <item t="data" sd="1" m="1" x="369"/>
        <item t="data" sd="1" m="1" x="370"/>
        <item t="data" sd="1" m="1" x="372"/>
        <item t="data" sd="1" m="1" x="374"/>
        <item t="data" sd="1" m="1" x="375"/>
        <item t="data" sd="1" m="1" x="376"/>
        <item t="data" sd="1" m="1" x="377"/>
        <item t="data" sd="1" m="1" x="378"/>
        <item t="data" sd="1" m="1" x="379"/>
        <item t="data" sd="1" m="1" x="380"/>
        <item t="data" sd="1" m="1" x="381"/>
        <item t="data" sd="1" m="1" x="382"/>
        <item t="data" sd="1" m="1" x="383"/>
        <item t="data" sd="1" m="1" x="384"/>
        <item t="data" sd="1" m="1" x="385"/>
        <item t="data" sd="1" m="1" x="386"/>
        <item t="data" sd="1" m="1" x="387"/>
        <item t="data" sd="1" m="1" x="388"/>
        <item t="data" sd="1" m="1" x="389"/>
        <item t="data" sd="1" m="1" x="390"/>
        <item t="data" sd="1" m="1" x="391"/>
        <item t="data" sd="1" m="1" x="392"/>
        <item t="data" sd="1" m="1" x="393"/>
        <item t="data" sd="1" m="1" x="394"/>
        <item t="data" sd="1" m="1" x="396"/>
        <item t="data" sd="1" m="1" x="397"/>
        <item t="data" sd="1" m="1" x="398"/>
        <item t="data" sd="1" m="1" x="400"/>
        <item t="data" sd="1" m="1" x="401"/>
        <item t="data" sd="1" m="1" x="402"/>
        <item t="data" sd="1" m="1" x="403"/>
        <item t="data" sd="1" m="1" x="404"/>
        <item t="data" sd="1" m="1" x="405"/>
        <item t="data" sd="1" m="1" x="406"/>
        <item t="data" sd="1" m="1" x="407"/>
        <item t="data" sd="1" m="1" x="408"/>
        <item t="data" sd="1" m="1" x="409"/>
        <item t="data" sd="1" m="1" x="410"/>
        <item t="data" sd="1" m="1" x="411"/>
        <item t="data" sd="1" m="1" x="412"/>
        <item t="data" sd="1" m="1" x="413"/>
        <item t="data" sd="1" m="1" x="415"/>
        <item t="data" sd="1" m="1" x="417"/>
        <item t="data" sd="1" m="1" x="418"/>
        <item t="data" sd="1" m="1" x="420"/>
        <item t="data" sd="1" m="1" x="421"/>
        <item t="data" sd="1" m="1" x="422"/>
        <item t="data" sd="1" m="1" x="423"/>
        <item t="data" sd="1" m="1" x="424"/>
        <item t="data" sd="1" m="1" x="425"/>
        <item t="data" sd="1" m="1" x="426"/>
        <item t="data" sd="1" m="1" x="427"/>
        <item t="data" sd="1" m="1" x="428"/>
        <item t="data" sd="1" m="1" x="429"/>
        <item t="data" sd="1" m="1" x="468"/>
        <item t="data" sd="1" m="1" x="430"/>
        <item t="data" sd="1" m="1" x="431"/>
        <item t="data" sd="1" m="1" x="432"/>
        <item t="data" sd="1" m="1" x="434"/>
        <item t="data" sd="1" m="1" x="435"/>
        <item t="data" sd="1" m="1" x="436"/>
        <item t="data" sd="1" m="1" x="437"/>
        <item t="data" sd="1" m="1" x="438"/>
        <item t="data" sd="1" x="246"/>
        <item t="data" sd="1" m="1" x="350"/>
        <item t="data" sd="1" m="1" x="371"/>
        <item t="data" sd="1" m="1" x="373"/>
        <item t="data" sd="1" m="1" x="395"/>
        <item t="data" sd="1" m="1" x="399"/>
        <item t="data" sd="1" m="1" x="414"/>
        <item t="data" sd="1" m="1" x="416"/>
        <item t="data" sd="1" m="1" x="419"/>
        <item t="data" sd="1" m="1" x="433"/>
        <item t="data" sd="1" m="1" x="440"/>
        <item t="data" sd="1" m="1" x="441"/>
        <item t="data" sd="1" m="1" x="442"/>
        <item t="data" sd="1" m="1" x="443"/>
        <item t="data" sd="1" m="1" x="444"/>
        <item t="data" sd="1" m="1" x="445"/>
        <item t="data" sd="1" m="1" x="446"/>
        <item t="data" sd="1" m="1" x="447"/>
        <item t="data" sd="1" m="1" x="448"/>
        <item t="data" sd="1" m="1" x="449"/>
        <item t="data" sd="1" m="1" x="450"/>
        <item t="data" sd="1" m="1" x="452"/>
        <item t="data" sd="1" m="1" x="453"/>
        <item t="data" sd="1" m="1" x="454"/>
        <item t="data" sd="1" m="1" x="455"/>
        <item t="data" sd="1" m="1" x="456"/>
        <item t="data" sd="1" m="1" x="457"/>
        <item t="data" sd="1" m="1" x="458"/>
        <item t="data" sd="1" m="1" x="459"/>
        <item t="data" sd="1" m="1" x="460"/>
        <item t="data" sd="1" m="1" x="461"/>
        <item t="data" sd="1" m="1" x="462"/>
        <item t="data" sd="1" m="1" x="463"/>
        <item t="data" sd="1" m="1" x="464"/>
        <item t="data" sd="1" m="1" x="465"/>
        <item t="data" sd="1" x="0"/>
        <item t="data" sd="1" x="1"/>
        <item t="data" sd="1" x="2"/>
        <item t="data" sd="1" x="3"/>
        <item t="data" sd="1" x="6"/>
        <item t="data" sd="1" x="8"/>
        <item t="data" sd="1" x="10"/>
        <item t="data" sd="1" x="9"/>
        <item t="data" sd="1" x="12"/>
        <item t="data" sd="1" x="13"/>
        <item t="data" sd="1" x="15"/>
        <item t="data" sd="1" x="16"/>
        <item t="data" sd="1" x="17"/>
        <item t="data" sd="1" x="18"/>
        <item t="data" sd="1" x="19"/>
        <item t="data" sd="1" x="20"/>
        <item t="data" sd="1" m="1" x="272"/>
        <item t="data" sd="1" x="21"/>
        <item t="data" sd="1" x="22"/>
        <item t="data" sd="1" x="23"/>
        <item t="data" sd="1" x="24"/>
        <item t="data" sd="1" x="25"/>
        <item t="data" sd="1" x="26"/>
        <item t="data" sd="1" x="27"/>
        <item t="data" sd="1" x="28"/>
        <item t="data" sd="1" x="29"/>
        <item t="data" sd="1" x="30"/>
        <item t="data" sd="1" x="31"/>
        <item t="data" sd="1" x="33"/>
        <item t="data" sd="1" x="34"/>
        <item t="data" sd="1" x="35"/>
        <item t="data" sd="1" m="1" x="307"/>
        <item t="data" sd="1" m="1" x="316"/>
        <item t="data" sd="1" m="1" x="329"/>
        <item t="data" sd="1" m="1" x="333"/>
        <item t="data" sd="1" m="1" x="334"/>
        <item t="data" sd="1" m="1" x="335"/>
        <item t="data" sd="1" m="1" x="343"/>
        <item t="data" sd="1" m="1" x="358"/>
        <item t="data" sd="1" m="1" x="451"/>
        <item t="data" sd="1" x="7"/>
        <item t="data" sd="1" x="14"/>
        <item t="data" sd="1" x="32"/>
        <item t="data" sd="1" x="36"/>
        <item t="data" sd="1" x="37"/>
        <item t="data" sd="1" x="38"/>
        <item t="data" sd="1" x="39"/>
        <item t="data" sd="1" x="40"/>
        <item t="data" sd="1" x="41"/>
        <item t="data" sd="1" x="42"/>
        <item t="data" sd="1" x="43"/>
        <item t="data" sd="1" x="44"/>
        <item t="data" sd="1" x="45"/>
        <item t="data" sd="1" x="46"/>
        <item t="data" sd="1" x="47"/>
        <item t="data" sd="1" m="1" x="466"/>
        <item t="data" sd="1" x="48"/>
        <item t="data" sd="1" x="49"/>
        <item t="data" sd="1" x="50"/>
        <item t="data" sd="1" x="51"/>
        <item t="data" sd="1" x="52"/>
        <item t="data" sd="1" x="53"/>
        <item t="data" sd="1" x="56"/>
        <item t="data" sd="1" x="57"/>
        <item t="data" sd="1" x="58"/>
        <item t="data" sd="1" m="1" x="439"/>
        <item t="data" sd="1" x="4"/>
        <item t="data" sd="1" x="5"/>
        <item t="data" sd="1" x="55"/>
        <item t="data" sd="1" x="59"/>
        <item t="data" sd="1" x="60"/>
        <item t="data" sd="1" x="61"/>
        <item t="data" sd="1" x="62"/>
        <item t="data" sd="1" x="63"/>
        <item t="data" sd="1" x="64"/>
        <item t="data" sd="1" x="65"/>
        <item t="data" sd="1" x="66"/>
        <item t="data" sd="1" x="67"/>
        <item t="data" sd="1" x="68"/>
        <item t="data" sd="1" x="69"/>
        <item t="data" sd="1" x="70"/>
        <item t="data" sd="1" x="71"/>
        <item t="data" sd="1" x="73"/>
        <item t="data" sd="1" x="74"/>
        <item t="data" sd="1" x="75"/>
        <item t="data" sd="1" x="76"/>
        <item t="data" sd="1" x="77"/>
        <item t="data" sd="1" x="78"/>
        <item t="data" sd="1" x="79"/>
        <item t="data" sd="1" x="81"/>
        <item t="data" sd="1" x="82"/>
        <item t="data" sd="1" x="83"/>
        <item t="data" sd="1" x="84"/>
        <item t="data" sd="1" x="85"/>
        <item t="data" sd="1" x="86"/>
        <item t="data" sd="1" x="90"/>
        <item t="data" sd="1" x="91"/>
        <item t="data" sd="1" x="92"/>
        <item t="data" sd="1" x="94"/>
        <item t="data" sd="1" x="95"/>
        <item t="data" sd="1" x="96"/>
        <item t="data" sd="1" x="98"/>
        <item t="data" sd="1" x="99"/>
        <item t="data" sd="1" x="100"/>
        <item t="data" sd="1" x="101"/>
        <item t="data" sd="1" x="102"/>
        <item t="data" sd="1" x="103"/>
        <item t="data" sd="1" x="104"/>
        <item t="data" sd="1" x="105"/>
        <item t="data" sd="1" x="106"/>
        <item t="data" sd="1" x="107"/>
        <item t="data" sd="1" x="113"/>
        <item t="data" sd="1" x="114"/>
        <item t="data" sd="1" x="89"/>
        <item t="data" sd="1" x="93"/>
        <item t="data" sd="1" x="122"/>
        <item t="data" sd="1" x="124"/>
        <item t="data" sd="1" x="126"/>
        <item t="data" sd="1" x="127"/>
        <item t="data" sd="1" x="128"/>
        <item t="data" sd="1" x="129"/>
        <item t="data" sd="1" x="131"/>
        <item t="data" sd="1" x="132"/>
        <item t="data" sd="1" x="134"/>
        <item t="data" sd="1" x="136"/>
        <item t="data" sd="1" x="137"/>
        <item t="data" sd="1" x="138"/>
        <item t="data" sd="1" x="139"/>
        <item t="data" sd="1" x="140"/>
        <item t="data" sd="1" x="141"/>
        <item t="data" sd="1" x="142"/>
        <item t="data" sd="1" x="143"/>
        <item t="data" sd="1" x="144"/>
        <item t="data" sd="1" x="145"/>
        <item t="data" sd="1" x="146"/>
        <item t="data" sd="1" x="153"/>
        <item t="data" sd="1" x="130"/>
        <item t="data" sd="1" x="133"/>
        <item t="data" sd="1" m="1" x="273"/>
        <item t="data" sd="1" x="147"/>
        <item t="data" sd="1" x="148"/>
        <item t="data" sd="1" x="150"/>
        <item t="data" sd="1" x="151"/>
        <item t="data" sd="1" x="152"/>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87"/>
        <item t="data" sd="1" x="88"/>
        <item t="data" sd="1" m="1" x="271"/>
        <item t="data" sd="1" x="97"/>
        <item t="data" sd="1" x="108"/>
        <item t="data" sd="1" x="109"/>
        <item t="data" sd="1" x="110"/>
        <item t="data" sd="1" x="111"/>
        <item t="data" sd="1" x="112"/>
        <item t="data" sd="1" x="115"/>
        <item t="data" sd="1" x="116"/>
        <item t="data" sd="1" x="117"/>
        <item t="data" sd="1" x="118"/>
        <item t="data" sd="1" x="119"/>
        <item t="data" sd="1" x="120"/>
        <item t="data" sd="1" x="121"/>
        <item t="data" sd="1" x="123"/>
        <item t="data" sd="1" x="125"/>
        <item t="data" sd="1" x="135"/>
        <item t="data" sd="1" x="149"/>
        <item t="data" sd="1" x="54"/>
        <item t="data" sd="1" x="80"/>
        <item t="data" sd="1" x="1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72"/>
      </items>
    </pivotField>
    <pivotField showDropDowns="1" compact="0" outline="0" subtotalTop="1" dragToRow="1" dragToCol="1" dragToPage="1" dragToData="1" dragOff="1" showAll="0" topAutoShow="1" itemPageCount="10" sortType="manual" defaultSubtotal="0"/>
    <pivotField axis="axisRow" showDropDowns="1" compact="0" outline="0" subtotalTop="1" dragToRow="1" dragToCol="1" dragToPage="1" dragToData="1" dragOff="1" showAll="0" topAutoShow="1" itemPageCount="10" sortType="manual" defaultSubtotal="0">
      <items count="976">
        <item t="data" sd="1" m="1" x="642"/>
        <item t="data" sd="1" m="1" x="643"/>
        <item t="data" sd="1" m="1" x="658"/>
        <item t="data" sd="1" m="1" x="649"/>
        <item t="data" sd="1" m="1" x="646"/>
        <item t="data" sd="1" m="1" x="648"/>
        <item t="data" sd="1" m="1" x="652"/>
        <item t="data" sd="1" m="1" x="656"/>
        <item t="data" sd="1" m="1" x="657"/>
        <item t="data" sd="1" m="1" x="659"/>
        <item t="data" sd="1" m="1" x="660"/>
        <item t="data" sd="1" m="1" x="665"/>
        <item t="data" sd="1" m="1" x="667"/>
        <item t="data" sd="1" m="1" x="666"/>
        <item t="data" sd="1" m="1" x="672"/>
        <item t="data" sd="1" m="1" x="674"/>
        <item t="data" sd="1" m="1" x="681"/>
        <item t="data" sd="1" m="1" x="682"/>
        <item t="data" sd="1" m="1" x="687"/>
        <item t="data" sd="1" m="1" x="688"/>
        <item t="data" sd="1" m="1" x="698"/>
        <item t="data" sd="1" m="1" x="697"/>
        <item t="data" sd="1" m="1" x="700"/>
        <item t="data" sd="1" m="1" x="709"/>
        <item t="data" sd="1" m="1" x="713"/>
        <item t="data" sd="1" m="1" x="714"/>
        <item t="data" sd="1" m="1" x="719"/>
        <item t="data" sd="1" m="1" x="720"/>
        <item t="data" sd="1" m="1" x="975"/>
        <item t="data" sd="1" m="1" x="741"/>
        <item t="data" sd="1" m="1" x="744"/>
        <item t="data" sd="1" m="1" x="748"/>
        <item t="data" sd="1" m="1" x="751"/>
        <item t="data" sd="1" m="1" x="753"/>
        <item t="data" sd="1" m="1" x="754"/>
        <item t="data" sd="1" m="1" x="761"/>
        <item t="data" sd="1" m="1" x="759"/>
        <item t="data" sd="1" m="1" x="764"/>
        <item t="data" sd="1" m="1" x="768"/>
        <item t="data" sd="1" m="1" x="778"/>
        <item t="data" sd="1" m="1" x="973"/>
        <item t="data" sd="1" m="1" x="780"/>
        <item t="data" sd="1" m="1" x="781"/>
        <item t="data" sd="1" m="1" x="782"/>
        <item t="data" sd="1" m="1" x="786"/>
        <item t="data" sd="1" m="1" x="787"/>
        <item t="data" sd="1" m="1" x="791"/>
        <item t="data" sd="1" m="1" x="793"/>
        <item t="data" sd="1" m="1" x="796"/>
        <item t="data" sd="1" m="1" x="797"/>
        <item t="data" sd="1" m="1" x="799"/>
        <item t="data" sd="1" m="1" x="800"/>
        <item t="data" sd="1" m="1" x="803"/>
        <item t="data" sd="1" m="1" x="809"/>
        <item t="data" sd="1" m="1" x="638"/>
        <item t="data" sd="1" m="1" x="639"/>
        <item t="data" sd="1" m="1" x="641"/>
        <item t="data" sd="1" m="1" x="640"/>
        <item t="data" sd="1" m="1" x="654"/>
        <item t="data" sd="1" m="1" x="644"/>
        <item t="data" sd="1" m="1" x="645"/>
        <item t="data" sd="1" m="1" x="647"/>
        <item t="data" sd="1" m="1" x="650"/>
        <item t="data" sd="1" m="1" x="651"/>
        <item t="data" sd="1" m="1" x="653"/>
        <item t="data" sd="1" m="1" x="655"/>
        <item t="data" sd="1" m="1" x="661"/>
        <item t="data" sd="1" m="1" x="664"/>
        <item t="data" sd="1" m="1" x="663"/>
        <item t="data" sd="1" m="1" x="662"/>
        <item t="data" sd="1" m="1" x="668"/>
        <item t="data" sd="1" m="1" x="669"/>
        <item t="data" sd="1" m="1" x="671"/>
        <item t="data" sd="1" m="1" x="670"/>
        <item t="data" sd="1" m="1" x="673"/>
        <item t="data" sd="1" m="1" x="675"/>
        <item t="data" sd="1" m="1" x="676"/>
        <item t="data" sd="1" m="1" x="678"/>
        <item t="data" sd="1" m="1" x="679"/>
        <item t="data" sd="1" m="1" x="680"/>
        <item t="data" sd="1" m="1" x="684"/>
        <item t="data" sd="1" m="1" x="683"/>
        <item t="data" sd="1" m="1" x="685"/>
        <item t="data" sd="1" m="1" x="686"/>
        <item t="data" sd="1" m="1" x="677"/>
        <item t="data" sd="1" m="1" x="690"/>
        <item t="data" sd="1" m="1" x="689"/>
        <item t="data" sd="1" m="1" x="691"/>
        <item t="data" sd="1" m="1" x="693"/>
        <item t="data" sd="1" m="1" x="694"/>
        <item t="data" sd="1" m="1" x="695"/>
        <item t="data" sd="1" m="1" x="696"/>
        <item t="data" sd="1" m="1" x="702"/>
        <item t="data" sd="1" m="1" x="704"/>
        <item t="data" sd="1" m="1" x="705"/>
        <item t="data" sd="1" m="1" x="706"/>
        <item t="data" sd="1" m="1" x="707"/>
        <item t="data" sd="1" m="1" x="708"/>
        <item t="data" sd="1" m="1" x="710"/>
        <item t="data" sd="1" m="1" x="712"/>
        <item t="data" sd="1" m="1" x="711"/>
        <item t="data" sd="1" m="1" x="716"/>
        <item t="data" sd="1" m="1" x="715"/>
        <item t="data" sd="1" m="1" x="718"/>
        <item t="data" sd="1" m="1" x="721"/>
        <item t="data" sd="1" m="1" x="725"/>
        <item t="data" sd="1" m="1" x="726"/>
        <item t="data" sd="1" m="1" x="729"/>
        <item t="data" sd="1" m="1" x="728"/>
        <item t="data" sd="1" m="1" x="732"/>
        <item t="data" sd="1" m="1" x="974"/>
        <item t="data" sd="1" m="1" x="734"/>
        <item t="data" sd="1" m="1" x="739"/>
        <item t="data" sd="1" m="1" x="750"/>
        <item t="data" sd="1" m="1" x="740"/>
        <item t="data" sd="1" m="1" x="737"/>
        <item t="data" sd="1" m="1" x="738"/>
        <item t="data" sd="1" m="1" x="742"/>
        <item t="data" sd="1" m="1" x="743"/>
        <item t="data" sd="1" m="1" x="745"/>
        <item t="data" sd="1" m="1" x="746"/>
        <item t="data" sd="1" m="1" x="749"/>
        <item t="data" sd="1" m="1" x="755"/>
        <item t="data" sd="1" m="1" x="757"/>
        <item t="data" sd="1" m="1" x="758"/>
        <item t="data" sd="1" m="1" x="762"/>
        <item t="data" sd="1" m="1" x="760"/>
        <item t="data" sd="1" m="1" x="763"/>
        <item t="data" sd="1" m="1" x="765"/>
        <item t="data" sd="1" m="1" x="766"/>
        <item t="data" sd="1" m="1" x="767"/>
        <item t="data" sd="1" m="1" x="769"/>
        <item t="data" sd="1" m="1" x="770"/>
        <item t="data" sd="1" m="1" x="772"/>
        <item t="data" sd="1" m="1" x="773"/>
        <item t="data" sd="1" m="1" x="775"/>
        <item t="data" sd="1" m="1" x="776"/>
        <item t="data" sd="1" m="1" x="777"/>
        <item t="data" sd="1" m="1" x="783"/>
        <item t="data" sd="1" m="1" x="784"/>
        <item t="data" sd="1" m="1" x="785"/>
        <item t="data" sd="1" x="27"/>
        <item t="data" sd="1" m="1" x="789"/>
        <item t="data" sd="1" m="1" x="792"/>
        <item t="data" sd="1" m="1" x="794"/>
        <item t="data" sd="1" m="1" x="795"/>
        <item t="data" sd="1" m="1" x="798"/>
        <item t="data" sd="1" m="1" x="801"/>
        <item t="data" sd="1" m="1" x="802"/>
        <item t="data" sd="1" m="1" x="804"/>
        <item t="data" sd="1" m="1" x="805"/>
        <item t="data" sd="1" m="1" x="806"/>
        <item t="data" sd="1" m="1" x="807"/>
        <item t="data" sd="1" m="1" x="808"/>
        <item t="data" sd="1" m="1" x="717"/>
        <item t="data" sd="1" x="621"/>
        <item t="data" sd="1" m="1" x="699"/>
        <item t="data" sd="1" m="1" x="703"/>
        <item t="data" sd="1" m="1" x="722"/>
        <item t="data" sd="1" m="1" x="727"/>
        <item t="data" sd="1" m="1" x="810"/>
        <item t="data" sd="1" m="1" x="811"/>
        <item t="data" sd="1" m="1" x="812"/>
        <item t="data" sd="1" m="1" x="813"/>
        <item t="data" sd="1" m="1" x="967"/>
        <item t="data" sd="1" m="1" x="816"/>
        <item t="data" sd="1" m="1" x="817"/>
        <item t="data" sd="1" m="1" x="819"/>
        <item t="data" sd="1" m="1" x="820"/>
        <item t="data" sd="1" m="1" x="821"/>
        <item t="data" sd="1" m="1" x="822"/>
        <item t="data" sd="1" m="1" x="823"/>
        <item t="data" sd="1" m="1" x="824"/>
        <item t="data" sd="1" m="1" x="825"/>
        <item t="data" sd="1" m="1" x="826"/>
        <item t="data" sd="1" m="1" x="827"/>
        <item t="data" sd="1" m="1" x="828"/>
        <item t="data" sd="1" m="1" x="829"/>
        <item t="data" sd="1" m="1" x="830"/>
        <item t="data" sd="1" m="1" x="831"/>
        <item t="data" sd="1" m="1" x="832"/>
        <item t="data" sd="1" m="1" x="833"/>
        <item t="data" sd="1" m="1" x="835"/>
        <item t="data" sd="1" m="1" x="836"/>
        <item t="data" sd="1" m="1" x="838"/>
        <item t="data" sd="1" m="1" x="839"/>
        <item t="data" sd="1" m="1" x="841"/>
        <item t="data" sd="1" m="1" x="842"/>
        <item t="data" sd="1" m="1" x="843"/>
        <item t="data" sd="1" m="1" x="968"/>
        <item t="data" sd="1" m="1" x="845"/>
        <item t="data" sd="1" m="1" x="846"/>
        <item t="data" sd="1" m="1" x="847"/>
        <item t="data" sd="1" m="1" x="848"/>
        <item t="data" sd="1" m="1" x="969"/>
        <item t="data" sd="1" m="1" x="850"/>
        <item t="data" sd="1" m="1" x="851"/>
        <item t="data" sd="1" m="1" x="854"/>
        <item t="data" sd="1" m="1" x="855"/>
        <item t="data" sd="1" m="1" x="856"/>
        <item t="data" sd="1" m="1" x="970"/>
        <item t="data" sd="1" m="1" x="861"/>
        <item t="data" sd="1" m="1" x="862"/>
        <item t="data" sd="1" m="1" x="863"/>
        <item t="data" sd="1" m="1" x="864"/>
        <item t="data" sd="1" m="1" x="865"/>
        <item t="data" sd="1" m="1" x="866"/>
        <item t="data" sd="1" m="1" x="867"/>
        <item t="data" sd="1" m="1" x="868"/>
        <item t="data" sd="1" m="1" x="869"/>
        <item t="data" sd="1" m="1" x="870"/>
        <item t="data" sd="1" m="1" x="871"/>
        <item t="data" sd="1" m="1" x="874"/>
        <item t="data" sd="1" m="1" x="875"/>
        <item t="data" sd="1" m="1" x="876"/>
        <item t="data" sd="1" m="1" x="877"/>
        <item t="data" sd="1" m="1" x="878"/>
        <item t="data" sd="1" m="1" x="971"/>
        <item t="data" sd="1" m="1" x="879"/>
        <item t="data" sd="1" m="1" x="882"/>
        <item t="data" sd="1" m="1" x="883"/>
        <item t="data" sd="1" m="1" x="884"/>
        <item t="data" sd="1" m="1" x="886"/>
        <item t="data" sd="1" m="1" x="887"/>
        <item t="data" sd="1" m="1" x="888"/>
        <item t="data" sd="1" m="1" x="889"/>
        <item t="data" sd="1" m="1" x="890"/>
        <item t="data" sd="1" m="1" x="891"/>
        <item t="data" sd="1" m="1" x="892"/>
        <item t="data" sd="1" m="1" x="893"/>
        <item t="data" sd="1" m="1" x="894"/>
        <item t="data" sd="1" m="1" x="896"/>
        <item t="data" sd="1" m="1" x="897"/>
        <item t="data" sd="1" m="1" x="898"/>
        <item t="data" sd="1" m="1" x="972"/>
        <item t="data" sd="1" m="1" x="900"/>
        <item t="data" sd="1" m="1" x="901"/>
        <item t="data" sd="1" m="1" x="902"/>
        <item t="data" sd="1" m="1" x="903"/>
        <item t="data" sd="1" m="1" x="904"/>
        <item t="data" sd="1" m="1" x="905"/>
        <item t="data" sd="1" m="1" x="906"/>
        <item t="data" sd="1" m="1" x="907"/>
        <item t="data" sd="1" m="1" x="908"/>
        <item t="data" sd="1" m="1" x="909"/>
        <item t="data" sd="1" m="1" x="733"/>
        <item t="data" sd="1" m="1" x="736"/>
        <item t="data" sd="1" m="1" x="756"/>
        <item t="data" sd="1" m="1" x="771"/>
        <item t="data" sd="1" m="1" x="779"/>
        <item t="data" sd="1" m="1" x="788"/>
        <item t="data" sd="1" m="1" x="790"/>
        <item t="data" sd="1" m="1" x="814"/>
        <item t="data" sd="1" m="1" x="815"/>
        <item t="data" sd="1" m="1" x="818"/>
        <item t="data" sd="1" m="1" x="834"/>
        <item t="data" sd="1" m="1" x="837"/>
        <item t="data" sd="1" m="1" x="840"/>
        <item t="data" sd="1" m="1" x="844"/>
        <item t="data" sd="1" m="1" x="849"/>
        <item t="data" sd="1" m="1" x="852"/>
        <item t="data" sd="1" m="1" x="853"/>
        <item t="data" sd="1" m="1" x="857"/>
        <item t="data" sd="1" m="1" x="858"/>
        <item t="data" sd="1" m="1" x="859"/>
        <item t="data" sd="1" m="1" x="860"/>
        <item t="data" sd="1" m="1" x="872"/>
        <item t="data" sd="1" m="1" x="873"/>
        <item t="data" sd="1" m="1" x="880"/>
        <item t="data" sd="1" m="1" x="881"/>
        <item t="data" sd="1" m="1" x="885"/>
        <item t="data" sd="1" m="1" x="899"/>
        <item t="data" sd="1" m="1" x="966"/>
        <item t="data" sd="1" m="1" x="913"/>
        <item t="data" sd="1" m="1" x="916"/>
        <item t="data" sd="1" m="1" x="917"/>
        <item t="data" sd="1" m="1" x="918"/>
        <item t="data" sd="1" m="1" x="919"/>
        <item t="data" sd="1" m="1" x="920"/>
        <item t="data" sd="1" m="1" x="921"/>
        <item t="data" sd="1" m="1" x="922"/>
        <item t="data" sd="1" m="1" x="923"/>
        <item t="data" sd="1" m="1" x="924"/>
        <item t="data" sd="1" m="1" x="925"/>
        <item t="data" sd="1" m="1" x="926"/>
        <item t="data" sd="1" m="1" x="927"/>
        <item t="data" sd="1" m="1" x="928"/>
        <item t="data" sd="1" m="1" x="929"/>
        <item t="data" sd="1" m="1" x="931"/>
        <item t="data" sd="1" m="1" x="932"/>
        <item t="data" sd="1" m="1" x="933"/>
        <item t="data" sd="1" m="1" x="935"/>
        <item t="data" sd="1" m="1" x="936"/>
        <item t="data" sd="1" m="1" x="937"/>
        <item t="data" sd="1" m="1" x="938"/>
        <item t="data" sd="1" m="1" x="939"/>
        <item t="data" sd="1" m="1" x="940"/>
        <item t="data" sd="1" m="1" x="941"/>
        <item t="data" sd="1" m="1" x="942"/>
        <item t="data" sd="1" m="1" x="943"/>
        <item t="data" sd="1" m="1" x="944"/>
        <item t="data" sd="1" m="1" x="945"/>
        <item t="data" sd="1" m="1" x="946"/>
        <item t="data" sd="1" m="1" x="947"/>
        <item t="data" sd="1" m="1" x="948"/>
        <item t="data" sd="1" m="1" x="949"/>
        <item t="data" sd="1" m="1" x="950"/>
        <item t="data" sd="1" m="1" x="951"/>
        <item t="data" sd="1" m="1" x="952"/>
        <item t="data" sd="1" m="1" x="953"/>
        <item t="data" sd="1" m="1" x="954"/>
        <item t="data" sd="1" m="1" x="955"/>
        <item t="data" sd="1" m="1" x="956"/>
        <item t="data" sd="1" m="1" x="957"/>
        <item t="data" sd="1" m="1" x="958"/>
        <item t="data" sd="1" m="1" x="959"/>
        <item t="data" sd="1" m="1" x="960"/>
        <item t="data" sd="1" m="1" x="961"/>
        <item t="data" sd="1" x="0"/>
        <item t="data" sd="1" x="1"/>
        <item t="data" sd="1" x="2"/>
        <item t="data" sd="1" x="3"/>
        <item t="data" sd="1" x="7"/>
        <item t="data" sd="1" x="9"/>
        <item t="data" sd="1" x="10"/>
        <item t="data" sd="1" x="12"/>
        <item t="data" sd="1" x="11"/>
        <item t="data" sd="1" m="1" x="963"/>
        <item t="data" sd="1" x="15"/>
        <item t="data" sd="1" x="16"/>
        <item t="data" sd="1" x="17"/>
        <item t="data" sd="1" x="18"/>
        <item t="data" sd="1" x="20"/>
        <item t="data" sd="1" x="21"/>
        <item t="data" sd="1" x="22"/>
        <item t="data" sd="1" x="23"/>
        <item t="data" sd="1" m="1" x="964"/>
        <item t="data" sd="1" x="25"/>
        <item t="data" sd="1" x="33"/>
        <item t="data" sd="1" x="26"/>
        <item t="data" sd="1" x="28"/>
        <item t="data" sd="1" x="29"/>
        <item t="data" sd="1" x="30"/>
        <item t="data" sd="1" x="31"/>
        <item t="data" sd="1" x="32"/>
        <item t="data" sd="1" x="34"/>
        <item t="data" sd="1" x="35"/>
        <item t="data" sd="1" x="36"/>
        <item t="data" sd="1" x="37"/>
        <item t="data" sd="1" x="38"/>
        <item t="data" sd="1" x="39"/>
        <item t="data" sd="1" x="40"/>
        <item t="data" sd="1" m="1" x="965"/>
        <item t="data" sd="1" x="44"/>
        <item t="data" sd="1" x="45"/>
        <item t="data" sd="1" m="1" x="692"/>
        <item t="data" sd="1" m="1" x="701"/>
        <item t="data" sd="1" m="1" x="723"/>
        <item t="data" sd="1" m="1" x="724"/>
        <item t="data" sd="1" m="1" x="731"/>
        <item t="data" sd="1" m="1" x="735"/>
        <item t="data" sd="1" m="1" x="747"/>
        <item t="data" sd="1" m="1" x="752"/>
        <item t="data" sd="1" m="1" x="774"/>
        <item t="data" sd="1" m="1" x="895"/>
        <item t="data" sd="1" m="1" x="930"/>
        <item t="data" sd="1" m="1" x="934"/>
        <item t="data" sd="1" m="1" x="624"/>
        <item t="data" sd="1" x="24"/>
        <item t="data" sd="1" x="43"/>
        <item t="data" sd="1" x="8"/>
        <item t="data" sd="1" x="19"/>
        <item t="data" sd="1" x="41"/>
        <item t="data" sd="1" x="42"/>
        <item t="data" sd="1" x="46"/>
        <item t="data" sd="1" x="47"/>
        <item t="data" sd="1" x="48"/>
        <item t="data" sd="1" x="49"/>
        <item t="data" sd="1" x="50"/>
        <item t="data" sd="1" x="51"/>
        <item t="data" sd="1" x="52"/>
        <item t="data" sd="1" x="53"/>
        <item t="data" sd="1" x="55"/>
        <item t="data" sd="1" x="56"/>
        <item t="data" sd="1" x="58"/>
        <item t="data" sd="1" x="59"/>
        <item t="data" sd="1" x="60"/>
        <item t="data" sd="1" x="61"/>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80"/>
        <item t="data" sd="1" x="81"/>
        <item t="data" sd="1" x="83"/>
        <item t="data" sd="1" x="84"/>
        <item t="data" sd="1" m="1" x="730"/>
        <item t="data" sd="1" m="1" x="910"/>
        <item t="data" sd="1" m="1" x="911"/>
        <item t="data" sd="1" m="1" x="912"/>
        <item t="data" sd="1" m="1" x="914"/>
        <item t="data" sd="1" m="1" x="915"/>
        <item t="data" sd="1" x="4"/>
        <item t="data" sd="1" x="5"/>
        <item t="data" sd="1" x="6"/>
        <item t="data" sd="1" x="54"/>
        <item t="data" sd="1" x="57"/>
        <item t="data" sd="1" x="62"/>
        <item t="data" sd="1" m="1" x="625"/>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9"/>
        <item t="data" sd="1" x="110"/>
        <item t="data" sd="1" m="1" x="626"/>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4"/>
        <item t="data" sd="1" x="135"/>
        <item t="data" sd="1" x="136"/>
        <item t="data" sd="1" x="138"/>
        <item t="data" sd="1" x="139"/>
        <item t="data" sd="1" x="140"/>
        <item t="data" sd="1" x="141"/>
        <item t="data" sd="1" x="142"/>
        <item t="data" sd="1" x="143"/>
        <item t="data" sd="1" x="150"/>
        <item t="data" sd="1" x="151"/>
        <item t="data" sd="1" x="152"/>
        <item t="data" sd="1" x="153"/>
        <item t="data" sd="1" x="155"/>
        <item t="data" sd="1" x="156"/>
        <item t="data" sd="1" x="158"/>
        <item t="data" sd="1" x="161"/>
        <item t="data" sd="1" x="162"/>
        <item t="data" sd="1" x="164"/>
        <item t="data" sd="1" x="166"/>
        <item t="data" sd="1" x="167"/>
        <item t="data" sd="1" m="1" x="962"/>
        <item t="data" sd="1" x="169"/>
        <item t="data" sd="1" x="171"/>
        <item t="data" sd="1" x="172"/>
        <item t="data" sd="1" x="173"/>
        <item t="data" sd="1" x="174"/>
        <item t="data" sd="1" x="175"/>
        <item t="data" sd="1" x="176"/>
        <item t="data" sd="1" x="187"/>
        <item t="data" sd="1" x="188"/>
        <item t="data" sd="1" x="168"/>
        <item t="data" sd="1" x="148"/>
        <item t="data" sd="1" x="154"/>
        <item t="data" sd="1" x="203"/>
        <item t="data" sd="1" x="207"/>
        <item t="data" sd="1" x="210"/>
        <item t="data" sd="1" x="211"/>
        <item t="data" sd="1" x="212"/>
        <item t="data" sd="1" x="213"/>
        <item t="data" sd="1" x="215"/>
        <item t="data" sd="1" m="1" x="628"/>
        <item t="data" sd="1" x="217"/>
        <item t="data" sd="1" x="219"/>
        <item t="data" sd="1" x="221"/>
        <item t="data" sd="1" x="223"/>
        <item t="data" sd="1" x="225"/>
        <item t="data" sd="1" x="227"/>
        <item t="data" sd="1" x="229"/>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m="1" x="632"/>
        <item t="data" sd="1" x="246"/>
        <item t="data" sd="1" x="247"/>
        <item t="data" sd="1" x="248"/>
        <item t="data" sd="1" x="249"/>
        <item t="data" sd="1" x="250"/>
        <item t="data" sd="1" x="251"/>
        <item t="data" sd="1" x="252"/>
        <item t="data" sd="1" x="253"/>
        <item t="data" sd="1" m="1" x="633"/>
        <item t="data" sd="1" x="254"/>
        <item t="data" sd="1" x="255"/>
        <item t="data" sd="1" x="261"/>
        <item t="data" sd="1" x="262"/>
        <item t="data" sd="1" x="263"/>
        <item t="data" sd="1" x="264"/>
        <item t="data" sd="1" m="1" x="634"/>
        <item t="data" sd="1" x="265"/>
        <item t="data" sd="1" x="266"/>
        <item t="data" sd="1" x="267"/>
        <item t="data" sd="1" x="268"/>
        <item t="data" sd="1" x="269"/>
        <item t="data" sd="1" x="271"/>
        <item t="data" sd="1" x="272"/>
        <item t="data" sd="1" x="273"/>
        <item t="data" sd="1" x="274"/>
        <item t="data" sd="1" x="275"/>
        <item t="data" sd="1" x="276"/>
        <item t="data" sd="1" x="277"/>
        <item t="data" sd="1" x="278"/>
        <item t="data" sd="1" x="279"/>
        <item t="data" sd="1" x="280"/>
        <item t="data" sd="1" x="281"/>
        <item t="data" sd="1" x="282"/>
        <item t="data" sd="1" m="1" x="635"/>
        <item t="data" sd="1" x="283"/>
        <item t="data" sd="1" x="284"/>
        <item t="data" sd="1" x="285"/>
        <item t="data" sd="1" x="286"/>
        <item t="data" sd="1" x="287"/>
        <item t="data" sd="1" x="288"/>
        <item t="data" sd="1" x="292"/>
        <item t="data" sd="1" x="293"/>
        <item t="data" sd="1" x="294"/>
        <item t="data" sd="1" x="295"/>
        <item t="data" sd="1" x="296"/>
        <item t="data" sd="1" x="297"/>
        <item t="data" sd="1" x="298"/>
        <item t="data" sd="1" x="300"/>
        <item t="data" sd="1" x="301"/>
        <item t="data" sd="1" x="302"/>
        <item t="data" sd="1" x="204"/>
        <item t="data" sd="1" x="216"/>
        <item t="data" sd="1" x="220"/>
        <item t="data" sd="1" x="224"/>
        <item t="data" sd="1" m="1" x="630"/>
        <item t="data" sd="1" x="226"/>
        <item t="data" sd="1" x="228"/>
        <item t="data" sd="1" x="230"/>
        <item t="data" sd="1" m="1" x="631"/>
        <item t="data" sd="1" x="256"/>
        <item t="data" sd="1" x="257"/>
        <item t="data" sd="1" x="258"/>
        <item t="data" sd="1" x="259"/>
        <item t="data" sd="1" m="1" x="629"/>
        <item t="data" sd="1" x="260"/>
        <item t="data" sd="1" x="270"/>
        <item t="data" sd="1" x="289"/>
        <item t="data" sd="1" x="290"/>
        <item t="data" sd="1" x="291"/>
        <item t="data" sd="1" x="299"/>
        <item t="data" sd="1" x="303"/>
        <item t="data" sd="1" x="304"/>
        <item t="data" sd="1" x="305"/>
        <item t="data" sd="1" x="306"/>
        <item t="data" sd="1" x="307"/>
        <item t="data" sd="1" x="308"/>
        <item t="data" sd="1" x="309"/>
        <item t="data" sd="1" x="310"/>
        <item t="data" sd="1" x="311"/>
        <item t="data" sd="1" x="312"/>
        <item t="data" sd="1" x="313"/>
        <item t="data" sd="1" x="314"/>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m="1" x="636"/>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m="1" x="63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8"/>
        <item t="data" sd="1" x="550"/>
        <item t="data" sd="1" x="348"/>
        <item t="data" sd="1" x="427"/>
        <item t="data" sd="1" x="137"/>
        <item t="data" sd="1" x="144"/>
        <item t="data" sd="1" x="145"/>
        <item t="data" sd="1" x="146"/>
        <item t="data" sd="1" x="147"/>
        <item t="data" sd="1" m="1" x="627"/>
        <item t="data" sd="1" x="149"/>
        <item t="data" sd="1" x="157"/>
        <item t="data" sd="1" x="159"/>
        <item t="data" sd="1" x="160"/>
        <item t="data" sd="1" x="163"/>
        <item t="data" sd="1" x="165"/>
        <item t="data" sd="1" x="177"/>
        <item t="data" sd="1" x="178"/>
        <item t="data" sd="1" x="179"/>
        <item t="data" sd="1" x="180"/>
        <item t="data" sd="1" x="181"/>
        <item t="data" sd="1" x="182"/>
        <item t="data" sd="1" x="183"/>
        <item t="data" sd="1" x="184"/>
        <item t="data" sd="1" x="185"/>
        <item t="data" sd="1" x="186"/>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5"/>
        <item t="data" sd="1" x="206"/>
        <item t="data" sd="1" x="208"/>
        <item t="data" sd="1" x="209"/>
        <item t="data" sd="1" x="214"/>
        <item t="data" sd="1" x="218"/>
        <item t="data" sd="1" x="222"/>
        <item t="data" sd="1" x="315"/>
        <item t="data" sd="1" x="78"/>
        <item t="data" sd="1" x="79"/>
        <item t="data" sd="1" x="82"/>
        <item t="data" sd="1" x="111"/>
        <item t="data" sd="1" x="112"/>
        <item t="data" sd="1" x="133"/>
        <item t="data" sd="1" x="170"/>
        <item t="data" sd="1" x="13"/>
        <item t="data" sd="1" x="14"/>
        <item t="data" sd="1" x="551"/>
        <item t="data" sd="1" x="552"/>
        <item t="data" sd="1" x="553"/>
        <item t="data" sd="1" x="554"/>
        <item t="data" sd="1" x="555"/>
        <item t="data" sd="1" x="556"/>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m="1" x="622"/>
        <item t="data" sd="1" x="578"/>
        <item t="data" sd="1" x="579"/>
        <item t="data" sd="1" x="580"/>
        <item t="data" sd="1" x="581"/>
        <item t="data" sd="1" x="582"/>
        <item t="data" sd="1" x="583"/>
        <item t="data" sd="1" x="584"/>
        <item t="data" sd="1" x="585"/>
        <item t="data" sd="1" x="586"/>
        <item t="data" sd="1" m="1" x="623"/>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9"/>
        <item t="data" sd="1" x="620"/>
        <item t="data" sd="1" x="618"/>
        <item t="data" sd="1" x="108"/>
        <item t="data" sd="1" x="557"/>
        <item t="data" sd="1" x="577"/>
        <item t="data" sd="1" x="587"/>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dataField="1" showDropDowns="1" compact="0" outline="0" subtotalTop="0"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axis="axisRow" showDropDowns="1" compact="0" outline="0" subtotalTop="0" dragToRow="1" dragToCol="1" dragToPage="1" dragToData="1" dragOff="1" showAll="0" topAutoShow="1" itemPageCount="10" sortType="manual" defaultSubtotal="0">
      <items count="14">
        <item t="data" sd="1" x="0"/>
        <item t="data" sd="0" x="1"/>
        <item t="data" sd="0" x="2"/>
        <item t="data" sd="0" x="3"/>
        <item t="data" sd="0" x="4"/>
        <item t="data" sd="0" x="5"/>
        <item t="data" sd="0" x="6"/>
        <item t="data" sd="0" x="7"/>
        <item t="data" sd="0" x="8"/>
        <item t="data" sd="0" x="9"/>
        <item t="data" sd="0" x="10"/>
        <item t="data" sd="0" x="11"/>
        <item t="data" sd="0" x="12"/>
        <item t="data" sd="0" x="13"/>
      </items>
    </pivotField>
    <pivotField showDropDowns="1" compact="0" outline="0" subtotalTop="0" dragToRow="1" dragToCol="1" dragToPage="1" dragToData="1" dragOff="1" showAll="0" topAutoShow="1" itemPageCount="10" sortType="manual" defaultSubtotal="0">
      <items count="6">
        <item t="data" sd="0" x="1"/>
        <item t="data" sd="0" x="2"/>
        <item t="data" sd="0" x="3"/>
        <item t="data" sd="0" x="4"/>
        <item t="data" sd="1" x="0"/>
        <item t="data" sd="1" x="5"/>
      </items>
    </pivotField>
    <pivotField axis="axisRow" showDropDowns="1" compact="0" outline="0" subtotalTop="0" dragToRow="1" dragToCol="1" dragToPage="1" dragToData="1" dragOff="1" showAll="0" topAutoShow="1" itemPageCount="10" sortType="manual" defaultSubtotal="0">
      <items count="4">
        <item t="data" sd="1" x="1"/>
        <item t="data" sd="1" x="0"/>
        <item t="data" sd="1" x="2"/>
        <item t="data" sd="1" x="3"/>
      </items>
    </pivotField>
  </pivotFields>
  <rowFields count="4">
    <field x="66"/>
    <field x="64"/>
    <field x="0"/>
    <field x="2"/>
  </rowFields>
  <rowItems count="19">
    <i t="data" r="0" i="0">
      <x v="0"/>
      <x v="1"/>
    </i>
    <i t="data" r="1" i="0">
      <x v="2"/>
    </i>
    <i t="data" r="1" i="0">
      <x v="3"/>
    </i>
    <i t="data" r="1" i="0">
      <x v="4"/>
    </i>
    <i t="data" r="1" i="0">
      <x v="5"/>
    </i>
    <i t="data" r="1" i="0">
      <x v="6"/>
    </i>
    <i t="data" r="1" i="0">
      <x v="7"/>
    </i>
    <i t="data" r="1" i="0">
      <x v="8"/>
    </i>
    <i t="data" r="1" i="0">
      <x v="9"/>
    </i>
    <i t="data" r="1" i="0">
      <x v="10"/>
    </i>
    <i t="data" r="1" i="0">
      <x v="11"/>
    </i>
    <i t="data" r="1" i="0">
      <x v="12"/>
    </i>
    <i t="data" r="0" i="0">
      <x v="1"/>
      <x v="0"/>
      <x v="150"/>
      <x v="155"/>
    </i>
    <i t="data" r="3" i="0">
      <x v="919"/>
    </i>
    <i t="data" r="0" i="0">
      <x v="2"/>
      <x v="1"/>
    </i>
    <i t="data" r="1" i="0">
      <x v="2"/>
    </i>
    <i t="data" r="1" i="0">
      <x v="3"/>
    </i>
    <i t="data" r="1" i="0">
      <x v="4"/>
    </i>
    <i t="grand" r="0" i="0">
      <x v="0"/>
    </i>
  </rowItems>
  <colFields count="1">
    <field x="-2"/>
  </colFields>
  <colItems count="13">
    <i t="data" r="0" i="0">
      <x v="0"/>
    </i>
    <i t="data" r="0" i="1">
      <x v="1"/>
    </i>
    <i t="data" r="0" i="2">
      <x v="2"/>
    </i>
    <i t="data" r="0" i="3">
      <x v="3"/>
    </i>
    <i t="data" r="0" i="4">
      <x v="4"/>
    </i>
    <i t="data" r="0" i="5">
      <x v="5"/>
    </i>
    <i t="data" r="0" i="6">
      <x v="6"/>
    </i>
    <i t="data" r="0" i="7">
      <x v="7"/>
    </i>
    <i t="data" r="0" i="8">
      <x v="8"/>
    </i>
    <i t="data" r="0" i="9">
      <x v="9"/>
    </i>
    <i t="data" r="0" i="10">
      <x v="10"/>
    </i>
    <i t="data" r="0" i="11">
      <x v="11"/>
    </i>
    <i t="data" r="0" i="12">
      <x v="12"/>
    </i>
  </colItems>
  <dataFields count="13">
    <dataField name="求和项:产品成本" fld="11" subtotal="sum" showDataAs="normal" baseField="0" baseItem="0"/>
    <dataField name="求和项:实际邮费" fld="41" subtotal="sum" showDataAs="normal" baseField="0" baseItem="0"/>
    <dataField name="求和项:上楼费" fld="42" subtotal="sum" showDataAs="normal" baseField="0" baseItem="0"/>
    <dataField name="求和项:实际安装费用" fld="43" subtotal="sum" showDataAs="normal" baseField="0" baseItem="0"/>
    <dataField name="求和项:订单赔付费用" fld="44" subtotal="sum" showDataAs="normal" baseField="0" baseItem="0"/>
    <dataField name="求和项:第二次上门维修费" fld="45" subtotal="sum" showDataAs="normal" baseField="0" baseItem="0"/>
    <dataField name="求和项:返厂打包运费" fld="46" subtotal="sum" showDataAs="normal" baseField="0" baseItem="0"/>
    <dataField name="求和项:配件额外支付费用" fld="47" subtotal="sum" showDataAs="normal" baseField="0" baseItem="0"/>
    <dataField name="求和项:好评/延迟返/差价返" fld="48" subtotal="sum" showDataAs="normal" baseField="0" baseItem="0"/>
    <dataField name="求和项:平台服务费/花呗信用卡手续费" fld="53" subtotal="sum" showDataAs="normal" baseField="0" baseItem="0"/>
    <dataField name="求和项:买家实付金额" fld="54" subtotal="sum" showDataAs="normal" baseField="0" baseItem="0"/>
    <dataField name="求和项:订单利润" fld="58" subtotal="sum" showDataAs="normal" baseField="0" baseItem="0"/>
    <dataField name="求和项:补偿总额" fld="57" subtotal="sum" showDataAs="normal" baseField="0" baseItem="0"/>
  </dataFields>
  <formats count="20">
    <format action="formatting" dxfId="0">
      <pivotArea type="all" dataOnly="0" outline="0" fieldPosition="0"/>
    </format>
    <format action="formatting" dxfId="1">
      <pivotArea type="normal" dataOnly="1" outline="0" collapsedLevelsAreSubtotals="1" fieldPosition="0"/>
    </format>
    <format action="formatting" dxfId="2">
      <pivotArea field="66" type="button" dataOnly="0" labelOnly="1" outline="0" axis="axisRow" fieldPosition="0"/>
    </format>
    <format action="formatting" dxfId="3">
      <pivotArea field="64" type="button" dataOnly="0" labelOnly="1" outline="0" axis="axisRow" fieldPosition="1"/>
    </format>
    <format action="formatting" dxfId="4">
      <pivotArea field="0" type="button" dataOnly="0" labelOnly="1" outline="0" axis="axisRow" fieldPosition="2"/>
    </format>
    <format action="formatting" dxfId="5">
      <pivotArea field="2" type="button" dataOnly="0" labelOnly="1" outline="0" axis="axisRow" fieldPosition="3"/>
    </format>
    <format action="formatting" dxfId="6">
      <pivotArea type="normal" dataOnly="0" labelOnly="1" outline="0" fieldPosition="0">
        <references count="1">
          <reference field="66">
            <x v="0"/>
          </reference>
        </references>
      </pivotArea>
    </format>
    <format action="formatting" dxfId="7">
      <pivotArea type="normal" dataOnly="0" labelOnly="1" grandRow="1" outline="0" fieldPosition="0"/>
    </format>
    <format action="formatting" dxfId="8">
      <pivotArea type="normal" dataOnly="0" labelOnly="1" outline="0" fieldPosition="0">
        <references count="2">
          <reference field="64">
            <x v="1"/>
          </reference>
          <reference field="66" selected="0">
            <x v="0"/>
          </reference>
        </references>
      </pivotArea>
    </format>
    <format action="formatting" dxfId="9">
      <pivotArea type="normal" dataOnly="0" labelOnly="1" outline="0" fieldPosition="0">
        <references count="1">
          <reference field="4294967294">
            <x v="0"/>
            <x v="1"/>
            <x v="2"/>
            <x v="3"/>
            <x v="4"/>
            <x v="5"/>
            <x v="6"/>
            <x v="7"/>
            <x v="8"/>
            <x v="9"/>
            <x v="10"/>
            <x v="11"/>
            <x v="12"/>
          </reference>
        </references>
      </pivotArea>
    </format>
    <format action="formatting" dxfId="10">
      <pivotArea type="all" dataOnly="0" outline="0" fieldPosition="0"/>
    </format>
    <format action="formatting" dxfId="11">
      <pivotArea type="normal" dataOnly="1" outline="0" collapsedLevelsAreSubtotals="1" fieldPosition="0"/>
    </format>
    <format action="formatting" dxfId="12">
      <pivotArea field="66" type="button" dataOnly="0" labelOnly="1" outline="0" axis="axisRow" fieldPosition="0"/>
    </format>
    <format action="formatting" dxfId="13">
      <pivotArea field="64" type="button" dataOnly="0" labelOnly="1" outline="0" axis="axisRow" fieldPosition="1"/>
    </format>
    <format action="formatting" dxfId="14">
      <pivotArea field="0" type="button" dataOnly="0" labelOnly="1" outline="0" axis="axisRow" fieldPosition="2"/>
    </format>
    <format action="formatting" dxfId="15">
      <pivotArea field="2" type="button" dataOnly="0" labelOnly="1" outline="0" axis="axisRow" fieldPosition="3"/>
    </format>
    <format action="formatting" dxfId="16">
      <pivotArea type="normal" dataOnly="0" labelOnly="1" outline="0" fieldPosition="0">
        <references count="1">
          <reference field="66">
            <x v="0"/>
          </reference>
        </references>
      </pivotArea>
    </format>
    <format action="formatting" dxfId="17">
      <pivotArea type="normal" dataOnly="0" labelOnly="1" grandRow="1" outline="0" fieldPosition="0"/>
    </format>
    <format action="formatting" dxfId="18">
      <pivotArea type="normal" dataOnly="0" labelOnly="1" outline="0" fieldPosition="0">
        <references count="2">
          <reference field="64">
            <x v="1"/>
          </reference>
          <reference field="66" selected="0">
            <x v="0"/>
          </reference>
        </references>
      </pivotArea>
    </format>
    <format action="formatting" dxfId="19">
      <pivotArea type="normal" dataOnly="0" labelOnly="1" outline="0" fieldPosition="0">
        <references count="1">
          <reference field="4294967294">
            <x v="0"/>
            <x v="1"/>
            <x v="2"/>
            <x v="3"/>
            <x v="4"/>
            <x v="5"/>
            <x v="6"/>
            <x v="7"/>
            <x v="8"/>
            <x v="9"/>
            <x v="10"/>
            <x v="11"/>
            <x v="12"/>
          </reference>
        </references>
      </pivotArea>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数据透视表16" cacheId="30" dataOnRows="0" dataCaption="值"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8" fieldListSortAscending="0" mdxSubqueries="0" applyNumberFormats="0" applyBorderFormats="0" applyFontFormats="0" applyPatternFormats="0" applyAlignmentFormats="0" applyWidthHeightFormats="1" r:id="rId1">
  <location ref="DC5:DG37" firstHeaderRow="0" firstDataRow="1" firstDataCol="2"/>
  <pivotFields count="69">
    <pivotField showDropDowns="1" compact="0" outline="0" subtotalTop="1" dragToRow="1" dragToCol="1" dragToPage="1" dragToData="1" dragOff="1" showAll="0" topAutoShow="1" itemPageCount="10" sortType="manual" defaultSubtotal="0">
      <items count="467">
        <item t="data" sd="1" m="1" x="274"/>
        <item t="data" sd="1" m="1" x="275"/>
        <item t="data" sd="1" m="1" x="276"/>
        <item t="data" sd="1" m="1" x="277"/>
        <item t="data" sd="1" m="1" x="278"/>
        <item t="data" sd="1" m="1" x="279"/>
        <item t="data" sd="1" m="1" x="280"/>
        <item t="data" sd="1" m="1" x="281"/>
        <item t="data" sd="1" m="1" x="282"/>
        <item t="data" sd="1" m="1" x="283"/>
        <item t="data" sd="1" m="1" x="284"/>
        <item t="data" sd="1" m="1" x="285"/>
        <item t="data" sd="1" m="1" x="286"/>
        <item t="data" sd="1" m="1" x="287"/>
        <item t="data" sd="1" m="1" x="288"/>
        <item t="data" sd="1" m="1" x="289"/>
        <item t="data" sd="1" m="1" x="290"/>
        <item t="data" sd="1" m="1" x="291"/>
        <item t="data" sd="1" m="1" x="292"/>
        <item t="data" sd="1" m="1" x="293"/>
        <item t="data" sd="1" m="1" x="294"/>
        <item t="data" sd="1" m="1" x="295"/>
        <item t="data" sd="1" m="1" x="296"/>
        <item t="data" sd="1" m="1" x="297"/>
        <item t="data" sd="1" m="1" x="298"/>
        <item t="data" sd="1" m="1" x="300"/>
        <item t="data" sd="1" m="1" x="301"/>
        <item t="data" sd="1" m="1" x="302"/>
        <item t="data" sd="1" m="1" x="303"/>
        <item t="data" sd="1" m="1" x="304"/>
        <item t="data" sd="1" m="1" x="299"/>
        <item t="data" sd="1" m="1" x="305"/>
        <item t="data" sd="1" m="1" x="306"/>
        <item t="data" sd="1" m="1" x="307"/>
        <item t="data" sd="1" m="1" x="308"/>
        <item t="data" sd="1" m="1" x="309"/>
        <item t="data" sd="1" m="1" x="310"/>
        <item t="data" sd="1" m="1" x="311"/>
        <item t="data" sd="1" m="1" x="312"/>
        <item t="data" sd="1" m="1" x="313"/>
        <item t="data" sd="1" m="1" x="314"/>
        <item t="data" sd="1" m="1" x="315"/>
        <item t="data" sd="1" m="1" x="316"/>
        <item t="data" sd="1" m="1" x="317"/>
        <item t="data" sd="1" m="1" x="318"/>
        <item t="data" sd="1" m="1" x="319"/>
        <item t="data" sd="1" m="1" x="320"/>
        <item t="data" sd="1" m="1" x="321"/>
        <item t="data" sd="1" m="1" x="322"/>
        <item t="data" sd="1" m="1" x="323"/>
        <item t="data" sd="1" m="1" x="324"/>
        <item t="data" sd="1" m="1" x="325"/>
        <item t="data" sd="1" m="1" x="326"/>
        <item t="data" sd="1" m="1" x="327"/>
        <item t="data" sd="1" m="1" x="328"/>
        <item t="data" sd="1" m="1" x="329"/>
        <item t="data" sd="1" m="1" x="330"/>
        <item t="data" sd="1" m="1" x="331"/>
        <item t="data" sd="1" m="1" x="332"/>
        <item t="data" sd="1" m="1" x="333"/>
        <item t="data" sd="1" m="1" x="334"/>
        <item t="data" sd="1" m="1" x="335"/>
        <item t="data" sd="1" m="1" x="336"/>
        <item t="data" sd="1" m="1" x="337"/>
        <item t="data" sd="1" m="1" x="338"/>
        <item t="data" sd="1" m="1" x="339"/>
        <item t="data" sd="1" m="1" x="340"/>
        <item t="data" sd="1" m="1" x="341"/>
        <item t="data" sd="1" m="1" x="342"/>
        <item t="data" sd="1" m="1" x="343"/>
        <item t="data" sd="1" m="1" x="344"/>
        <item t="data" sd="1" m="1" x="345"/>
        <item t="data" sd="1" m="1" x="346"/>
        <item t="data" sd="1" m="1" x="347"/>
        <item t="data" sd="1" m="1" x="348"/>
        <item t="data" sd="1" m="1" x="349"/>
        <item t="data" sd="1" m="1" x="350"/>
        <item t="data" sd="1" m="1" x="351"/>
        <item t="data" sd="1" m="1" x="352"/>
        <item t="data" sd="1" m="1" x="353"/>
        <item t="data" sd="1" m="1" x="354"/>
        <item t="data" sd="1" m="1" x="355"/>
        <item t="data" sd="1" m="1" x="356"/>
        <item t="data" sd="1" m="1" x="357"/>
        <item t="data" sd="1" m="1" x="358"/>
        <item t="data" sd="1" m="1" x="359"/>
        <item t="data" sd="1" m="1" x="360"/>
        <item t="data" sd="1" m="1" x="361"/>
        <item t="data" sd="1" m="1" x="362"/>
        <item t="data" sd="1" m="1" x="363"/>
        <item t="data" sd="1" m="1" x="364"/>
        <item t="data" sd="1" m="1" x="365"/>
        <item t="data" sd="1" m="1" x="366"/>
        <item t="data" sd="1" m="1" x="367"/>
        <item t="data" sd="1" m="1" x="368"/>
        <item t="data" sd="1" m="1" x="369"/>
        <item t="data" sd="1" m="1" x="370"/>
        <item t="data" sd="1" m="1" x="371"/>
        <item t="data" sd="1" m="1" x="372"/>
        <item t="data" sd="1" m="1" x="373"/>
        <item t="data" sd="1" m="1" x="374"/>
        <item t="data" sd="1" m="1" x="375"/>
        <item t="data" sd="1" m="1" x="376"/>
        <item t="data" sd="1" m="1" x="377"/>
        <item t="data" sd="1" m="1" x="378"/>
        <item t="data" sd="1" m="1" x="379"/>
        <item t="data" sd="1" m="1" x="380"/>
        <item t="data" sd="1" m="1" x="381"/>
        <item t="data" sd="1" m="1" x="382"/>
        <item t="data" sd="1" m="1" x="383"/>
        <item t="data" sd="1" m="1" x="384"/>
        <item t="data" sd="1" m="1" x="385"/>
        <item t="data" sd="1" m="1" x="386"/>
        <item t="data" sd="1" m="1" x="387"/>
        <item t="data" sd="1" m="1" x="388"/>
        <item t="data" sd="1" m="1" x="389"/>
        <item t="data" sd="1" m="1" x="390"/>
        <item t="data" sd="1" m="1" x="391"/>
        <item t="data" sd="1" m="1" x="392"/>
        <item t="data" sd="1" m="1" x="393"/>
        <item t="data" sd="1" m="1" x="394"/>
        <item t="data" sd="1" m="1" x="395"/>
        <item t="data" sd="1" m="1" x="396"/>
        <item t="data" sd="1" m="1" x="397"/>
        <item t="data" sd="1" m="1" x="398"/>
        <item t="data" sd="1" m="1" x="399"/>
        <item t="data" sd="1" m="1" x="400"/>
        <item t="data" sd="1" m="1" x="401"/>
        <item t="data" sd="1" m="1" x="402"/>
        <item t="data" sd="1" m="1" x="403"/>
        <item t="data" sd="1" m="1" x="404"/>
        <item t="data" sd="1" m="1" x="405"/>
        <item t="data" sd="1" m="1" x="406"/>
        <item t="data" sd="1" m="1" x="407"/>
        <item t="data" sd="1" m="1" x="408"/>
        <item t="data" sd="1" m="1" x="409"/>
        <item t="data" sd="1" m="1" x="410"/>
        <item t="data" sd="1" m="1" x="411"/>
        <item t="data" sd="1" m="1" x="412"/>
        <item t="data" sd="1" m="1" x="413"/>
        <item t="data" sd="1" m="1" x="414"/>
        <item t="data" sd="1" m="1" x="415"/>
        <item t="data" sd="1" m="1" x="416"/>
        <item t="data" sd="1" m="1" x="417"/>
        <item t="data" sd="1" m="1" x="418"/>
        <item t="data" sd="1" m="1" x="419"/>
        <item t="data" sd="1" m="1" x="420"/>
        <item t="data" sd="1" m="1" x="421"/>
        <item t="data" sd="1" m="1" x="422"/>
        <item t="data" sd="1" m="1" x="423"/>
        <item t="data" sd="1" m="1" x="424"/>
        <item t="data" sd="1" m="1" x="425"/>
        <item t="data" sd="1" m="1" x="426"/>
        <item t="data" sd="1" m="1" x="427"/>
        <item t="data" sd="1" m="1" x="428"/>
        <item t="data" sd="1" m="1" x="429"/>
        <item t="data" sd="1" m="1" x="430"/>
        <item t="data" sd="1" m="1" x="431"/>
        <item t="data" sd="1" m="1" x="432"/>
        <item t="data" sd="1" m="1" x="433"/>
        <item t="data" sd="1" m="1" x="434"/>
        <item t="data" sd="1" m="1" x="435"/>
        <item t="data" sd="1" m="1" x="436"/>
        <item t="data" sd="1" m="1" x="437"/>
        <item t="data" sd="1" m="1" x="438"/>
        <item t="data" sd="1" m="1" x="440"/>
        <item t="data" sd="1" m="1" x="441"/>
        <item t="data" sd="1" m="1" x="442"/>
        <item t="data" sd="1" m="1" x="443"/>
        <item t="data" sd="1" m="1" x="444"/>
        <item t="data" sd="1" m="1" x="445"/>
        <item t="data" sd="1" m="1" x="446"/>
        <item t="data" sd="1" m="1" x="447"/>
        <item t="data" sd="1" m="1" x="448"/>
        <item t="data" sd="1" m="1" x="449"/>
        <item t="data" sd="1" m="1" x="450"/>
        <item t="data" sd="1" m="1" x="451"/>
        <item t="data" sd="1" m="1" x="452"/>
        <item t="data" sd="1" m="1" x="453"/>
        <item t="data" sd="1" m="1" x="454"/>
        <item t="data" sd="1" m="1" x="455"/>
        <item t="data" sd="1" m="1" x="456"/>
        <item t="data" sd="1" m="1" x="457"/>
        <item t="data" sd="1" m="1" x="458"/>
        <item t="data" sd="1" m="1" x="459"/>
        <item t="data" sd="1" m="1" x="460"/>
        <item t="data" sd="1" m="1" x="461"/>
        <item t="data" sd="1" m="1" x="462"/>
        <item t="data" sd="1" m="1" x="463"/>
        <item t="data" sd="1" m="1" x="464"/>
        <item t="data" sd="1" m="1" x="465"/>
        <item t="data" sd="1" x="0"/>
        <item t="data" sd="1" x="1"/>
        <item t="data" sd="1" x="2"/>
        <item t="data" sd="1" x="3"/>
        <item t="data" sd="1" x="6"/>
        <item t="data" sd="1" x="8"/>
        <item t="data" sd="1" x="9"/>
        <item t="data" sd="1" x="10"/>
        <item t="data" sd="1" x="12"/>
        <item t="data" sd="1" x="13"/>
        <item t="data" sd="1" x="15"/>
        <item t="data" sd="1" x="16"/>
        <item t="data" sd="1" x="17"/>
        <item t="data" sd="1" x="18"/>
        <item t="data" sd="1" x="19"/>
        <item t="data" sd="1" x="20"/>
        <item t="data" sd="1" m="1" x="272"/>
        <item t="data" sd="1" x="21"/>
        <item t="data" sd="1" x="22"/>
        <item t="data" sd="1" x="23"/>
        <item t="data" sd="1" x="24"/>
        <item t="data" sd="1" x="25"/>
        <item t="data" sd="1" x="26"/>
        <item t="data" sd="1" x="27"/>
        <item t="data" sd="1" x="28"/>
        <item t="data" sd="1" x="29"/>
        <item t="data" sd="1" x="30"/>
        <item t="data" sd="1" x="31"/>
        <item t="data" sd="1" x="33"/>
        <item t="data" sd="1" x="34"/>
        <item t="data" sd="1" x="35"/>
        <item t="data" sd="1" x="246"/>
        <item t="data" sd="1" x="7"/>
        <item t="data" sd="1" x="14"/>
        <item t="data" sd="1" x="32"/>
        <item t="data" sd="1" x="36"/>
        <item t="data" sd="1" x="37"/>
        <item t="data" sd="1" x="38"/>
        <item t="data" sd="1" x="39"/>
        <item t="data" sd="1" x="40"/>
        <item t="data" sd="1" x="41"/>
        <item t="data" sd="1" x="42"/>
        <item t="data" sd="1" x="43"/>
        <item t="data" sd="1" x="44"/>
        <item t="data" sd="1" x="45"/>
        <item t="data" sd="1" x="46"/>
        <item t="data" sd="1" x="47"/>
        <item t="data" sd="1" m="1" x="466"/>
        <item t="data" sd="1" x="48"/>
        <item t="data" sd="1" x="49"/>
        <item t="data" sd="1" x="50"/>
        <item t="data" sd="1" x="51"/>
        <item t="data" sd="1" x="52"/>
        <item t="data" sd="1" x="53"/>
        <item t="data" sd="1" x="56"/>
        <item t="data" sd="1" x="57"/>
        <item t="data" sd="1" x="58"/>
        <item t="data" sd="1" m="1" x="439"/>
        <item t="data" sd="1" x="4"/>
        <item t="data" sd="1" x="5"/>
        <item t="data" sd="1" x="55"/>
        <item t="data" sd="1" x="59"/>
        <item t="data" sd="1" x="60"/>
        <item t="data" sd="1" x="61"/>
        <item t="data" sd="1" x="62"/>
        <item t="data" sd="1" x="63"/>
        <item t="data" sd="1" x="64"/>
        <item t="data" sd="1" x="65"/>
        <item t="data" sd="1" x="66"/>
        <item t="data" sd="1" x="67"/>
        <item t="data" sd="1" x="68"/>
        <item t="data" sd="1" x="69"/>
        <item t="data" sd="1" x="70"/>
        <item t="data" sd="1" x="71"/>
        <item t="data" sd="1" x="73"/>
        <item t="data" sd="1" x="74"/>
        <item t="data" sd="1" x="75"/>
        <item t="data" sd="1" x="76"/>
        <item t="data" sd="1" x="77"/>
        <item t="data" sd="1" x="78"/>
        <item t="data" sd="1" x="79"/>
        <item t="data" sd="1" x="81"/>
        <item t="data" sd="1" x="82"/>
        <item t="data" sd="1" x="83"/>
        <item t="data" sd="1" x="84"/>
        <item t="data" sd="1" x="85"/>
        <item t="data" sd="1" x="86"/>
        <item t="data" sd="1" x="90"/>
        <item t="data" sd="1" x="91"/>
        <item t="data" sd="1" x="92"/>
        <item t="data" sd="1" x="94"/>
        <item t="data" sd="1" x="95"/>
        <item t="data" sd="1" x="96"/>
        <item t="data" sd="1" x="98"/>
        <item t="data" sd="1" x="99"/>
        <item t="data" sd="1" x="100"/>
        <item t="data" sd="1" x="101"/>
        <item t="data" sd="1" x="102"/>
        <item t="data" sd="1" x="103"/>
        <item t="data" sd="1" x="104"/>
        <item t="data" sd="1" x="105"/>
        <item t="data" sd="1" x="106"/>
        <item t="data" sd="1" x="107"/>
        <item t="data" sd="1" x="113"/>
        <item t="data" sd="1" x="114"/>
        <item t="data" sd="1" x="89"/>
        <item t="data" sd="1" x="93"/>
        <item t="data" sd="1" x="122"/>
        <item t="data" sd="1" x="124"/>
        <item t="data" sd="1" x="126"/>
        <item t="data" sd="1" x="127"/>
        <item t="data" sd="1" x="128"/>
        <item t="data" sd="1" x="129"/>
        <item t="data" sd="1" x="131"/>
        <item t="data" sd="1" x="132"/>
        <item t="data" sd="1" x="134"/>
        <item t="data" sd="1" x="136"/>
        <item t="data" sd="1" x="137"/>
        <item t="data" sd="1" x="138"/>
        <item t="data" sd="1" x="139"/>
        <item t="data" sd="1" x="140"/>
        <item t="data" sd="1" x="141"/>
        <item t="data" sd="1" x="142"/>
        <item t="data" sd="1" x="143"/>
        <item t="data" sd="1" x="144"/>
        <item t="data" sd="1" x="145"/>
        <item t="data" sd="1" x="146"/>
        <item t="data" sd="1" x="153"/>
        <item t="data" sd="1" x="130"/>
        <item t="data" sd="1" x="133"/>
        <item t="data" sd="1" m="1" x="273"/>
        <item t="data" sd="1" x="147"/>
        <item t="data" sd="1" x="148"/>
        <item t="data" sd="1" x="150"/>
        <item t="data" sd="1" x="151"/>
        <item t="data" sd="1" x="152"/>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87"/>
        <item t="data" sd="1" x="88"/>
        <item t="data" sd="1" m="1" x="271"/>
        <item t="data" sd="1" x="97"/>
        <item t="data" sd="1" x="108"/>
        <item t="data" sd="1" x="109"/>
        <item t="data" sd="1" x="110"/>
        <item t="data" sd="1" x="111"/>
        <item t="data" sd="1" x="112"/>
        <item t="data" sd="1" x="115"/>
        <item t="data" sd="1" x="116"/>
        <item t="data" sd="1" x="117"/>
        <item t="data" sd="1" x="118"/>
        <item t="data" sd="1" x="119"/>
        <item t="data" sd="1" x="120"/>
        <item t="data" sd="1" x="121"/>
        <item t="data" sd="1" x="123"/>
        <item t="data" sd="1" x="125"/>
        <item t="data" sd="1" x="135"/>
        <item t="data" sd="1" x="149"/>
        <item t="data" sd="1" x="54"/>
        <item t="data" sd="1" x="80"/>
        <item t="data" sd="1" x="1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72"/>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axis="axisRow" showDropDowns="1" compact="0" outline="0" subtotalTop="1" dragToRow="1" dragToCol="1" dragToPage="1" dragToData="1" dragOff="1" showAll="0" topAutoShow="1" itemPageCount="10" sortType="manual" defaultSubtotal="0">
      <items count="47">
        <item t="data" sd="1" x="12"/>
        <item t="data" sd="1" x="3"/>
        <item t="data" sd="1" x="9"/>
        <item t="data" sd="1" x="8"/>
        <item t="data" sd="1" x="6"/>
        <item t="data" sd="1" x="7"/>
        <item t="data" sd="1" x="2"/>
        <item t="data" sd="1" x="14"/>
        <item t="data" sd="1" x="4"/>
        <item t="data" sd="1" x="19"/>
        <item t="data" sd="1" x="18"/>
        <item t="data" sd="1" x="23"/>
        <item t="data" sd="1" x="25"/>
        <item t="data" sd="1" x="24"/>
        <item t="data" sd="1" m="1" x="46"/>
        <item t="data" sd="1" x="1"/>
        <item t="data" sd="1" x="31"/>
        <item t="data" sd="1" x="32"/>
        <item t="data" sd="1" x="0"/>
        <item t="data" sd="1" x="5"/>
        <item t="data" sd="1" x="30"/>
        <item t="data" sd="1" x="16"/>
        <item t="data" sd="1" x="15"/>
        <item t="data" sd="1" x="20"/>
        <item t="data" sd="1" x="28"/>
        <item t="data" sd="1" x="26"/>
        <item t="data" sd="1" x="29"/>
        <item t="data" sd="1" x="17"/>
        <item t="data" sd="1" x="10"/>
        <item t="data" sd="1" x="11"/>
        <item t="data" sd="1" x="13"/>
        <item t="data" sd="1" x="21"/>
        <item t="data" sd="1" x="22"/>
        <item t="data" sd="1" x="27"/>
        <item t="data" sd="1" x="33"/>
        <item t="data" sd="1" x="34"/>
        <item t="data" sd="1" x="35"/>
        <item t="data" sd="1" x="36"/>
        <item t="data" sd="1" x="37"/>
        <item t="data" sd="1" x="38"/>
        <item t="data" sd="1" x="39"/>
        <item t="data" sd="1" x="40"/>
        <item t="data" sd="1" x="41"/>
        <item t="data" sd="1" x="42"/>
        <item t="data" sd="1" x="43"/>
        <item t="data" sd="1" x="44"/>
        <item t="data" sd="1" x="45"/>
      </items>
    </pivotField>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dataField="1"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items count="14">
        <item t="data" sd="0" x="0"/>
        <item t="data" sd="0" x="1"/>
        <item t="data" sd="0" x="2"/>
        <item t="data" sd="0" x="3"/>
        <item t="data" sd="0" x="4"/>
        <item t="data" sd="0" x="5"/>
        <item t="data" sd="0" x="6"/>
        <item t="data" sd="0" x="7"/>
        <item t="data" sd="0" x="8"/>
        <item t="data" sd="0" x="9"/>
        <item t="data" sd="0" x="10"/>
        <item t="data" sd="0" x="11"/>
        <item t="data" sd="0" x="12"/>
        <item t="data" sd="0" x="13"/>
      </items>
    </pivotField>
    <pivotField showDropDowns="1" compact="0" outline="0" subtotalTop="1" dragToRow="1" dragToCol="1" dragToPage="1" dragToData="1" dragOff="1" showAll="0" topAutoShow="1" itemPageCount="10" sortType="manual" defaultSubtotal="0">
      <items count="6">
        <item t="data" sd="0" x="1"/>
        <item t="data" sd="0" x="2"/>
        <item t="data" sd="0" x="3"/>
        <item t="data" sd="0" x="4"/>
        <item t="data" sd="1" x="0"/>
        <item t="data" sd="1" x="5"/>
      </items>
    </pivotField>
    <pivotField axis="axisRow" showDropDowns="1" compact="0" outline="0" subtotalTop="1" dragToRow="1" dragToCol="1" dragToPage="1" dragToData="1" dragOff="1" showAll="0" topAutoShow="1" itemPageCount="10" sortType="manual" defaultSubtotal="0">
      <items count="4">
        <item t="data" sd="0" x="1"/>
        <item t="data" sd="1" x="0"/>
        <item t="data" sd="1" x="2"/>
        <item t="data" sd="1" x="3"/>
      </items>
    </pivotField>
  </pivotFields>
  <rowFields count="2">
    <field x="68"/>
    <field x="7"/>
  </rowFields>
  <rowItems count="32">
    <i t="data" r="0" i="0">
      <x v="0"/>
    </i>
    <i t="data" r="0" i="0">
      <x v="1"/>
      <x v="8"/>
    </i>
    <i t="data" r="1" i="0">
      <x v="15"/>
    </i>
    <i t="data" r="0" i="0">
      <x v="2"/>
      <x v="1"/>
    </i>
    <i t="data" r="1" i="0">
      <x v="2"/>
    </i>
    <i t="data" r="1" i="0">
      <x v="6"/>
    </i>
    <i t="data" r="1" i="0">
      <x v="7"/>
    </i>
    <i t="data" r="1" i="0">
      <x v="8"/>
    </i>
    <i t="data" r="1" i="0">
      <x v="9"/>
    </i>
    <i t="data" r="1" i="0">
      <x v="10"/>
    </i>
    <i t="data" r="1" i="0">
      <x v="12"/>
    </i>
    <i t="data" r="1" i="0">
      <x v="15"/>
    </i>
    <i t="data" r="1" i="0">
      <x v="18"/>
    </i>
    <i t="data" r="1" i="0">
      <x v="19"/>
    </i>
    <i t="data" r="1" i="0">
      <x v="20"/>
    </i>
    <i t="data" r="1" i="0">
      <x v="21"/>
    </i>
    <i t="data" r="1" i="0">
      <x v="22"/>
    </i>
    <i t="data" r="1" i="0">
      <x v="24"/>
    </i>
    <i t="data" r="1" i="0">
      <x v="25"/>
    </i>
    <i t="data" r="1" i="0">
      <x v="34"/>
    </i>
    <i t="data" r="1" i="0">
      <x v="36"/>
    </i>
    <i t="data" r="1" i="0">
      <x v="37"/>
    </i>
    <i t="data" r="1" i="0">
      <x v="38"/>
    </i>
    <i t="data" r="1" i="0">
      <x v="39"/>
    </i>
    <i t="data" r="1" i="0">
      <x v="40"/>
    </i>
    <i t="data" r="1" i="0">
      <x v="41"/>
    </i>
    <i t="data" r="1" i="0">
      <x v="42"/>
    </i>
    <i t="data" r="1" i="0">
      <x v="43"/>
    </i>
    <i t="data" r="1" i="0">
      <x v="44"/>
    </i>
    <i t="data" r="1" i="0">
      <x v="45"/>
    </i>
    <i t="data" r="1" i="0">
      <x v="46"/>
    </i>
    <i t="grand" r="0" i="0">
      <x v="0"/>
    </i>
  </rowItems>
  <colFields count="1">
    <field x="-2"/>
  </colFields>
  <colItems count="3">
    <i t="data" r="0" i="0">
      <x v="0"/>
    </i>
    <i t="data" r="0" i="1">
      <x v="1"/>
    </i>
    <i t="data" r="0" i="2">
      <x v="2"/>
    </i>
  </colItems>
  <dataFields count="3">
    <dataField name="求和项:买家实付金额" fld="54" subtotal="sum" showDataAs="normal" baseField="0" baseItem="0"/>
    <dataField name="求和项:采购总额" fld="50" subtotal="sum" showDataAs="normal" baseField="0" baseItem="0"/>
    <dataField name="求和项:订单利润" fld="58" subtotal="sum" showDataAs="normal" baseField="0" baseItem="0"/>
  </dataFields>
  <chartFormats count="3">
    <chartFormat chart="1" format="0" series="1">
      <pivotArea type="data" dataOnly="1" outline="0" fieldPosition="0">
        <references count="1">
          <reference field="4294967294" selected="0">
            <x v="0"/>
          </reference>
        </references>
      </pivotArea>
    </chartFormat>
    <chartFormat chart="1" format="1" series="1">
      <pivotArea type="data" dataOnly="1" outline="0" fieldPosition="0">
        <references count="1">
          <reference field="4294967294" selected="0">
            <x v="1"/>
          </reference>
        </references>
      </pivotArea>
    </chartFormat>
    <chartFormat chart="1" format="2" series="1">
      <pivotArea type="data" dataOnly="1" outline="0" fieldPosition="0">
        <references count="1">
          <reference field="4294967294" selected="0">
            <x v="2"/>
          </reference>
        </references>
      </pivotArea>
    </chartFormat>
  </chartFormats>
  <pivotTableStyleInfo name="PivotStyleLight16" showRowHeaders="1" showColHeaders="1" showRowStripes="0" showColStripes="0" showLastColumn="1"/>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 Type="http://schemas.openxmlformats.org/officeDocument/2006/relationships/pivotTable" Target="/xl/pivotTables/pivotTable1.xml" Id="rId3" /><Relationship Type="http://schemas.openxmlformats.org/officeDocument/2006/relationships/pivotTable" Target="/xl/pivotTables/pivotTable2.xml" Id="rId4" /></Relationships>
</file>

<file path=xl/worksheets/sheet1.xml><?xml version="1.0" encoding="utf-8"?>
<worksheet xmlns="http://schemas.openxmlformats.org/spreadsheetml/2006/main">
  <sheetPr>
    <outlinePr summaryBelow="1" summaryRight="1"/>
    <pageSetUpPr/>
  </sheetPr>
  <dimension ref="A1:DM991"/>
  <sheetViews>
    <sheetView showGridLines="0" tabSelected="1" showWhiteSpace="0" topLeftCell="A42" zoomScale="70" zoomScaleNormal="70" zoomScalePageLayoutView="70" workbookViewId="0">
      <pane xSplit="12" ySplit="4" topLeftCell="AP540" activePane="bottomRight" state="frozen"/>
      <selection activeCell="A42" sqref="A42"/>
      <selection pane="topRight" activeCell="M42" sqref="M42"/>
      <selection pane="bottomLeft" activeCell="A46" sqref="A46"/>
      <selection pane="bottomRight" activeCell="BG544" sqref="BG544:BG552"/>
    </sheetView>
  </sheetViews>
  <sheetFormatPr baseColWidth="8" defaultColWidth="9" defaultRowHeight="15.75" customHeight="1"/>
  <cols>
    <col width="13.5" customWidth="1" style="14" min="1" max="1"/>
    <col width="15.875" customWidth="1" style="2" min="2" max="2"/>
    <col width="25.375" customWidth="1" style="10" min="3" max="3"/>
    <col width="15.5" customWidth="1" style="11" min="4" max="4"/>
    <col hidden="1" width="14.25" customWidth="1" style="10" min="5" max="6"/>
    <col width="34.5" customWidth="1" style="2" min="7" max="7"/>
    <col width="14.375" customWidth="1" style="2" min="8" max="8"/>
    <col width="14.375" customWidth="1" style="3" min="9" max="9"/>
    <col width="15.25" customWidth="1" style="2" min="10" max="10"/>
    <col width="12.5" customWidth="1" style="6" min="11" max="11"/>
    <col width="16.625" customWidth="1" style="185" min="12" max="12"/>
    <col hidden="1" outlineLevel="1" width="16.625" customWidth="1" style="185" min="13" max="38"/>
    <col hidden="1" outlineLevel="1" width="16.625" customWidth="1" style="6" min="39" max="41"/>
    <col collapsed="1" width="16.875" customWidth="1" style="6" min="42" max="42"/>
    <col width="13.125" customWidth="1" style="6" min="43" max="43"/>
    <col width="12.875" customWidth="1" style="6" min="44" max="44"/>
    <col width="13.125" customWidth="1" style="6" min="45" max="45"/>
    <col width="12.375" customWidth="1" style="6" min="46" max="47"/>
    <col width="12.875" customWidth="1" style="6" min="48" max="48"/>
    <col width="13.375" customWidth="1" style="2" min="49" max="49"/>
    <col width="14.125" customWidth="1" style="6" min="50" max="50"/>
    <col width="14.625" customWidth="1" style="6" min="51" max="52"/>
    <col width="16.375" customWidth="1" style="6" min="53" max="53"/>
    <col width="14.875" customWidth="1" style="6" min="54" max="54"/>
    <col width="17.625" customWidth="1" style="6" min="55" max="55"/>
    <col width="16" customWidth="1" style="6" min="56" max="56"/>
    <col width="15.875" customWidth="1" style="6" min="57" max="57"/>
    <col width="13.125" customWidth="1" style="6" min="58" max="58"/>
    <col width="12.625" customWidth="1" style="2" min="59" max="59"/>
    <col width="12.625" customWidth="1" style="186" min="60" max="60"/>
    <col width="12.625" customWidth="1" style="10" min="61" max="61"/>
    <col width="15.5" customWidth="1" style="10" min="62" max="62"/>
    <col width="12.625" customWidth="1" style="11" min="63" max="63"/>
    <col width="12.625" customWidth="1" style="12" min="64" max="64"/>
    <col width="12.625" customWidth="1" style="13" min="65" max="65"/>
    <col width="12.625" customWidth="1" style="12" min="66" max="66"/>
    <col width="45.125" customWidth="1" style="11" min="67" max="67"/>
    <col width="12.625" customWidth="1" style="11" min="68" max="71"/>
    <col width="12.625" customWidth="1" style="2" min="72" max="85"/>
    <col width="12.625" customWidth="1" style="14" min="86" max="86"/>
    <col width="24.375" customWidth="1" style="2" min="87" max="87"/>
    <col width="13.25" bestFit="1" customWidth="1" style="2" min="88" max="88"/>
    <col width="8.5" bestFit="1" customWidth="1" style="2" min="89" max="89"/>
    <col width="21.625" bestFit="1" customWidth="1" style="2" min="90" max="90"/>
    <col width="15.875" bestFit="1" customWidth="1" style="2" min="91" max="92"/>
    <col width="13.75" bestFit="1" customWidth="1" style="2" min="93" max="93"/>
    <col width="20.125" bestFit="1" customWidth="1" style="2" min="94" max="95"/>
    <col width="24.25" bestFit="1" customWidth="1" style="2" min="96" max="96"/>
    <col width="20.125" bestFit="1" customWidth="1" style="2" min="97" max="97"/>
    <col width="24.25" bestFit="1" customWidth="1" style="2" min="98" max="98"/>
    <col width="26" bestFit="1" customWidth="1" style="2" min="99" max="99"/>
    <col width="35.625" bestFit="1" customWidth="1" style="2" min="100" max="100"/>
    <col width="20.125" bestFit="1" customWidth="1" style="2" min="101" max="101"/>
    <col width="15.875" bestFit="1" customWidth="1" style="2" min="102" max="103"/>
    <col width="12.5" bestFit="1" customWidth="1" style="2" min="104" max="104"/>
    <col width="15.375" bestFit="1" customWidth="1" style="2" min="105" max="106"/>
    <col width="17.5" bestFit="1" customWidth="1" style="2" min="107" max="107"/>
    <col width="19" bestFit="1" customWidth="1" style="2" min="108" max="108"/>
    <col width="20.125" bestFit="1" customWidth="1" style="2" min="109" max="109"/>
    <col width="15.875" bestFit="1" customWidth="1" style="2" min="110" max="111"/>
    <col width="17.5" bestFit="1" customWidth="1" style="16" min="112" max="112"/>
    <col width="17.875" bestFit="1" customWidth="1" style="2" min="113" max="113"/>
    <col width="14" customWidth="1" style="2" min="114" max="16384"/>
    <col width="22" customWidth="1" style="187" min="115" max="115"/>
    <col width="22" customWidth="1" style="187" min="116" max="116"/>
    <col width="70" customWidth="1" style="187" min="117" max="117"/>
  </cols>
  <sheetData>
    <row r="1" ht="28.35" customHeight="1" s="187">
      <c r="A1" s="1" t="inlineStr">
        <is>
          <t>订单信息汇总</t>
        </is>
      </c>
      <c r="C1" s="3" t="n"/>
      <c r="D1" s="2" t="n"/>
      <c r="E1" s="2" t="n"/>
      <c r="F1" s="2" t="n"/>
      <c r="H1" s="4" t="n"/>
      <c r="I1" s="188" t="n"/>
      <c r="J1" s="2" t="inlineStr">
        <is>
          <t>* 含第一次安装和后续售后</t>
        </is>
      </c>
      <c r="L1" s="3" t="n"/>
      <c r="M1" s="2" t="n"/>
      <c r="N1" s="6" t="n"/>
      <c r="O1" s="2" t="n"/>
      <c r="P1" s="2" t="n"/>
      <c r="Q1" s="2" t="n"/>
      <c r="X1" s="6" t="n"/>
      <c r="Y1" s="2" t="n"/>
      <c r="Z1" s="2" t="n"/>
      <c r="AA1" s="2" t="n"/>
      <c r="AM1" s="185" t="n"/>
      <c r="AQ1" s="2" t="n"/>
      <c r="AR1" s="185" t="n"/>
      <c r="AT1" s="189" t="inlineStr">
        <is>
          <t>销售额占比</t>
        </is>
      </c>
      <c r="AW1" s="6" t="n"/>
      <c r="BD1" s="2" t="n"/>
      <c r="CI1" s="15" t="inlineStr">
        <is>
          <t>汇总辅助列</t>
        </is>
      </c>
    </row>
    <row r="2" ht="15.75" customHeight="1" s="187">
      <c r="A2" s="17" t="inlineStr">
        <is>
          <t>分月核算</t>
        </is>
      </c>
      <c r="B2" s="190" t="inlineStr">
        <is>
          <t>生产成本</t>
        </is>
      </c>
      <c r="C2" s="190" t="inlineStr">
        <is>
          <t>物流运输+打包杂费</t>
        </is>
      </c>
      <c r="D2" s="190" t="inlineStr">
        <is>
          <t>上门安装费用</t>
        </is>
      </c>
      <c r="E2" s="190" t="inlineStr">
        <is>
          <t>CRM费用（好评返现等）</t>
        </is>
      </c>
      <c r="F2" s="190" t="inlineStr">
        <is>
          <t>售后维修（除去工厂承担部分）</t>
        </is>
      </c>
      <c r="G2" s="190" t="inlineStr">
        <is>
          <t>平台支付扣费</t>
        </is>
      </c>
      <c r="H2" s="190" t="inlineStr">
        <is>
          <t>买家付款金额</t>
        </is>
      </c>
      <c r="I2" s="191" t="inlineStr">
        <is>
          <t>利润</t>
        </is>
      </c>
      <c r="J2" s="190" t="inlineStr">
        <is>
          <t>万师傅上门费（不计入，check用）</t>
        </is>
      </c>
      <c r="K2" s="190" t="inlineStr">
        <is>
          <t>售后维修（含工厂承担部分）（不计入，check用）</t>
        </is>
      </c>
      <c r="L2" s="190" t="n"/>
      <c r="M2" s="190" t="n"/>
      <c r="N2" s="6" t="n"/>
      <c r="O2" s="6" t="n"/>
      <c r="P2" s="6" t="n"/>
      <c r="Q2" s="6" t="n"/>
      <c r="R2" s="6" t="n"/>
      <c r="S2" s="6" t="n"/>
      <c r="T2" s="6" t="n"/>
      <c r="U2" s="6" t="n"/>
      <c r="V2" s="6" t="n"/>
      <c r="W2" s="6" t="n"/>
      <c r="X2" s="6" t="n"/>
      <c r="Y2" s="2" t="n"/>
      <c r="Z2" s="2" t="n"/>
      <c r="AA2" s="2" t="n"/>
      <c r="AB2" s="6" t="n"/>
      <c r="AC2" s="6" t="n"/>
      <c r="AD2" s="6" t="n"/>
      <c r="AE2" s="6" t="n"/>
      <c r="AF2" s="6" t="n"/>
      <c r="AG2" s="6" t="n"/>
      <c r="AH2" s="6" t="n"/>
      <c r="AI2" s="6" t="n"/>
      <c r="AJ2" s="6" t="n"/>
      <c r="AK2" s="6" t="n"/>
      <c r="AL2" s="6" t="n"/>
      <c r="AT2" s="20" t="inlineStr">
        <is>
          <t>分月核算</t>
        </is>
      </c>
      <c r="AU2" s="190" t="inlineStr">
        <is>
          <t>生产成本</t>
        </is>
      </c>
      <c r="AV2" s="190" t="inlineStr">
        <is>
          <t>物流运输+打包杂费</t>
        </is>
      </c>
      <c r="AW2" s="190" t="inlineStr">
        <is>
          <t>上门安装费用</t>
        </is>
      </c>
      <c r="AX2" s="190" t="inlineStr">
        <is>
          <t>CRM费用（好评返现等）</t>
        </is>
      </c>
      <c r="AY2" s="190" t="inlineStr">
        <is>
          <t>售后维修（除去工厂承担部分）</t>
        </is>
      </c>
      <c r="AZ2" s="190" t="inlineStr">
        <is>
          <t>平台支付扣费</t>
        </is>
      </c>
      <c r="BA2" s="190" t="inlineStr">
        <is>
          <t>买家付款金额</t>
        </is>
      </c>
      <c r="BB2" s="190" t="inlineStr">
        <is>
          <t>利润</t>
        </is>
      </c>
      <c r="BG2" s="6" t="n"/>
    </row>
    <row r="3" ht="15.75" customHeight="1" s="187">
      <c r="A3" s="21" t="inlineStr">
        <is>
          <t>2025年1月</t>
        </is>
      </c>
      <c r="B3" s="192">
        <f>IFERROR(VLOOKUP(A3,CH:CY,6,0),0)</f>
        <v/>
      </c>
      <c r="C3" s="192">
        <f>IFERROR(VLOOKUP(A3,CH:CX,7,0),0)+IFERROR(VLOOKUP(A3,CH:CX,8,0),0)</f>
        <v/>
      </c>
      <c r="D3" s="192">
        <f>IFERROR(VLOOKUP(A3,CH:CX,9,0),0)</f>
        <v/>
      </c>
      <c r="E3" s="192">
        <f>IFERROR(VLOOKUP(A3,CH:CX,14,0),0)</f>
        <v/>
      </c>
      <c r="F3" s="192">
        <f>IFERROR(VLOOKUP(A3,CH:CY,10,0),0)+IFERROR(VLOOKUP(A3,CH:CY,11,0),0)+IFERROR(VLOOKUP(A3,CH:CY,12,0),0)+IFERROR(VLOOKUP(A3,CH:CY,13,0),0)-IFERROR(VLOOKUP(A3,CH:CY,18,0),0)</f>
        <v/>
      </c>
      <c r="G3" s="192">
        <f>IFERROR(VLOOKUP(A3,CH:CY,15,0),0)</f>
        <v/>
      </c>
      <c r="H3" s="193">
        <f>IFERROR(VLOOKUP(A3,CH:CY,16,0),0)</f>
        <v/>
      </c>
      <c r="I3" s="194">
        <f>IFERROR(VLOOKUP(A3,CH:CY,17,0),0)</f>
        <v/>
      </c>
      <c r="J3" s="193">
        <f>IFERROR(VLOOKUP(A3,CH:CY,9,0),0)+IFERROR(VLOOKUP(A3,CH:CY,11,0),0)</f>
        <v/>
      </c>
      <c r="K3" s="192">
        <f>IFERROR(VLOOKUP(A3,CH:CY,10,0),0)+IFERROR(VLOOKUP(A3,CH:CY,11,0),0)+IFERROR(VLOOKUP(A3,CH:CY,12,0),0)+IFERROR(VLOOKUP(A3,CH:CY,13,0),0)</f>
        <v/>
      </c>
      <c r="L3" s="192" t="n"/>
      <c r="M3" s="192" t="n"/>
      <c r="N3" s="6" t="n"/>
      <c r="O3" s="6" t="n"/>
      <c r="P3" s="6" t="n"/>
      <c r="Q3" s="6" t="n"/>
      <c r="R3" s="6" t="n"/>
      <c r="S3" s="6" t="n"/>
      <c r="T3" s="6" t="n"/>
      <c r="U3" s="6" t="n"/>
      <c r="V3" s="6" t="n"/>
      <c r="W3" s="6" t="n"/>
      <c r="X3" s="6" t="n"/>
      <c r="Y3" s="16" t="n"/>
      <c r="Z3" s="16" t="n"/>
      <c r="AA3" s="16" t="n"/>
      <c r="AB3" s="6" t="n"/>
      <c r="AC3" s="6" t="n"/>
      <c r="AD3" s="6" t="n"/>
      <c r="AE3" s="6" t="n"/>
      <c r="AF3" s="6" t="n"/>
      <c r="AG3" s="6" t="n"/>
      <c r="AH3" s="6" t="n"/>
      <c r="AI3" s="6" t="n"/>
      <c r="AJ3" s="6" t="n"/>
      <c r="AK3" s="6" t="n"/>
      <c r="AL3" s="6" t="n"/>
      <c r="AT3" s="21" t="inlineStr">
        <is>
          <t>2025年1月</t>
        </is>
      </c>
      <c r="AU3" s="16">
        <f>$B3/$H3</f>
        <v/>
      </c>
      <c r="AV3" s="16">
        <f>$C3/$H3</f>
        <v/>
      </c>
      <c r="AW3" s="16">
        <f>$D3/$H3</f>
        <v/>
      </c>
      <c r="AX3" s="16">
        <f>$E3/$H3</f>
        <v/>
      </c>
      <c r="AY3" s="16">
        <f>$F3/$H3</f>
        <v/>
      </c>
      <c r="AZ3" s="16">
        <f>$G3/$H3</f>
        <v/>
      </c>
      <c r="BA3" s="16">
        <f>$H3/$H3</f>
        <v/>
      </c>
      <c r="BB3" s="16">
        <f>$I3/$H3</f>
        <v/>
      </c>
      <c r="BG3" s="6" t="n"/>
    </row>
    <row r="4" ht="15.75" customHeight="1" s="187">
      <c r="A4" s="21" t="inlineStr">
        <is>
          <t>2025年2月</t>
        </is>
      </c>
      <c r="B4" s="192">
        <f>IFERROR(VLOOKUP(A4,CH:CY,6,0),0)</f>
        <v/>
      </c>
      <c r="C4" s="192">
        <f>IFERROR(VLOOKUP(A4,CH:CX,7,0),0)+IFERROR(VLOOKUP(A4,CH:CX,8,0),0)</f>
        <v/>
      </c>
      <c r="D4" s="192">
        <f>IFERROR(VLOOKUP(A4,CH:CX,9,0),0)</f>
        <v/>
      </c>
      <c r="E4" s="192">
        <f>IFERROR(VLOOKUP(A4,CH:CX,14,0),0)</f>
        <v/>
      </c>
      <c r="F4" s="192">
        <f>IFERROR(VLOOKUP(A4,CH:CY,10,0),0)+IFERROR(VLOOKUP(A4,CH:CY,11,0),0)+IFERROR(VLOOKUP(A4,CH:CY,12,0),0)+IFERROR(VLOOKUP(A4,CH:CY,13,0),0)-IFERROR(VLOOKUP(A4,CH:CY,18,0),0)</f>
        <v/>
      </c>
      <c r="G4" s="192">
        <f>IFERROR(VLOOKUP(A4,CH:CY,15,0),0)</f>
        <v/>
      </c>
      <c r="H4" s="193">
        <f>IFERROR(VLOOKUP(A4,CH:CY,16,0),0)</f>
        <v/>
      </c>
      <c r="I4" s="194">
        <f>IFERROR(VLOOKUP(A4,CH:CY,17,0),0)</f>
        <v/>
      </c>
      <c r="J4" s="193">
        <f>IFERROR(VLOOKUP(A4,CH:CY,9,0),0)+IFERROR(VLOOKUP(A4,CH:CY,11,0),0)</f>
        <v/>
      </c>
      <c r="K4" s="192">
        <f>IFERROR(VLOOKUP(A4,CH:CY,10,0),0)+IFERROR(VLOOKUP(A4,CH:CY,11,0),0)+IFERROR(VLOOKUP(A4,CH:CY,12,0),0)+IFERROR(VLOOKUP(A4,CH:CY,13,0),0)</f>
        <v/>
      </c>
      <c r="L4" s="192" t="n"/>
      <c r="M4" s="192" t="n"/>
      <c r="N4" s="6" t="n"/>
      <c r="O4" s="6" t="n"/>
      <c r="P4" s="6" t="n"/>
      <c r="Q4" s="6" t="n"/>
      <c r="R4" s="6" t="n"/>
      <c r="S4" s="6" t="n"/>
      <c r="T4" s="6" t="n"/>
      <c r="U4" s="6" t="n"/>
      <c r="V4" s="6" t="n"/>
      <c r="W4" s="6" t="n"/>
      <c r="X4" s="6" t="n"/>
      <c r="Y4" s="2" t="n"/>
      <c r="Z4" s="2" t="n"/>
      <c r="AA4" s="2" t="n"/>
      <c r="AB4" s="6" t="n"/>
      <c r="AC4" s="6" t="n"/>
      <c r="AD4" s="6" t="n"/>
      <c r="AE4" s="6" t="n"/>
      <c r="AF4" s="6" t="n"/>
      <c r="AG4" s="6" t="n"/>
      <c r="AH4" s="6" t="n"/>
      <c r="AI4" s="6" t="n"/>
      <c r="AJ4" s="6" t="n"/>
      <c r="AK4" s="6" t="n"/>
      <c r="AL4" s="6" t="n"/>
      <c r="AT4" s="21" t="inlineStr">
        <is>
          <t>2025年2月</t>
        </is>
      </c>
      <c r="AU4" s="16">
        <f>$B4/$H4</f>
        <v/>
      </c>
      <c r="AV4" s="16">
        <f>$C4/$H4</f>
        <v/>
      </c>
      <c r="AW4" s="16">
        <f>$D4/$H4</f>
        <v/>
      </c>
      <c r="AX4" s="16">
        <f>$E4/$H4</f>
        <v/>
      </c>
      <c r="AY4" s="16">
        <f>$F4/$H4</f>
        <v/>
      </c>
      <c r="AZ4" s="16">
        <f>$G4/$H4</f>
        <v/>
      </c>
      <c r="BA4" s="16">
        <f>$H4/$H4</f>
        <v/>
      </c>
      <c r="BB4" s="16">
        <f>$I4/$H4</f>
        <v/>
      </c>
      <c r="BG4" s="6" t="n"/>
    </row>
    <row r="5" ht="15.75" customHeight="1" s="187">
      <c r="A5" s="21" t="inlineStr">
        <is>
          <t>2025年3月</t>
        </is>
      </c>
      <c r="B5" s="192">
        <f>IFERROR(VLOOKUP(A5,CH:CY,6,0),0)</f>
        <v/>
      </c>
      <c r="C5" s="192">
        <f>IFERROR(VLOOKUP(A5,CH:CX,7,0),0)+IFERROR(VLOOKUP(A5,CH:CX,8,0),0)</f>
        <v/>
      </c>
      <c r="D5" s="192">
        <f>IFERROR(VLOOKUP(A5,CH:CX,9,0),0)</f>
        <v/>
      </c>
      <c r="E5" s="192">
        <f>IFERROR(VLOOKUP(A5,CH:CX,14,0),0)</f>
        <v/>
      </c>
      <c r="F5" s="192">
        <f>IFERROR(VLOOKUP(A5,CH:CY,10,0),0)+IFERROR(VLOOKUP(A5,CH:CY,11,0),0)+IFERROR(VLOOKUP(A5,CH:CY,12,0),0)+IFERROR(VLOOKUP(A5,CH:CY,13,0),0)-IFERROR(VLOOKUP(A5,CH:CY,18,0),0)</f>
        <v/>
      </c>
      <c r="G5" s="192">
        <f>IFERROR(VLOOKUP(A5,CH:CY,15,0),0)</f>
        <v/>
      </c>
      <c r="H5" s="193">
        <f>IFERROR(VLOOKUP(A5,CH:CY,16,0),0)</f>
        <v/>
      </c>
      <c r="I5" s="194">
        <f>IFERROR(VLOOKUP(A5,CH:CY,17,0),0)</f>
        <v/>
      </c>
      <c r="J5" s="193">
        <f>IFERROR(VLOOKUP(A5,CH:CY,9,0),0)+IFERROR(VLOOKUP(A5,CH:CY,11,0),0)</f>
        <v/>
      </c>
      <c r="K5" s="192">
        <f>IFERROR(VLOOKUP(A5,CH:CY,10,0),0)+IFERROR(VLOOKUP(A5,CH:CY,11,0),0)+IFERROR(VLOOKUP(A5,CH:CY,12,0),0)+IFERROR(VLOOKUP(A5,CH:CY,13,0),0)</f>
        <v/>
      </c>
      <c r="L5" s="192" t="n"/>
      <c r="M5" s="192" t="n"/>
      <c r="N5" s="6" t="n"/>
      <c r="O5" s="6" t="n"/>
      <c r="P5" s="6" t="n"/>
      <c r="Q5" s="6" t="n"/>
      <c r="R5" s="6" t="n"/>
      <c r="S5" s="6" t="n"/>
      <c r="T5" s="6" t="n"/>
      <c r="U5" s="6" t="n"/>
      <c r="V5" s="6" t="n"/>
      <c r="W5" s="6" t="n"/>
      <c r="X5" s="6" t="n"/>
      <c r="Y5" s="2" t="n"/>
      <c r="Z5" s="2" t="n"/>
      <c r="AA5" s="2" t="n"/>
      <c r="AB5" s="6" t="n"/>
      <c r="AC5" s="6" t="n"/>
      <c r="AD5" s="6" t="n"/>
      <c r="AE5" s="6" t="n"/>
      <c r="AF5" s="6" t="n"/>
      <c r="AG5" s="6" t="n"/>
      <c r="AH5" s="6" t="n"/>
      <c r="AI5" s="6" t="n"/>
      <c r="AJ5" s="6" t="n"/>
      <c r="AK5" s="6" t="n"/>
      <c r="AL5" s="6" t="n"/>
      <c r="AT5" s="21" t="inlineStr">
        <is>
          <t>2025年3月</t>
        </is>
      </c>
      <c r="AU5" s="16">
        <f>$B5/$H5</f>
        <v/>
      </c>
      <c r="AV5" s="16">
        <f>$C5/$H5</f>
        <v/>
      </c>
      <c r="AW5" s="16">
        <f>$D5/$H5</f>
        <v/>
      </c>
      <c r="AX5" s="16">
        <f>$E5/$H5</f>
        <v/>
      </c>
      <c r="AY5" s="16">
        <f>$F5/$H5</f>
        <v/>
      </c>
      <c r="AZ5" s="16">
        <f>$G5/$H5</f>
        <v/>
      </c>
      <c r="BA5" s="16">
        <f>$H5/$H5</f>
        <v/>
      </c>
      <c r="BB5" s="16">
        <f>$I5/$H5</f>
        <v/>
      </c>
      <c r="BG5" s="6" t="n"/>
      <c r="CI5" s="25" t="inlineStr">
        <is>
          <t>年(下单时间)</t>
        </is>
      </c>
      <c r="CJ5" s="25" t="inlineStr">
        <is>
          <t>月(下单时间)</t>
        </is>
      </c>
      <c r="CK5" s="25" t="inlineStr">
        <is>
          <t>下单时间</t>
        </is>
      </c>
      <c r="CL5" s="25" t="inlineStr">
        <is>
          <t>订单编号</t>
        </is>
      </c>
      <c r="CM5" s="25" t="inlineStr">
        <is>
          <t>求和项:产品成本</t>
        </is>
      </c>
      <c r="CN5" s="25" t="inlineStr">
        <is>
          <t>求和项:实际邮费</t>
        </is>
      </c>
      <c r="CO5" s="25" t="inlineStr">
        <is>
          <t>求和项:上楼费</t>
        </is>
      </c>
      <c r="CP5" s="25" t="inlineStr">
        <is>
          <t>求和项:实际安装费用</t>
        </is>
      </c>
      <c r="CQ5" s="25" t="inlineStr">
        <is>
          <t>求和项:订单赔付费用</t>
        </is>
      </c>
      <c r="CR5" s="25" t="inlineStr">
        <is>
          <t>求和项:第二次上门维修费</t>
        </is>
      </c>
      <c r="CS5" s="25" t="inlineStr">
        <is>
          <t>求和项:返厂打包运费</t>
        </is>
      </c>
      <c r="CT5" s="25" t="inlineStr">
        <is>
          <t>求和项:配件额外支付费用</t>
        </is>
      </c>
      <c r="CU5" s="25" t="inlineStr">
        <is>
          <t>求和项:好评/延迟返/差价返</t>
        </is>
      </c>
      <c r="CV5" s="25" t="inlineStr">
        <is>
          <t>求和项:平台服务费/花呗信用卡手续费</t>
        </is>
      </c>
      <c r="CW5" s="25" t="inlineStr">
        <is>
          <t>求和项:买家实付金额</t>
        </is>
      </c>
      <c r="CX5" s="25" t="inlineStr">
        <is>
          <t>求和项:订单利润</t>
        </is>
      </c>
      <c r="CY5" s="25" t="inlineStr">
        <is>
          <t>求和项:补偿总额</t>
        </is>
      </c>
      <c r="CZ5" s="25" t="n"/>
      <c r="DA5" s="25" t="n"/>
      <c r="DB5" s="25" t="n"/>
      <c r="DC5" s="26" t="inlineStr">
        <is>
          <t>年(下单时间)</t>
        </is>
      </c>
      <c r="DD5" s="26" t="inlineStr">
        <is>
          <t>产品简称</t>
        </is>
      </c>
      <c r="DE5" s="26" t="inlineStr">
        <is>
          <t>求和项:买家实付金额</t>
        </is>
      </c>
      <c r="DF5" s="26" t="inlineStr">
        <is>
          <t>求和项:采购总额</t>
        </is>
      </c>
      <c r="DG5" s="26" t="inlineStr">
        <is>
          <t>求和项:订单利润</t>
        </is>
      </c>
      <c r="DI5" s="26" t="n"/>
    </row>
    <row r="6" ht="15.75" customHeight="1" s="187">
      <c r="A6" s="21" t="inlineStr">
        <is>
          <t>2025年4月</t>
        </is>
      </c>
      <c r="B6" s="192">
        <f>IFERROR(VLOOKUP(A6,CH:CY,6,0),0)</f>
        <v/>
      </c>
      <c r="C6" s="192">
        <f>IFERROR(VLOOKUP(A6,CH:CX,7,0),0)+IFERROR(VLOOKUP(A6,CH:CX,8,0),0)</f>
        <v/>
      </c>
      <c r="D6" s="192">
        <f>IFERROR(VLOOKUP(A6,CH:CX,9,0),0)</f>
        <v/>
      </c>
      <c r="E6" s="192">
        <f>IFERROR(VLOOKUP(A6,CH:CX,14,0),0)</f>
        <v/>
      </c>
      <c r="F6" s="192">
        <f>IFERROR(VLOOKUP(A6,CH:CY,10,0),0)+IFERROR(VLOOKUP(A6,CH:CY,11,0),0)+IFERROR(VLOOKUP(A6,CH:CY,12,0),0)+IFERROR(VLOOKUP(A6,CH:CY,13,0),0)-IFERROR(VLOOKUP(A6,CH:CY,18,0),0)</f>
        <v/>
      </c>
      <c r="G6" s="192">
        <f>IFERROR(VLOOKUP(A6,CH:CY,15,0),0)</f>
        <v/>
      </c>
      <c r="H6" s="193">
        <f>IFERROR(VLOOKUP(A6,CH:CY,16,0),0)</f>
        <v/>
      </c>
      <c r="I6" s="194">
        <f>IFERROR(VLOOKUP(A6,CH:CY,17,0),0)</f>
        <v/>
      </c>
      <c r="J6" s="193">
        <f>IFERROR(VLOOKUP(A6,CH:CY,9,0),0)+IFERROR(VLOOKUP(A6,CH:CY,11,0),0)</f>
        <v/>
      </c>
      <c r="K6" s="192">
        <f>IFERROR(VLOOKUP(A6,CH:CY,10,0),0)+IFERROR(VLOOKUP(A6,CH:CY,11,0),0)+IFERROR(VLOOKUP(A6,CH:CY,12,0),0)+IFERROR(VLOOKUP(A6,CH:CY,13,0),0)</f>
        <v/>
      </c>
      <c r="L6" s="192" t="n"/>
      <c r="M6" s="192" t="n"/>
      <c r="N6" s="6" t="n"/>
      <c r="O6" s="6" t="n"/>
      <c r="P6" s="6" t="n"/>
      <c r="Q6" s="6" t="n"/>
      <c r="R6" s="6" t="n"/>
      <c r="S6" s="6" t="n"/>
      <c r="T6" s="6" t="n"/>
      <c r="U6" s="6" t="n"/>
      <c r="V6" s="6" t="n"/>
      <c r="W6" s="6" t="n"/>
      <c r="X6" s="6" t="n"/>
      <c r="Y6" s="2" t="n"/>
      <c r="Z6" s="2" t="n"/>
      <c r="AA6" s="2" t="n"/>
      <c r="AB6" s="6" t="n"/>
      <c r="AC6" s="6" t="n"/>
      <c r="AD6" s="6" t="n"/>
      <c r="AE6" s="6" t="n"/>
      <c r="AF6" s="6" t="n"/>
      <c r="AG6" s="6" t="n"/>
      <c r="AH6" s="6" t="n"/>
      <c r="AI6" s="6" t="n"/>
      <c r="AJ6" s="6" t="n"/>
      <c r="AK6" s="6" t="n"/>
      <c r="AL6" s="6" t="n"/>
      <c r="AT6" s="21" t="inlineStr">
        <is>
          <t>2025年4月</t>
        </is>
      </c>
      <c r="AU6" s="16">
        <f>$B6/$H6</f>
        <v/>
      </c>
      <c r="AV6" s="16">
        <f>$C6/$H6</f>
        <v/>
      </c>
      <c r="AW6" s="16">
        <f>$D6/$H6</f>
        <v/>
      </c>
      <c r="AX6" s="16">
        <f>$E6/$H6</f>
        <v/>
      </c>
      <c r="AY6" s="16">
        <f>$F6/$H6</f>
        <v/>
      </c>
      <c r="AZ6" s="16">
        <f>$G6/$H6</f>
        <v/>
      </c>
      <c r="BA6" s="16">
        <f>$H6/$H6</f>
        <v/>
      </c>
      <c r="BB6" s="16">
        <f>$I6/$H6</f>
        <v/>
      </c>
      <c r="BG6" s="6" t="n"/>
      <c r="CH6" s="14">
        <f>CI6&amp;CJ6</f>
        <v/>
      </c>
      <c r="CI6" s="25" t="inlineStr">
        <is>
          <t>2025年</t>
        </is>
      </c>
      <c r="CJ6" s="25" t="inlineStr">
        <is>
          <t>1月</t>
        </is>
      </c>
      <c r="CK6" s="25" t="n"/>
      <c r="CL6" s="25" t="n"/>
      <c r="CM6" s="25" t="n">
        <v>31940.16</v>
      </c>
      <c r="CN6" s="25" t="n">
        <v>1812</v>
      </c>
      <c r="CO6" s="25" t="n">
        <v>283</v>
      </c>
      <c r="CP6" s="25" t="n">
        <v>824</v>
      </c>
      <c r="CQ6" s="25" t="n">
        <v>0</v>
      </c>
      <c r="CR6" s="25" t="n">
        <v>0</v>
      </c>
      <c r="CS6" s="25" t="n">
        <v>0</v>
      </c>
      <c r="CT6" s="25" t="n">
        <v>438</v>
      </c>
      <c r="CU6" s="25" t="n">
        <v>180</v>
      </c>
      <c r="CV6" s="25" t="n">
        <v>269.94516</v>
      </c>
      <c r="CW6" s="25" t="n">
        <v>44720.91484</v>
      </c>
      <c r="CX6" s="25" t="n">
        <v>9425.754839999998</v>
      </c>
      <c r="CY6" s="25" t="n">
        <v>180</v>
      </c>
      <c r="CZ6" s="25" t="n"/>
      <c r="DA6" s="25" t="n"/>
      <c r="DB6" s="25" t="n"/>
      <c r="DC6" s="26" t="inlineStr">
        <is>
          <t>2025年</t>
        </is>
      </c>
      <c r="DD6" s="26" t="n"/>
      <c r="DE6" s="26" t="n">
        <v>2254134.8618</v>
      </c>
      <c r="DF6" s="26" t="n">
        <v>1844937.08748</v>
      </c>
      <c r="DG6" s="26" t="n">
        <v>416952.3743200003</v>
      </c>
      <c r="DH6" s="27" t="n"/>
      <c r="DI6" s="26" t="n"/>
    </row>
    <row r="7" ht="15.75" customHeight="1" s="187">
      <c r="A7" s="21" t="inlineStr">
        <is>
          <t>2025年5月</t>
        </is>
      </c>
      <c r="B7" s="192">
        <f>IFERROR(VLOOKUP(A7,CH:CY,6,0),0)</f>
        <v/>
      </c>
      <c r="C7" s="192">
        <f>IFERROR(VLOOKUP(A7,CH:CX,7,0),0)+IFERROR(VLOOKUP(A7,CH:CX,8,0),0)</f>
        <v/>
      </c>
      <c r="D7" s="192">
        <f>IFERROR(VLOOKUP(A7,CH:CX,9,0),0)</f>
        <v/>
      </c>
      <c r="E7" s="192">
        <f>IFERROR(VLOOKUP(A7,CH:CX,14,0),0)</f>
        <v/>
      </c>
      <c r="F7" s="192">
        <f>IFERROR(VLOOKUP(A7,CH:CY,10,0),0)+IFERROR(VLOOKUP(A7,CH:CY,11,0),0)+IFERROR(VLOOKUP(A7,CH:CY,12,0),0)+IFERROR(VLOOKUP(A7,CH:CY,13,0),0)-IFERROR(VLOOKUP(A7,CH:CY,18,0),0)</f>
        <v/>
      </c>
      <c r="G7" s="192">
        <f>IFERROR(VLOOKUP(A7,CH:CY,15,0),0)</f>
        <v/>
      </c>
      <c r="H7" s="193">
        <f>IFERROR(VLOOKUP(A7,CH:CY,16,0),0)</f>
        <v/>
      </c>
      <c r="I7" s="194">
        <f>IFERROR(VLOOKUP(A7,CH:CY,17,0),0)</f>
        <v/>
      </c>
      <c r="J7" s="193">
        <f>IFERROR(VLOOKUP(A7,CH:CY,9,0),0)+IFERROR(VLOOKUP(A7,CH:CY,11,0),0)</f>
        <v/>
      </c>
      <c r="K7" s="192">
        <f>IFERROR(VLOOKUP(A7,CH:CY,10,0),0)+IFERROR(VLOOKUP(A7,CH:CY,11,0),0)+IFERROR(VLOOKUP(A7,CH:CY,12,0),0)+IFERROR(VLOOKUP(A7,CH:CY,13,0),0)</f>
        <v/>
      </c>
      <c r="L7" s="192" t="n"/>
      <c r="M7" s="192" t="n"/>
      <c r="N7" s="6" t="n"/>
      <c r="O7" s="6" t="n"/>
      <c r="P7" s="6" t="n"/>
      <c r="Q7" s="6" t="n"/>
      <c r="R7" s="6" t="n"/>
      <c r="S7" s="6" t="n"/>
      <c r="T7" s="6" t="n"/>
      <c r="U7" s="6" t="n"/>
      <c r="V7" s="6" t="n"/>
      <c r="W7" s="6" t="n"/>
      <c r="X7" s="6" t="n"/>
      <c r="Y7" s="2" t="n"/>
      <c r="Z7" s="2" t="n"/>
      <c r="AA7" s="2" t="n"/>
      <c r="AB7" s="6" t="n"/>
      <c r="AC7" s="6" t="n"/>
      <c r="AD7" s="6" t="n"/>
      <c r="AE7" s="6" t="n"/>
      <c r="AF7" s="6" t="n"/>
      <c r="AG7" s="6" t="n"/>
      <c r="AH7" s="6" t="n"/>
      <c r="AI7" s="6" t="n"/>
      <c r="AJ7" s="6" t="n"/>
      <c r="AK7" s="6" t="n"/>
      <c r="AL7" s="6" t="n"/>
      <c r="AT7" s="21" t="inlineStr">
        <is>
          <t>2025年5月</t>
        </is>
      </c>
      <c r="AU7" s="16">
        <f>$B7/$H7</f>
        <v/>
      </c>
      <c r="AV7" s="16">
        <f>$C7/$H7</f>
        <v/>
      </c>
      <c r="AW7" s="16">
        <f>$D7/$H7</f>
        <v/>
      </c>
      <c r="AX7" s="16">
        <f>$E7/$H7</f>
        <v/>
      </c>
      <c r="AY7" s="16">
        <f>$F7/$H7</f>
        <v/>
      </c>
      <c r="AZ7" s="16">
        <f>$G7/$H7</f>
        <v/>
      </c>
      <c r="BA7" s="16">
        <f>$H7/$H7</f>
        <v/>
      </c>
      <c r="BB7" s="16">
        <f>$I7/$H7</f>
        <v/>
      </c>
      <c r="BG7" s="6" t="n"/>
      <c r="CH7" s="14">
        <f>CI7&amp;CJ7</f>
        <v/>
      </c>
      <c r="CI7" s="25" t="inlineStr">
        <is>
          <t>2025年</t>
        </is>
      </c>
      <c r="CJ7" s="25" t="inlineStr">
        <is>
          <t>2月</t>
        </is>
      </c>
      <c r="CK7" s="25" t="n"/>
      <c r="CL7" s="25" t="n"/>
      <c r="CM7" s="25" t="n">
        <v>76483.86</v>
      </c>
      <c r="CN7" s="25" t="n">
        <v>5061</v>
      </c>
      <c r="CO7" s="25" t="n">
        <v>1100</v>
      </c>
      <c r="CP7" s="25" t="n">
        <v>1374</v>
      </c>
      <c r="CQ7" s="25" t="n">
        <v>500</v>
      </c>
      <c r="CR7" s="25" t="n">
        <v>399</v>
      </c>
      <c r="CS7" s="25" t="n">
        <v>690</v>
      </c>
      <c r="CT7" s="25" t="n">
        <v>500.8</v>
      </c>
      <c r="CU7" s="25" t="n">
        <v>3094</v>
      </c>
      <c r="CV7" s="25" t="n">
        <v>679.80342</v>
      </c>
      <c r="CW7" s="25" t="n">
        <v>112620.76658</v>
      </c>
      <c r="CX7" s="25" t="n">
        <v>25338.10658</v>
      </c>
      <c r="CY7" s="25" t="n">
        <v>1920</v>
      </c>
      <c r="CZ7" s="25" t="n"/>
      <c r="DA7" s="25" t="n"/>
      <c r="DB7" s="25" t="n"/>
      <c r="DC7" s="26" t="inlineStr">
        <is>
          <t>&lt;2025/1/2</t>
        </is>
      </c>
      <c r="DD7" s="26" t="inlineStr">
        <is>
          <t>(空白)</t>
        </is>
      </c>
      <c r="DE7" s="26" t="n">
        <v>0</v>
      </c>
      <c r="DF7" s="26" t="n">
        <v>0</v>
      </c>
      <c r="DG7" s="26" t="n"/>
      <c r="DH7" s="27" t="n"/>
      <c r="DI7" s="26" t="n"/>
    </row>
    <row r="8" ht="15.75" customHeight="1" s="187">
      <c r="A8" s="21" t="inlineStr">
        <is>
          <t>2025年6月</t>
        </is>
      </c>
      <c r="B8" s="192">
        <f>IFERROR(VLOOKUP(A8,CH:CY,6,0),0)</f>
        <v/>
      </c>
      <c r="C8" s="192">
        <f>IFERROR(VLOOKUP(A8,CH:CX,7,0),0)+IFERROR(VLOOKUP(A8,CH:CX,8,0),0)</f>
        <v/>
      </c>
      <c r="D8" s="192">
        <f>IFERROR(VLOOKUP(A8,CH:CX,9,0),0)</f>
        <v/>
      </c>
      <c r="E8" s="192">
        <f>IFERROR(VLOOKUP(A8,CH:CX,14,0),0)</f>
        <v/>
      </c>
      <c r="F8" s="192">
        <f>IFERROR(VLOOKUP(A8,CH:CY,10,0),0)+IFERROR(VLOOKUP(A8,CH:CY,11,0),0)+IFERROR(VLOOKUP(A8,CH:CY,12,0),0)+IFERROR(VLOOKUP(A8,CH:CY,13,0),0)-IFERROR(VLOOKUP(A8,CH:CY,18,0),0)</f>
        <v/>
      </c>
      <c r="G8" s="192">
        <f>IFERROR(VLOOKUP(A8,CH:CY,15,0),0)</f>
        <v/>
      </c>
      <c r="H8" s="193">
        <f>IFERROR(VLOOKUP(A8,CH:CY,16,0),0)</f>
        <v/>
      </c>
      <c r="I8" s="194">
        <f>IFERROR(VLOOKUP(A8,CH:CY,17,0),0)</f>
        <v/>
      </c>
      <c r="J8" s="193">
        <f>IFERROR(VLOOKUP(A8,CH:CY,9,0),0)+IFERROR(VLOOKUP(A8,CH:CY,11,0),0)</f>
        <v/>
      </c>
      <c r="K8" s="192">
        <f>IFERROR(VLOOKUP(A8,CH:CY,10,0),0)+IFERROR(VLOOKUP(A8,CH:CY,11,0),0)+IFERROR(VLOOKUP(A8,CH:CY,12,0),0)+IFERROR(VLOOKUP(A8,CH:CY,13,0),0)</f>
        <v/>
      </c>
      <c r="L8" s="192" t="n"/>
      <c r="M8" s="192" t="n"/>
      <c r="N8" s="6" t="n"/>
      <c r="O8" s="6" t="n"/>
      <c r="P8" s="6" t="n"/>
      <c r="Q8" s="6" t="n"/>
      <c r="R8" s="6" t="n"/>
      <c r="S8" s="6" t="n"/>
      <c r="T8" s="6" t="n"/>
      <c r="U8" s="6" t="n"/>
      <c r="V8" s="6" t="n"/>
      <c r="W8" s="6" t="n"/>
      <c r="X8" s="6" t="n"/>
      <c r="Y8" s="2" t="n"/>
      <c r="Z8" s="2" t="n"/>
      <c r="AA8" s="2" t="n"/>
      <c r="AB8" s="6" t="n"/>
      <c r="AC8" s="6" t="n"/>
      <c r="AD8" s="6" t="n"/>
      <c r="AE8" s="6" t="n"/>
      <c r="AF8" s="6" t="n"/>
      <c r="AG8" s="6" t="n"/>
      <c r="AH8" s="6" t="n"/>
      <c r="AI8" s="6" t="n"/>
      <c r="AJ8" s="6" t="n"/>
      <c r="AK8" s="6" t="n"/>
      <c r="AL8" s="6" t="n"/>
      <c r="AT8" s="21" t="inlineStr">
        <is>
          <t>2025年6月</t>
        </is>
      </c>
      <c r="AU8" s="16">
        <f>$B8/$H8</f>
        <v/>
      </c>
      <c r="AV8" s="16">
        <f>$C8/$H8</f>
        <v/>
      </c>
      <c r="AW8" s="16">
        <f>$D8/$H8</f>
        <v/>
      </c>
      <c r="AX8" s="16">
        <f>$E8/$H8</f>
        <v/>
      </c>
      <c r="AY8" s="16">
        <f>$F8/$H8</f>
        <v/>
      </c>
      <c r="AZ8" s="16">
        <f>$G8/$H8</f>
        <v/>
      </c>
      <c r="BA8" s="16">
        <f>$H8/$H8</f>
        <v/>
      </c>
      <c r="BB8" s="16">
        <f>$I8/$H8</f>
        <v/>
      </c>
      <c r="BG8" s="6" t="n"/>
      <c r="CH8" s="14">
        <f>CI8&amp;CJ8</f>
        <v/>
      </c>
      <c r="CI8" s="25" t="inlineStr">
        <is>
          <t>2025年</t>
        </is>
      </c>
      <c r="CJ8" s="25" t="inlineStr">
        <is>
          <t>3月</t>
        </is>
      </c>
      <c r="CK8" s="25" t="n"/>
      <c r="CL8" s="25" t="n"/>
      <c r="CM8" s="25" t="n">
        <v>158845.13</v>
      </c>
      <c r="CN8" s="25" t="n">
        <v>10777</v>
      </c>
      <c r="CO8" s="25" t="n">
        <v>1873</v>
      </c>
      <c r="CP8" s="25" t="n">
        <v>3119</v>
      </c>
      <c r="CQ8" s="25" t="n">
        <v>0</v>
      </c>
      <c r="CR8" s="25" t="n">
        <v>709</v>
      </c>
      <c r="CS8" s="25" t="n">
        <v>0</v>
      </c>
      <c r="CT8" s="25" t="n">
        <v>1606.39</v>
      </c>
      <c r="CU8" s="25" t="n">
        <v>998</v>
      </c>
      <c r="CV8" s="25" t="n">
        <v>1372.799820000001</v>
      </c>
      <c r="CW8" s="25" t="n">
        <v>227427.17018</v>
      </c>
      <c r="CX8" s="25" t="n">
        <v>50159.65017999999</v>
      </c>
      <c r="CY8" s="25" t="n">
        <v>660</v>
      </c>
      <c r="CZ8" s="25" t="n"/>
      <c r="DA8" s="25" t="n"/>
      <c r="DB8" s="25" t="n"/>
      <c r="DC8" s="26" t="inlineStr">
        <is>
          <t>&lt;2025/1/2</t>
        </is>
      </c>
      <c r="DD8" s="26" t="inlineStr">
        <is>
          <t>榉木餐桌</t>
        </is>
      </c>
      <c r="DE8" s="26" t="n">
        <v>0</v>
      </c>
      <c r="DF8" s="26" t="n">
        <v>0</v>
      </c>
      <c r="DG8" s="26" t="n"/>
      <c r="DH8" s="27" t="n"/>
      <c r="DI8" s="26" t="n"/>
    </row>
    <row r="9" ht="15.75" customHeight="1" s="187">
      <c r="A9" s="21" t="inlineStr">
        <is>
          <t>2025年7月</t>
        </is>
      </c>
      <c r="B9" s="192">
        <f>IFERROR(VLOOKUP(A9,CH:CY,6,0),0)</f>
        <v/>
      </c>
      <c r="C9" s="192">
        <f>IFERROR(VLOOKUP(A9,CH:CX,7,0),0)+IFERROR(VLOOKUP(A9,CH:CX,8,0),0)</f>
        <v/>
      </c>
      <c r="D9" s="192">
        <f>IFERROR(VLOOKUP(A9,CH:CX,9,0),0)</f>
        <v/>
      </c>
      <c r="E9" s="192">
        <f>IFERROR(VLOOKUP(A9,CH:CX,14,0),0)</f>
        <v/>
      </c>
      <c r="F9" s="192">
        <f>IFERROR(VLOOKUP(A9,CH:CY,10,0),0)+IFERROR(VLOOKUP(A9,CH:CY,11,0),0)+IFERROR(VLOOKUP(A9,CH:CY,12,0),0)+IFERROR(VLOOKUP(A9,CH:CY,13,0),0)-IFERROR(VLOOKUP(A9,CH:CY,18,0),0)</f>
        <v/>
      </c>
      <c r="G9" s="192">
        <f>IFERROR(VLOOKUP(A9,CH:CY,15,0),0)</f>
        <v/>
      </c>
      <c r="H9" s="193">
        <f>IFERROR(VLOOKUP(A9,CH:CY,16,0),0)</f>
        <v/>
      </c>
      <c r="I9" s="194">
        <f>IFERROR(VLOOKUP(A9,CH:CY,17,0),0)</f>
        <v/>
      </c>
      <c r="J9" s="193">
        <f>IFERROR(VLOOKUP(A9,CH:CY,9,0),0)+IFERROR(VLOOKUP(A9,CH:CY,11,0),0)</f>
        <v/>
      </c>
      <c r="K9" s="192">
        <f>IFERROR(VLOOKUP(A9,CH:CY,10,0),0)+IFERROR(VLOOKUP(A9,CH:CY,11,0),0)+IFERROR(VLOOKUP(A9,CH:CY,12,0),0)+IFERROR(VLOOKUP(A9,CH:CY,13,0),0)</f>
        <v/>
      </c>
      <c r="L9" s="192" t="n"/>
      <c r="M9" s="192" t="n"/>
      <c r="N9" s="6" t="n"/>
      <c r="O9" s="6" t="n"/>
      <c r="P9" s="6" t="n"/>
      <c r="Q9" s="6" t="n"/>
      <c r="R9" s="6" t="n"/>
      <c r="S9" s="6" t="n"/>
      <c r="T9" s="6" t="n"/>
      <c r="U9" s="6" t="n"/>
      <c r="V9" s="6" t="n"/>
      <c r="W9" s="6" t="n"/>
      <c r="X9" s="6" t="n"/>
      <c r="Y9" s="2" t="n"/>
      <c r="Z9" s="2" t="n"/>
      <c r="AA9" s="2" t="n"/>
      <c r="AB9" s="6" t="n"/>
      <c r="AC9" s="6" t="n"/>
      <c r="AD9" s="6" t="n"/>
      <c r="AE9" s="6" t="n"/>
      <c r="AF9" s="6" t="n"/>
      <c r="AG9" s="6" t="n"/>
      <c r="AH9" s="6" t="n"/>
      <c r="AI9" s="6" t="n"/>
      <c r="AJ9" s="6" t="n"/>
      <c r="AK9" s="6" t="n"/>
      <c r="AL9" s="6" t="n"/>
      <c r="AT9" s="21" t="inlineStr">
        <is>
          <t>2025年7月</t>
        </is>
      </c>
      <c r="AU9" s="16">
        <f>$B9/$H9</f>
        <v/>
      </c>
      <c r="AV9" s="16">
        <f>$C9/$H9</f>
        <v/>
      </c>
      <c r="AW9" s="16">
        <f>$D9/$H9</f>
        <v/>
      </c>
      <c r="AX9" s="16">
        <f>$E9/$H9</f>
        <v/>
      </c>
      <c r="AY9" s="16">
        <f>$F9/$H9</f>
        <v/>
      </c>
      <c r="AZ9" s="16">
        <f>$G9/$H9</f>
        <v/>
      </c>
      <c r="BA9" s="16">
        <f>$H9/$H9</f>
        <v/>
      </c>
      <c r="BB9" s="16">
        <f>$I9/$H9</f>
        <v/>
      </c>
      <c r="BG9" s="6" t="n"/>
      <c r="CH9" s="14">
        <f>CI9&amp;CJ9</f>
        <v/>
      </c>
      <c r="CI9" s="25" t="inlineStr">
        <is>
          <t>2025年</t>
        </is>
      </c>
      <c r="CJ9" s="25" t="inlineStr">
        <is>
          <t>4月</t>
        </is>
      </c>
      <c r="CK9" s="25" t="n"/>
      <c r="CL9" s="25" t="n"/>
      <c r="CM9" s="25" t="n">
        <v>83164.431</v>
      </c>
      <c r="CN9" s="25" t="n">
        <v>4452</v>
      </c>
      <c r="CO9" s="25" t="n">
        <v>1373</v>
      </c>
      <c r="CP9" s="25" t="n">
        <v>1919</v>
      </c>
      <c r="CQ9" s="25" t="n">
        <v>0</v>
      </c>
      <c r="CR9" s="25" t="n">
        <v>263</v>
      </c>
      <c r="CS9" s="25" t="n">
        <v>0</v>
      </c>
      <c r="CT9" s="25" t="n">
        <v>1173</v>
      </c>
      <c r="CU9" s="25" t="n">
        <v>654.05</v>
      </c>
      <c r="CV9" s="25" t="n">
        <v>714.1083599999999</v>
      </c>
      <c r="CW9" s="25" t="n">
        <v>118303.95164</v>
      </c>
      <c r="CX9" s="25" t="n">
        <v>25405.47064</v>
      </c>
      <c r="CY9" s="25" t="n">
        <v>100</v>
      </c>
      <c r="CZ9" s="25" t="n"/>
      <c r="DA9" s="25" t="n"/>
      <c r="DB9" s="25" t="n"/>
      <c r="DC9" s="26" t="inlineStr">
        <is>
          <t>2026年</t>
        </is>
      </c>
      <c r="DD9" s="26" t="inlineStr">
        <is>
          <t>洞石餐边柜</t>
        </is>
      </c>
      <c r="DE9" s="26" t="n">
        <v>39446.25384</v>
      </c>
      <c r="DF9" s="26" t="n">
        <v>30949.39</v>
      </c>
      <c r="DG9" s="26" t="n">
        <v>8496.86384</v>
      </c>
      <c r="DH9" s="27" t="n"/>
      <c r="DI9" s="26" t="n"/>
    </row>
    <row r="10" ht="15.75" customHeight="1" s="187">
      <c r="A10" s="21" t="inlineStr">
        <is>
          <t>2025年8月</t>
        </is>
      </c>
      <c r="B10" s="192">
        <f>IFERROR(VLOOKUP(A10,CH:CY,6,0),0)</f>
        <v/>
      </c>
      <c r="C10" s="192">
        <f>IFERROR(VLOOKUP(A10,CH:CX,7,0),0)+IFERROR(VLOOKUP(A10,CH:CX,8,0),0)</f>
        <v/>
      </c>
      <c r="D10" s="192">
        <f>IFERROR(VLOOKUP(A10,CH:CX,9,0),0)</f>
        <v/>
      </c>
      <c r="E10" s="192">
        <f>IFERROR(VLOOKUP(A10,CH:CX,14,0),0)</f>
        <v/>
      </c>
      <c r="F10" s="192">
        <f>IFERROR(VLOOKUP(A10,CH:CY,10,0),0)+IFERROR(VLOOKUP(A10,CH:CY,11,0),0)+IFERROR(VLOOKUP(A10,CH:CY,12,0),0)+IFERROR(VLOOKUP(A10,CH:CY,13,0),0)-IFERROR(VLOOKUP(A10,CH:CY,18,0),0)</f>
        <v/>
      </c>
      <c r="G10" s="192">
        <f>IFERROR(VLOOKUP(A10,CH:CY,15,0),0)</f>
        <v/>
      </c>
      <c r="H10" s="193">
        <f>IFERROR(VLOOKUP(A10,CH:CY,16,0),0)</f>
        <v/>
      </c>
      <c r="I10" s="194">
        <f>IFERROR(VLOOKUP(A10,CH:CY,17,0),0)</f>
        <v/>
      </c>
      <c r="J10" s="193">
        <f>IFERROR(VLOOKUP(A10,CH:CY,9,0),0)+IFERROR(VLOOKUP(A10,CH:CY,11,0),0)</f>
        <v/>
      </c>
      <c r="K10" s="192">
        <f>IFERROR(VLOOKUP(A10,CH:CY,10,0),0)+IFERROR(VLOOKUP(A10,CH:CY,11,0),0)+IFERROR(VLOOKUP(A10,CH:CY,12,0),0)+IFERROR(VLOOKUP(A10,CH:CY,13,0),0)</f>
        <v/>
      </c>
      <c r="L10" s="192" t="n"/>
      <c r="M10" s="192" t="n"/>
      <c r="N10" s="6" t="n"/>
      <c r="O10" s="6" t="n"/>
      <c r="P10" s="6" t="n"/>
      <c r="Q10" s="6" t="n"/>
      <c r="R10" s="6" t="n"/>
      <c r="S10" s="6" t="n"/>
      <c r="T10" s="6" t="n"/>
      <c r="U10" s="6" t="n"/>
      <c r="V10" s="6" t="n"/>
      <c r="W10" s="6" t="n"/>
      <c r="X10" s="6" t="n"/>
      <c r="Y10" s="2" t="n"/>
      <c r="Z10" s="2" t="n"/>
      <c r="AA10" s="2" t="n"/>
      <c r="AB10" s="6" t="n"/>
      <c r="AC10" s="6" t="n"/>
      <c r="AD10" s="6" t="n"/>
      <c r="AE10" s="6" t="n"/>
      <c r="AF10" s="6" t="n"/>
      <c r="AG10" s="6" t="n"/>
      <c r="AH10" s="6" t="n"/>
      <c r="AI10" s="6" t="n"/>
      <c r="AJ10" s="6" t="n"/>
      <c r="AK10" s="6" t="n"/>
      <c r="AL10" s="6" t="n"/>
      <c r="AT10" s="21" t="inlineStr">
        <is>
          <t>2025年8月</t>
        </is>
      </c>
      <c r="AU10" s="16">
        <f>$B10/$H10</f>
        <v/>
      </c>
      <c r="AV10" s="16">
        <f>$C10/$H10</f>
        <v/>
      </c>
      <c r="AW10" s="16">
        <f>$D10/$H10</f>
        <v/>
      </c>
      <c r="AX10" s="16">
        <f>$E10/$H10</f>
        <v/>
      </c>
      <c r="AY10" s="16">
        <f>$F10/$H10</f>
        <v/>
      </c>
      <c r="AZ10" s="16">
        <f>$G10/$H10</f>
        <v/>
      </c>
      <c r="BA10" s="16">
        <f>$H10/$H10</f>
        <v/>
      </c>
      <c r="BB10" s="16">
        <f>$I10/$H10</f>
        <v/>
      </c>
      <c r="BG10" s="6" t="n"/>
      <c r="CH10" s="14">
        <f>CI10&amp;CJ10</f>
        <v/>
      </c>
      <c r="CI10" s="25" t="inlineStr">
        <is>
          <t>2025年</t>
        </is>
      </c>
      <c r="CJ10" s="25" t="inlineStr">
        <is>
          <t>5月</t>
        </is>
      </c>
      <c r="CK10" s="25" t="n"/>
      <c r="CL10" s="25" t="n"/>
      <c r="CM10" s="25" t="n">
        <v>80328.31666666668</v>
      </c>
      <c r="CN10" s="25" t="n">
        <v>4946</v>
      </c>
      <c r="CO10" s="25" t="n">
        <v>1667.2</v>
      </c>
      <c r="CP10" s="25" t="n">
        <v>2207</v>
      </c>
      <c r="CQ10" s="25" t="n">
        <v>0</v>
      </c>
      <c r="CR10" s="25" t="n">
        <v>160</v>
      </c>
      <c r="CS10" s="25" t="n">
        <v>0</v>
      </c>
      <c r="CT10" s="25" t="n">
        <v>1136</v>
      </c>
      <c r="CU10" s="25" t="n">
        <v>524.79</v>
      </c>
      <c r="CV10" s="25" t="n">
        <v>700.74864</v>
      </c>
      <c r="CW10" s="25" t="n">
        <v>116090.69136</v>
      </c>
      <c r="CX10" s="25" t="n">
        <v>25121.38469333333</v>
      </c>
      <c r="CY10" s="25" t="n">
        <v>0</v>
      </c>
      <c r="CZ10" s="25" t="n"/>
      <c r="DA10" s="25" t="n"/>
      <c r="DB10" s="25" t="n"/>
      <c r="DC10" s="26" t="inlineStr">
        <is>
          <t>2026年</t>
        </is>
      </c>
      <c r="DD10" s="26" t="inlineStr">
        <is>
          <t>榉木餐边柜</t>
        </is>
      </c>
      <c r="DE10" s="26" t="n">
        <v>15586.78478</v>
      </c>
      <c r="DF10" s="26" t="n">
        <v>7237</v>
      </c>
      <c r="DG10" s="26" t="n">
        <v>230.34548</v>
      </c>
      <c r="DH10" s="27" t="n"/>
      <c r="DI10" s="26" t="n"/>
    </row>
    <row r="11" ht="15.75" customHeight="1" s="187">
      <c r="A11" s="21" t="inlineStr">
        <is>
          <t>2025年9月</t>
        </is>
      </c>
      <c r="B11" s="192">
        <f>IFERROR(VLOOKUP(A11,CH:CY,6,0),0)</f>
        <v/>
      </c>
      <c r="C11" s="192">
        <f>IFERROR(VLOOKUP(A11,CH:CX,7,0),0)+IFERROR(VLOOKUP(A11,CH:CX,8,0),0)</f>
        <v/>
      </c>
      <c r="D11" s="192">
        <f>IFERROR(VLOOKUP(A11,CH:CX,9,0),0)</f>
        <v/>
      </c>
      <c r="E11" s="192">
        <f>IFERROR(VLOOKUP(A11,CH:CX,14,0),0)</f>
        <v/>
      </c>
      <c r="F11" s="192">
        <f>IFERROR(VLOOKUP(A11,CH:CY,10,0),0)+IFERROR(VLOOKUP(A11,CH:CY,11,0),0)+IFERROR(VLOOKUP(A11,CH:CY,12,0),0)+IFERROR(VLOOKUP(A11,CH:CY,13,0),0)-IFERROR(VLOOKUP(A11,CH:CY,18,0),0)</f>
        <v/>
      </c>
      <c r="G11" s="192">
        <f>IFERROR(VLOOKUP(A11,CH:CY,15,0),0)</f>
        <v/>
      </c>
      <c r="H11" s="193">
        <f>IFERROR(VLOOKUP(A11,CH:CY,16,0),0)</f>
        <v/>
      </c>
      <c r="I11" s="194">
        <f>IFERROR(VLOOKUP(A11,CH:CY,17,0),0)</f>
        <v/>
      </c>
      <c r="J11" s="193">
        <f>IFERROR(VLOOKUP(A11,CH:CY,9,0),0)+IFERROR(VLOOKUP(A11,CH:CY,11,0),0)</f>
        <v/>
      </c>
      <c r="K11" s="192">
        <f>IFERROR(VLOOKUP(A11,CH:CY,10,0),0)+IFERROR(VLOOKUP(A11,CH:CY,11,0),0)+IFERROR(VLOOKUP(A11,CH:CY,12,0),0)+IFERROR(VLOOKUP(A11,CH:CY,13,0),0)</f>
        <v/>
      </c>
      <c r="L11" s="192" t="n"/>
      <c r="M11" s="192" t="n"/>
      <c r="N11" s="6" t="n"/>
      <c r="O11" s="6" t="n"/>
      <c r="P11" s="6" t="n"/>
      <c r="Q11" s="6" t="n"/>
      <c r="R11" s="6" t="n"/>
      <c r="S11" s="6" t="n"/>
      <c r="T11" s="6" t="n"/>
      <c r="U11" s="6" t="n"/>
      <c r="V11" s="6" t="n"/>
      <c r="W11" s="6" t="n"/>
      <c r="X11" s="6" t="n"/>
      <c r="Y11" s="10" t="n"/>
      <c r="Z11" s="10" t="n"/>
      <c r="AA11" s="10" t="n"/>
      <c r="AB11" s="6" t="n"/>
      <c r="AC11" s="6" t="n"/>
      <c r="AD11" s="6" t="n"/>
      <c r="AE11" s="6" t="n"/>
      <c r="AF11" s="6" t="n"/>
      <c r="AG11" s="6" t="n"/>
      <c r="AH11" s="6" t="n"/>
      <c r="AI11" s="6" t="n"/>
      <c r="AJ11" s="6" t="n"/>
      <c r="AK11" s="6" t="n"/>
      <c r="AL11" s="6" t="n"/>
      <c r="AT11" s="21" t="inlineStr">
        <is>
          <t>2025年9月</t>
        </is>
      </c>
      <c r="AU11" s="16">
        <f>$B11/$H11</f>
        <v/>
      </c>
      <c r="AV11" s="16">
        <f>$C11/$H11</f>
        <v/>
      </c>
      <c r="AW11" s="16">
        <f>$D11/$H11</f>
        <v/>
      </c>
      <c r="AX11" s="16">
        <f>$E11/$H11</f>
        <v/>
      </c>
      <c r="AY11" s="16">
        <f>$F11/$H11</f>
        <v/>
      </c>
      <c r="AZ11" s="16">
        <f>$G11/$H11</f>
        <v/>
      </c>
      <c r="BA11" s="16">
        <f>$H11/$H11</f>
        <v/>
      </c>
      <c r="BB11" s="16">
        <f>$I11/$H11</f>
        <v/>
      </c>
      <c r="BC11" s="10" t="n"/>
      <c r="BG11" s="6" t="n"/>
      <c r="BH11" s="12" t="n"/>
      <c r="BI11" s="28" t="n"/>
      <c r="BJ11" s="28" t="n"/>
      <c r="BL11" s="11" t="n"/>
      <c r="BN11" s="11" t="n"/>
      <c r="BP11" s="2" t="n"/>
      <c r="BQ11" s="2" t="n"/>
      <c r="BR11" s="2" t="n"/>
      <c r="BS11" s="2" t="n"/>
      <c r="CH11" s="14">
        <f>CI11&amp;CJ11</f>
        <v/>
      </c>
      <c r="CI11" s="25" t="inlineStr">
        <is>
          <t>2025年</t>
        </is>
      </c>
      <c r="CJ11" s="25" t="inlineStr">
        <is>
          <t>6月</t>
        </is>
      </c>
      <c r="CK11" s="25" t="n"/>
      <c r="CL11" s="25" t="n"/>
      <c r="CM11" s="25" t="n">
        <v>164944.455</v>
      </c>
      <c r="CN11" s="25" t="n">
        <v>8807.5</v>
      </c>
      <c r="CO11" s="25" t="n">
        <v>1122.6</v>
      </c>
      <c r="CP11" s="25" t="n">
        <v>4789</v>
      </c>
      <c r="CQ11" s="25" t="n">
        <v>0</v>
      </c>
      <c r="CR11" s="25" t="n">
        <v>2056</v>
      </c>
      <c r="CS11" s="25" t="n">
        <v>0</v>
      </c>
      <c r="CT11" s="25" t="n">
        <v>2058</v>
      </c>
      <c r="CU11" s="25" t="n">
        <v>1783.13</v>
      </c>
      <c r="CV11" s="25" t="n">
        <v>4640.31936</v>
      </c>
      <c r="CW11" s="25" t="n">
        <v>221401.74064</v>
      </c>
      <c r="CX11" s="25" t="n">
        <v>36181.05564000001</v>
      </c>
      <c r="CY11" s="25" t="n">
        <v>340</v>
      </c>
      <c r="CZ11" s="25" t="n"/>
      <c r="DA11" s="25" t="n"/>
      <c r="DB11" s="25" t="n"/>
      <c r="DC11" s="26" t="inlineStr">
        <is>
          <t>2026年</t>
        </is>
      </c>
      <c r="DD11" s="26" t="inlineStr">
        <is>
          <t>旋转餐边柜</t>
        </is>
      </c>
      <c r="DE11" s="26" t="n">
        <v>11144.728</v>
      </c>
      <c r="DF11" s="26" t="n">
        <v>9790</v>
      </c>
      <c r="DG11" s="26" t="n">
        <v>1354.727999999999</v>
      </c>
      <c r="DH11" s="27" t="n"/>
      <c r="DI11" s="26" t="n"/>
    </row>
    <row r="12" ht="15.75" customHeight="1" s="187">
      <c r="A12" s="21" t="inlineStr">
        <is>
          <t>2025年10月</t>
        </is>
      </c>
      <c r="B12" s="192">
        <f>IFERROR(VLOOKUP(A12,CH:CY,6,0),0)</f>
        <v/>
      </c>
      <c r="C12" s="192">
        <f>IFERROR(VLOOKUP(A12,CH:CX,7,0),0)+IFERROR(VLOOKUP(A12,CH:CX,8,0),0)</f>
        <v/>
      </c>
      <c r="D12" s="192">
        <f>IFERROR(VLOOKUP(A12,CH:CX,9,0),0)</f>
        <v/>
      </c>
      <c r="E12" s="192">
        <f>IFERROR(VLOOKUP(A12,CH:CX,14,0),0)</f>
        <v/>
      </c>
      <c r="F12" s="192">
        <f>IFERROR(VLOOKUP(A12,CH:CY,10,0),0)+IFERROR(VLOOKUP(A12,CH:CY,11,0),0)+IFERROR(VLOOKUP(A12,CH:CY,12,0),0)+IFERROR(VLOOKUP(A12,CH:CY,13,0),0)-IFERROR(VLOOKUP(A12,CH:CY,18,0),0)</f>
        <v/>
      </c>
      <c r="G12" s="192">
        <f>IFERROR(VLOOKUP(A12,CH:CY,15,0),0)</f>
        <v/>
      </c>
      <c r="H12" s="193">
        <f>IFERROR(VLOOKUP(A12,CH:CY,16,0),0)</f>
        <v/>
      </c>
      <c r="I12" s="194">
        <f>IFERROR(VLOOKUP(A12,CH:CY,17,0),0)</f>
        <v/>
      </c>
      <c r="J12" s="193">
        <f>IFERROR(VLOOKUP(A12,CH:CY,9,0),0)+IFERROR(VLOOKUP(A12,CH:CY,11,0),0)</f>
        <v/>
      </c>
      <c r="K12" s="192">
        <f>IFERROR(VLOOKUP(A12,CH:CY,10,0),0)+IFERROR(VLOOKUP(A12,CH:CY,11,0),0)+IFERROR(VLOOKUP(A12,CH:CY,12,0),0)+IFERROR(VLOOKUP(A12,CH:CY,13,0),0)</f>
        <v/>
      </c>
      <c r="L12" s="192" t="n"/>
      <c r="M12" s="192" t="n"/>
      <c r="N12" s="6" t="n"/>
      <c r="O12" s="6" t="n"/>
      <c r="P12" s="6" t="n"/>
      <c r="Q12" s="6" t="n"/>
      <c r="R12" s="6" t="n"/>
      <c r="S12" s="6" t="n"/>
      <c r="T12" s="6" t="n"/>
      <c r="U12" s="6" t="n"/>
      <c r="V12" s="6" t="n"/>
      <c r="W12" s="6" t="n"/>
      <c r="X12" s="6" t="n"/>
      <c r="Y12" s="10" t="n"/>
      <c r="Z12" s="10" t="n"/>
      <c r="AA12" s="10" t="n"/>
      <c r="AB12" s="6" t="n"/>
      <c r="AC12" s="6" t="n"/>
      <c r="AD12" s="6" t="n"/>
      <c r="AE12" s="6" t="n"/>
      <c r="AF12" s="6" t="n"/>
      <c r="AG12" s="6" t="n"/>
      <c r="AH12" s="6" t="n"/>
      <c r="AI12" s="6" t="n"/>
      <c r="AJ12" s="6" t="n"/>
      <c r="AK12" s="6" t="n"/>
      <c r="AL12" s="6" t="n"/>
      <c r="AT12" s="21" t="inlineStr">
        <is>
          <t>2025年10月</t>
        </is>
      </c>
      <c r="AU12" s="16">
        <f>$B12/$H12</f>
        <v/>
      </c>
      <c r="AV12" s="16">
        <f>$C12/$H12</f>
        <v/>
      </c>
      <c r="AW12" s="16">
        <f>$D12/$H12</f>
        <v/>
      </c>
      <c r="AX12" s="16">
        <f>$E12/$H12</f>
        <v/>
      </c>
      <c r="AY12" s="16">
        <f>$F12/$H12</f>
        <v/>
      </c>
      <c r="AZ12" s="16">
        <f>$G12/$H12</f>
        <v/>
      </c>
      <c r="BA12" s="16">
        <f>$H12/$H12</f>
        <v/>
      </c>
      <c r="BB12" s="16">
        <f>$I12/$H12</f>
        <v/>
      </c>
      <c r="BC12" s="10" t="n"/>
      <c r="BG12" s="6" t="n"/>
      <c r="BH12" s="12" t="n"/>
      <c r="BI12" s="28" t="n"/>
      <c r="BJ12" s="28" t="n"/>
      <c r="BL12" s="11" t="n"/>
      <c r="BN12" s="11" t="n"/>
      <c r="BP12" s="2" t="n"/>
      <c r="BQ12" s="2" t="n"/>
      <c r="BR12" s="2" t="n"/>
      <c r="BS12" s="2" t="n"/>
      <c r="CH12" s="14">
        <f>CI12&amp;CJ12</f>
        <v/>
      </c>
      <c r="CI12" s="25" t="inlineStr">
        <is>
          <t>2025年</t>
        </is>
      </c>
      <c r="CJ12" s="25" t="inlineStr">
        <is>
          <t>7月</t>
        </is>
      </c>
      <c r="CK12" s="25" t="n"/>
      <c r="CL12" s="25" t="n"/>
      <c r="CM12" s="25" t="n">
        <v>75163.98333333334</v>
      </c>
      <c r="CN12" s="25" t="n">
        <v>4496</v>
      </c>
      <c r="CO12" s="25" t="n">
        <v>392</v>
      </c>
      <c r="CP12" s="25" t="n">
        <v>1385</v>
      </c>
      <c r="CQ12" s="25" t="n">
        <v>0</v>
      </c>
      <c r="CR12" s="25" t="n">
        <v>508</v>
      </c>
      <c r="CS12" s="25" t="n">
        <v>0</v>
      </c>
      <c r="CT12" s="25" t="n">
        <v>473</v>
      </c>
      <c r="CU12" s="25" t="n">
        <v>375</v>
      </c>
      <c r="CV12" s="25" t="n">
        <v>613.04454</v>
      </c>
      <c r="CW12" s="25" t="n">
        <v>101561.04546</v>
      </c>
      <c r="CX12" s="25" t="n">
        <v>18996.06212666666</v>
      </c>
      <c r="CY12" s="25" t="n">
        <v>228</v>
      </c>
      <c r="CZ12" s="25" t="n"/>
      <c r="DA12" s="25" t="n"/>
      <c r="DB12" s="25" t="n"/>
      <c r="DC12" s="26" t="inlineStr">
        <is>
          <t>2026年</t>
        </is>
      </c>
      <c r="DD12" s="26" t="inlineStr">
        <is>
          <t>组合柜</t>
        </is>
      </c>
      <c r="DE12" s="26" t="n">
        <v>15112.70642</v>
      </c>
      <c r="DF12" s="26" t="n">
        <v>10886</v>
      </c>
      <c r="DG12" s="26" t="n">
        <v>4085.55842</v>
      </c>
      <c r="DH12" s="27" t="n"/>
      <c r="DI12" s="26" t="n"/>
    </row>
    <row r="13" ht="15.75" customHeight="1" s="187">
      <c r="A13" s="21" t="inlineStr">
        <is>
          <t>2025年11月</t>
        </is>
      </c>
      <c r="B13" s="192">
        <f>IFERROR(VLOOKUP(A13,CH:CY,6,0),0)</f>
        <v/>
      </c>
      <c r="C13" s="192">
        <f>IFERROR(VLOOKUP(A13,CH:CX,7,0),0)+IFERROR(VLOOKUP(A13,CH:CX,8,0),0)</f>
        <v/>
      </c>
      <c r="D13" s="192">
        <f>IFERROR(VLOOKUP(A13,CH:CX,9,0),0)</f>
        <v/>
      </c>
      <c r="E13" s="192">
        <f>IFERROR(VLOOKUP(A13,CH:CX,14,0),0)</f>
        <v/>
      </c>
      <c r="F13" s="192">
        <f>IFERROR(VLOOKUP(A13,CH:CY,10,0),0)+IFERROR(VLOOKUP(A13,CH:CY,11,0),0)+IFERROR(VLOOKUP(A13,CH:CY,12,0),0)+IFERROR(VLOOKUP(A13,CH:CY,13,0),0)-IFERROR(VLOOKUP(A13,CH:CY,18,0),0)</f>
        <v/>
      </c>
      <c r="G13" s="192">
        <f>IFERROR(VLOOKUP(A13,CH:CY,15,0),0)</f>
        <v/>
      </c>
      <c r="H13" s="193">
        <f>IFERROR(VLOOKUP(A13,CH:CY,16,0),0)</f>
        <v/>
      </c>
      <c r="I13" s="194">
        <f>IFERROR(VLOOKUP(A13,CH:CY,17,0),0)</f>
        <v/>
      </c>
      <c r="J13" s="193">
        <f>IFERROR(VLOOKUP(A13,CH:CY,9,0),0)+IFERROR(VLOOKUP(A13,CH:CY,11,0),0)</f>
        <v/>
      </c>
      <c r="K13" s="192">
        <f>IFERROR(VLOOKUP(A13,CH:CY,10,0),0)+IFERROR(VLOOKUP(A13,CH:CY,11,0),0)+IFERROR(VLOOKUP(A13,CH:CY,12,0),0)+IFERROR(VLOOKUP(A13,CH:CY,13,0),0)</f>
        <v/>
      </c>
      <c r="L13" s="192" t="n"/>
      <c r="M13" s="192" t="n"/>
      <c r="N13" s="6" t="n"/>
      <c r="O13" s="6" t="n"/>
      <c r="P13" s="6" t="n"/>
      <c r="Q13" s="6" t="n"/>
      <c r="R13" s="6" t="n"/>
      <c r="S13" s="6" t="n"/>
      <c r="T13" s="6" t="n"/>
      <c r="U13" s="6" t="n"/>
      <c r="V13" s="6" t="n"/>
      <c r="W13" s="6" t="n"/>
      <c r="X13" s="6" t="n"/>
      <c r="Y13" s="10" t="n"/>
      <c r="Z13" s="10" t="n"/>
      <c r="AA13" s="10" t="n"/>
      <c r="AB13" s="6" t="n"/>
      <c r="AC13" s="6" t="n"/>
      <c r="AD13" s="6" t="n"/>
      <c r="AE13" s="6" t="n"/>
      <c r="AF13" s="6" t="n"/>
      <c r="AG13" s="6" t="n"/>
      <c r="AH13" s="6" t="n"/>
      <c r="AI13" s="6" t="n"/>
      <c r="AJ13" s="6" t="n"/>
      <c r="AK13" s="6" t="n"/>
      <c r="AL13" s="6" t="n"/>
      <c r="AT13" s="21" t="inlineStr">
        <is>
          <t>2025年11月</t>
        </is>
      </c>
      <c r="AU13" s="16">
        <f>$B13/$H13</f>
        <v/>
      </c>
      <c r="AV13" s="16">
        <f>$C13/$H13</f>
        <v/>
      </c>
      <c r="AW13" s="16">
        <f>$D13/$H13</f>
        <v/>
      </c>
      <c r="AX13" s="16">
        <f>$E13/$H13</f>
        <v/>
      </c>
      <c r="AY13" s="16">
        <f>$F13/$H13</f>
        <v/>
      </c>
      <c r="AZ13" s="16">
        <f>$G13/$H13</f>
        <v/>
      </c>
      <c r="BA13" s="16">
        <f>$H13/$H13</f>
        <v/>
      </c>
      <c r="BB13" s="16">
        <f>$I13/$H13</f>
        <v/>
      </c>
      <c r="BC13" s="10" t="n"/>
      <c r="BG13" s="6" t="n"/>
      <c r="BH13" s="12" t="n"/>
      <c r="BI13" s="28" t="n"/>
      <c r="BJ13" s="28" t="n"/>
      <c r="BL13" s="11" t="n"/>
      <c r="BN13" s="11" t="n"/>
      <c r="BP13" s="2" t="n"/>
      <c r="BQ13" s="2" t="n"/>
      <c r="BR13" s="2" t="n"/>
      <c r="BS13" s="2" t="n"/>
      <c r="CH13" s="14">
        <f>CI13&amp;CJ13</f>
        <v/>
      </c>
      <c r="CI13" s="25" t="inlineStr">
        <is>
          <t>2025年</t>
        </is>
      </c>
      <c r="CJ13" s="25" t="inlineStr">
        <is>
          <t>8月</t>
        </is>
      </c>
      <c r="CK13" s="25" t="n"/>
      <c r="CL13" s="25" t="n"/>
      <c r="CM13" s="25" t="n">
        <v>166983.845</v>
      </c>
      <c r="CN13" s="25" t="n">
        <v>13945</v>
      </c>
      <c r="CO13" s="25" t="n">
        <v>465</v>
      </c>
      <c r="CP13" s="25" t="n">
        <v>3604</v>
      </c>
      <c r="CQ13" s="25" t="n">
        <v>220</v>
      </c>
      <c r="CR13" s="25" t="n">
        <v>150</v>
      </c>
      <c r="CS13" s="25" t="n">
        <v>0</v>
      </c>
      <c r="CT13" s="25" t="n">
        <v>264</v>
      </c>
      <c r="CU13" s="25" t="n">
        <v>3109.1</v>
      </c>
      <c r="CV13" s="25" t="n">
        <v>1440.64362</v>
      </c>
      <c r="CW13" s="25" t="n">
        <v>238666.6263799999</v>
      </c>
      <c r="CX13" s="25" t="n">
        <v>51485.68138</v>
      </c>
      <c r="CY13" s="25" t="n">
        <v>1560</v>
      </c>
      <c r="CZ13" s="25" t="n"/>
      <c r="DA13" s="25" t="n"/>
      <c r="DB13" s="25" t="n"/>
      <c r="DC13" s="26" t="inlineStr">
        <is>
          <t>2026年</t>
        </is>
      </c>
      <c r="DD13" s="26" t="inlineStr">
        <is>
          <t>(空白)</t>
        </is>
      </c>
      <c r="DE13" s="26" t="n">
        <v>893.606</v>
      </c>
      <c r="DF13" s="26" t="n">
        <v>0</v>
      </c>
      <c r="DG13" s="26" t="n">
        <v>893.606</v>
      </c>
      <c r="DH13" s="27" t="n"/>
      <c r="DI13" s="26" t="n"/>
    </row>
    <row r="14" ht="15.75" customHeight="1" s="187">
      <c r="A14" s="21" t="inlineStr">
        <is>
          <t>2025年12月</t>
        </is>
      </c>
      <c r="B14" s="192">
        <f>IFERROR(VLOOKUP(A14,CH:CY,6,0),0)</f>
        <v/>
      </c>
      <c r="C14" s="192">
        <f>IFERROR(VLOOKUP(A14,CH:CX,7,0),0)+IFERROR(VLOOKUP(A14,CH:CX,8,0),0)</f>
        <v/>
      </c>
      <c r="D14" s="192">
        <f>IFERROR(VLOOKUP(A14,CH:CX,9,0),0)</f>
        <v/>
      </c>
      <c r="E14" s="192">
        <f>IFERROR(VLOOKUP(A14,CH:CX,14,0),0)</f>
        <v/>
      </c>
      <c r="F14" s="192">
        <f>IFERROR(VLOOKUP(A14,CH:CY,10,0),0)+IFERROR(VLOOKUP(A14,CH:CY,11,0),0)+IFERROR(VLOOKUP(A14,CH:CY,12,0),0)+IFERROR(VLOOKUP(A14,CH:CY,13,0),0)-IFERROR(VLOOKUP(A14,CH:CY,18,0),0)</f>
        <v/>
      </c>
      <c r="G14" s="192">
        <f>IFERROR(VLOOKUP(A14,CH:CY,15,0),0)</f>
        <v/>
      </c>
      <c r="H14" s="193">
        <f>IFERROR(VLOOKUP(A14,CH:CY,16,0),0)</f>
        <v/>
      </c>
      <c r="I14" s="194">
        <f>IFERROR(VLOOKUP(A14,CH:CY,17,0),0)</f>
        <v/>
      </c>
      <c r="J14" s="193">
        <f>IFERROR(VLOOKUP(A14,CH:CY,9,0),0)+IFERROR(VLOOKUP(A14,CH:CY,11,0),0)</f>
        <v/>
      </c>
      <c r="K14" s="192">
        <f>IFERROR(VLOOKUP(A14,CH:CY,10,0),0)+IFERROR(VLOOKUP(A14,CH:CY,11,0),0)+IFERROR(VLOOKUP(A14,CH:CY,12,0),0)+IFERROR(VLOOKUP(A14,CH:CY,13,0),0)</f>
        <v/>
      </c>
      <c r="L14" s="192" t="n"/>
      <c r="M14" s="192" t="n"/>
      <c r="N14" s="6" t="n"/>
      <c r="O14" s="6" t="n"/>
      <c r="P14" s="6" t="n"/>
      <c r="Q14" s="6" t="n"/>
      <c r="R14" s="6" t="n"/>
      <c r="S14" s="6" t="n"/>
      <c r="T14" s="6" t="n"/>
      <c r="U14" s="6" t="n"/>
      <c r="V14" s="6" t="n"/>
      <c r="W14" s="6" t="n"/>
      <c r="X14" s="6" t="n"/>
      <c r="Y14" s="10" t="n"/>
      <c r="Z14" s="10" t="n"/>
      <c r="AA14" s="10" t="n"/>
      <c r="AB14" s="6" t="n"/>
      <c r="AC14" s="6" t="n"/>
      <c r="AD14" s="6" t="n"/>
      <c r="AE14" s="6" t="n"/>
      <c r="AF14" s="6" t="n"/>
      <c r="AG14" s="6" t="n"/>
      <c r="AH14" s="6" t="n"/>
      <c r="AI14" s="6" t="n"/>
      <c r="AJ14" s="6" t="n"/>
      <c r="AK14" s="6" t="n"/>
      <c r="AL14" s="6" t="n"/>
      <c r="AT14" s="21" t="inlineStr">
        <is>
          <t>2025年12月</t>
        </is>
      </c>
      <c r="AU14" s="16">
        <f>$B14/$H14</f>
        <v/>
      </c>
      <c r="AV14" s="16">
        <f>$C14/$H14</f>
        <v/>
      </c>
      <c r="AW14" s="16">
        <f>$D14/$H14</f>
        <v/>
      </c>
      <c r="AX14" s="16">
        <f>$E14/$H14</f>
        <v/>
      </c>
      <c r="AY14" s="16">
        <f>$F14/$H14</f>
        <v/>
      </c>
      <c r="AZ14" s="16">
        <f>$G14/$H14</f>
        <v/>
      </c>
      <c r="BA14" s="16">
        <f>$H14/$H14</f>
        <v/>
      </c>
      <c r="BB14" s="16">
        <f>$I14/$H14</f>
        <v/>
      </c>
      <c r="BC14" s="10" t="n"/>
      <c r="BG14" s="6" t="n"/>
      <c r="BH14" s="12" t="n"/>
      <c r="BI14" s="28" t="n"/>
      <c r="BJ14" s="28" t="n"/>
      <c r="BL14" s="11" t="n"/>
      <c r="BN14" s="11" t="n"/>
      <c r="BP14" s="2" t="n"/>
      <c r="BQ14" s="2" t="n"/>
      <c r="BR14" s="2" t="n"/>
      <c r="BS14" s="2" t="n"/>
      <c r="CH14" s="14">
        <f>CI14&amp;CJ14</f>
        <v/>
      </c>
      <c r="CI14" s="25" t="inlineStr">
        <is>
          <t>2025年</t>
        </is>
      </c>
      <c r="CJ14" s="25" t="inlineStr">
        <is>
          <t>9月</t>
        </is>
      </c>
      <c r="CK14" s="25" t="n"/>
      <c r="CL14" s="25" t="n"/>
      <c r="CM14" s="25" t="n">
        <v>81028.82333333333</v>
      </c>
      <c r="CN14" s="25" t="n">
        <v>6232.4</v>
      </c>
      <c r="CO14" s="25" t="n">
        <v>142</v>
      </c>
      <c r="CP14" s="25" t="n">
        <v>2644</v>
      </c>
      <c r="CQ14" s="25" t="n">
        <v>0</v>
      </c>
      <c r="CR14" s="25" t="n">
        <v>662</v>
      </c>
      <c r="CS14" s="25" t="n">
        <v>0</v>
      </c>
      <c r="CT14" s="25" t="n">
        <v>0</v>
      </c>
      <c r="CU14" s="25" t="n">
        <v>4168.1</v>
      </c>
      <c r="CV14" s="25" t="n">
        <v>696.97158</v>
      </c>
      <c r="CW14" s="25" t="n">
        <v>115464.95842</v>
      </c>
      <c r="CX14" s="25" t="n">
        <v>22078.23508666667</v>
      </c>
      <c r="CY14" s="25" t="n">
        <v>1490.6</v>
      </c>
      <c r="CZ14" s="25" t="n"/>
      <c r="DA14" s="25" t="n"/>
      <c r="DB14" s="25" t="n"/>
      <c r="DC14" s="26" t="inlineStr">
        <is>
          <t>2026年</t>
        </is>
      </c>
      <c r="DD14" s="26" t="inlineStr">
        <is>
          <t>曜黑餐边柜</t>
        </is>
      </c>
      <c r="DE14" s="26" t="n">
        <v>15108.8</v>
      </c>
      <c r="DF14" s="26" t="n">
        <v>12013.18</v>
      </c>
      <c r="DG14" s="26" t="n">
        <v>3095.619999999999</v>
      </c>
      <c r="DH14" s="27" t="n"/>
      <c r="DI14" s="26" t="n"/>
    </row>
    <row r="15" ht="15.75" customHeight="1" s="187">
      <c r="A15" s="29" t="inlineStr">
        <is>
          <t>2026年1月</t>
        </is>
      </c>
      <c r="B15" s="192">
        <f>IFERROR(VLOOKUP(A15,CH:CY,6,0),0)</f>
        <v/>
      </c>
      <c r="C15" s="192">
        <f>IFERROR(VLOOKUP(A15,CH:CX,7,0),0)+IFERROR(VLOOKUP(A15,CH:CX,8,0),0)</f>
        <v/>
      </c>
      <c r="D15" s="192">
        <f>IFERROR(VLOOKUP(A15,CH:CX,9,0),0)</f>
        <v/>
      </c>
      <c r="E15" s="192">
        <f>IFERROR(VLOOKUP(A15,CH:CX,14,0),0)</f>
        <v/>
      </c>
      <c r="F15" s="192">
        <f>IFERROR(VLOOKUP(A15,CH:CY,10,0),0)+IFERROR(VLOOKUP(A15,CH:CY,11,0),0)+IFERROR(VLOOKUP(A15,CH:CY,12,0),0)+IFERROR(VLOOKUP(A15,CH:CY,13,0),0)-IFERROR(VLOOKUP(A15,CH:CY,18,0),0)</f>
        <v/>
      </c>
      <c r="G15" s="192">
        <f>IFERROR(VLOOKUP(A15,CH:CY,15,0),0)</f>
        <v/>
      </c>
      <c r="H15" s="193">
        <f>IFERROR(VLOOKUP(A15,CH:CY,16,0),0)</f>
        <v/>
      </c>
      <c r="I15" s="194">
        <f>IFERROR(VLOOKUP(A15,CH:CY,17,0),0)</f>
        <v/>
      </c>
      <c r="J15" s="193">
        <f>IFERROR(VLOOKUP(A15,CH:CY,9,0),0)+IFERROR(VLOOKUP(A15,CH:CY,11,0),0)</f>
        <v/>
      </c>
      <c r="K15" s="192">
        <f>IFERROR(VLOOKUP(A15,CH:CY,10,0),0)+IFERROR(VLOOKUP(A15,CH:CY,11,0),0)+IFERROR(VLOOKUP(A15,CH:CY,12,0),0)+IFERROR(VLOOKUP(A15,CH:CY,13,0),0)</f>
        <v/>
      </c>
      <c r="L15" s="192" t="n"/>
      <c r="M15" s="192" t="n"/>
      <c r="N15" s="6" t="n"/>
      <c r="O15" s="6" t="n"/>
      <c r="P15" s="6" t="n"/>
      <c r="Q15" s="6" t="n"/>
      <c r="R15" s="6" t="n"/>
      <c r="S15" s="6" t="n"/>
      <c r="T15" s="6" t="n"/>
      <c r="U15" s="6" t="n"/>
      <c r="V15" s="6" t="n"/>
      <c r="W15" s="6" t="n"/>
      <c r="X15" s="6" t="n"/>
      <c r="Y15" s="10" t="n"/>
      <c r="Z15" s="10" t="n"/>
      <c r="AA15" s="10" t="n"/>
      <c r="AB15" s="6" t="n"/>
      <c r="AC15" s="6" t="n"/>
      <c r="AD15" s="6" t="n"/>
      <c r="AE15" s="6" t="n"/>
      <c r="AF15" s="6" t="n"/>
      <c r="AG15" s="6" t="n"/>
      <c r="AH15" s="6" t="n"/>
      <c r="AI15" s="6" t="n"/>
      <c r="AJ15" s="6" t="n"/>
      <c r="AK15" s="6" t="n"/>
      <c r="AL15" s="6" t="n"/>
      <c r="AT15" s="29" t="inlineStr">
        <is>
          <t>2026年1月</t>
        </is>
      </c>
      <c r="AU15" s="16">
        <f>$B15/$H15</f>
        <v/>
      </c>
      <c r="AV15" s="16">
        <f>$C15/$H15</f>
        <v/>
      </c>
      <c r="AW15" s="16">
        <f>$D15/$H15</f>
        <v/>
      </c>
      <c r="AX15" s="16">
        <f>$E15/$H15</f>
        <v/>
      </c>
      <c r="AY15" s="16">
        <f>$F15/$H15</f>
        <v/>
      </c>
      <c r="AZ15" s="16">
        <f>$G15/$H15</f>
        <v/>
      </c>
      <c r="BA15" s="16">
        <f>$H15/$H15</f>
        <v/>
      </c>
      <c r="BB15" s="16">
        <f>$I15/$H15</f>
        <v/>
      </c>
      <c r="BC15" s="10" t="n"/>
      <c r="BG15" s="6" t="n"/>
      <c r="BH15" s="12" t="n"/>
      <c r="BI15" s="28" t="n"/>
      <c r="BJ15" s="28" t="n"/>
      <c r="BL15" s="11" t="n"/>
      <c r="BN15" s="11" t="n"/>
      <c r="BP15" s="2" t="n"/>
      <c r="BQ15" s="2" t="n"/>
      <c r="BR15" s="2" t="n"/>
      <c r="BS15" s="2" t="n"/>
      <c r="CH15" s="14">
        <f>CI15&amp;CJ15</f>
        <v/>
      </c>
      <c r="CI15" s="25" t="inlineStr">
        <is>
          <t>2025年</t>
        </is>
      </c>
      <c r="CJ15" s="25" t="inlineStr">
        <is>
          <t>10月</t>
        </is>
      </c>
      <c r="CK15" s="25" t="n"/>
      <c r="CL15" s="25" t="n"/>
      <c r="CM15" s="25" t="n">
        <v>356492.9431466668</v>
      </c>
      <c r="CN15" s="25" t="n">
        <v>26936</v>
      </c>
      <c r="CO15" s="25" t="n">
        <v>2078</v>
      </c>
      <c r="CP15" s="25" t="n">
        <v>8242</v>
      </c>
      <c r="CQ15" s="25" t="n">
        <v>0</v>
      </c>
      <c r="CR15" s="25" t="n">
        <v>3452</v>
      </c>
      <c r="CS15" s="25" t="n">
        <v>0</v>
      </c>
      <c r="CT15" s="25" t="n">
        <v>0</v>
      </c>
      <c r="CU15" s="25" t="n">
        <v>3565.93</v>
      </c>
      <c r="CV15" s="25" t="n">
        <v>2861.0961</v>
      </c>
      <c r="CW15" s="25" t="n">
        <v>473988.2539</v>
      </c>
      <c r="CX15" s="25" t="n">
        <v>76412.3807533333</v>
      </c>
      <c r="CY15" s="25" t="n">
        <v>1266</v>
      </c>
      <c r="CZ15" s="25" t="n"/>
      <c r="DA15" s="25" t="n"/>
      <c r="DB15" s="25" t="n"/>
      <c r="DC15" s="26" t="inlineStr">
        <is>
          <t>2026年</t>
        </is>
      </c>
      <c r="DD15" s="26" t="inlineStr">
        <is>
          <t>樱桃木窄柜</t>
        </is>
      </c>
      <c r="DE15" s="26" t="n">
        <v>49884.54604</v>
      </c>
      <c r="DF15" s="26" t="n">
        <v>39283.32999999999</v>
      </c>
      <c r="DG15" s="26" t="n">
        <v>10601.21604</v>
      </c>
      <c r="DH15" s="27" t="n"/>
      <c r="DI15" s="26" t="n"/>
    </row>
    <row r="16" ht="15.75" customHeight="1" s="187">
      <c r="A16" s="21" t="inlineStr">
        <is>
          <t>2026年2月</t>
        </is>
      </c>
      <c r="B16" s="192">
        <f>IFERROR(VLOOKUP(A16,CH:CY,6,0),0)</f>
        <v/>
      </c>
      <c r="C16" s="192">
        <f>IFERROR(VLOOKUP(A16,CH:CX,7,0),0)+IFERROR(VLOOKUP(A16,CH:CX,8,0),0)</f>
        <v/>
      </c>
      <c r="D16" s="192">
        <f>IFERROR(VLOOKUP(A16,CH:CX,9,0),0)</f>
        <v/>
      </c>
      <c r="E16" s="192">
        <f>IFERROR(VLOOKUP(A16,CH:CX,14,0),0)</f>
        <v/>
      </c>
      <c r="F16" s="192">
        <f>IFERROR(VLOOKUP(A16,CH:CY,10,0),0)+IFERROR(VLOOKUP(A16,CH:CY,11,0),0)+IFERROR(VLOOKUP(A16,CH:CY,12,0),0)+IFERROR(VLOOKUP(A16,CH:CY,13,0),0)-IFERROR(VLOOKUP(A16,CH:CY,18,0),0)</f>
        <v/>
      </c>
      <c r="G16" s="192">
        <f>IFERROR(VLOOKUP(A16,CH:CY,15,0),0)</f>
        <v/>
      </c>
      <c r="H16" s="193">
        <f>IFERROR(VLOOKUP(A16,CH:CY,16,0),0)</f>
        <v/>
      </c>
      <c r="I16" s="194">
        <f>IFERROR(VLOOKUP(A16,CH:CY,17,0),0)</f>
        <v/>
      </c>
      <c r="J16" s="193">
        <f>IFERROR(VLOOKUP(A16,CH:CY,9,0),0)+IFERROR(VLOOKUP(A16,CH:CY,11,0),0)</f>
        <v/>
      </c>
      <c r="K16" s="192">
        <f>IFERROR(VLOOKUP(A16,CH:CY,10,0),0)+IFERROR(VLOOKUP(A16,CH:CY,11,0),0)+IFERROR(VLOOKUP(A16,CH:CY,12,0),0)+IFERROR(VLOOKUP(A16,CH:CY,13,0),0)</f>
        <v/>
      </c>
      <c r="L16" s="192" t="n"/>
      <c r="M16" s="192" t="n"/>
      <c r="N16" s="6" t="n"/>
      <c r="O16" s="6" t="n"/>
      <c r="P16" s="6" t="n"/>
      <c r="Q16" s="6" t="n"/>
      <c r="R16" s="6" t="n"/>
      <c r="S16" s="6" t="n"/>
      <c r="T16" s="6" t="n"/>
      <c r="U16" s="6" t="n"/>
      <c r="V16" s="6" t="n"/>
      <c r="W16" s="6" t="n"/>
      <c r="X16" s="6" t="n"/>
      <c r="Y16" s="10" t="n"/>
      <c r="Z16" s="10" t="n"/>
      <c r="AA16" s="10" t="n"/>
      <c r="AB16" s="6" t="n"/>
      <c r="AC16" s="6" t="n"/>
      <c r="AD16" s="6" t="n"/>
      <c r="AE16" s="6" t="n"/>
      <c r="AF16" s="6" t="n"/>
      <c r="AG16" s="6" t="n"/>
      <c r="AH16" s="6" t="n"/>
      <c r="AI16" s="6" t="n"/>
      <c r="AJ16" s="6" t="n"/>
      <c r="AK16" s="6" t="n"/>
      <c r="AL16" s="6" t="n"/>
      <c r="AT16" s="21" t="inlineStr">
        <is>
          <t>2026年2月</t>
        </is>
      </c>
      <c r="AU16" s="16">
        <f>$B16/$H16</f>
        <v/>
      </c>
      <c r="AV16" s="16">
        <f>$C16/$H16</f>
        <v/>
      </c>
      <c r="AW16" s="16">
        <f>$D16/$H16</f>
        <v/>
      </c>
      <c r="AX16" s="16">
        <f>$E16/$H16</f>
        <v/>
      </c>
      <c r="AY16" s="16">
        <f>$F16/$H16</f>
        <v/>
      </c>
      <c r="AZ16" s="16">
        <f>$G16/$H16</f>
        <v/>
      </c>
      <c r="BA16" s="16">
        <f>$H16/$H16</f>
        <v/>
      </c>
      <c r="BB16" s="16">
        <f>$I16/$H16</f>
        <v/>
      </c>
      <c r="BC16" s="10" t="n"/>
      <c r="BG16" s="6" t="n"/>
      <c r="BH16" s="12" t="n"/>
      <c r="BI16" s="28" t="n"/>
      <c r="BJ16" s="28" t="n"/>
      <c r="BL16" s="11" t="n"/>
      <c r="BN16" s="11" t="n"/>
      <c r="BP16" s="2" t="n"/>
      <c r="BQ16" s="2" t="n"/>
      <c r="BR16" s="2" t="n"/>
      <c r="BS16" s="2" t="n"/>
      <c r="CH16" s="14">
        <f>CI16&amp;CJ16</f>
        <v/>
      </c>
      <c r="CI16" s="25" t="inlineStr">
        <is>
          <t>2025年</t>
        </is>
      </c>
      <c r="CJ16" s="25" t="inlineStr">
        <is>
          <t>11月</t>
        </is>
      </c>
      <c r="CK16" s="25" t="n"/>
      <c r="CL16" s="25" t="n"/>
      <c r="CM16" s="25" t="n">
        <v>218568.8083333332</v>
      </c>
      <c r="CN16" s="25" t="n">
        <v>15717</v>
      </c>
      <c r="CO16" s="25" t="n">
        <v>1865</v>
      </c>
      <c r="CP16" s="25" t="n">
        <v>5588</v>
      </c>
      <c r="CQ16" s="25" t="n">
        <v>0</v>
      </c>
      <c r="CR16" s="25" t="n">
        <v>570</v>
      </c>
      <c r="CS16" s="25" t="n">
        <v>0</v>
      </c>
      <c r="CT16" s="25" t="n">
        <v>0</v>
      </c>
      <c r="CU16" s="25" t="n">
        <v>250</v>
      </c>
      <c r="CV16" s="25" t="n">
        <v>1710.20532</v>
      </c>
      <c r="CW16" s="25" t="n">
        <v>283324.0146799999</v>
      </c>
      <c r="CX16" s="25" t="n">
        <v>43556.07634666669</v>
      </c>
      <c r="CY16" s="25" t="n">
        <v>10</v>
      </c>
      <c r="CZ16" s="25" t="n"/>
      <c r="DA16" s="25" t="n"/>
      <c r="DB16" s="25" t="n"/>
      <c r="DC16" s="26" t="inlineStr">
        <is>
          <t>2026年</t>
        </is>
      </c>
      <c r="DD16" s="26" t="inlineStr">
        <is>
          <t>基础餐边柜</t>
        </is>
      </c>
      <c r="DE16" s="26" t="n">
        <v>10143.77</v>
      </c>
      <c r="DF16" s="26" t="n">
        <v>7378</v>
      </c>
      <c r="DG16" s="26" t="n">
        <v>2765.77</v>
      </c>
      <c r="DH16" s="27" t="n"/>
      <c r="DI16" s="26" t="n"/>
    </row>
    <row r="17" ht="15.75" customHeight="1" s="187">
      <c r="A17" s="21" t="inlineStr">
        <is>
          <t>2026年3月</t>
        </is>
      </c>
      <c r="B17" s="192">
        <f>IFERROR(VLOOKUP(A17,CH:CY,6,0),0)</f>
        <v/>
      </c>
      <c r="C17" s="192">
        <f>IFERROR(VLOOKUP(A17,CH:CX,7,0),0)+IFERROR(VLOOKUP(A17,CH:CX,8,0),0)</f>
        <v/>
      </c>
      <c r="D17" s="192">
        <f>IFERROR(VLOOKUP(A17,CH:CX,9,0),0)</f>
        <v/>
      </c>
      <c r="E17" s="192">
        <f>IFERROR(VLOOKUP(A17,CH:CX,14,0),0)</f>
        <v/>
      </c>
      <c r="F17" s="192">
        <f>IFERROR(VLOOKUP(A17,CH:CY,10,0),0)+IFERROR(VLOOKUP(A17,CH:CY,11,0),0)+IFERROR(VLOOKUP(A17,CH:CY,12,0),0)+IFERROR(VLOOKUP(A17,CH:CY,13,0),0)-IFERROR(VLOOKUP(A17,CH:CY,18,0),0)</f>
        <v/>
      </c>
      <c r="G17" s="192">
        <f>IFERROR(VLOOKUP(A17,CH:CY,15,0),0)</f>
        <v/>
      </c>
      <c r="H17" s="193">
        <f>IFERROR(VLOOKUP(A17,CH:CY,16,0),0)</f>
        <v/>
      </c>
      <c r="I17" s="194">
        <f>IFERROR(VLOOKUP(A17,CH:CY,17,0),0)</f>
        <v/>
      </c>
      <c r="J17" s="193">
        <f>IFERROR(VLOOKUP(A17,CH:CY,9,0),0)+IFERROR(VLOOKUP(A17,CH:CY,11,0),0)</f>
        <v/>
      </c>
      <c r="K17" s="192">
        <f>IFERROR(VLOOKUP(A17,CH:CY,10,0),0)+IFERROR(VLOOKUP(A17,CH:CY,11,0),0)+IFERROR(VLOOKUP(A17,CH:CY,12,0),0)+IFERROR(VLOOKUP(A17,CH:CY,13,0),0)</f>
        <v/>
      </c>
      <c r="L17" s="192" t="n"/>
      <c r="M17" s="192" t="n"/>
      <c r="N17" s="6" t="n"/>
      <c r="O17" s="6" t="n"/>
      <c r="P17" s="6" t="n"/>
      <c r="Q17" s="6" t="n"/>
      <c r="R17" s="6" t="n"/>
      <c r="S17" s="6" t="n"/>
      <c r="T17" s="6" t="n"/>
      <c r="U17" s="6" t="n"/>
      <c r="V17" s="6" t="n"/>
      <c r="W17" s="6" t="n"/>
      <c r="X17" s="6" t="n"/>
      <c r="Y17" s="10" t="n"/>
      <c r="Z17" s="10" t="n"/>
      <c r="AA17" s="10" t="n"/>
      <c r="AB17" s="6" t="n"/>
      <c r="AC17" s="6" t="n"/>
      <c r="AD17" s="6" t="n"/>
      <c r="AE17" s="6" t="n"/>
      <c r="AF17" s="6" t="n"/>
      <c r="AG17" s="6" t="n"/>
      <c r="AH17" s="6" t="n"/>
      <c r="AI17" s="6" t="n"/>
      <c r="AJ17" s="6" t="n"/>
      <c r="AK17" s="6" t="n"/>
      <c r="AL17" s="6" t="n"/>
      <c r="AT17" s="21" t="inlineStr">
        <is>
          <t>2026年3月</t>
        </is>
      </c>
      <c r="AU17" s="16">
        <f>$B17/$H17</f>
        <v/>
      </c>
      <c r="AV17" s="16">
        <f>$C17/$H17</f>
        <v/>
      </c>
      <c r="AW17" s="16">
        <f>$D17/$H17</f>
        <v/>
      </c>
      <c r="AX17" s="16">
        <f>$E17/$H17</f>
        <v/>
      </c>
      <c r="AY17" s="16">
        <f>$F17/$H17</f>
        <v/>
      </c>
      <c r="AZ17" s="16">
        <f>$G17/$H17</f>
        <v/>
      </c>
      <c r="BA17" s="16">
        <f>$H17/$H17</f>
        <v/>
      </c>
      <c r="BB17" s="16">
        <f>$I17/$H17</f>
        <v/>
      </c>
      <c r="BC17" s="10" t="n"/>
      <c r="BG17" s="6" t="n"/>
      <c r="BH17" s="12" t="n"/>
      <c r="BI17" s="28" t="n"/>
      <c r="BJ17" s="28" t="n"/>
      <c r="BL17" s="11" t="n"/>
      <c r="BN17" s="11" t="n"/>
      <c r="BP17" s="2" t="n"/>
      <c r="BQ17" s="2" t="n"/>
      <c r="BR17" s="2" t="n"/>
      <c r="BS17" s="2" t="n"/>
      <c r="CH17" s="14">
        <f>CI17&amp;CJ17</f>
        <v/>
      </c>
      <c r="CI17" s="25" t="inlineStr">
        <is>
          <t>2025年</t>
        </is>
      </c>
      <c r="CJ17" s="25" t="inlineStr">
        <is>
          <t>12月</t>
        </is>
      </c>
      <c r="CK17" s="25" t="n"/>
      <c r="CL17" s="25" t="n"/>
      <c r="CM17" s="25" t="n">
        <v>157903.7116666666</v>
      </c>
      <c r="CN17" s="25" t="n">
        <v>9347.5</v>
      </c>
      <c r="CO17" s="25" t="n">
        <v>1533</v>
      </c>
      <c r="CP17" s="25" t="n">
        <v>4411</v>
      </c>
      <c r="CQ17" s="25" t="n">
        <v>0</v>
      </c>
      <c r="CR17" s="25" t="n">
        <v>158</v>
      </c>
      <c r="CS17" s="25" t="n">
        <v>170</v>
      </c>
      <c r="CT17" s="25" t="n">
        <v>20</v>
      </c>
      <c r="CU17" s="25" t="n">
        <v>620</v>
      </c>
      <c r="CV17" s="25" t="n">
        <v>1210.65228</v>
      </c>
      <c r="CW17" s="25" t="n">
        <v>200564.7277199999</v>
      </c>
      <c r="CX17" s="25" t="n">
        <v>32792.51605333333</v>
      </c>
      <c r="CY17" s="25" t="n">
        <v>0</v>
      </c>
      <c r="CZ17" s="25" t="n"/>
      <c r="DA17" s="25" t="n"/>
      <c r="DB17" s="25" t="n"/>
      <c r="DC17" s="26" t="inlineStr">
        <is>
          <t>2026年</t>
        </is>
      </c>
      <c r="DD17" s="26" t="inlineStr">
        <is>
          <t>榉木餐桌</t>
        </is>
      </c>
      <c r="DE17" s="26" t="n">
        <v>114789.108</v>
      </c>
      <c r="DF17" s="26" t="n">
        <v>65565.37</v>
      </c>
      <c r="DG17" s="26" t="n">
        <v>18667.67942</v>
      </c>
      <c r="DH17" s="27" t="n"/>
      <c r="DI17" s="26" t="n"/>
    </row>
    <row r="18" ht="15.75" customHeight="1" s="187">
      <c r="A18" s="21" t="inlineStr">
        <is>
          <t>2026年4月</t>
        </is>
      </c>
      <c r="B18" s="192">
        <f>IFERROR(VLOOKUP(A18,CH:CY,6,0),0)</f>
        <v/>
      </c>
      <c r="C18" s="192">
        <f>IFERROR(VLOOKUP(A18,CH:CX,7,0),0)+IFERROR(VLOOKUP(A18,CH:CX,8,0),0)</f>
        <v/>
      </c>
      <c r="D18" s="192">
        <f>IFERROR(VLOOKUP(A18,CH:CX,9,0),0)</f>
        <v/>
      </c>
      <c r="E18" s="192">
        <f>IFERROR(VLOOKUP(A18,CH:CX,14,0),0)</f>
        <v/>
      </c>
      <c r="F18" s="192">
        <f>IFERROR(VLOOKUP(A18,CH:CY,10,0),0)+IFERROR(VLOOKUP(A18,CH:CY,11,0),0)+IFERROR(VLOOKUP(A18,CH:CY,12,0),0)+IFERROR(VLOOKUP(A18,CH:CY,13,0),0)-IFERROR(VLOOKUP(A18,CH:CY,18,0),0)</f>
        <v/>
      </c>
      <c r="G18" s="192">
        <f>IFERROR(VLOOKUP(A18,CH:CY,15,0),0)</f>
        <v/>
      </c>
      <c r="H18" s="193">
        <f>IFERROR(VLOOKUP(A18,CH:CY,16,0),0)</f>
        <v/>
      </c>
      <c r="I18" s="194">
        <f>IFERROR(VLOOKUP(A18,CH:CY,17,0),0)</f>
        <v/>
      </c>
      <c r="J18" s="193">
        <f>IFERROR(VLOOKUP(A18,CH:CY,9,0),0)+IFERROR(VLOOKUP(A18,CH:CY,11,0),0)</f>
        <v/>
      </c>
      <c r="K18" s="192">
        <f>IFERROR(VLOOKUP(A18,CH:CY,10,0),0)+IFERROR(VLOOKUP(A18,CH:CY,11,0),0)+IFERROR(VLOOKUP(A18,CH:CY,12,0),0)+IFERROR(VLOOKUP(A18,CH:CY,13,0),0)</f>
        <v/>
      </c>
      <c r="L18" s="192" t="n"/>
      <c r="M18" s="192" t="n"/>
      <c r="N18" s="6" t="n"/>
      <c r="O18" s="6" t="n"/>
      <c r="P18" s="6" t="n"/>
      <c r="Q18" s="6" t="n"/>
      <c r="R18" s="6" t="n"/>
      <c r="S18" s="6" t="n"/>
      <c r="T18" s="6" t="n"/>
      <c r="U18" s="6" t="n"/>
      <c r="V18" s="6" t="n"/>
      <c r="W18" s="6" t="n"/>
      <c r="X18" s="6" t="n"/>
      <c r="Y18" s="10" t="n"/>
      <c r="Z18" s="10" t="n"/>
      <c r="AA18" s="10" t="n"/>
      <c r="AB18" s="6" t="n"/>
      <c r="AC18" s="6" t="n"/>
      <c r="AD18" s="6" t="n"/>
      <c r="AE18" s="6" t="n"/>
      <c r="AF18" s="6" t="n"/>
      <c r="AG18" s="6" t="n"/>
      <c r="AH18" s="6" t="n"/>
      <c r="AI18" s="6" t="n"/>
      <c r="AJ18" s="6" t="n"/>
      <c r="AK18" s="6" t="n"/>
      <c r="AL18" s="6" t="n"/>
      <c r="AT18" s="21" t="inlineStr">
        <is>
          <t>2026年4月</t>
        </is>
      </c>
      <c r="AU18" s="16">
        <f>$B18/$H18</f>
        <v/>
      </c>
      <c r="AV18" s="16">
        <f>$C18/$H18</f>
        <v/>
      </c>
      <c r="AW18" s="16">
        <f>$D18/$H18</f>
        <v/>
      </c>
      <c r="AX18" s="16">
        <f>$E18/$H18</f>
        <v/>
      </c>
      <c r="AY18" s="16">
        <f>$F18/$H18</f>
        <v/>
      </c>
      <c r="AZ18" s="16">
        <f>$G18/$H18</f>
        <v/>
      </c>
      <c r="BA18" s="16">
        <f>$H18/$H18</f>
        <v/>
      </c>
      <c r="BB18" s="16">
        <f>$I18/$H18</f>
        <v/>
      </c>
      <c r="BC18" s="10" t="n"/>
      <c r="BG18" s="6" t="n"/>
      <c r="BH18" s="12" t="n"/>
      <c r="BI18" s="28" t="n"/>
      <c r="BJ18" s="28" t="n"/>
      <c r="BL18" s="11" t="n"/>
      <c r="BN18" s="11" t="n"/>
      <c r="BP18" s="2" t="n"/>
      <c r="BQ18" s="2" t="n"/>
      <c r="BR18" s="2" t="n"/>
      <c r="BS18" s="2" t="n"/>
      <c r="CH18" s="14">
        <f>CI18&amp;CJ18</f>
        <v/>
      </c>
      <c r="CI18" s="25" t="inlineStr">
        <is>
          <t>&lt;2025/1/2</t>
        </is>
      </c>
      <c r="CJ18" s="25" t="inlineStr">
        <is>
          <t>&lt;2025/1/2</t>
        </is>
      </c>
      <c r="CK18" s="25" t="inlineStr">
        <is>
          <t>(空白)</t>
        </is>
      </c>
      <c r="CL18" s="25" t="inlineStr">
        <is>
          <t>(空白)</t>
        </is>
      </c>
      <c r="CM18" s="25" t="n"/>
      <c r="CN18" s="25" t="n"/>
      <c r="CO18" s="25" t="n">
        <v>0</v>
      </c>
      <c r="CP18" s="25" t="n">
        <v>0</v>
      </c>
      <c r="CQ18" s="25" t="n">
        <v>0</v>
      </c>
      <c r="CR18" s="25" t="n">
        <v>0</v>
      </c>
      <c r="CS18" s="25" t="n">
        <v>0</v>
      </c>
      <c r="CT18" s="25" t="n">
        <v>0</v>
      </c>
      <c r="CU18" s="25" t="n">
        <v>0</v>
      </c>
      <c r="CV18" s="25" t="n">
        <v>0</v>
      </c>
      <c r="CW18" s="25" t="n">
        <v>0</v>
      </c>
      <c r="CX18" s="25" t="n"/>
      <c r="CY18" s="25" t="n"/>
      <c r="CZ18" s="25" t="n"/>
      <c r="DA18" s="25" t="n"/>
      <c r="DB18" s="25" t="n"/>
      <c r="DC18" s="26" t="inlineStr">
        <is>
          <t>2026年</t>
        </is>
      </c>
      <c r="DD18" s="26" t="inlineStr">
        <is>
          <t>样块</t>
        </is>
      </c>
      <c r="DE18" s="26" t="n">
        <v>679.399</v>
      </c>
      <c r="DF18" s="26" t="n">
        <v>395</v>
      </c>
      <c r="DG18" s="26" t="n">
        <v>301.7649999999999</v>
      </c>
      <c r="DH18" s="27" t="n"/>
      <c r="DI18" s="26" t="n"/>
    </row>
    <row r="19" ht="15.75" customHeight="1" s="187">
      <c r="A19" s="21" t="inlineStr">
        <is>
          <t>2026年5月</t>
        </is>
      </c>
      <c r="B19" s="192">
        <f>IFERROR(VLOOKUP(A19,CH:CY,6,0),0)</f>
        <v/>
      </c>
      <c r="C19" s="192">
        <f>IFERROR(VLOOKUP(A19,CH:CX,7,0),0)+IFERROR(VLOOKUP(A19,CH:CX,8,0),0)</f>
        <v/>
      </c>
      <c r="D19" s="192">
        <f>IFERROR(VLOOKUP(A19,CH:CX,9,0),0)</f>
        <v/>
      </c>
      <c r="E19" s="192">
        <f>IFERROR(VLOOKUP(A19,CH:CX,14,0),0)</f>
        <v/>
      </c>
      <c r="F19" s="192">
        <f>IFERROR(VLOOKUP(A19,CH:CY,10,0),0)+IFERROR(VLOOKUP(A19,CH:CY,11,0),0)+IFERROR(VLOOKUP(A19,CH:CY,12,0),0)+IFERROR(VLOOKUP(A19,CH:CY,13,0),0)-IFERROR(VLOOKUP(A19,CH:CY,18,0),0)</f>
        <v/>
      </c>
      <c r="G19" s="192">
        <f>IFERROR(VLOOKUP(A19,CH:CY,15,0),0)</f>
        <v/>
      </c>
      <c r="H19" s="193">
        <f>IFERROR(VLOOKUP(A19,CH:CY,16,0),0)</f>
        <v/>
      </c>
      <c r="I19" s="194">
        <f>IFERROR(VLOOKUP(A19,CH:CY,17,0),0)</f>
        <v/>
      </c>
      <c r="J19" s="193">
        <f>IFERROR(VLOOKUP(A19,CH:CY,9,0),0)+IFERROR(VLOOKUP(A19,CH:CY,11,0),0)</f>
        <v/>
      </c>
      <c r="K19" s="192">
        <f>IFERROR(VLOOKUP(A19,CH:CY,10,0),0)+IFERROR(VLOOKUP(A19,CH:CY,11,0),0)+IFERROR(VLOOKUP(A19,CH:CY,12,0),0)+IFERROR(VLOOKUP(A19,CH:CY,13,0),0)</f>
        <v/>
      </c>
      <c r="L19" s="192" t="n"/>
      <c r="M19" s="192" t="n"/>
      <c r="N19" s="6" t="n"/>
      <c r="O19" s="6" t="n"/>
      <c r="P19" s="6" t="n"/>
      <c r="Q19" s="6" t="n"/>
      <c r="R19" s="6" t="n"/>
      <c r="S19" s="6" t="n"/>
      <c r="T19" s="6" t="n"/>
      <c r="U19" s="6" t="n"/>
      <c r="V19" s="6" t="n"/>
      <c r="W19" s="6" t="n"/>
      <c r="X19" s="6" t="n"/>
      <c r="Y19" s="10" t="n"/>
      <c r="Z19" s="10" t="n"/>
      <c r="AA19" s="10" t="n"/>
      <c r="AB19" s="6" t="n"/>
      <c r="AC19" s="6" t="n"/>
      <c r="AD19" s="6" t="n"/>
      <c r="AE19" s="6" t="n"/>
      <c r="AF19" s="6" t="n"/>
      <c r="AG19" s="6" t="n"/>
      <c r="AH19" s="6" t="n"/>
      <c r="AI19" s="6" t="n"/>
      <c r="AJ19" s="6" t="n"/>
      <c r="AK19" s="6" t="n"/>
      <c r="AL19" s="6" t="n"/>
      <c r="AT19" s="21" t="inlineStr">
        <is>
          <t>2026年5月</t>
        </is>
      </c>
      <c r="AU19" s="16">
        <f>$B19/$H19</f>
        <v/>
      </c>
      <c r="AV19" s="16">
        <f>$C19/$H19</f>
        <v/>
      </c>
      <c r="AW19" s="16">
        <f>$D19/$H19</f>
        <v/>
      </c>
      <c r="AX19" s="16">
        <f>$E19/$H19</f>
        <v/>
      </c>
      <c r="AY19" s="16">
        <f>$F19/$H19</f>
        <v/>
      </c>
      <c r="AZ19" s="16">
        <f>$G19/$H19</f>
        <v/>
      </c>
      <c r="BA19" s="16">
        <f>$H19/$H19</f>
        <v/>
      </c>
      <c r="BB19" s="16">
        <f>$I19/$H19</f>
        <v/>
      </c>
      <c r="BC19" s="10" t="n"/>
      <c r="BG19" s="6" t="n"/>
      <c r="BH19" s="12" t="n"/>
      <c r="BI19" s="28" t="n"/>
      <c r="BJ19" s="28" t="n"/>
      <c r="BL19" s="11" t="n"/>
      <c r="BN19" s="11" t="n"/>
      <c r="BP19" s="2" t="n"/>
      <c r="BQ19" s="2" t="n"/>
      <c r="BR19" s="2" t="n"/>
      <c r="BS19" s="2" t="n"/>
      <c r="CH19" s="14">
        <f>CI19&amp;CJ19</f>
        <v/>
      </c>
      <c r="CI19" s="25" t="inlineStr">
        <is>
          <t>&lt;2025/1/2</t>
        </is>
      </c>
      <c r="CJ19" s="25" t="inlineStr">
        <is>
          <t>&lt;2025/1/2</t>
        </is>
      </c>
      <c r="CK19" s="25" t="inlineStr">
        <is>
          <t>(空白)</t>
        </is>
      </c>
      <c r="CL19" s="25" t="inlineStr">
        <is>
          <t>4502136961008037825</t>
        </is>
      </c>
      <c r="CM19" s="25" t="n"/>
      <c r="CN19" s="25" t="n"/>
      <c r="CO19" s="25" t="n"/>
      <c r="CP19" s="25" t="n"/>
      <c r="CQ19" s="25" t="n"/>
      <c r="CR19" s="25" t="n"/>
      <c r="CS19" s="25" t="n"/>
      <c r="CT19" s="25" t="n"/>
      <c r="CU19" s="25" t="n"/>
      <c r="CV19" s="25" t="n">
        <v>0</v>
      </c>
      <c r="CW19" s="25" t="n">
        <v>0</v>
      </c>
      <c r="CX19" s="25" t="n"/>
      <c r="CY19" s="25" t="n"/>
      <c r="CZ19" s="25" t="n"/>
      <c r="DA19" s="25" t="n"/>
      <c r="DB19" s="25" t="n"/>
      <c r="DC19" s="26" t="inlineStr">
        <is>
          <t>2026年</t>
        </is>
      </c>
      <c r="DD19" s="26" t="inlineStr">
        <is>
          <t>配件</t>
        </is>
      </c>
      <c r="DE19" s="26" t="n">
        <v>795.2</v>
      </c>
      <c r="DF19" s="26" t="n">
        <v>472</v>
      </c>
      <c r="DG19" s="26" t="n">
        <v>323.2</v>
      </c>
      <c r="DH19" s="27" t="n"/>
      <c r="DI19" s="26" t="n"/>
    </row>
    <row r="20" ht="15.75" customHeight="1" s="187">
      <c r="A20" s="21" t="inlineStr">
        <is>
          <t>2026年6月</t>
        </is>
      </c>
      <c r="B20" s="192">
        <f>IFERROR(VLOOKUP(A20,CH:CY,6,0),0)</f>
        <v/>
      </c>
      <c r="C20" s="192">
        <f>IFERROR(VLOOKUP(A20,CH:CX,7,0),0)+IFERROR(VLOOKUP(A20,CH:CX,8,0),0)</f>
        <v/>
      </c>
      <c r="D20" s="192">
        <f>IFERROR(VLOOKUP(A20,CH:CX,9,0),0)</f>
        <v/>
      </c>
      <c r="E20" s="192">
        <f>IFERROR(VLOOKUP(A20,CH:CX,14,0),0)</f>
        <v/>
      </c>
      <c r="F20" s="192">
        <f>IFERROR(VLOOKUP(A20,CH:CY,10,0),0)+IFERROR(VLOOKUP(A20,CH:CY,11,0),0)+IFERROR(VLOOKUP(A20,CH:CY,12,0),0)+IFERROR(VLOOKUP(A20,CH:CY,13,0),0)-IFERROR(VLOOKUP(A20,CH:CY,18,0),0)</f>
        <v/>
      </c>
      <c r="G20" s="192">
        <f>IFERROR(VLOOKUP(A20,CH:CY,15,0),0)</f>
        <v/>
      </c>
      <c r="H20" s="193">
        <f>IFERROR(VLOOKUP(A20,CH:CY,16,0),0)</f>
        <v/>
      </c>
      <c r="I20" s="194">
        <f>IFERROR(VLOOKUP(A20,CH:CY,17,0),0)</f>
        <v/>
      </c>
      <c r="J20" s="193">
        <f>IFERROR(VLOOKUP(A20,CH:CY,9,0),0)+IFERROR(VLOOKUP(A20,CH:CY,11,0),0)</f>
        <v/>
      </c>
      <c r="K20" s="192">
        <f>IFERROR(VLOOKUP(A20,CH:CY,10,0),0)+IFERROR(VLOOKUP(A20,CH:CY,11,0),0)+IFERROR(VLOOKUP(A20,CH:CY,12,0),0)+IFERROR(VLOOKUP(A20,CH:CY,13,0),0)</f>
        <v/>
      </c>
      <c r="L20" s="192" t="n"/>
      <c r="M20" s="192" t="n"/>
      <c r="N20" s="6" t="n"/>
      <c r="O20" s="6" t="n"/>
      <c r="P20" s="6" t="n"/>
      <c r="Q20" s="6" t="n"/>
      <c r="R20" s="6" t="n"/>
      <c r="S20" s="6" t="n"/>
      <c r="T20" s="6" t="n"/>
      <c r="U20" s="6" t="n"/>
      <c r="V20" s="6" t="n"/>
      <c r="W20" s="6" t="n"/>
      <c r="X20" s="6" t="n"/>
      <c r="Y20" s="10" t="n"/>
      <c r="Z20" s="10" t="n"/>
      <c r="AA20" s="10" t="n"/>
      <c r="AB20" s="6" t="n"/>
      <c r="AC20" s="6" t="n"/>
      <c r="AD20" s="6" t="n"/>
      <c r="AE20" s="6" t="n"/>
      <c r="AF20" s="6" t="n"/>
      <c r="AG20" s="6" t="n"/>
      <c r="AH20" s="6" t="n"/>
      <c r="AI20" s="6" t="n"/>
      <c r="AJ20" s="6" t="n"/>
      <c r="AK20" s="6" t="n"/>
      <c r="AL20" s="6" t="n"/>
      <c r="AT20" s="21" t="inlineStr">
        <is>
          <t>2026年6月</t>
        </is>
      </c>
      <c r="AU20" s="16">
        <f>$B20/$H20</f>
        <v/>
      </c>
      <c r="AV20" s="16">
        <f>$C20/$H20</f>
        <v/>
      </c>
      <c r="AW20" s="16">
        <f>$D20/$H20</f>
        <v/>
      </c>
      <c r="AX20" s="16">
        <f>$E20/$H20</f>
        <v/>
      </c>
      <c r="AY20" s="16">
        <f>$F20/$H20</f>
        <v/>
      </c>
      <c r="AZ20" s="16">
        <f>$G20/$H20</f>
        <v/>
      </c>
      <c r="BA20" s="16">
        <f>$H20/$H20</f>
        <v/>
      </c>
      <c r="BB20" s="16">
        <f>$I20/$H20</f>
        <v/>
      </c>
      <c r="BC20" s="10" t="n"/>
      <c r="BG20" s="6" t="n"/>
      <c r="BH20" s="12" t="n"/>
      <c r="BI20" s="28" t="n"/>
      <c r="BJ20" s="28" t="n"/>
      <c r="BL20" s="11" t="n"/>
      <c r="BN20" s="11" t="n"/>
      <c r="BP20" s="2" t="n"/>
      <c r="BQ20" s="2" t="n"/>
      <c r="BR20" s="2" t="n"/>
      <c r="BS20" s="2" t="n"/>
      <c r="CH20" s="14">
        <f>CI20&amp;CJ20</f>
        <v/>
      </c>
      <c r="CI20" s="25" t="inlineStr">
        <is>
          <t>2026年</t>
        </is>
      </c>
      <c r="CJ20" s="25" t="inlineStr">
        <is>
          <t>1月</t>
        </is>
      </c>
      <c r="CK20" s="25" t="n"/>
      <c r="CL20" s="25" t="n"/>
      <c r="CM20" s="25" t="n">
        <v>119296.33</v>
      </c>
      <c r="CN20" s="25" t="n">
        <v>10614</v>
      </c>
      <c r="CO20" s="25" t="n">
        <v>1484</v>
      </c>
      <c r="CP20" s="25" t="n">
        <v>3403</v>
      </c>
      <c r="CQ20" s="25" t="n">
        <v>100</v>
      </c>
      <c r="CR20" s="25" t="n">
        <v>200</v>
      </c>
      <c r="CS20" s="25" t="n">
        <v>0</v>
      </c>
      <c r="CT20" s="25" t="n">
        <v>0</v>
      </c>
      <c r="CU20" s="25" t="n">
        <v>100</v>
      </c>
      <c r="CV20" s="25" t="n">
        <v>1035.0753</v>
      </c>
      <c r="CW20" s="25" t="n">
        <v>171477.4746999999</v>
      </c>
      <c r="CX20" s="25" t="n">
        <v>36280.14469999998</v>
      </c>
      <c r="CY20" s="25" t="n">
        <v>0</v>
      </c>
      <c r="CZ20" s="25" t="n"/>
      <c r="DA20" s="25" t="n"/>
      <c r="DB20" s="25" t="n"/>
      <c r="DC20" s="26" t="inlineStr">
        <is>
          <t>2026年</t>
        </is>
      </c>
      <c r="DD20" s="26" t="inlineStr">
        <is>
          <t>黑胡桃木餐桌</t>
        </is>
      </c>
      <c r="DE20" s="26" t="n">
        <v>3509.58538</v>
      </c>
      <c r="DF20" s="26" t="n">
        <v>3117.5</v>
      </c>
      <c r="DG20" s="26" t="n">
        <v>392.08538</v>
      </c>
      <c r="DH20" s="27" t="n"/>
      <c r="DI20" s="26" t="n"/>
    </row>
    <row r="21" ht="15.75" customHeight="1" s="187">
      <c r="A21" s="21" t="inlineStr">
        <is>
          <t>2026年7月</t>
        </is>
      </c>
      <c r="B21" s="192">
        <f>IFERROR(VLOOKUP(A21,CH:CY,6,0),0)</f>
        <v/>
      </c>
      <c r="C21" s="192">
        <f>IFERROR(VLOOKUP(A21,CH:CX,7,0),0)+IFERROR(VLOOKUP(A21,CH:CX,8,0),0)</f>
        <v/>
      </c>
      <c r="D21" s="192">
        <f>IFERROR(VLOOKUP(A21,CH:CX,9,0),0)</f>
        <v/>
      </c>
      <c r="E21" s="192">
        <f>IFERROR(VLOOKUP(A21,CH:CX,14,0),0)</f>
        <v/>
      </c>
      <c r="F21" s="192">
        <f>IFERROR(VLOOKUP(A21,CH:CY,10,0),0)+IFERROR(VLOOKUP(A21,CH:CY,11,0),0)+IFERROR(VLOOKUP(A21,CH:CY,12,0),0)+IFERROR(VLOOKUP(A21,CH:CY,13,0),0)-IFERROR(VLOOKUP(A21,CH:CY,18,0),0)</f>
        <v/>
      </c>
      <c r="G21" s="192">
        <f>IFERROR(VLOOKUP(A21,CH:CY,15,0),0)</f>
        <v/>
      </c>
      <c r="H21" s="193">
        <f>IFERROR(VLOOKUP(A21,CH:CY,16,0),0)</f>
        <v/>
      </c>
      <c r="I21" s="194">
        <f>IFERROR(VLOOKUP(A21,CH:CY,17,0),0)</f>
        <v/>
      </c>
      <c r="J21" s="193">
        <f>IFERROR(VLOOKUP(A21,CH:CY,9,0),0)+IFERROR(VLOOKUP(A21,CH:CY,11,0),0)</f>
        <v/>
      </c>
      <c r="K21" s="192">
        <f>IFERROR(VLOOKUP(A21,CH:CY,10,0),0)+IFERROR(VLOOKUP(A21,CH:CY,11,0),0)+IFERROR(VLOOKUP(A21,CH:CY,12,0),0)+IFERROR(VLOOKUP(A21,CH:CY,13,0),0)</f>
        <v/>
      </c>
      <c r="L21" s="192" t="n"/>
      <c r="M21" s="192" t="n"/>
      <c r="N21" s="6" t="n"/>
      <c r="O21" s="6" t="n"/>
      <c r="P21" s="6" t="n"/>
      <c r="Q21" s="6" t="n"/>
      <c r="R21" s="6" t="n"/>
      <c r="S21" s="6" t="n"/>
      <c r="T21" s="6" t="n"/>
      <c r="U21" s="6" t="n"/>
      <c r="V21" s="6" t="n"/>
      <c r="W21" s="6" t="n"/>
      <c r="X21" s="6" t="n"/>
      <c r="Y21" s="10" t="n"/>
      <c r="Z21" s="10" t="n"/>
      <c r="AA21" s="10" t="n"/>
      <c r="AB21" s="6" t="n"/>
      <c r="AC21" s="6" t="n"/>
      <c r="AD21" s="6" t="n"/>
      <c r="AE21" s="6" t="n"/>
      <c r="AF21" s="6" t="n"/>
      <c r="AG21" s="6" t="n"/>
      <c r="AH21" s="6" t="n"/>
      <c r="AI21" s="6" t="n"/>
      <c r="AJ21" s="6" t="n"/>
      <c r="AK21" s="6" t="n"/>
      <c r="AL21" s="6" t="n"/>
      <c r="AT21" s="21" t="inlineStr">
        <is>
          <t>2026年7月</t>
        </is>
      </c>
      <c r="AU21" s="16">
        <f>$B21/$H21</f>
        <v/>
      </c>
      <c r="AV21" s="16">
        <f>$C21/$H21</f>
        <v/>
      </c>
      <c r="AW21" s="16">
        <f>$D21/$H21</f>
        <v/>
      </c>
      <c r="AX21" s="16">
        <f>$E21/$H21</f>
        <v/>
      </c>
      <c r="AY21" s="16">
        <f>$F21/$H21</f>
        <v/>
      </c>
      <c r="AZ21" s="16">
        <f>$G21/$H21</f>
        <v/>
      </c>
      <c r="BA21" s="16">
        <f>$H21/$H21</f>
        <v/>
      </c>
      <c r="BB21" s="16">
        <f>$I21/$H21</f>
        <v/>
      </c>
      <c r="BC21" s="10" t="n"/>
      <c r="BG21" s="6" t="n"/>
      <c r="BH21" s="12" t="n"/>
      <c r="BI21" s="28" t="n"/>
      <c r="BJ21" s="28" t="n"/>
      <c r="BL21" s="11" t="n"/>
      <c r="BN21" s="11" t="n"/>
      <c r="BP21" s="2" t="n"/>
      <c r="BQ21" s="2" t="n"/>
      <c r="BR21" s="2" t="n"/>
      <c r="BS21" s="2" t="n"/>
      <c r="CH21" s="14">
        <f>CI21&amp;CJ21</f>
        <v/>
      </c>
      <c r="CI21" s="25" t="inlineStr">
        <is>
          <t>2026年</t>
        </is>
      </c>
      <c r="CJ21" s="25" t="inlineStr">
        <is>
          <t>2月</t>
        </is>
      </c>
      <c r="CK21" s="25" t="n"/>
      <c r="CL21" s="25" t="n"/>
      <c r="CM21" s="25" t="n">
        <v>38181.75</v>
      </c>
      <c r="CN21" s="25" t="n">
        <v>2922</v>
      </c>
      <c r="CO21" s="25" t="n">
        <v>250</v>
      </c>
      <c r="CP21" s="25" t="n">
        <v>1161</v>
      </c>
      <c r="CQ21" s="25" t="n">
        <v>0</v>
      </c>
      <c r="CR21" s="25" t="n">
        <v>0</v>
      </c>
      <c r="CS21" s="25" t="n">
        <v>0</v>
      </c>
      <c r="CT21" s="25" t="n">
        <v>0</v>
      </c>
      <c r="CU21" s="25" t="n">
        <v>130</v>
      </c>
      <c r="CV21" s="25" t="n">
        <v>312.57558</v>
      </c>
      <c r="CW21" s="25" t="n">
        <v>51783.35442</v>
      </c>
      <c r="CX21" s="25" t="n">
        <v>9138.60442</v>
      </c>
      <c r="CY21" s="25" t="n">
        <v>0</v>
      </c>
      <c r="CZ21" s="25" t="n"/>
      <c r="DA21" s="25" t="n"/>
      <c r="DB21" s="25" t="n"/>
      <c r="DC21" s="26" t="inlineStr">
        <is>
          <t>2026年</t>
        </is>
      </c>
      <c r="DD21" s="26" t="inlineStr">
        <is>
          <t>岛台</t>
        </is>
      </c>
      <c r="DE21" s="26" t="n">
        <v>7608.59288</v>
      </c>
      <c r="DF21" s="26" t="n">
        <v>6430</v>
      </c>
      <c r="DG21" s="26" t="n">
        <v>1178.59288</v>
      </c>
      <c r="DH21" s="27" t="n"/>
      <c r="DI21" s="26" t="n"/>
    </row>
    <row r="22" ht="15.75" customHeight="1" s="187">
      <c r="A22" s="21" t="inlineStr">
        <is>
          <t>2026年8月</t>
        </is>
      </c>
      <c r="B22" s="192">
        <f>IFERROR(VLOOKUP(A22,CH:CY,6,0),0)</f>
        <v/>
      </c>
      <c r="C22" s="192">
        <f>IFERROR(VLOOKUP(A22,CH:CX,7,0),0)+IFERROR(VLOOKUP(A22,CH:CX,8,0),0)</f>
        <v/>
      </c>
      <c r="D22" s="192">
        <f>IFERROR(VLOOKUP(A22,CH:CX,9,0),0)</f>
        <v/>
      </c>
      <c r="E22" s="192">
        <f>IFERROR(VLOOKUP(A22,CH:CX,14,0),0)</f>
        <v/>
      </c>
      <c r="F22" s="192">
        <f>IFERROR(VLOOKUP(A22,CH:CY,10,0),0)+IFERROR(VLOOKUP(A22,CH:CY,11,0),0)+IFERROR(VLOOKUP(A22,CH:CY,12,0),0)+IFERROR(VLOOKUP(A22,CH:CY,13,0),0)-IFERROR(VLOOKUP(A22,CH:CY,18,0),0)</f>
        <v/>
      </c>
      <c r="G22" s="192">
        <f>IFERROR(VLOOKUP(A22,CH:CY,15,0),0)</f>
        <v/>
      </c>
      <c r="H22" s="193">
        <f>IFERROR(VLOOKUP(A22,CH:CY,16,0),0)</f>
        <v/>
      </c>
      <c r="I22" s="194">
        <f>IFERROR(VLOOKUP(A22,CH:CY,17,0),0)</f>
        <v/>
      </c>
      <c r="J22" s="193">
        <f>IFERROR(VLOOKUP(A22,CH:CY,9,0),0)+IFERROR(VLOOKUP(A22,CH:CY,11,0),0)</f>
        <v/>
      </c>
      <c r="K22" s="192">
        <f>IFERROR(VLOOKUP(A22,CH:CY,10,0),0)+IFERROR(VLOOKUP(A22,CH:CY,11,0),0)+IFERROR(VLOOKUP(A22,CH:CY,12,0),0)+IFERROR(VLOOKUP(A22,CH:CY,13,0),0)</f>
        <v/>
      </c>
      <c r="L22" s="192" t="n"/>
      <c r="M22" s="192" t="n"/>
      <c r="N22" s="6" t="n"/>
      <c r="O22" s="6" t="n"/>
      <c r="P22" s="6" t="n"/>
      <c r="Q22" s="6" t="n"/>
      <c r="R22" s="6" t="n"/>
      <c r="S22" s="6" t="n"/>
      <c r="T22" s="6" t="n"/>
      <c r="U22" s="6" t="n"/>
      <c r="V22" s="6" t="n"/>
      <c r="W22" s="6" t="n"/>
      <c r="X22" s="6" t="n"/>
      <c r="Y22" s="10" t="n"/>
      <c r="Z22" s="10" t="n"/>
      <c r="AA22" s="10" t="n"/>
      <c r="AB22" s="6" t="n"/>
      <c r="AC22" s="6" t="n"/>
      <c r="AD22" s="6" t="n"/>
      <c r="AE22" s="6" t="n"/>
      <c r="AF22" s="6" t="n"/>
      <c r="AG22" s="6" t="n"/>
      <c r="AH22" s="6" t="n"/>
      <c r="AI22" s="6" t="n"/>
      <c r="AJ22" s="6" t="n"/>
      <c r="AK22" s="6" t="n"/>
      <c r="AL22" s="6" t="n"/>
      <c r="AT22" s="21" t="inlineStr">
        <is>
          <t>2026年8月</t>
        </is>
      </c>
      <c r="AU22" s="16">
        <f>$B22/$H22</f>
        <v/>
      </c>
      <c r="AV22" s="16">
        <f>$C22/$H22</f>
        <v/>
      </c>
      <c r="AW22" s="16">
        <f>$D22/$H22</f>
        <v/>
      </c>
      <c r="AX22" s="16">
        <f>$E22/$H22</f>
        <v/>
      </c>
      <c r="AY22" s="16">
        <f>$F22/$H22</f>
        <v/>
      </c>
      <c r="AZ22" s="16">
        <f>$G22/$H22</f>
        <v/>
      </c>
      <c r="BA22" s="16">
        <f>$H22/$H22</f>
        <v/>
      </c>
      <c r="BB22" s="16">
        <f>$I22/$H22</f>
        <v/>
      </c>
      <c r="BC22" s="10" t="n"/>
      <c r="BG22" s="6" t="n"/>
      <c r="BH22" s="12" t="n"/>
      <c r="BI22" s="28" t="n"/>
      <c r="BJ22" s="28" t="n"/>
      <c r="BL22" s="11" t="n"/>
      <c r="BN22" s="11" t="n"/>
      <c r="BP22" s="2" t="n"/>
      <c r="BQ22" s="2" t="n"/>
      <c r="BR22" s="2" t="n"/>
      <c r="BS22" s="2" t="n"/>
      <c r="CH22" s="14">
        <f>CI22&amp;CJ22</f>
        <v/>
      </c>
      <c r="CI22" s="25" t="inlineStr">
        <is>
          <t>2026年</t>
        </is>
      </c>
      <c r="CJ22" s="25" t="inlineStr">
        <is>
          <t>3月</t>
        </is>
      </c>
      <c r="CK22" s="25" t="n"/>
      <c r="CL22" s="25" t="n"/>
      <c r="CM22" s="25" t="n">
        <v>87304.49333333333</v>
      </c>
      <c r="CN22" s="25" t="n">
        <v>4839</v>
      </c>
      <c r="CO22" s="25" t="n">
        <v>624</v>
      </c>
      <c r="CP22" s="25" t="n">
        <v>2197</v>
      </c>
      <c r="CQ22" s="25" t="n">
        <v>416.5</v>
      </c>
      <c r="CR22" s="25" t="n">
        <v>603</v>
      </c>
      <c r="CS22" s="25" t="n">
        <v>0</v>
      </c>
      <c r="CT22" s="25" t="n">
        <v>156</v>
      </c>
      <c r="CU22" s="25" t="n">
        <v>194.47</v>
      </c>
      <c r="CV22" s="25" t="n">
        <v>955.0333200000001</v>
      </c>
      <c r="CW22" s="25" t="n">
        <v>158217.18668</v>
      </c>
      <c r="CX22" s="25" t="n">
        <v>28213.79104666666</v>
      </c>
      <c r="CY22" s="25" t="n">
        <v>0</v>
      </c>
      <c r="CZ22" s="25" t="n"/>
      <c r="DA22" s="25" t="n"/>
      <c r="DB22" s="25" t="n"/>
      <c r="DC22" s="26" t="inlineStr">
        <is>
          <t>2026年</t>
        </is>
      </c>
      <c r="DD22" s="26" t="inlineStr">
        <is>
          <t>椅子</t>
        </is>
      </c>
      <c r="DE22" s="26" t="n">
        <v>331.51888</v>
      </c>
      <c r="DF22" s="26" t="n">
        <v>0</v>
      </c>
      <c r="DG22" s="26" t="n">
        <v>331.51888</v>
      </c>
      <c r="DH22" s="27" t="n"/>
      <c r="DI22" s="26" t="n"/>
    </row>
    <row r="23" ht="15.75" customHeight="1" s="187">
      <c r="A23" s="21" t="inlineStr">
        <is>
          <t>2026年9月</t>
        </is>
      </c>
      <c r="B23" s="192">
        <f>IFERROR(VLOOKUP(A23,CH:CY,6,0),0)</f>
        <v/>
      </c>
      <c r="C23" s="192">
        <f>IFERROR(VLOOKUP(A23,CH:CX,7,0),0)+IFERROR(VLOOKUP(A23,CH:CX,8,0),0)</f>
        <v/>
      </c>
      <c r="D23" s="192">
        <f>IFERROR(VLOOKUP(A23,CH:CX,9,0),0)</f>
        <v/>
      </c>
      <c r="E23" s="192">
        <f>IFERROR(VLOOKUP(A23,CH:CX,14,0),0)</f>
        <v/>
      </c>
      <c r="F23" s="192">
        <f>IFERROR(VLOOKUP(A23,CH:CY,10,0),0)+IFERROR(VLOOKUP(A23,CH:CY,11,0),0)+IFERROR(VLOOKUP(A23,CH:CY,12,0),0)+IFERROR(VLOOKUP(A23,CH:CY,13,0),0)-IFERROR(VLOOKUP(A23,CH:CY,18,0),0)</f>
        <v/>
      </c>
      <c r="G23" s="192">
        <f>IFERROR(VLOOKUP(A23,CH:CY,15,0),0)</f>
        <v/>
      </c>
      <c r="H23" s="193">
        <f>IFERROR(VLOOKUP(A23,CH:CY,16,0),0)</f>
        <v/>
      </c>
      <c r="I23" s="194">
        <f>IFERROR(VLOOKUP(A23,CH:CY,17,0),0)</f>
        <v/>
      </c>
      <c r="J23" s="193">
        <f>IFERROR(VLOOKUP(A23,CH:CY,9,0),0)+IFERROR(VLOOKUP(A23,CH:CY,11,0),0)</f>
        <v/>
      </c>
      <c r="K23" s="192">
        <f>IFERROR(VLOOKUP(A23,CH:CY,10,0),0)+IFERROR(VLOOKUP(A23,CH:CY,11,0),0)+IFERROR(VLOOKUP(A23,CH:CY,12,0),0)+IFERROR(VLOOKUP(A23,CH:CY,13,0),0)</f>
        <v/>
      </c>
      <c r="L23" s="192" t="n"/>
      <c r="M23" s="192" t="n"/>
      <c r="N23" s="6" t="n"/>
      <c r="O23" s="6" t="n"/>
      <c r="P23" s="6" t="n"/>
      <c r="Q23" s="6" t="n"/>
      <c r="R23" s="6" t="n"/>
      <c r="S23" s="6" t="n"/>
      <c r="T23" s="6" t="n"/>
      <c r="U23" s="6" t="n"/>
      <c r="V23" s="6" t="n"/>
      <c r="W23" s="6" t="n"/>
      <c r="X23" s="6" t="n"/>
      <c r="Y23" s="10" t="n"/>
      <c r="Z23" s="10" t="n"/>
      <c r="AA23" s="10" t="n"/>
      <c r="AB23" s="6" t="n"/>
      <c r="AC23" s="6" t="n"/>
      <c r="AD23" s="6" t="n"/>
      <c r="AE23" s="6" t="n"/>
      <c r="AF23" s="6" t="n"/>
      <c r="AG23" s="6" t="n"/>
      <c r="AH23" s="6" t="n"/>
      <c r="AI23" s="6" t="n"/>
      <c r="AJ23" s="6" t="n"/>
      <c r="AK23" s="6" t="n"/>
      <c r="AL23" s="6" t="n"/>
      <c r="AT23" s="21" t="inlineStr">
        <is>
          <t>2026年9月</t>
        </is>
      </c>
      <c r="AU23" s="16">
        <f>$B23/$H23</f>
        <v/>
      </c>
      <c r="AV23" s="16">
        <f>$C23/$H23</f>
        <v/>
      </c>
      <c r="AW23" s="16">
        <f>$D23/$H23</f>
        <v/>
      </c>
      <c r="AX23" s="16">
        <f>$E23/$H23</f>
        <v/>
      </c>
      <c r="AY23" s="16">
        <f>$F23/$H23</f>
        <v/>
      </c>
      <c r="AZ23" s="16">
        <f>$G23/$H23</f>
        <v/>
      </c>
      <c r="BA23" s="16">
        <f>$H23/$H23</f>
        <v/>
      </c>
      <c r="BB23" s="16">
        <f>$I23/$H23</f>
        <v/>
      </c>
      <c r="BC23" s="10" t="n"/>
      <c r="BG23" s="6" t="n"/>
      <c r="BH23" s="12" t="n"/>
      <c r="BI23" s="28" t="n"/>
      <c r="BJ23" s="28" t="n"/>
      <c r="BL23" s="11" t="n"/>
      <c r="BN23" s="11" t="n"/>
      <c r="BP23" s="2" t="n"/>
      <c r="BQ23" s="2" t="n"/>
      <c r="BR23" s="2" t="n"/>
      <c r="BS23" s="2" t="n"/>
      <c r="CH23" s="14">
        <f>CI23&amp;CJ23</f>
        <v/>
      </c>
      <c r="CI23" s="25" t="inlineStr">
        <is>
          <t>2026年</t>
        </is>
      </c>
      <c r="CJ23" s="25" t="inlineStr">
        <is>
          <t>4月</t>
        </is>
      </c>
      <c r="CK23" s="25" t="n"/>
      <c r="CL23" s="25" t="n"/>
      <c r="CM23" s="25" t="n"/>
      <c r="CN23" s="25" t="n"/>
      <c r="CO23" s="25" t="n"/>
      <c r="CP23" s="25" t="n">
        <v>290</v>
      </c>
      <c r="CQ23" s="25" t="n"/>
      <c r="CR23" s="25" t="n"/>
      <c r="CS23" s="25" t="n"/>
      <c r="CT23" s="25" t="n"/>
      <c r="CU23" s="25" t="n"/>
      <c r="CV23" s="25" t="n">
        <v>755.62932</v>
      </c>
      <c r="CW23" s="25" t="n">
        <v>125182.59068</v>
      </c>
      <c r="CX23" s="25" t="n"/>
      <c r="CY23" s="25" t="n"/>
      <c r="CZ23" s="25" t="n"/>
      <c r="DA23" s="25" t="n"/>
      <c r="DB23" s="25" t="n"/>
      <c r="DC23" s="26" t="inlineStr">
        <is>
          <t>2026年</t>
        </is>
      </c>
      <c r="DD23" s="26" t="inlineStr">
        <is>
          <t>樱桃木餐桌</t>
        </is>
      </c>
      <c r="DE23" s="26" t="n">
        <v>7752.007200000001</v>
      </c>
      <c r="DF23" s="26" t="n">
        <v>4783</v>
      </c>
      <c r="DG23" s="26" t="n">
        <v>1285.1712</v>
      </c>
      <c r="DH23" s="27" t="n"/>
      <c r="DI23" s="26" t="n"/>
    </row>
    <row r="24" ht="15.75" customHeight="1" s="187">
      <c r="A24" s="21" t="inlineStr">
        <is>
          <t>2026年10月</t>
        </is>
      </c>
      <c r="B24" s="192">
        <f>IFERROR(VLOOKUP(A24,CH:CY,6,0),0)</f>
        <v/>
      </c>
      <c r="C24" s="192">
        <f>IFERROR(VLOOKUP(A24,CH:CX,7,0),0)+IFERROR(VLOOKUP(A24,CH:CX,8,0),0)</f>
        <v/>
      </c>
      <c r="D24" s="192">
        <f>IFERROR(VLOOKUP(A24,CH:CX,9,0),0)</f>
        <v/>
      </c>
      <c r="E24" s="192">
        <f>IFERROR(VLOOKUP(A24,CH:CX,14,0),0)</f>
        <v/>
      </c>
      <c r="F24" s="192">
        <f>IFERROR(VLOOKUP(A24,CH:CY,10,0),0)+IFERROR(VLOOKUP(A24,CH:CY,11,0),0)+IFERROR(VLOOKUP(A24,CH:CY,12,0),0)+IFERROR(VLOOKUP(A24,CH:CY,13,0),0)-IFERROR(VLOOKUP(A24,CH:CY,18,0),0)</f>
        <v/>
      </c>
      <c r="G24" s="192">
        <f>IFERROR(VLOOKUP(A24,CH:CY,15,0),0)</f>
        <v/>
      </c>
      <c r="H24" s="193">
        <f>IFERROR(VLOOKUP(A24,CH:CY,16,0),0)</f>
        <v/>
      </c>
      <c r="I24" s="194">
        <f>IFERROR(VLOOKUP(A24,CH:CY,17,0),0)</f>
        <v/>
      </c>
      <c r="J24" s="193">
        <f>IFERROR(VLOOKUP(A24,CH:CY,9,0),0)+IFERROR(VLOOKUP(A24,CH:CY,11,0),0)</f>
        <v/>
      </c>
      <c r="K24" s="192">
        <f>IFERROR(VLOOKUP(A24,CH:CY,10,0),0)+IFERROR(VLOOKUP(A24,CH:CY,11,0),0)+IFERROR(VLOOKUP(A24,CH:CY,12,0),0)+IFERROR(VLOOKUP(A24,CH:CY,13,0),0)</f>
        <v/>
      </c>
      <c r="L24" s="192" t="n"/>
      <c r="M24" s="192" t="n"/>
      <c r="N24" s="6" t="n"/>
      <c r="O24" s="6" t="n"/>
      <c r="P24" s="6" t="n"/>
      <c r="Q24" s="6" t="n"/>
      <c r="R24" s="6" t="n"/>
      <c r="S24" s="6" t="n"/>
      <c r="T24" s="6" t="n"/>
      <c r="U24" s="6" t="n"/>
      <c r="V24" s="6" t="n"/>
      <c r="W24" s="6" t="n"/>
      <c r="X24" s="6" t="n"/>
      <c r="Y24" s="10" t="n"/>
      <c r="Z24" s="10" t="n"/>
      <c r="AA24" s="10" t="n"/>
      <c r="AB24" s="6" t="n"/>
      <c r="AC24" s="6" t="n"/>
      <c r="AD24" s="6" t="n"/>
      <c r="AE24" s="6" t="n"/>
      <c r="AF24" s="6" t="n"/>
      <c r="AG24" s="6" t="n"/>
      <c r="AH24" s="6" t="n"/>
      <c r="AI24" s="6" t="n"/>
      <c r="AJ24" s="6" t="n"/>
      <c r="AK24" s="6" t="n"/>
      <c r="AL24" s="6" t="n"/>
      <c r="AT24" s="21" t="inlineStr">
        <is>
          <t>2026年10月</t>
        </is>
      </c>
      <c r="AU24" s="16">
        <f>$B24/$H24</f>
        <v/>
      </c>
      <c r="AV24" s="16">
        <f>$C24/$H24</f>
        <v/>
      </c>
      <c r="AW24" s="16">
        <f>$D24/$H24</f>
        <v/>
      </c>
      <c r="AX24" s="16">
        <f>$E24/$H24</f>
        <v/>
      </c>
      <c r="AY24" s="16">
        <f>$F24/$H24</f>
        <v/>
      </c>
      <c r="AZ24" s="16">
        <f>$G24/$H24</f>
        <v/>
      </c>
      <c r="BA24" s="16">
        <f>$H24/$H24</f>
        <v/>
      </c>
      <c r="BB24" s="16">
        <f>$I24/$H24</f>
        <v/>
      </c>
      <c r="BC24" s="10" t="n"/>
      <c r="BG24" s="6" t="n"/>
      <c r="BH24" s="12" t="n"/>
      <c r="BI24" s="28" t="n"/>
      <c r="BJ24" s="28" t="n"/>
      <c r="BL24" s="11" t="n"/>
      <c r="BN24" s="11" t="n"/>
      <c r="BP24" s="2" t="n"/>
      <c r="BQ24" s="2" t="n"/>
      <c r="BR24" s="2" t="n"/>
      <c r="BS24" s="2" t="n"/>
      <c r="CH24" s="14">
        <f>CI24&amp;CJ24</f>
        <v/>
      </c>
      <c r="CI24" s="25" t="inlineStr">
        <is>
          <t>总计</t>
        </is>
      </c>
      <c r="CJ24" s="25" t="n"/>
      <c r="CK24" s="25" t="n"/>
      <c r="CL24" s="25" t="n"/>
      <c r="CM24" s="25" t="n">
        <v>1896631.040813334</v>
      </c>
      <c r="CN24" s="25" t="n">
        <v>130904.4</v>
      </c>
      <c r="CO24" s="25" t="n">
        <v>16251.8</v>
      </c>
      <c r="CP24" s="25" t="n">
        <v>47157</v>
      </c>
      <c r="CQ24" s="25" t="n">
        <v>1236.5</v>
      </c>
      <c r="CR24" s="25" t="n">
        <v>9890</v>
      </c>
      <c r="CS24" s="25" t="n">
        <v>860</v>
      </c>
      <c r="CT24" s="25" t="n">
        <v>7825.19</v>
      </c>
      <c r="CU24" s="25" t="n">
        <v>19746.57</v>
      </c>
      <c r="CV24" s="25" t="n">
        <v>19968.65172</v>
      </c>
      <c r="CW24" s="25" t="n">
        <v>2760795.46828</v>
      </c>
      <c r="CX24" s="25" t="n">
        <v>490584.9144866667</v>
      </c>
      <c r="CY24" s="25" t="n">
        <v>7754.6</v>
      </c>
      <c r="CZ24" s="25" t="n"/>
      <c r="DA24" s="25" t="n"/>
      <c r="DB24" s="25" t="n"/>
      <c r="DC24" s="26" t="inlineStr">
        <is>
          <t>2026年</t>
        </is>
      </c>
      <c r="DD24" s="26" t="inlineStr">
        <is>
          <t>书柜</t>
        </is>
      </c>
      <c r="DE24" s="26" t="n">
        <v>2780.15836</v>
      </c>
      <c r="DF24" s="26" t="n">
        <v>0</v>
      </c>
      <c r="DG24" s="26" t="n"/>
      <c r="DH24" s="27" t="n"/>
      <c r="DI24" s="26" t="n"/>
    </row>
    <row r="25" ht="15.6" customHeight="1" s="187">
      <c r="A25" s="21" t="inlineStr">
        <is>
          <t>2026年11月</t>
        </is>
      </c>
      <c r="B25" s="192">
        <f>IFERROR(VLOOKUP(A25,CH:CY,6,0),0)</f>
        <v/>
      </c>
      <c r="C25" s="192">
        <f>IFERROR(VLOOKUP(A25,CH:CX,7,0),0)+IFERROR(VLOOKUP(A25,CH:CX,8,0),0)</f>
        <v/>
      </c>
      <c r="D25" s="192">
        <f>IFERROR(VLOOKUP(A25,CH:CX,9,0),0)</f>
        <v/>
      </c>
      <c r="E25" s="192">
        <f>IFERROR(VLOOKUP(A25,CH:CX,14,0),0)</f>
        <v/>
      </c>
      <c r="F25" s="192">
        <f>IFERROR(VLOOKUP(A25,CH:CY,10,0),0)+IFERROR(VLOOKUP(A25,CH:CY,11,0),0)+IFERROR(VLOOKUP(A25,CH:CY,12,0),0)+IFERROR(VLOOKUP(A25,CH:CY,13,0),0)-IFERROR(VLOOKUP(A25,CH:CY,18,0),0)</f>
        <v/>
      </c>
      <c r="G25" s="192">
        <f>IFERROR(VLOOKUP(A25,CH:CY,15,0),0)</f>
        <v/>
      </c>
      <c r="H25" s="193">
        <f>IFERROR(VLOOKUP(A25,CH:CY,16,0),0)</f>
        <v/>
      </c>
      <c r="I25" s="194">
        <f>IFERROR(VLOOKUP(A25,CH:CY,17,0),0)</f>
        <v/>
      </c>
      <c r="J25" s="193">
        <f>IFERROR(VLOOKUP(A25,CH:CY,9,0),0)+IFERROR(VLOOKUP(A25,CH:CY,11,0),0)</f>
        <v/>
      </c>
      <c r="K25" s="192">
        <f>IFERROR(VLOOKUP(A25,CH:CY,10,0),0)+IFERROR(VLOOKUP(A25,CH:CY,11,0),0)+IFERROR(VLOOKUP(A25,CH:CY,12,0),0)+IFERROR(VLOOKUP(A25,CH:CY,13,0),0)</f>
        <v/>
      </c>
      <c r="L25" s="192" t="n"/>
      <c r="M25" s="192" t="n"/>
      <c r="N25" s="6" t="n"/>
      <c r="O25" s="6" t="n"/>
      <c r="P25" s="6" t="n"/>
      <c r="Q25" s="6" t="n"/>
      <c r="R25" s="6" t="n"/>
      <c r="S25" s="6" t="n"/>
      <c r="T25" s="6" t="n"/>
      <c r="U25" s="6" t="n"/>
      <c r="V25" s="6" t="n"/>
      <c r="W25" s="6" t="n"/>
      <c r="X25" s="6" t="n"/>
      <c r="Y25" s="10" t="n"/>
      <c r="Z25" s="10" t="n"/>
      <c r="AA25" s="10" t="n"/>
      <c r="AB25" s="6" t="n"/>
      <c r="AC25" s="6" t="n"/>
      <c r="AD25" s="6" t="n"/>
      <c r="AE25" s="6" t="n"/>
      <c r="AF25" s="6" t="n"/>
      <c r="AG25" s="6" t="n"/>
      <c r="AH25" s="6" t="n"/>
      <c r="AI25" s="6" t="n"/>
      <c r="AJ25" s="6" t="n"/>
      <c r="AK25" s="6" t="n"/>
      <c r="AL25" s="6" t="n"/>
      <c r="AT25" s="21" t="inlineStr">
        <is>
          <t>2026年11月</t>
        </is>
      </c>
      <c r="AU25" s="16">
        <f>$B25/$H25</f>
        <v/>
      </c>
      <c r="AV25" s="16">
        <f>$C25/$H25</f>
        <v/>
      </c>
      <c r="AW25" s="16">
        <f>$D25/$H25</f>
        <v/>
      </c>
      <c r="AX25" s="16">
        <f>$E25/$H25</f>
        <v/>
      </c>
      <c r="AY25" s="16">
        <f>$F25/$H25</f>
        <v/>
      </c>
      <c r="AZ25" s="16">
        <f>$G25/$H25</f>
        <v/>
      </c>
      <c r="BA25" s="16">
        <f>$H25/$H25</f>
        <v/>
      </c>
      <c r="BB25" s="16">
        <f>$I25/$H25</f>
        <v/>
      </c>
      <c r="BC25" s="10" t="n"/>
      <c r="BG25" s="6" t="n"/>
      <c r="BH25" s="12" t="n"/>
      <c r="BI25" s="28" t="n"/>
      <c r="BJ25" s="28" t="n"/>
      <c r="BL25" s="11" t="n"/>
      <c r="BN25" s="11" t="n"/>
      <c r="BP25" s="2" t="n"/>
      <c r="BQ25" s="2" t="n"/>
      <c r="BR25" s="2" t="n"/>
      <c r="BS25" s="2" t="n"/>
      <c r="CH25" s="14">
        <f>CI25&amp;CJ25</f>
        <v/>
      </c>
      <c r="CI25" s="26" t="n"/>
      <c r="CJ25" s="26" t="n"/>
      <c r="CK25" s="26" t="n"/>
      <c r="CL25" s="26" t="n"/>
      <c r="CM25" s="26" t="n"/>
      <c r="CN25" s="26" t="n"/>
      <c r="CO25" s="26" t="n"/>
      <c r="CP25" s="26" t="n"/>
      <c r="CQ25" s="26" t="n"/>
      <c r="CR25" s="26" t="n"/>
      <c r="CS25" s="26" t="n"/>
      <c r="CT25" s="26" t="n"/>
      <c r="CU25" s="26" t="n"/>
      <c r="CV25" s="26" t="n"/>
      <c r="CW25" s="26" t="n"/>
      <c r="CX25" s="26" t="n"/>
      <c r="CY25" s="26" t="n"/>
      <c r="CZ25" s="25" t="n"/>
      <c r="DA25" s="25" t="n"/>
      <c r="DB25" s="25" t="n"/>
      <c r="DC25" s="26" t="inlineStr">
        <is>
          <t>2026年</t>
        </is>
      </c>
      <c r="DD25" s="26" t="inlineStr">
        <is>
          <t>窄柜</t>
        </is>
      </c>
      <c r="DE25" s="26" t="n">
        <v>94194.92893999998</v>
      </c>
      <c r="DF25" s="26" t="n">
        <v>38594.63</v>
      </c>
      <c r="DG25" s="26" t="n">
        <v>7917.088600000003</v>
      </c>
      <c r="DH25" s="27" t="n"/>
      <c r="DI25" s="26" t="n"/>
    </row>
    <row r="26" ht="15.75" customHeight="1" s="187">
      <c r="A26" s="21" t="inlineStr">
        <is>
          <t>2026年12月</t>
        </is>
      </c>
      <c r="B26" s="192">
        <f>IFERROR(VLOOKUP(A26,CH:CY,6,0),0)</f>
        <v/>
      </c>
      <c r="C26" s="192">
        <f>IFERROR(VLOOKUP(A26,CH:CX,7,0),0)+IFERROR(VLOOKUP(A26,CH:CX,8,0),0)</f>
        <v/>
      </c>
      <c r="D26" s="192">
        <f>IFERROR(VLOOKUP(A26,CH:CX,9,0),0)</f>
        <v/>
      </c>
      <c r="E26" s="192">
        <f>IFERROR(VLOOKUP(A26,CH:CX,14,0),0)</f>
        <v/>
      </c>
      <c r="F26" s="192">
        <f>IFERROR(VLOOKUP(A26,CH:CY,10,0),0)+IFERROR(VLOOKUP(A26,CH:CY,11,0),0)+IFERROR(VLOOKUP(A26,CH:CY,12,0),0)+IFERROR(VLOOKUP(A26,CH:CY,13,0),0)-IFERROR(VLOOKUP(A26,CH:CY,18,0),0)</f>
        <v/>
      </c>
      <c r="G26" s="192">
        <f>IFERROR(VLOOKUP(A26,CH:CY,15,0),0)</f>
        <v/>
      </c>
      <c r="H26" s="193">
        <f>IFERROR(VLOOKUP(A26,CH:CY,16,0),0)</f>
        <v/>
      </c>
      <c r="I26" s="194">
        <f>IFERROR(VLOOKUP(A26,CH:CY,17,0),0)</f>
        <v/>
      </c>
      <c r="J26" s="193">
        <f>IFERROR(VLOOKUP(A26,CH:CY,9,0),0)+IFERROR(VLOOKUP(A26,CH:CY,11,0),0)</f>
        <v/>
      </c>
      <c r="K26" s="192">
        <f>IFERROR(VLOOKUP(A26,CH:CY,10,0),0)+IFERROR(VLOOKUP(A26,CH:CY,11,0),0)+IFERROR(VLOOKUP(A26,CH:CY,12,0),0)+IFERROR(VLOOKUP(A26,CH:CY,13,0),0)</f>
        <v/>
      </c>
      <c r="L26" s="192" t="n"/>
      <c r="M26" s="192" t="n"/>
      <c r="N26" s="6" t="n"/>
      <c r="O26" s="6" t="n"/>
      <c r="P26" s="6" t="n"/>
      <c r="Q26" s="6" t="n"/>
      <c r="R26" s="6" t="n"/>
      <c r="S26" s="6" t="n"/>
      <c r="T26" s="6" t="n"/>
      <c r="U26" s="6" t="n"/>
      <c r="V26" s="6" t="n"/>
      <c r="W26" s="6" t="n"/>
      <c r="X26" s="6" t="n"/>
      <c r="Y26" s="10" t="n"/>
      <c r="Z26" s="10" t="n"/>
      <c r="AA26" s="10" t="n"/>
      <c r="AB26" s="6" t="n"/>
      <c r="AC26" s="6" t="n"/>
      <c r="AD26" s="6" t="n"/>
      <c r="AE26" s="6" t="n"/>
      <c r="AF26" s="6" t="n"/>
      <c r="AG26" s="6" t="n"/>
      <c r="AH26" s="6" t="n"/>
      <c r="AI26" s="6" t="n"/>
      <c r="AJ26" s="6" t="n"/>
      <c r="AK26" s="6" t="n"/>
      <c r="AL26" s="6" t="n"/>
      <c r="AT26" s="21" t="inlineStr">
        <is>
          <t>2026年12月</t>
        </is>
      </c>
      <c r="AU26" s="16">
        <f>$B26/$H26</f>
        <v/>
      </c>
      <c r="AV26" s="16">
        <f>$C26/$H26</f>
        <v/>
      </c>
      <c r="AW26" s="16">
        <f>$D26/$H26</f>
        <v/>
      </c>
      <c r="AX26" s="16">
        <f>$E26/$H26</f>
        <v/>
      </c>
      <c r="AY26" s="16">
        <f>$F26/$H26</f>
        <v/>
      </c>
      <c r="AZ26" s="16">
        <f>$G26/$H26</f>
        <v/>
      </c>
      <c r="BA26" s="16">
        <f>$H26/$H26</f>
        <v/>
      </c>
      <c r="BB26" s="16">
        <f>$I26/$H26</f>
        <v/>
      </c>
      <c r="BC26" s="10" t="n"/>
      <c r="BG26" s="6" t="n"/>
      <c r="BH26" s="12" t="n"/>
      <c r="BI26" s="28" t="n"/>
      <c r="BJ26" s="28" t="n"/>
      <c r="BL26" s="11" t="n"/>
      <c r="BN26" s="11" t="n"/>
      <c r="BP26" s="2" t="n"/>
      <c r="BQ26" s="2" t="n"/>
      <c r="BR26" s="2" t="n"/>
      <c r="BS26" s="2" t="n"/>
      <c r="CH26" s="14">
        <f>CI26&amp;CJ26</f>
        <v/>
      </c>
      <c r="CI26" s="26" t="n"/>
      <c r="CJ26" s="26" t="n"/>
      <c r="CK26" s="26" t="n"/>
      <c r="CL26" s="26" t="n"/>
      <c r="CM26" s="26" t="n"/>
      <c r="CN26" s="26" t="n"/>
      <c r="CO26" s="26" t="n"/>
      <c r="CP26" s="26" t="n"/>
      <c r="CQ26" s="26" t="n"/>
      <c r="CR26" s="26" t="n"/>
      <c r="CS26" s="26" t="n"/>
      <c r="CT26" s="26" t="n"/>
      <c r="CU26" s="26" t="n"/>
      <c r="CV26" s="26" t="n"/>
      <c r="CW26" s="26" t="n"/>
      <c r="CX26" s="26" t="n"/>
      <c r="CY26" s="26" t="n"/>
      <c r="CZ26" s="25" t="n"/>
      <c r="DB26" s="25" t="n"/>
      <c r="DC26" s="26" t="inlineStr">
        <is>
          <t>2026年</t>
        </is>
      </c>
      <c r="DD26" s="26" t="inlineStr">
        <is>
          <t>洞石柜</t>
        </is>
      </c>
      <c r="DE26" s="26" t="n">
        <v>41379.32539999999</v>
      </c>
      <c r="DF26" s="26" t="n">
        <v>13370.16</v>
      </c>
      <c r="DG26" s="26" t="n">
        <v>4022.851999999999</v>
      </c>
      <c r="DH26" s="27" t="n"/>
      <c r="DI26" s="26" t="n"/>
    </row>
    <row r="27" ht="15.75" customHeight="1" s="187">
      <c r="A27" s="30" t="inlineStr">
        <is>
          <t>Total</t>
        </is>
      </c>
      <c r="B27" s="195">
        <f>SUM(B3:B26)</f>
        <v/>
      </c>
      <c r="C27" s="195">
        <f>SUM(C3:C26)</f>
        <v/>
      </c>
      <c r="D27" s="195">
        <f>SUM(D3:D26)</f>
        <v/>
      </c>
      <c r="E27" s="195">
        <f>SUM(E3:E26)</f>
        <v/>
      </c>
      <c r="F27" s="195">
        <f>SUM(F3:F26)</f>
        <v/>
      </c>
      <c r="G27" s="195">
        <f>SUM(G3:G26)</f>
        <v/>
      </c>
      <c r="H27" s="195">
        <f>SUM(H3:H26)</f>
        <v/>
      </c>
      <c r="I27" s="196">
        <f>SUM(I3:I26)</f>
        <v/>
      </c>
      <c r="J27" s="195">
        <f>SUM(J3:J26)</f>
        <v/>
      </c>
      <c r="K27" s="195">
        <f>SUM(K3:K26)</f>
        <v/>
      </c>
      <c r="L27" s="195">
        <f>SUM(L3:L26)</f>
        <v/>
      </c>
      <c r="M27" s="195">
        <f>SUM(M3:M26)</f>
        <v/>
      </c>
      <c r="N27" s="6" t="n"/>
      <c r="O27" s="6" t="n"/>
      <c r="P27" s="6" t="n"/>
      <c r="Q27" s="6" t="n"/>
      <c r="R27" s="6" t="n"/>
      <c r="S27" s="6" t="n"/>
      <c r="T27" s="6" t="n"/>
      <c r="U27" s="6" t="n"/>
      <c r="V27" s="6" t="n"/>
      <c r="W27" s="6" t="n"/>
      <c r="X27" s="6" t="n"/>
      <c r="Y27" s="10" t="n"/>
      <c r="Z27" s="10" t="n"/>
      <c r="AA27" s="10" t="n"/>
      <c r="AB27" s="6" t="n"/>
      <c r="AC27" s="6" t="n"/>
      <c r="AD27" s="6" t="n"/>
      <c r="AE27" s="6" t="n"/>
      <c r="AF27" s="6" t="n"/>
      <c r="AG27" s="6" t="n"/>
      <c r="AH27" s="6" t="n"/>
      <c r="AI27" s="6" t="n"/>
      <c r="AJ27" s="6" t="n"/>
      <c r="AK27" s="6" t="n"/>
      <c r="AL27" s="6" t="n"/>
      <c r="AT27" s="33" t="inlineStr">
        <is>
          <t>Total</t>
        </is>
      </c>
      <c r="AU27" s="34">
        <f>$B27/$H27</f>
        <v/>
      </c>
      <c r="AV27" s="34">
        <f>$C27/$H27</f>
        <v/>
      </c>
      <c r="AW27" s="34">
        <f>$D27/$H27</f>
        <v/>
      </c>
      <c r="AX27" s="34">
        <f>$E27/$H27</f>
        <v/>
      </c>
      <c r="AY27" s="34">
        <f>$F27/$H27</f>
        <v/>
      </c>
      <c r="AZ27" s="34">
        <f>$G27/$H27</f>
        <v/>
      </c>
      <c r="BA27" s="34">
        <f>$H27/$H27</f>
        <v/>
      </c>
      <c r="BB27" s="34">
        <f>$I27/$H27</f>
        <v/>
      </c>
      <c r="BC27" s="10" t="n"/>
      <c r="BG27" s="6" t="n"/>
      <c r="BH27" s="12" t="n"/>
      <c r="BI27" s="28" t="n"/>
      <c r="BJ27" s="28" t="n"/>
      <c r="BL27" s="11" t="n"/>
      <c r="BN27" s="11" t="n"/>
      <c r="BP27" s="2" t="n"/>
      <c r="BQ27" s="2" t="n"/>
      <c r="BR27" s="2" t="n"/>
      <c r="BS27" s="2" t="n"/>
      <c r="CH27" s="14">
        <f>CI27&amp;CJ27</f>
        <v/>
      </c>
      <c r="CI27" s="26" t="n"/>
      <c r="CJ27" s="26" t="n"/>
      <c r="CK27" s="26" t="n"/>
      <c r="CL27" s="26" t="n"/>
      <c r="CM27" s="26" t="n"/>
      <c r="CN27" s="26" t="n"/>
      <c r="CO27" s="26" t="n"/>
      <c r="CP27" s="26" t="n"/>
      <c r="CQ27" s="26" t="n"/>
      <c r="CR27" s="26" t="n"/>
      <c r="CS27" s="26" t="n"/>
      <c r="CT27" s="26" t="n"/>
      <c r="CU27" s="26" t="n"/>
      <c r="CV27" s="26" t="n"/>
      <c r="CW27" s="26" t="n"/>
      <c r="CX27" s="26" t="n"/>
      <c r="CY27" s="26" t="n"/>
      <c r="CZ27" s="25" t="n"/>
      <c r="DB27" s="25" t="n"/>
      <c r="DC27" s="26" t="inlineStr">
        <is>
          <t>2026年</t>
        </is>
      </c>
      <c r="DD27" s="26" t="inlineStr">
        <is>
          <t>黑胡桃岩板餐桌</t>
        </is>
      </c>
      <c r="DE27" s="26" t="n">
        <v>9082.068660000001</v>
      </c>
      <c r="DF27" s="26" t="n">
        <v>2981</v>
      </c>
      <c r="DG27" s="26" t="n">
        <v>475.19022</v>
      </c>
      <c r="DH27" s="27" t="n"/>
      <c r="DI27" s="26" t="n"/>
    </row>
    <row r="28" ht="15.75" customHeight="1" s="187">
      <c r="D28" s="10" t="n"/>
      <c r="E28" s="2" t="n"/>
      <c r="F28" s="2" t="n"/>
      <c r="H28" s="6" t="n"/>
      <c r="I28" s="188" t="n"/>
      <c r="J28" s="185" t="n"/>
      <c r="K28" s="185" t="n"/>
      <c r="L28" s="11" t="n"/>
      <c r="M28" s="2" t="n"/>
      <c r="X28" s="6" t="n"/>
      <c r="Y28" s="10" t="n"/>
      <c r="Z28" s="10" t="n"/>
      <c r="AA28" s="10" t="n"/>
      <c r="AM28" s="185" t="n"/>
      <c r="AR28" s="185" t="n"/>
      <c r="AT28" s="2" t="n"/>
      <c r="AW28" s="6" t="n"/>
      <c r="BC28" s="10" t="n"/>
      <c r="BG28" s="6" t="n"/>
      <c r="BH28" s="12" t="n"/>
      <c r="BI28" s="28" t="n"/>
      <c r="BJ28" s="28" t="n"/>
      <c r="BL28" s="11" t="n"/>
      <c r="BN28" s="11" t="n"/>
      <c r="BP28" s="2" t="n"/>
      <c r="BQ28" s="2" t="n"/>
      <c r="BR28" s="2" t="n"/>
      <c r="BS28" s="2" t="n"/>
      <c r="CH28" s="14">
        <f>CI28&amp;CJ28</f>
        <v/>
      </c>
      <c r="CI28" s="26" t="n"/>
      <c r="CJ28" s="26" t="n"/>
      <c r="CK28" s="26" t="n"/>
      <c r="CL28" s="26" t="n"/>
      <c r="CM28" s="26" t="n"/>
      <c r="CN28" s="26" t="n"/>
      <c r="CO28" s="26" t="n"/>
      <c r="CP28" s="26" t="n"/>
      <c r="CQ28" s="26" t="n"/>
      <c r="CR28" s="26" t="n"/>
      <c r="CS28" s="26" t="n"/>
      <c r="CT28" s="26" t="n"/>
      <c r="CU28" s="26" t="n"/>
      <c r="CV28" s="26" t="n"/>
      <c r="CW28" s="26" t="n"/>
      <c r="CX28" s="26" t="n"/>
      <c r="CY28" s="26" t="n"/>
      <c r="CZ28" s="25" t="n"/>
      <c r="DB28" s="25" t="n"/>
      <c r="DC28" s="26" t="inlineStr">
        <is>
          <t>2026年</t>
        </is>
      </c>
      <c r="DD28" s="26" t="inlineStr">
        <is>
          <t>旋转柜</t>
        </is>
      </c>
      <c r="DE28" s="26" t="n">
        <v>8047.7222</v>
      </c>
      <c r="DF28" s="26" t="n">
        <v>5821</v>
      </c>
      <c r="DG28" s="26" t="n">
        <v>2226.7222</v>
      </c>
      <c r="DH28" s="27" t="n"/>
      <c r="DI28" s="26" t="n"/>
    </row>
    <row r="29" ht="15.75" customHeight="1" s="187">
      <c r="D29" s="10" t="n"/>
      <c r="E29" s="2" t="n"/>
      <c r="F29" s="2" t="n"/>
      <c r="H29" s="6" t="n"/>
      <c r="I29" s="188" t="n"/>
      <c r="J29" s="185" t="n"/>
      <c r="K29" s="185" t="n"/>
      <c r="L29" s="11" t="n"/>
      <c r="M29" s="2" t="n"/>
      <c r="X29" s="6" t="n"/>
      <c r="Y29" s="10" t="n"/>
      <c r="Z29" s="10" t="n"/>
      <c r="AA29" s="10" t="n"/>
      <c r="AM29" s="185" t="n"/>
      <c r="AR29" s="185" t="n"/>
      <c r="AT29" s="2" t="n"/>
      <c r="AW29" s="6" t="n"/>
      <c r="BC29" s="10" t="n"/>
      <c r="BG29" s="6" t="n"/>
      <c r="BH29" s="12" t="n"/>
      <c r="BI29" s="28" t="n"/>
      <c r="BJ29" s="28" t="n"/>
      <c r="BL29" s="11" t="n"/>
      <c r="BN29" s="11" t="n"/>
      <c r="BP29" s="2" t="n"/>
      <c r="BQ29" s="2" t="n"/>
      <c r="BR29" s="2" t="n"/>
      <c r="BS29" s="2" t="n"/>
      <c r="CH29" s="14">
        <f>CI29&amp;CJ29</f>
        <v/>
      </c>
      <c r="CI29" s="26" t="n"/>
      <c r="CJ29" s="26" t="n"/>
      <c r="CK29" s="26" t="n"/>
      <c r="CL29" s="26" t="n"/>
      <c r="CM29" s="26" t="n"/>
      <c r="CN29" s="26" t="n"/>
      <c r="CO29" s="26" t="n"/>
      <c r="CP29" s="26" t="n"/>
      <c r="CQ29" s="26" t="n"/>
      <c r="CR29" s="26" t="n"/>
      <c r="CS29" s="26" t="n"/>
      <c r="CT29" s="26" t="n"/>
      <c r="CU29" s="26" t="n"/>
      <c r="CV29" s="26" t="n"/>
      <c r="CW29" s="26" t="n"/>
      <c r="CX29" s="26" t="n"/>
      <c r="CY29" s="26" t="n"/>
      <c r="CZ29" s="25" t="n"/>
      <c r="DB29" s="25" t="n"/>
      <c r="DC29" s="26" t="inlineStr">
        <is>
          <t>2026年</t>
        </is>
      </c>
      <c r="DD29" s="26" t="inlineStr">
        <is>
          <t>榉木大板餐桌</t>
        </is>
      </c>
      <c r="DE29" s="26" t="n">
        <v>3001.88</v>
      </c>
      <c r="DF29" s="26" t="n">
        <v>1900</v>
      </c>
      <c r="DG29" s="26" t="n">
        <v>1101.88</v>
      </c>
      <c r="DH29" s="27" t="n"/>
      <c r="DI29" s="26" t="n"/>
    </row>
    <row r="30" ht="15.75" customHeight="1" s="187">
      <c r="D30" s="10" t="n"/>
      <c r="E30" s="2" t="n"/>
      <c r="F30" s="2" t="n"/>
      <c r="H30" s="6" t="n"/>
      <c r="I30" s="188" t="n"/>
      <c r="J30" s="185" t="n"/>
      <c r="K30" s="185" t="n"/>
      <c r="L30" s="11" t="n"/>
      <c r="M30" s="2" t="n"/>
      <c r="X30" s="6" t="n"/>
      <c r="Y30" s="10" t="n"/>
      <c r="Z30" s="10" t="n"/>
      <c r="AA30" s="10" t="n"/>
      <c r="AM30" s="185" t="n"/>
      <c r="AR30" s="185" t="n"/>
      <c r="AT30" s="2" t="n"/>
      <c r="AW30" s="6" t="n"/>
      <c r="BC30" s="10" t="n"/>
      <c r="BG30" s="6" t="n"/>
      <c r="BH30" s="12" t="n"/>
      <c r="BI30" s="28" t="n"/>
      <c r="BJ30" s="28" t="n"/>
      <c r="BL30" s="11" t="n"/>
      <c r="BN30" s="11" t="n"/>
      <c r="BP30" s="2" t="n"/>
      <c r="BQ30" s="2" t="n"/>
      <c r="BR30" s="2" t="n"/>
      <c r="BS30" s="2" t="n"/>
      <c r="CH30" s="14">
        <f>CI30&amp;CJ30</f>
        <v/>
      </c>
      <c r="CI30" s="26" t="n"/>
      <c r="CJ30" s="26" t="n"/>
      <c r="CK30" s="26" t="n"/>
      <c r="CL30" s="26" t="n"/>
      <c r="CM30" s="26" t="n"/>
      <c r="CN30" s="26" t="n"/>
      <c r="CO30" s="26" t="n"/>
      <c r="CP30" s="26" t="n"/>
      <c r="CQ30" s="26" t="n"/>
      <c r="CR30" s="26" t="n"/>
      <c r="CS30" s="26" t="n"/>
      <c r="CT30" s="26" t="n"/>
      <c r="CU30" s="26" t="n"/>
      <c r="CV30" s="26" t="n"/>
      <c r="CW30" s="26" t="n"/>
      <c r="CX30" s="26" t="n"/>
      <c r="CY30" s="26" t="n"/>
      <c r="CZ30" s="25" t="n"/>
      <c r="DB30" s="25" t="n"/>
      <c r="DC30" s="26" t="inlineStr">
        <is>
          <t>2026年</t>
        </is>
      </c>
      <c r="DD30" s="26" t="inlineStr">
        <is>
          <t>榉木大板+岩板餐桌</t>
        </is>
      </c>
      <c r="DE30" s="26" t="n">
        <v>2688.51156</v>
      </c>
      <c r="DF30" s="26" t="n">
        <v>2820</v>
      </c>
      <c r="DG30" s="26" t="n">
        <v>-131.4884400000001</v>
      </c>
      <c r="DH30" s="27" t="n"/>
      <c r="DI30" s="26" t="n"/>
    </row>
    <row r="31" ht="15.75" customHeight="1" s="187">
      <c r="D31" s="10" t="n"/>
      <c r="E31" s="2" t="n"/>
      <c r="F31" s="2" t="n"/>
      <c r="H31" s="6" t="n"/>
      <c r="I31" s="188" t="n"/>
      <c r="J31" s="185" t="n"/>
      <c r="K31" s="185" t="n"/>
      <c r="L31" s="11" t="n"/>
      <c r="M31" s="2" t="n"/>
      <c r="O31" s="10" t="n"/>
      <c r="X31" s="6" t="n"/>
      <c r="Y31" s="10" t="n"/>
      <c r="Z31" s="10" t="n"/>
      <c r="AA31" s="10" t="n"/>
      <c r="AM31" s="185" t="n"/>
      <c r="AR31" s="185" t="n"/>
      <c r="AT31" s="2" t="n"/>
      <c r="AW31" s="6" t="n"/>
      <c r="BC31" s="10" t="n"/>
      <c r="BG31" s="6" t="n"/>
      <c r="BH31" s="12" t="n"/>
      <c r="BI31" s="28" t="n"/>
      <c r="BJ31" s="28" t="n"/>
      <c r="BL31" s="11" t="n"/>
      <c r="BN31" s="11" t="n"/>
      <c r="BP31" s="2" t="n"/>
      <c r="BQ31" s="2" t="n"/>
      <c r="BR31" s="2" t="n"/>
      <c r="BS31" s="2" t="n"/>
      <c r="CH31" s="14">
        <f>CI31&amp;CJ31</f>
        <v/>
      </c>
      <c r="CI31" s="26" t="n"/>
      <c r="CJ31" s="26" t="n"/>
      <c r="CK31" s="26" t="n"/>
      <c r="CL31" s="26" t="n"/>
      <c r="CM31" s="26" t="n"/>
      <c r="CN31" s="26" t="n"/>
      <c r="CO31" s="26" t="n"/>
      <c r="CP31" s="26" t="n"/>
      <c r="CQ31" s="26" t="n"/>
      <c r="CR31" s="26" t="n"/>
      <c r="CS31" s="26" t="n"/>
      <c r="CT31" s="26" t="n"/>
      <c r="CU31" s="26" t="n"/>
      <c r="CV31" s="26" t="n"/>
      <c r="CW31" s="26" t="n"/>
      <c r="CX31" s="26" t="n"/>
      <c r="CY31" s="26" t="n"/>
      <c r="CZ31" s="25" t="n"/>
      <c r="DB31" s="25" t="n"/>
      <c r="DC31" s="26" t="inlineStr">
        <is>
          <t>2026年</t>
        </is>
      </c>
      <c r="DD31" s="26" t="inlineStr">
        <is>
          <t>黑胡桃木柜</t>
        </is>
      </c>
      <c r="DE31" s="26" t="n">
        <v>29398.08676</v>
      </c>
      <c r="DF31" s="26" t="n">
        <v>10679.98333333334</v>
      </c>
      <c r="DG31" s="26" t="n">
        <v>4016.575046666665</v>
      </c>
      <c r="DH31" s="27" t="n"/>
      <c r="DI31" s="26" t="n"/>
    </row>
    <row r="32" ht="14.25" customFormat="1" customHeight="1" s="35">
      <c r="I32" s="197" t="n"/>
      <c r="J32" s="198" t="n"/>
      <c r="K32" s="198" t="n"/>
      <c r="N32" s="198" t="n"/>
      <c r="P32" s="198" t="n"/>
      <c r="Q32" s="198" t="n"/>
      <c r="R32" s="198" t="n"/>
      <c r="S32" s="198" t="n"/>
      <c r="T32" s="198" t="n"/>
      <c r="U32" s="198" t="n"/>
      <c r="V32" s="198" t="n"/>
      <c r="W32" s="198" t="n"/>
      <c r="Y32" s="10" t="n"/>
      <c r="Z32" s="10" t="n"/>
      <c r="AA32" s="10" t="n"/>
      <c r="AB32" s="198" t="n"/>
      <c r="AC32" s="198" t="n"/>
      <c r="AD32" s="198" t="n"/>
      <c r="AE32" s="198" t="n"/>
      <c r="AF32" s="198" t="n"/>
      <c r="AG32" s="198" t="n"/>
      <c r="AH32" s="198" t="n"/>
      <c r="AI32" s="198" t="n"/>
      <c r="AJ32" s="198" t="n"/>
      <c r="AK32" s="198" t="n"/>
      <c r="AL32" s="198" t="n"/>
      <c r="AM32" s="198" t="n"/>
      <c r="AR32" s="198" t="n"/>
      <c r="BC32" s="10" t="n"/>
      <c r="BH32" s="12" t="n"/>
      <c r="BI32" s="28" t="n"/>
      <c r="BJ32" s="28" t="n"/>
      <c r="BK32" s="11" t="n"/>
      <c r="BL32" s="11" t="n"/>
      <c r="BM32" s="13" t="n"/>
      <c r="BN32" s="11" t="n"/>
      <c r="BO32" s="11" t="n"/>
      <c r="BP32" s="2" t="n"/>
      <c r="BQ32" s="2" t="n"/>
      <c r="BR32" s="2" t="n"/>
      <c r="BS32" s="2" t="n"/>
      <c r="BT32" s="2" t="n"/>
      <c r="BU32" s="2" t="n"/>
      <c r="BV32" s="2" t="n"/>
      <c r="BW32" s="2" t="n"/>
      <c r="BX32" s="2" t="n"/>
      <c r="BY32" s="2" t="n"/>
      <c r="BZ32" s="2" t="n"/>
      <c r="CA32" s="38" t="n"/>
      <c r="CB32" s="38" t="n"/>
      <c r="CC32" s="38" t="n"/>
      <c r="CD32" s="38" t="n"/>
      <c r="CH32" s="14">
        <f>CI32&amp;CJ32</f>
        <v/>
      </c>
      <c r="CI32" s="26" t="n"/>
      <c r="CJ32" s="26" t="n"/>
      <c r="CK32" s="26" t="n"/>
      <c r="CL32" s="26" t="n"/>
      <c r="CM32" s="26" t="n"/>
      <c r="CN32" s="26" t="n"/>
      <c r="CO32" s="26" t="n"/>
      <c r="CP32" s="26" t="n"/>
      <c r="CQ32" s="26" t="n"/>
      <c r="CR32" s="26" t="n"/>
      <c r="CS32" s="26" t="n"/>
      <c r="CT32" s="26" t="n"/>
      <c r="CU32" s="26" t="n"/>
      <c r="CV32" s="26" t="n"/>
      <c r="CW32" s="26" t="n"/>
      <c r="CX32" s="26" t="n"/>
      <c r="CY32" s="26" t="n"/>
      <c r="CZ32" s="25" t="n"/>
      <c r="DB32" s="25" t="n"/>
      <c r="DC32" s="26" t="inlineStr">
        <is>
          <t>2026年</t>
        </is>
      </c>
      <c r="DD32" s="26" t="inlineStr">
        <is>
          <t>黑胡桃木鎏金柜</t>
        </is>
      </c>
      <c r="DE32" s="26" t="n">
        <v>8624.938</v>
      </c>
      <c r="DF32" s="26" t="n">
        <v>0</v>
      </c>
      <c r="DG32" s="26" t="n"/>
      <c r="DH32" s="27" t="n"/>
      <c r="DI32" s="26" t="n"/>
    </row>
    <row r="33" ht="15.75" customHeight="1" s="187">
      <c r="D33" s="10" t="n"/>
      <c r="E33" s="2" t="n"/>
      <c r="F33" s="2" t="n"/>
      <c r="I33" s="39" t="n"/>
      <c r="J33" s="185" t="n"/>
      <c r="K33" s="185" t="n"/>
      <c r="M33" s="11" t="n"/>
      <c r="O33" s="10" t="n"/>
      <c r="X33" s="6" t="n"/>
      <c r="Y33" s="10" t="n"/>
      <c r="Z33" s="10" t="n"/>
      <c r="AA33" s="10" t="n"/>
      <c r="AM33" s="185" t="n"/>
      <c r="AR33" s="185" t="n"/>
      <c r="AT33" s="2" t="n"/>
      <c r="AW33" s="6" t="n"/>
      <c r="BC33" s="10" t="n"/>
      <c r="BG33" s="6" t="n"/>
      <c r="BH33" s="12" t="n"/>
      <c r="BI33" s="28" t="n"/>
      <c r="BJ33" s="28" t="n"/>
      <c r="BL33" s="11" t="n"/>
      <c r="BN33" s="11" t="n"/>
      <c r="BP33" s="2" t="n"/>
      <c r="BQ33" s="2" t="n"/>
      <c r="BR33" s="2" t="n"/>
      <c r="BS33" s="2" t="n"/>
      <c r="CA33" s="11" t="n"/>
      <c r="CB33" s="11" t="n"/>
      <c r="CC33" s="11" t="n"/>
      <c r="CD33" s="11" t="n"/>
      <c r="CH33" s="14">
        <f>CI33&amp;CJ33</f>
        <v/>
      </c>
      <c r="CI33" s="26" t="n"/>
      <c r="CJ33" s="26" t="n"/>
      <c r="CK33" s="26" t="n"/>
      <c r="CL33" s="26" t="n"/>
      <c r="CM33" s="26" t="n"/>
      <c r="CN33" s="26" t="n"/>
      <c r="CO33" s="26" t="n"/>
      <c r="CP33" s="26" t="n"/>
      <c r="CQ33" s="26" t="n"/>
      <c r="CR33" s="26" t="n"/>
      <c r="CS33" s="26" t="n"/>
      <c r="CT33" s="26" t="n"/>
      <c r="CU33" s="26" t="n"/>
      <c r="CV33" s="26" t="n"/>
      <c r="CW33" s="26" t="n"/>
      <c r="CX33" s="26" t="n"/>
      <c r="CY33" s="26" t="n"/>
      <c r="CZ33" s="25" t="n"/>
      <c r="DB33" s="25" t="n"/>
      <c r="DC33" s="26" t="inlineStr">
        <is>
          <t>2026年</t>
        </is>
      </c>
      <c r="DD33" s="26" t="inlineStr">
        <is>
          <t>基础柜</t>
        </is>
      </c>
      <c r="DE33" s="26" t="n">
        <v>14191.54674</v>
      </c>
      <c r="DF33" s="26" t="n">
        <v>0</v>
      </c>
      <c r="DG33" s="26" t="n"/>
      <c r="DH33" s="27" t="n"/>
      <c r="DI33" s="26" t="n"/>
    </row>
    <row r="34" ht="15.75" customHeight="1" s="187">
      <c r="D34" s="10" t="n"/>
      <c r="E34" s="2" t="n"/>
      <c r="F34" s="2" t="n"/>
      <c r="I34" s="39" t="n"/>
      <c r="J34" s="185" t="n"/>
      <c r="K34" s="185" t="n"/>
      <c r="M34" s="11" t="n"/>
      <c r="O34" s="10" t="n"/>
      <c r="X34" s="6" t="n"/>
      <c r="Y34" s="10" t="n"/>
      <c r="Z34" s="10" t="n"/>
      <c r="AA34" s="10" t="n"/>
      <c r="AM34" s="185" t="n"/>
      <c r="AR34" s="185" t="n"/>
      <c r="AT34" s="2" t="n"/>
      <c r="AW34" s="6" t="n"/>
      <c r="BC34" s="10" t="n"/>
      <c r="BG34" s="6" t="n"/>
      <c r="BH34" s="12" t="n"/>
      <c r="BI34" s="28" t="n"/>
      <c r="BJ34" s="28" t="n"/>
      <c r="BL34" s="11" t="n"/>
      <c r="BN34" s="11" t="n"/>
      <c r="BP34" s="2" t="n"/>
      <c r="BQ34" s="2" t="n"/>
      <c r="BR34" s="2" t="n"/>
      <c r="BS34" s="2" t="n"/>
      <c r="CA34" s="11" t="n"/>
      <c r="CB34" s="11" t="n"/>
      <c r="CC34" s="11" t="n"/>
      <c r="CD34" s="11" t="n"/>
      <c r="CH34" s="14">
        <f>CI34&amp;CJ34</f>
        <v/>
      </c>
      <c r="CI34" s="26" t="n"/>
      <c r="CJ34" s="26" t="n"/>
      <c r="CK34" s="26" t="n"/>
      <c r="CL34" s="26" t="n"/>
      <c r="CM34" s="26" t="n"/>
      <c r="CN34" s="26" t="n"/>
      <c r="CO34" s="26" t="n"/>
      <c r="CP34" s="26" t="n"/>
      <c r="CQ34" s="26" t="n"/>
      <c r="CR34" s="26" t="n"/>
      <c r="CS34" s="26" t="n"/>
      <c r="CT34" s="26" t="n"/>
      <c r="CU34" s="26" t="n"/>
      <c r="CV34" s="26" t="n"/>
      <c r="CW34" s="26" t="n"/>
      <c r="CX34" s="26" t="n"/>
      <c r="CY34" s="26" t="n"/>
      <c r="CZ34" s="25" t="n"/>
      <c r="DB34" s="25" t="n"/>
      <c r="DC34" s="26" t="inlineStr">
        <is>
          <t>2026年</t>
        </is>
      </c>
      <c r="DD34" s="26" t="inlineStr">
        <is>
          <t>地脚</t>
        </is>
      </c>
      <c r="DE34" s="26" t="n">
        <v>145.124</v>
      </c>
      <c r="DF34" s="26" t="n">
        <v>0</v>
      </c>
      <c r="DG34" s="26" t="n"/>
      <c r="DH34" s="27" t="n"/>
      <c r="DI34" s="26" t="n"/>
    </row>
    <row r="35" ht="15.75" customHeight="1" s="187">
      <c r="F35" s="2" t="n"/>
      <c r="J35" s="6" t="n"/>
      <c r="K35" s="185" t="n"/>
      <c r="O35" s="10" t="n"/>
      <c r="X35" s="6" t="n"/>
      <c r="Y35" s="10" t="n"/>
      <c r="Z35" s="10" t="n"/>
      <c r="AA35" s="10" t="n"/>
      <c r="AM35" s="185" t="n"/>
      <c r="AR35" s="185" t="n"/>
      <c r="AT35" s="2" t="n"/>
      <c r="AW35" s="6" t="n"/>
      <c r="BC35" s="10" t="n"/>
      <c r="BG35" s="6" t="n"/>
      <c r="BH35" s="12" t="n"/>
      <c r="BI35" s="28" t="n"/>
      <c r="BJ35" s="28" t="n"/>
      <c r="BL35" s="11" t="n"/>
      <c r="BN35" s="11" t="n"/>
      <c r="BP35" s="2" t="n"/>
      <c r="BQ35" s="2" t="n"/>
      <c r="BR35" s="2" t="n"/>
      <c r="BS35" s="2" t="n"/>
      <c r="BZ35" s="38" t="n"/>
      <c r="CA35" s="11" t="n"/>
      <c r="CB35" s="11" t="n"/>
      <c r="CC35" s="11" t="n"/>
      <c r="CD35" s="11" t="n"/>
      <c r="CH35" s="14">
        <f>CI35&amp;CJ35</f>
        <v/>
      </c>
      <c r="CI35" s="26" t="n"/>
      <c r="CJ35" s="26" t="n"/>
      <c r="CK35" s="26" t="n"/>
      <c r="CL35" s="26" t="n"/>
      <c r="CM35" s="26" t="n"/>
      <c r="CN35" s="26" t="n"/>
      <c r="CO35" s="26" t="n"/>
      <c r="CP35" s="26" t="n"/>
      <c r="CQ35" s="26" t="n"/>
      <c r="CR35" s="26" t="n"/>
      <c r="CS35" s="26" t="n"/>
      <c r="CT35" s="26" t="n"/>
      <c r="CU35" s="26" t="n"/>
      <c r="CV35" s="26" t="n"/>
      <c r="CW35" s="26" t="n"/>
      <c r="CX35" s="26" t="n"/>
      <c r="CY35" s="26" t="n"/>
      <c r="CZ35" s="14">
        <f>DA35&amp;DB35</f>
        <v/>
      </c>
      <c r="DB35" s="25" t="n"/>
      <c r="DC35" s="26" t="inlineStr">
        <is>
          <t>2026年</t>
        </is>
      </c>
      <c r="DD35" s="26" t="inlineStr">
        <is>
          <t>插座*2</t>
        </is>
      </c>
      <c r="DE35" s="26" t="n">
        <v>198.56144</v>
      </c>
      <c r="DF35" s="26" t="n">
        <v>0</v>
      </c>
      <c r="DG35" s="26" t="n"/>
      <c r="DH35" s="27" t="n"/>
      <c r="DI35" s="26" t="n"/>
    </row>
    <row r="36" ht="15.75" customHeight="1" s="187">
      <c r="F36" s="2" t="n"/>
      <c r="J36" s="6" t="n"/>
      <c r="K36" s="185" t="n"/>
      <c r="O36" s="10" t="n"/>
      <c r="Y36" s="6" t="n"/>
      <c r="Z36" s="6" t="n"/>
      <c r="AA36" s="6" t="n"/>
      <c r="AB36" s="2" t="n"/>
      <c r="AC36" s="6" t="n"/>
      <c r="AD36" s="6" t="n"/>
      <c r="AE36" s="6" t="n"/>
      <c r="AF36" s="6" t="n"/>
      <c r="AG36" s="6" t="n"/>
      <c r="AH36" s="6" t="n"/>
      <c r="AI36" s="6" t="n"/>
      <c r="AJ36" s="2" t="n"/>
      <c r="AK36" s="6" t="n"/>
      <c r="AL36" s="6" t="n"/>
      <c r="AR36" s="185" t="n"/>
      <c r="AS36" s="185" t="n"/>
      <c r="AT36" s="185" t="n"/>
      <c r="AW36" s="6" t="n"/>
      <c r="BZ36" s="11" t="n"/>
      <c r="CA36" s="11" t="n"/>
      <c r="CB36" s="11" t="n"/>
      <c r="CC36" s="11" t="n"/>
      <c r="CD36" s="11" t="n"/>
      <c r="CH36" s="14">
        <f>CI36&amp;CJ36</f>
        <v/>
      </c>
      <c r="CI36" s="26" t="n"/>
      <c r="CJ36" s="26" t="n"/>
      <c r="CK36" s="26" t="n"/>
      <c r="CL36" s="26" t="n"/>
      <c r="CM36" s="26" t="n"/>
      <c r="CN36" s="26" t="n"/>
      <c r="CO36" s="26" t="n"/>
      <c r="CP36" s="26" t="n"/>
      <c r="CQ36" s="26" t="n"/>
      <c r="CR36" s="26" t="n"/>
      <c r="CS36" s="26" t="n"/>
      <c r="CT36" s="26" t="n"/>
      <c r="CU36" s="26" t="n"/>
      <c r="CV36" s="26" t="n"/>
      <c r="CW36" s="26" t="n"/>
      <c r="CX36" s="26" t="n"/>
      <c r="CY36" s="26" t="n"/>
      <c r="CZ36" s="14">
        <f>DA36&amp;DB36</f>
        <v/>
      </c>
      <c r="DB36" s="25" t="n"/>
      <c r="DC36" s="26" t="inlineStr">
        <is>
          <t>2026年</t>
        </is>
      </c>
      <c r="DD36" s="26" t="inlineStr">
        <is>
          <t>箱体床</t>
        </is>
      </c>
      <c r="DE36" s="26" t="n">
        <v>141.148</v>
      </c>
      <c r="DF36" s="26" t="n">
        <v>0</v>
      </c>
      <c r="DG36" s="26" t="n"/>
      <c r="DH36" s="27" t="n"/>
      <c r="DI36" s="26" t="n"/>
    </row>
    <row r="37" ht="15.75" customHeight="1" s="187">
      <c r="F37" s="2" t="n"/>
      <c r="J37" s="6" t="n"/>
      <c r="K37" s="185" t="n"/>
      <c r="O37" s="10" t="n"/>
      <c r="Y37" s="6" t="n"/>
      <c r="Z37" s="6" t="n"/>
      <c r="AA37" s="6" t="n"/>
      <c r="AB37" s="6" t="n"/>
      <c r="AC37" s="6" t="n"/>
      <c r="AD37" s="6" t="n"/>
      <c r="AE37" s="6" t="n"/>
      <c r="AF37" s="6" t="n"/>
      <c r="AG37" s="6" t="n"/>
      <c r="AH37" s="6" t="n"/>
      <c r="AI37" s="6" t="n"/>
      <c r="AJ37" s="6" t="n"/>
      <c r="AK37" s="6" t="n"/>
      <c r="AL37" s="6" t="n"/>
      <c r="AS37" s="185" t="n"/>
      <c r="AT37" s="185" t="n"/>
      <c r="AU37" s="185" t="n"/>
      <c r="BZ37" s="11" t="n"/>
      <c r="CA37" s="11" t="n"/>
      <c r="CB37" s="11" t="n"/>
      <c r="CC37" s="11" t="n"/>
      <c r="CD37" s="11" t="n"/>
      <c r="CH37" s="14">
        <f>CI37&amp;CJ37</f>
        <v/>
      </c>
      <c r="CI37" s="26" t="n"/>
      <c r="CJ37" s="26" t="n"/>
      <c r="CK37" s="26" t="n"/>
      <c r="CL37" s="26" t="n"/>
      <c r="CM37" s="26" t="n"/>
      <c r="CN37" s="26" t="n"/>
      <c r="CO37" s="26" t="n"/>
      <c r="CP37" s="26" t="n"/>
      <c r="CQ37" s="26" t="n"/>
      <c r="CR37" s="26" t="n"/>
      <c r="CS37" s="26" t="n"/>
      <c r="CT37" s="26" t="n"/>
      <c r="CU37" s="26" t="n"/>
      <c r="CV37" s="26" t="n"/>
      <c r="CW37" s="26" t="n"/>
      <c r="CX37" s="26" t="n"/>
      <c r="CY37" s="26" t="n"/>
      <c r="CZ37" s="14">
        <f>DA37&amp;DB37</f>
        <v/>
      </c>
      <c r="DB37" s="25" t="n"/>
      <c r="DC37" s="26" t="inlineStr">
        <is>
          <t>总计</t>
        </is>
      </c>
      <c r="DD37" s="26" t="n"/>
      <c r="DE37" s="26" t="n">
        <v>2760795.46828</v>
      </c>
      <c r="DF37" s="26" t="n">
        <v>2119403.630813333</v>
      </c>
      <c r="DG37" s="26" t="n">
        <v>490584.9144866671</v>
      </c>
      <c r="DH37" s="27" t="n"/>
      <c r="DI37" s="26" t="n"/>
    </row>
    <row r="38" ht="15.75" customHeight="1" s="187">
      <c r="Y38" s="6" t="n"/>
      <c r="Z38" s="6" t="n"/>
      <c r="AA38" s="6" t="n"/>
      <c r="AB38" s="6" t="n"/>
      <c r="AC38" s="6" t="n"/>
      <c r="AD38" s="6" t="n"/>
      <c r="AE38" s="6" t="n"/>
      <c r="AF38" s="6" t="n"/>
      <c r="AG38" s="6" t="n"/>
      <c r="AH38" s="6" t="n"/>
      <c r="AI38" s="6" t="n"/>
      <c r="AJ38" s="6" t="n"/>
      <c r="AK38" s="6" t="n"/>
      <c r="AL38" s="6" t="n"/>
      <c r="AS38" s="185" t="n"/>
      <c r="AT38" s="185" t="n"/>
      <c r="AU38" s="185" t="n"/>
      <c r="BZ38" s="11" t="n"/>
      <c r="CA38" s="11" t="n"/>
      <c r="CB38" s="11" t="n"/>
      <c r="CC38" s="11" t="n"/>
      <c r="CD38" s="11" t="n"/>
      <c r="CH38" s="14">
        <f>CI38&amp;CJ38</f>
        <v/>
      </c>
      <c r="CI38" s="26" t="n"/>
      <c r="CJ38" s="26" t="n"/>
      <c r="CK38" s="26" t="n"/>
      <c r="CL38" s="26" t="n"/>
      <c r="CM38" s="26" t="n"/>
      <c r="CN38" s="26" t="n"/>
      <c r="CO38" s="26" t="n"/>
      <c r="CP38" s="26" t="n"/>
      <c r="CQ38" s="26" t="n"/>
      <c r="CR38" s="26" t="n"/>
      <c r="CS38" s="26" t="n"/>
      <c r="CT38" s="26" t="n"/>
      <c r="CU38" s="26" t="n"/>
      <c r="CV38" s="26" t="n"/>
      <c r="CW38" s="26" t="n"/>
      <c r="CX38" s="26" t="n"/>
      <c r="CY38" s="26" t="n"/>
      <c r="CZ38" s="14">
        <f>DA38&amp;DB38</f>
        <v/>
      </c>
      <c r="DB38" s="25" t="n"/>
      <c r="DC38" s="26" t="n"/>
      <c r="DD38" s="26" t="n"/>
      <c r="DE38" s="26" t="n"/>
      <c r="DF38" s="26" t="n"/>
      <c r="DG38" s="26" t="n"/>
      <c r="DH38" s="27" t="n"/>
      <c r="DI38" s="26" t="n"/>
    </row>
    <row r="39" ht="15.75" customHeight="1" s="187">
      <c r="Y39" s="6" t="n"/>
      <c r="Z39" s="6" t="n"/>
      <c r="AA39" s="6" t="n"/>
      <c r="AB39" s="6" t="n"/>
      <c r="AC39" s="6" t="n"/>
      <c r="AD39" s="6" t="n"/>
      <c r="AE39" s="6" t="n"/>
      <c r="AF39" s="6" t="n"/>
      <c r="AG39" s="6" t="n"/>
      <c r="AH39" s="6" t="n"/>
      <c r="AI39" s="6" t="n"/>
      <c r="AJ39" s="6" t="n"/>
      <c r="AK39" s="6" t="n"/>
      <c r="AL39" s="6" t="n"/>
      <c r="AS39" s="185" t="n"/>
      <c r="AT39" s="185" t="n"/>
      <c r="AU39" s="185" t="n"/>
      <c r="BZ39" s="11" t="n"/>
      <c r="CA39" s="11" t="n"/>
      <c r="CB39" s="11" t="n"/>
      <c r="CC39" s="11" t="n"/>
      <c r="CD39" s="11" t="n"/>
      <c r="CE39" s="11" t="n"/>
      <c r="CH39" s="2" t="n"/>
      <c r="CI39" s="26" t="n"/>
      <c r="CJ39" s="26" t="n"/>
      <c r="CK39" s="26" t="n"/>
      <c r="CL39" s="26" t="n"/>
      <c r="CM39" s="26" t="n"/>
      <c r="CN39" s="26" t="n"/>
      <c r="CO39" s="26" t="n"/>
      <c r="CP39" s="26" t="n"/>
      <c r="CQ39" s="26" t="n"/>
      <c r="CR39" s="26" t="n"/>
      <c r="CS39" s="26" t="n"/>
      <c r="CT39" s="26" t="n"/>
      <c r="CU39" s="26" t="n"/>
      <c r="CV39" s="26" t="n"/>
      <c r="CW39" s="26" t="n"/>
      <c r="CX39" s="26" t="n"/>
      <c r="CY39" s="26" t="n"/>
      <c r="CZ39" s="14">
        <f>DA39&amp;DB39</f>
        <v/>
      </c>
      <c r="DA39" s="25" t="n"/>
      <c r="DC39" s="26" t="n"/>
      <c r="DD39" s="26" t="n"/>
      <c r="DE39" s="26" t="n"/>
      <c r="DF39" s="26" t="n"/>
      <c r="DG39" s="26" t="n"/>
      <c r="DH39" s="27" t="n"/>
      <c r="DI39" s="26" t="n"/>
    </row>
    <row r="40" ht="15.75" customHeight="1" s="187">
      <c r="A40" s="40" t="inlineStr">
        <is>
          <t>*标蓝部分为预估，实际收货后需要手动修改</t>
        </is>
      </c>
      <c r="B40" s="41" t="n"/>
      <c r="C40" s="42" t="n"/>
      <c r="D40" s="43" t="n"/>
      <c r="K40" s="2" t="n"/>
      <c r="Y40" s="199" t="n"/>
      <c r="Z40" s="199" t="n"/>
      <c r="AA40" s="199" t="n"/>
      <c r="AB40" s="199" t="n"/>
      <c r="AC40" s="199" t="n"/>
      <c r="AD40" s="199" t="n"/>
      <c r="AE40" s="199" t="n"/>
      <c r="AF40" s="199" t="n"/>
      <c r="AG40" s="199" t="n"/>
      <c r="AH40" s="199" t="n"/>
      <c r="AI40" s="199" t="n"/>
      <c r="AJ40" s="199" t="n"/>
      <c r="AK40" s="199" t="n"/>
      <c r="AL40" s="199" t="n"/>
      <c r="AM40" s="186" t="n"/>
      <c r="AN40" s="10" t="n"/>
      <c r="AO40" s="10" t="n"/>
      <c r="AP40" s="12" t="n"/>
      <c r="AQ40" s="12" t="n"/>
      <c r="AR40" s="12" t="n"/>
      <c r="AS40" s="185" t="n"/>
      <c r="AT40" s="185" t="n"/>
      <c r="AU40" s="185" t="n"/>
      <c r="AV40" s="11" t="n"/>
      <c r="AW40" s="11" t="n"/>
      <c r="AX40" s="11" t="n"/>
      <c r="AY40" s="11" t="n"/>
      <c r="AZ40" s="2" t="n"/>
      <c r="BA40" s="2" t="n"/>
      <c r="BB40" s="2" t="n"/>
      <c r="BC40" s="2" t="n"/>
      <c r="BD40" s="2" t="n"/>
      <c r="BE40" s="2" t="n"/>
      <c r="BF40" s="2" t="n"/>
      <c r="BH40" s="2" t="n"/>
      <c r="BI40" s="2" t="n"/>
      <c r="BJ40" s="2" t="n"/>
      <c r="BK40" s="10" t="n"/>
      <c r="BL40" s="2" t="n"/>
      <c r="BM40" s="2" t="n"/>
      <c r="BN40" s="16" t="n"/>
      <c r="BO40" s="2" t="n"/>
      <c r="BP40" s="2" t="n"/>
      <c r="BQ40" s="2" t="n"/>
      <c r="BR40" s="2" t="n"/>
      <c r="BS40" s="2" t="n"/>
      <c r="CA40" s="11" t="n"/>
      <c r="CB40" s="11" t="n"/>
      <c r="CC40" s="11" t="n"/>
      <c r="CD40" s="11" t="n"/>
      <c r="CE40" s="11" t="n"/>
      <c r="CH40" s="2" t="n"/>
      <c r="CI40" s="26" t="n"/>
      <c r="CJ40" s="26" t="n"/>
      <c r="CK40" s="26" t="n"/>
      <c r="CL40" s="26" t="n"/>
      <c r="CM40" s="26" t="n"/>
      <c r="CN40" s="26" t="n"/>
      <c r="CO40" s="26" t="n"/>
      <c r="CP40" s="26" t="n"/>
      <c r="CQ40" s="26" t="n"/>
      <c r="CR40" s="26" t="n"/>
      <c r="CS40" s="26" t="n"/>
      <c r="CT40" s="26" t="n"/>
      <c r="CU40" s="26" t="n"/>
      <c r="CV40" s="26" t="n"/>
      <c r="CW40" s="26" t="n"/>
      <c r="CX40" s="26" t="n"/>
      <c r="CY40" s="26" t="n"/>
      <c r="CZ40" s="14">
        <f>DA40&amp;DB40</f>
        <v/>
      </c>
      <c r="DA40" s="25" t="n"/>
      <c r="DC40" s="26" t="n"/>
      <c r="DD40" s="26" t="n"/>
      <c r="DE40" s="26" t="n"/>
      <c r="DF40" s="26" t="n"/>
      <c r="DG40" s="26" t="n"/>
      <c r="DH40" s="27" t="n"/>
      <c r="DI40" s="26" t="n"/>
    </row>
    <row r="41" ht="15.75" customHeight="1" s="187">
      <c r="A41" s="45" t="inlineStr">
        <is>
          <t>*黄色部分为需填写内容</t>
        </is>
      </c>
      <c r="B41" s="46" t="n"/>
      <c r="C41" s="47" t="n"/>
      <c r="D41" s="48" t="n"/>
      <c r="E41" s="47" t="n"/>
      <c r="F41" s="47" t="inlineStr">
        <is>
          <t>*使用内部sku</t>
        </is>
      </c>
      <c r="G41" s="46" t="n"/>
      <c r="H41" s="46" t="n"/>
      <c r="I41" s="49" t="n"/>
      <c r="J41" s="46" t="n"/>
      <c r="K41" s="46" t="n"/>
      <c r="L41" s="200" t="inlineStr">
        <is>
          <t>*厂家结算时填入</t>
        </is>
      </c>
      <c r="M41" s="200" t="n"/>
      <c r="N41" s="200" t="n"/>
      <c r="O41" s="200" t="n"/>
      <c r="P41" s="200" t="n"/>
      <c r="Q41" s="200" t="n"/>
      <c r="R41" s="200" t="n"/>
      <c r="S41" s="200" t="n"/>
      <c r="T41" s="200" t="n"/>
      <c r="U41" s="201" t="n">
        <v>20</v>
      </c>
      <c r="V41" s="201" t="n"/>
      <c r="W41" s="200" t="n"/>
      <c r="X41" s="200" t="n"/>
      <c r="Y41" s="201" t="inlineStr">
        <is>
          <t>餐边柜通用</t>
        </is>
      </c>
      <c r="Z41" s="201">
        <f>3.5+14</f>
        <v/>
      </c>
      <c r="AA41" s="201" t="n"/>
      <c r="AB41" s="201" t="n">
        <v>1.1</v>
      </c>
      <c r="AC41" s="201" t="n">
        <v>3.5</v>
      </c>
      <c r="AD41" s="201" t="n">
        <v>2.5</v>
      </c>
      <c r="AE41" s="201" t="n"/>
      <c r="AF41" s="200" t="n"/>
      <c r="AG41" s="200" t="inlineStr">
        <is>
          <t>升降桌-2024款</t>
        </is>
      </c>
      <c r="AH41" s="200" t="n"/>
      <c r="AI41" s="200" t="n"/>
      <c r="AJ41" s="201" t="n"/>
      <c r="AK41" s="200" t="n"/>
      <c r="AL41" s="200" t="n"/>
      <c r="AM41" s="52" t="n"/>
      <c r="AN41" s="52" t="n"/>
      <c r="AO41" s="52" t="n"/>
      <c r="AP41" s="52" t="inlineStr">
        <is>
          <t>* 厂家支付后填写</t>
        </is>
      </c>
      <c r="AQ41" s="52" t="n"/>
      <c r="AR41" s="52" t="inlineStr">
        <is>
          <t>* 师傅下订单后填写</t>
        </is>
      </c>
      <c r="AS41" s="52" t="n"/>
      <c r="AT41" s="52" t="inlineStr">
        <is>
          <t>*工厂生产原因产生的费用</t>
        </is>
      </c>
      <c r="AU41" s="52" t="n"/>
      <c r="AV41" s="52" t="n"/>
      <c r="AW41" s="52" t="inlineStr">
        <is>
          <t>* 包含现金+直接退款</t>
        </is>
      </c>
      <c r="AX41" s="46" t="n"/>
      <c r="AY41" s="52" t="n"/>
      <c r="AZ41" s="53" t="n"/>
      <c r="BA41" s="52" t="n"/>
      <c r="BB41" s="52" t="n"/>
      <c r="BC41" s="52" t="n"/>
      <c r="BD41" s="52" t="n"/>
      <c r="BE41" s="52" t="n"/>
      <c r="BF41" s="52" t="n"/>
      <c r="BG41" s="52" t="n"/>
      <c r="BH41" s="46" t="n"/>
      <c r="BI41" s="202" t="n"/>
      <c r="BJ41" s="55" t="n"/>
      <c r="BK41" s="55" t="n"/>
      <c r="BL41" s="56" t="inlineStr">
        <is>
          <t>*需爱群手动核对填入</t>
        </is>
      </c>
      <c r="BM41" s="57" t="n"/>
      <c r="BN41" s="58" t="n"/>
      <c r="BO41" s="57" t="n"/>
      <c r="BP41" s="59" t="n"/>
      <c r="BQ41" s="59" t="n"/>
      <c r="BR41" s="59" t="n"/>
      <c r="BS41" s="59" t="n"/>
      <c r="BT41" s="59" t="n"/>
      <c r="BU41" s="46" t="n"/>
      <c r="BV41" s="46" t="n"/>
      <c r="BW41" s="46" t="n"/>
      <c r="BX41" s="46" t="n"/>
      <c r="BY41" s="46" t="n"/>
      <c r="BZ41" s="46" t="n"/>
      <c r="CA41" s="60" t="n"/>
      <c r="CB41" s="11" t="n"/>
      <c r="CC41" s="11" t="n"/>
      <c r="CD41" s="11" t="n"/>
      <c r="CE41" s="11" t="n"/>
      <c r="CH41" s="2" t="n"/>
      <c r="CI41" s="26" t="n"/>
      <c r="CJ41" s="26" t="n"/>
      <c r="CK41" s="26" t="n"/>
      <c r="CL41" s="26" t="n"/>
      <c r="CM41" s="26" t="n"/>
      <c r="CN41" s="26" t="n"/>
      <c r="CO41" s="26" t="n"/>
      <c r="CP41" s="26" t="n"/>
      <c r="CQ41" s="26" t="n"/>
      <c r="CR41" s="26" t="n"/>
      <c r="CS41" s="26" t="n"/>
      <c r="CT41" s="26" t="n"/>
      <c r="CU41" s="26" t="n"/>
      <c r="CV41" s="26" t="n"/>
      <c r="CW41" s="26" t="n"/>
      <c r="CX41" s="26" t="n"/>
      <c r="CY41" s="26" t="n"/>
      <c r="CZ41" s="14">
        <f>DA41&amp;DB41</f>
        <v/>
      </c>
      <c r="DA41" s="25" t="n"/>
      <c r="DC41" s="26" t="n"/>
      <c r="DD41" s="26" t="n"/>
      <c r="DE41" s="26" t="n"/>
      <c r="DF41" s="26" t="n"/>
      <c r="DG41" s="26" t="n"/>
      <c r="DH41" s="27" t="n"/>
      <c r="DI41" s="26" t="n"/>
    </row>
    <row r="42" ht="15.75" customHeight="1" s="187">
      <c r="A42" s="61" t="inlineStr">
        <is>
          <t>下单时间</t>
        </is>
      </c>
      <c r="B42" s="62" t="inlineStr">
        <is>
          <t>订单状态</t>
        </is>
      </c>
      <c r="C42" s="63" t="inlineStr">
        <is>
          <t>订单编号</t>
        </is>
      </c>
      <c r="D42" s="64" t="inlineStr">
        <is>
          <t>收货人姓名</t>
        </is>
      </c>
      <c r="E42" s="63" t="inlineStr">
        <is>
          <t>备注</t>
        </is>
      </c>
      <c r="F42" s="63" t="inlineStr">
        <is>
          <t>产品SKU</t>
        </is>
      </c>
      <c r="G42" s="65" t="inlineStr">
        <is>
          <t>产品名</t>
        </is>
      </c>
      <c r="H42" s="65" t="inlineStr">
        <is>
          <t>产品简称</t>
        </is>
      </c>
      <c r="I42" s="65" t="inlineStr">
        <is>
          <t>规格</t>
        </is>
      </c>
      <c r="J42" s="65" t="inlineStr">
        <is>
          <t>结算状态</t>
        </is>
      </c>
      <c r="K42" s="65" t="inlineStr">
        <is>
          <t>供应商</t>
        </is>
      </c>
      <c r="L42" s="203" t="inlineStr">
        <is>
          <t>产品成本</t>
        </is>
      </c>
      <c r="M42" s="203" t="inlineStr">
        <is>
          <t>木作成本</t>
        </is>
      </c>
      <c r="N42" s="203" t="inlineStr">
        <is>
          <t>电力轨道</t>
        </is>
      </c>
      <c r="O42" s="203" t="inlineStr">
        <is>
          <t>洞石背板/鎏金背板</t>
        </is>
      </c>
      <c r="P42" s="203" t="inlineStr">
        <is>
          <t>洞洞板</t>
        </is>
      </c>
      <c r="Q42" s="203" t="inlineStr">
        <is>
          <t>金属轨道</t>
        </is>
      </c>
      <c r="R42" s="203" t="inlineStr">
        <is>
          <t>岩板</t>
        </is>
      </c>
      <c r="S42" s="203" t="inlineStr">
        <is>
          <t>灯带</t>
        </is>
      </c>
      <c r="T42" s="203" t="inlineStr">
        <is>
          <t>玻璃</t>
        </is>
      </c>
      <c r="U42" s="203" t="inlineStr">
        <is>
          <t>雕刻</t>
        </is>
      </c>
      <c r="V42" s="203" t="inlineStr">
        <is>
          <t>塑料轨道槽</t>
        </is>
      </c>
      <c r="W42" s="203" t="inlineStr">
        <is>
          <t>把手</t>
        </is>
      </c>
      <c r="X42" s="203" t="inlineStr">
        <is>
          <t>抽屉轨道/翻盖配件</t>
        </is>
      </c>
      <c r="Y42" s="203" t="inlineStr">
        <is>
          <t>链接片+铁销</t>
        </is>
      </c>
      <c r="Z42" s="203" t="inlineStr">
        <is>
          <t>隔板配件</t>
        </is>
      </c>
      <c r="AA42" s="203" t="inlineStr">
        <is>
          <t>装饰盖</t>
        </is>
      </c>
      <c r="AB42" s="203" t="inlineStr">
        <is>
          <t>铁销</t>
        </is>
      </c>
      <c r="AC42" s="203" t="inlineStr">
        <is>
          <t>连接片</t>
        </is>
      </c>
      <c r="AD42" s="203" t="inlineStr">
        <is>
          <t>点胶</t>
        </is>
      </c>
      <c r="AE42" s="203" t="inlineStr">
        <is>
          <t>悬浮五金</t>
        </is>
      </c>
      <c r="AF42" s="203" t="inlineStr">
        <is>
          <t>外采椅子</t>
        </is>
      </c>
      <c r="AG42" s="203" t="inlineStr">
        <is>
          <t>升降机</t>
        </is>
      </c>
      <c r="AH42" s="203" t="inlineStr">
        <is>
          <t>理线架+插排</t>
        </is>
      </c>
      <c r="AI42" s="203" t="inlineStr">
        <is>
          <t>桌腿磁吸配件</t>
        </is>
      </c>
      <c r="AJ42" s="203" t="inlineStr">
        <is>
          <t>赠品（木蜡油）</t>
        </is>
      </c>
      <c r="AK42" s="203" t="inlineStr">
        <is>
          <t>装饰盖</t>
        </is>
      </c>
      <c r="AL42" s="203" t="inlineStr">
        <is>
          <t>打包纸片</t>
        </is>
      </c>
      <c r="AM42" s="67" t="inlineStr">
        <is>
          <t>打包费</t>
        </is>
      </c>
      <c r="AN42" s="203" t="inlineStr">
        <is>
          <t>备用3</t>
        </is>
      </c>
      <c r="AO42" s="203" t="inlineStr">
        <is>
          <t>备用4</t>
        </is>
      </c>
      <c r="AP42" s="68" t="inlineStr">
        <is>
          <t>实际邮费</t>
        </is>
      </c>
      <c r="AQ42" s="68" t="inlineStr">
        <is>
          <t>上楼费</t>
        </is>
      </c>
      <c r="AR42" s="69" t="inlineStr">
        <is>
          <t>实际安装费用</t>
        </is>
      </c>
      <c r="AS42" s="69" t="inlineStr">
        <is>
          <t>订单赔付费用</t>
        </is>
      </c>
      <c r="AT42" s="69" t="inlineStr">
        <is>
          <t>第二次上门维修费</t>
        </is>
      </c>
      <c r="AU42" s="69" t="inlineStr">
        <is>
          <t>返厂打包运费</t>
        </is>
      </c>
      <c r="AV42" s="69" t="inlineStr">
        <is>
          <t>配件额外支付费用</t>
        </is>
      </c>
      <c r="AW42" s="69" t="inlineStr">
        <is>
          <t>好评/延迟返/差价返</t>
        </is>
      </c>
      <c r="AX42" s="65" t="inlineStr">
        <is>
          <t>购买件数</t>
        </is>
      </c>
      <c r="AY42" s="69" t="inlineStr">
        <is>
          <t>采购总额</t>
        </is>
      </c>
      <c r="AZ42" s="70" t="inlineStr">
        <is>
          <t>买家应付金额</t>
        </is>
      </c>
      <c r="BA42" s="71" t="inlineStr">
        <is>
          <t>买家应付邮费</t>
        </is>
      </c>
      <c r="BB42" s="71" t="inlineStr">
        <is>
          <t>平台服务费/花呗信用卡手续费</t>
        </is>
      </c>
      <c r="BC42" s="72" t="inlineStr">
        <is>
          <t>买家实付金额</t>
        </is>
      </c>
      <c r="BD42" s="72" t="inlineStr">
        <is>
          <t>工厂生产原因抵扣</t>
        </is>
      </c>
      <c r="BE42" s="73" t="inlineStr">
        <is>
          <t>物流原因抵扣</t>
        </is>
      </c>
      <c r="BF42" s="73" t="inlineStr">
        <is>
          <t>补偿总额</t>
        </is>
      </c>
      <c r="BG42" s="74" t="inlineStr">
        <is>
          <t>订单利润</t>
        </is>
      </c>
      <c r="BH42" s="62" t="inlineStr">
        <is>
          <t>收货人姓名</t>
        </is>
      </c>
      <c r="BI42" s="204" t="inlineStr">
        <is>
          <t>收货地址</t>
        </is>
      </c>
      <c r="BJ42" s="76" t="inlineStr">
        <is>
          <t xml:space="preserve">联系电话 </t>
        </is>
      </c>
      <c r="BK42" s="76" t="inlineStr">
        <is>
          <t>物流单号</t>
        </is>
      </c>
      <c r="BL42" s="77" t="inlineStr">
        <is>
          <t>支付宝实际收款</t>
        </is>
      </c>
      <c r="BM42" s="78" t="inlineStr">
        <is>
          <t>check</t>
        </is>
      </c>
      <c r="BN42" s="79" t="inlineStr">
        <is>
          <t>毛利比</t>
        </is>
      </c>
      <c r="BO42" s="80" t="inlineStr">
        <is>
          <t>备注</t>
        </is>
      </c>
      <c r="BP42" s="81" t="inlineStr">
        <is>
          <t>备注</t>
        </is>
      </c>
      <c r="BQ42" s="81" t="inlineStr">
        <is>
          <t>塑料轨道</t>
        </is>
      </c>
      <c r="BR42" s="81" t="n"/>
      <c r="BS42" s="82" t="inlineStr">
        <is>
          <t>岩板</t>
        </is>
      </c>
      <c r="BT42" s="80" t="inlineStr">
        <is>
          <t>备注</t>
        </is>
      </c>
      <c r="BU42" s="82" t="inlineStr">
        <is>
          <t>洞洞板</t>
        </is>
      </c>
      <c r="BV42" s="83" t="inlineStr">
        <is>
          <t>其它备注</t>
        </is>
      </c>
      <c r="BW42" s="83" t="inlineStr">
        <is>
          <t>电力轨道</t>
        </is>
      </c>
      <c r="BX42" s="82" t="n"/>
      <c r="BY42" s="82" t="n"/>
      <c r="BZ42" s="82" t="n"/>
      <c r="CA42" s="60" t="n"/>
      <c r="CB42" s="11" t="n"/>
      <c r="CC42" s="11" t="n"/>
      <c r="CD42" s="11" t="n"/>
      <c r="CE42" s="11" t="n"/>
      <c r="CH42" s="2" t="n"/>
      <c r="CI42" s="26" t="n"/>
      <c r="CJ42" s="26" t="n"/>
      <c r="CK42" s="26" t="n"/>
      <c r="CL42" s="26" t="n"/>
      <c r="CM42" s="26" t="n"/>
      <c r="CN42" s="26" t="n"/>
      <c r="CO42" s="26" t="n"/>
      <c r="CP42" s="26" t="n"/>
      <c r="CQ42" s="26" t="n"/>
      <c r="CR42" s="26" t="n"/>
      <c r="CS42" s="26" t="n"/>
      <c r="CT42" s="26" t="n"/>
      <c r="CU42" s="26" t="n"/>
      <c r="CV42" s="26" t="n"/>
      <c r="CW42" s="26" t="n"/>
      <c r="CX42" s="26" t="n"/>
      <c r="CY42" s="26" t="n"/>
      <c r="CZ42" s="14">
        <f>DA42&amp;DB42</f>
        <v/>
      </c>
      <c r="DA42" s="25" t="n"/>
      <c r="DC42" s="26" t="n"/>
      <c r="DD42" s="26" t="n"/>
      <c r="DE42" s="26" t="n"/>
      <c r="DF42" s="26" t="n"/>
      <c r="DG42" s="26" t="n"/>
      <c r="DH42" s="27" t="n"/>
      <c r="DI42" s="26" t="n"/>
      <c r="DJ42" s="205" t="inlineStr">
        <is>
          <t>匹配结论</t>
        </is>
      </c>
      <c r="DK42" s="205" t="inlineStr">
        <is>
          <t>订单表买家应付金额(AD列)</t>
        </is>
      </c>
      <c r="DL42" s="205" t="inlineStr">
        <is>
          <t>金额差异(佳宝AZ−订单AD)</t>
        </is>
      </c>
      <c r="DM42" s="205" t="inlineStr">
        <is>
          <t>差异原因批注</t>
        </is>
      </c>
    </row>
    <row r="43" ht="15.75" customHeight="1" s="187">
      <c r="A43" s="84" t="n">
        <v>45659</v>
      </c>
      <c r="B43" s="206" t="inlineStr">
        <is>
          <t>已收货</t>
        </is>
      </c>
      <c r="C43" s="86" t="inlineStr">
        <is>
          <t>4188362256822840314</t>
        </is>
      </c>
      <c r="D43" s="87" t="inlineStr">
        <is>
          <t>曹女士</t>
        </is>
      </c>
      <c r="E43" s="87" t="n"/>
      <c r="F43" s="87" t="n"/>
      <c r="G43" s="87" t="inlineStr">
        <is>
          <t>样块</t>
        </is>
      </c>
      <c r="H43" s="207" t="inlineStr">
        <is>
          <t>样块</t>
        </is>
      </c>
      <c r="I43" s="89" t="n"/>
      <c r="J43" s="87" t="inlineStr">
        <is>
          <t>已结算</t>
        </is>
      </c>
      <c r="K43" s="87" t="inlineStr">
        <is>
          <t>杭州</t>
        </is>
      </c>
      <c r="L43" s="207">
        <f>SUM(M43:AO43)</f>
        <v/>
      </c>
      <c r="M43" s="207" t="n">
        <v>5</v>
      </c>
      <c r="N43" s="207" t="n"/>
      <c r="O43" s="207" t="n"/>
      <c r="P43" s="207" t="n"/>
      <c r="Q43" s="207" t="n"/>
      <c r="R43" s="207" t="n"/>
      <c r="S43" s="207" t="n"/>
      <c r="T43" s="207" t="n"/>
      <c r="U43" s="207" t="n"/>
      <c r="V43" s="207" t="n"/>
      <c r="W43" s="207" t="n"/>
      <c r="X43" s="207" t="n"/>
      <c r="Y43" s="207" t="n"/>
      <c r="Z43" s="207" t="n"/>
      <c r="AA43" s="207" t="n"/>
      <c r="AB43" s="207" t="n"/>
      <c r="AC43" s="207" t="n"/>
      <c r="AD43" s="207" t="n"/>
      <c r="AE43" s="207" t="n"/>
      <c r="AF43" s="207" t="n"/>
      <c r="AG43" s="207" t="n"/>
      <c r="AH43" s="207" t="n"/>
      <c r="AI43" s="207" t="n"/>
      <c r="AJ43" s="207" t="n"/>
      <c r="AK43" s="207" t="n"/>
      <c r="AL43" s="207" t="n"/>
      <c r="AM43" s="207" t="n">
        <v>2</v>
      </c>
      <c r="AN43" s="207" t="n"/>
      <c r="AO43" s="207" t="n"/>
      <c r="AP43" s="207" t="n">
        <v>5</v>
      </c>
      <c r="AQ43" s="207" t="n">
        <v>0</v>
      </c>
      <c r="AR43" s="207" t="n">
        <v>0</v>
      </c>
      <c r="AS43" s="207" t="n">
        <v>0</v>
      </c>
      <c r="AT43" s="207" t="n">
        <v>0</v>
      </c>
      <c r="AU43" s="207" t="n">
        <v>0</v>
      </c>
      <c r="AV43" s="207" t="n">
        <v>0</v>
      </c>
      <c r="AW43" s="207" t="n">
        <v>0</v>
      </c>
      <c r="AX43" s="208" t="n">
        <v>1</v>
      </c>
      <c r="AY43" s="209">
        <f>L43*AX43+AP43+AQ43+AR43+AV43+AW43+AS43+AT43+AU43</f>
        <v/>
      </c>
      <c r="AZ43" s="207" t="n">
        <v>25</v>
      </c>
      <c r="BA43" s="207" t="n">
        <v>0</v>
      </c>
      <c r="BB43" s="207">
        <f>AZ43*0.006</f>
        <v/>
      </c>
      <c r="BC43" s="209">
        <f>AZ43+BA43-BB43</f>
        <v/>
      </c>
      <c r="BD43" s="207">
        <f>AT43+AU43</f>
        <v/>
      </c>
      <c r="BE43" s="207" t="n">
        <v>0</v>
      </c>
      <c r="BF43" s="209">
        <f>BD43+BE43</f>
        <v/>
      </c>
      <c r="BG43" s="209">
        <f>BC43-AY43+BF43</f>
        <v/>
      </c>
      <c r="BH43" s="87" t="inlineStr">
        <is>
          <t>曹女士</t>
        </is>
      </c>
      <c r="BI43" s="87" t="inlineStr">
        <is>
          <t>浙江省 杭州市 西湖区 转塘街道德信九溪云庄17栋2单元501</t>
        </is>
      </c>
      <c r="BJ43" s="87" t="inlineStr">
        <is>
          <t>18413252692-6918</t>
        </is>
      </c>
      <c r="BK43" s="86" t="n"/>
      <c r="BL43" s="210">
        <f>BC43</f>
        <v/>
      </c>
      <c r="BM43" s="93">
        <f>BL43+AW43-BC43</f>
        <v/>
      </c>
      <c r="BN43" s="94">
        <f>BG43/BC43</f>
        <v/>
      </c>
      <c r="BO43" s="95" t="n"/>
      <c r="BP43" s="86" t="n"/>
      <c r="BQ43" s="96" t="n"/>
      <c r="BR43" s="96" t="n"/>
      <c r="BS43" s="97" t="n"/>
      <c r="BT43" s="96" t="n"/>
      <c r="BU43" s="97" t="n"/>
      <c r="BV43" s="96" t="n"/>
      <c r="BW43" s="97" t="n"/>
      <c r="BX43" s="97" t="n"/>
      <c r="BY43" s="97" t="n"/>
      <c r="BZ43" s="97" t="n"/>
      <c r="CA43" s="98" t="n"/>
      <c r="CH43" s="2" t="n"/>
      <c r="CI43" s="26" t="n"/>
      <c r="CJ43" s="26" t="n"/>
      <c r="CK43" s="26" t="n"/>
      <c r="CL43" s="26" t="n"/>
      <c r="CM43" s="26" t="n"/>
      <c r="CN43" s="26" t="n"/>
      <c r="CO43" s="26" t="n"/>
      <c r="CP43" s="26" t="n"/>
      <c r="CQ43" s="26" t="n"/>
      <c r="CR43" s="26" t="n"/>
      <c r="CS43" s="26" t="n"/>
      <c r="CT43" s="26" t="n"/>
      <c r="CU43" s="26" t="n"/>
      <c r="CV43" s="26" t="n"/>
      <c r="CW43" s="26" t="n"/>
      <c r="CX43" s="26" t="n"/>
      <c r="CY43" s="26" t="n"/>
      <c r="CZ43" s="14">
        <f>DA43&amp;DB43</f>
        <v/>
      </c>
      <c r="DA43" s="25" t="n"/>
      <c r="DC43" s="26" t="n"/>
      <c r="DD43" s="26" t="n"/>
      <c r="DE43" s="26" t="n"/>
      <c r="DF43" s="26" t="n"/>
      <c r="DG43" s="26" t="n"/>
      <c r="DH43" s="27" t="n"/>
      <c r="DI43" s="26" t="n"/>
      <c r="DJ43" s="211" t="inlineStr">
        <is>
          <t>订单表中未找到</t>
        </is>
      </c>
      <c r="DK43" t="inlineStr">
        <is>
          <t>—</t>
        </is>
      </c>
      <c r="DL43" t="inlineStr">
        <is>
          <t>—</t>
        </is>
      </c>
    </row>
    <row r="44" ht="15.75" customHeight="1" s="187">
      <c r="A44" s="84" t="n">
        <v>45660</v>
      </c>
      <c r="B44" s="206" t="inlineStr">
        <is>
          <t>已收货</t>
        </is>
      </c>
      <c r="C44" s="86" t="inlineStr">
        <is>
          <t>4189655378140898211</t>
        </is>
      </c>
      <c r="D44" s="87" t="inlineStr">
        <is>
          <t>章衍</t>
        </is>
      </c>
      <c r="E44" s="87" t="n"/>
      <c r="F44" s="87" t="n"/>
      <c r="G44" s="87" t="inlineStr">
        <is>
          <t>榉木样块</t>
        </is>
      </c>
      <c r="H44" s="207" t="inlineStr">
        <is>
          <t>样块</t>
        </is>
      </c>
      <c r="I44" s="89" t="n"/>
      <c r="J44" s="87" t="inlineStr">
        <is>
          <t>已结算</t>
        </is>
      </c>
      <c r="K44" s="87" t="inlineStr">
        <is>
          <t>杭州</t>
        </is>
      </c>
      <c r="L44" s="207">
        <f>SUM(M44:AO44)</f>
        <v/>
      </c>
      <c r="M44" s="207" t="n">
        <v>5</v>
      </c>
      <c r="N44" s="207" t="n"/>
      <c r="O44" s="207" t="n"/>
      <c r="P44" s="207" t="n"/>
      <c r="Q44" s="207" t="n"/>
      <c r="R44" s="207" t="n"/>
      <c r="S44" s="207" t="n"/>
      <c r="T44" s="207" t="n"/>
      <c r="U44" s="207" t="n"/>
      <c r="V44" s="207" t="n"/>
      <c r="W44" s="207" t="n"/>
      <c r="X44" s="207" t="n"/>
      <c r="Y44" s="207" t="n"/>
      <c r="Z44" s="207" t="n"/>
      <c r="AA44" s="207" t="n"/>
      <c r="AB44" s="207" t="n"/>
      <c r="AC44" s="207" t="n"/>
      <c r="AD44" s="207" t="n"/>
      <c r="AE44" s="207" t="n"/>
      <c r="AF44" s="207" t="n"/>
      <c r="AG44" s="207" t="n"/>
      <c r="AH44" s="207" t="n"/>
      <c r="AI44" s="207" t="n"/>
      <c r="AJ44" s="207" t="n"/>
      <c r="AK44" s="207" t="n"/>
      <c r="AL44" s="207" t="n"/>
      <c r="AM44" s="207" t="n">
        <v>2</v>
      </c>
      <c r="AN44" s="207" t="n"/>
      <c r="AO44" s="207" t="n"/>
      <c r="AP44" s="207" t="n">
        <v>5</v>
      </c>
      <c r="AQ44" s="207" t="n">
        <v>0</v>
      </c>
      <c r="AR44" s="207" t="n">
        <v>0</v>
      </c>
      <c r="AS44" s="207" t="n">
        <v>0</v>
      </c>
      <c r="AT44" s="207" t="n">
        <v>0</v>
      </c>
      <c r="AU44" s="207" t="n">
        <v>0</v>
      </c>
      <c r="AV44" s="207" t="n">
        <v>0</v>
      </c>
      <c r="AW44" s="207" t="n">
        <v>0</v>
      </c>
      <c r="AX44" s="208" t="n">
        <v>1</v>
      </c>
      <c r="AY44" s="209">
        <f>L44*AX44+AP44+AQ44+AR44+AV44+AW44+AS44+AT44+AU44</f>
        <v/>
      </c>
      <c r="AZ44" s="207" t="n">
        <v>20</v>
      </c>
      <c r="BA44" s="207" t="n">
        <v>0</v>
      </c>
      <c r="BB44" s="207">
        <f>AZ44*0.006</f>
        <v/>
      </c>
      <c r="BC44" s="209">
        <f>AZ44+BA44-BB44</f>
        <v/>
      </c>
      <c r="BD44" s="207">
        <f>AT44+AU44</f>
        <v/>
      </c>
      <c r="BE44" s="207" t="n">
        <v>0</v>
      </c>
      <c r="BF44" s="209">
        <f>BD44+BE44</f>
        <v/>
      </c>
      <c r="BG44" s="209">
        <f>BC44-AY44+BF44</f>
        <v/>
      </c>
      <c r="BH44" s="87" t="inlineStr">
        <is>
          <t>章衍</t>
        </is>
      </c>
      <c r="BI44" s="87" t="inlineStr">
        <is>
          <t>江苏省 苏州市 常熟市 琴川街道香山北路9号常熟政务服务中心快递柜</t>
        </is>
      </c>
      <c r="BJ44" s="87" t="inlineStr">
        <is>
          <t>15784504530-8308</t>
        </is>
      </c>
      <c r="BK44" s="86" t="n"/>
      <c r="BL44" s="210">
        <f>BC44</f>
        <v/>
      </c>
      <c r="BM44" s="93">
        <f>BL44+AW44-BC44</f>
        <v/>
      </c>
      <c r="BN44" s="94">
        <f>BG44/BC44</f>
        <v/>
      </c>
      <c r="BO44" s="95" t="n"/>
      <c r="BP44" s="86" t="n"/>
      <c r="BQ44" s="96" t="n"/>
      <c r="BR44" s="96" t="n"/>
      <c r="BS44" s="97" t="n"/>
      <c r="BT44" s="96" t="n"/>
      <c r="BU44" s="97" t="n"/>
      <c r="BV44" s="96" t="n"/>
      <c r="BW44" s="97" t="n"/>
      <c r="BX44" s="97" t="n"/>
      <c r="BY44" s="97" t="n"/>
      <c r="BZ44" s="97" t="n"/>
      <c r="CA44" s="98" t="n"/>
      <c r="CH44" s="2" t="n"/>
      <c r="CI44" s="26" t="n"/>
      <c r="CJ44" s="26" t="n"/>
      <c r="CK44" s="26" t="n"/>
      <c r="CL44" s="26" t="n"/>
      <c r="CM44" s="26" t="n"/>
      <c r="CN44" s="26" t="n"/>
      <c r="CO44" s="26" t="n"/>
      <c r="CP44" s="26" t="n"/>
      <c r="CQ44" s="26" t="n"/>
      <c r="CR44" s="26" t="n"/>
      <c r="CS44" s="26" t="n"/>
      <c r="CT44" s="26" t="n"/>
      <c r="CU44" s="26" t="n"/>
      <c r="CV44" s="26" t="n"/>
      <c r="CW44" s="26" t="n"/>
      <c r="CX44" s="26" t="n"/>
      <c r="CY44" s="26" t="n"/>
      <c r="CZ44" s="14">
        <f>DA44&amp;DB44</f>
        <v/>
      </c>
      <c r="DA44" s="25" t="n"/>
      <c r="DC44" s="26" t="n"/>
      <c r="DD44" s="26" t="n"/>
      <c r="DE44" s="26" t="n"/>
      <c r="DF44" s="26" t="n"/>
      <c r="DG44" s="26" t="n"/>
      <c r="DH44" s="27" t="n"/>
      <c r="DI44" s="26" t="n"/>
      <c r="DJ44" s="211" t="inlineStr">
        <is>
          <t>订单表中未找到</t>
        </is>
      </c>
      <c r="DK44" t="inlineStr">
        <is>
          <t>—</t>
        </is>
      </c>
      <c r="DL44" t="inlineStr">
        <is>
          <t>—</t>
        </is>
      </c>
    </row>
    <row r="45" ht="15.75" customHeight="1" s="187">
      <c r="A45" s="84" t="n">
        <v>45664</v>
      </c>
      <c r="B45" s="206" t="inlineStr">
        <is>
          <t>已收货</t>
        </is>
      </c>
      <c r="C45" s="86" t="inlineStr">
        <is>
          <t>4194464581207703023</t>
        </is>
      </c>
      <c r="D45" s="87" t="inlineStr">
        <is>
          <t>小淘</t>
        </is>
      </c>
      <c r="E45" s="87" t="n"/>
      <c r="F45" s="87" t="n"/>
      <c r="G45" s="87" t="inlineStr">
        <is>
          <t>样块</t>
        </is>
      </c>
      <c r="H45" s="207" t="inlineStr">
        <is>
          <t>样块</t>
        </is>
      </c>
      <c r="I45" s="89" t="n"/>
      <c r="J45" s="87" t="inlineStr">
        <is>
          <t>已结算</t>
        </is>
      </c>
      <c r="K45" s="87" t="inlineStr">
        <is>
          <t>杭州</t>
        </is>
      </c>
      <c r="L45" s="207">
        <f>SUM(M45:AO45)</f>
        <v/>
      </c>
      <c r="M45" s="207" t="n">
        <v>5</v>
      </c>
      <c r="N45" s="207" t="n"/>
      <c r="O45" s="207" t="n"/>
      <c r="P45" s="207" t="n"/>
      <c r="Q45" s="207" t="n"/>
      <c r="R45" s="207" t="n"/>
      <c r="S45" s="207" t="n"/>
      <c r="T45" s="207" t="n"/>
      <c r="U45" s="207" t="n"/>
      <c r="V45" s="207" t="n"/>
      <c r="W45" s="207" t="n"/>
      <c r="X45" s="207" t="n"/>
      <c r="Y45" s="207" t="n"/>
      <c r="Z45" s="207" t="n"/>
      <c r="AA45" s="207" t="n"/>
      <c r="AB45" s="207" t="n"/>
      <c r="AC45" s="207" t="n"/>
      <c r="AD45" s="207" t="n"/>
      <c r="AE45" s="207" t="n"/>
      <c r="AF45" s="207" t="n"/>
      <c r="AG45" s="207" t="n"/>
      <c r="AH45" s="207" t="n"/>
      <c r="AI45" s="207" t="n"/>
      <c r="AJ45" s="207" t="n"/>
      <c r="AK45" s="207" t="n"/>
      <c r="AL45" s="207" t="n"/>
      <c r="AM45" s="207" t="n">
        <v>2</v>
      </c>
      <c r="AN45" s="207" t="n"/>
      <c r="AO45" s="207" t="n"/>
      <c r="AP45" s="207" t="n">
        <v>5</v>
      </c>
      <c r="AQ45" s="207" t="n">
        <v>0</v>
      </c>
      <c r="AR45" s="207" t="n">
        <v>0</v>
      </c>
      <c r="AS45" s="207" t="n">
        <v>0</v>
      </c>
      <c r="AT45" s="207" t="n">
        <v>0</v>
      </c>
      <c r="AU45" s="207" t="n">
        <v>0</v>
      </c>
      <c r="AV45" s="207" t="n">
        <v>0</v>
      </c>
      <c r="AW45" s="207" t="n">
        <v>0</v>
      </c>
      <c r="AX45" s="208" t="n">
        <v>1</v>
      </c>
      <c r="AY45" s="209">
        <f>L45*AX45+AP45+AQ45+AR45+AV45+AW45+AS45+AT45+AU45</f>
        <v/>
      </c>
      <c r="AZ45" s="207" t="n">
        <v>20</v>
      </c>
      <c r="BA45" s="207" t="n">
        <v>0</v>
      </c>
      <c r="BB45" s="207">
        <f>AZ45*0.006</f>
        <v/>
      </c>
      <c r="BC45" s="209">
        <f>AZ45+BA45-BB45</f>
        <v/>
      </c>
      <c r="BD45" s="207">
        <f>AT45+AU45</f>
        <v/>
      </c>
      <c r="BE45" s="207" t="n">
        <v>0</v>
      </c>
      <c r="BF45" s="209">
        <f>BD45+BE45</f>
        <v/>
      </c>
      <c r="BG45" s="209">
        <f>BC45-AY45+BF45</f>
        <v/>
      </c>
      <c r="BH45" s="87" t="inlineStr">
        <is>
          <t>小淘</t>
        </is>
      </c>
      <c r="BI45" s="87" t="inlineStr">
        <is>
          <t>上海 上海市 嘉定区 南翔镇德园路955弄星信名邸8号503</t>
        </is>
      </c>
      <c r="BJ45" s="87" t="inlineStr">
        <is>
          <t>18466947921-6929</t>
        </is>
      </c>
      <c r="BK45" s="86" t="n"/>
      <c r="BL45" s="210">
        <f>BC45</f>
        <v/>
      </c>
      <c r="BM45" s="93">
        <f>BL45+AW45-BC45</f>
        <v/>
      </c>
      <c r="BN45" s="94">
        <f>BG45/BC45</f>
        <v/>
      </c>
      <c r="BO45" s="95" t="n"/>
      <c r="BP45" s="86" t="n"/>
      <c r="BQ45" s="96" t="n"/>
      <c r="BR45" s="96" t="n"/>
      <c r="BS45" s="97" t="n"/>
      <c r="BT45" s="96" t="n"/>
      <c r="BU45" s="97" t="n"/>
      <c r="BV45" s="96" t="n"/>
      <c r="BW45" s="97" t="n"/>
      <c r="BX45" s="97" t="n"/>
      <c r="BY45" s="97" t="n"/>
      <c r="BZ45" s="97" t="n"/>
      <c r="CA45" s="98" t="n"/>
      <c r="CH45" s="2" t="n"/>
      <c r="CI45" s="26" t="n"/>
      <c r="CJ45" s="26" t="n"/>
      <c r="CK45" s="26" t="n"/>
      <c r="CL45" s="26" t="n"/>
      <c r="CM45" s="26" t="n"/>
      <c r="CN45" s="26" t="n"/>
      <c r="CO45" s="26" t="n"/>
      <c r="CP45" s="26" t="n"/>
      <c r="CQ45" s="26" t="n"/>
      <c r="CR45" s="26" t="n"/>
      <c r="CS45" s="26" t="n"/>
      <c r="CT45" s="26" t="n"/>
      <c r="CU45" s="26" t="n"/>
      <c r="CV45" s="26" t="n"/>
      <c r="CW45" s="26" t="n"/>
      <c r="CX45" s="26" t="n"/>
      <c r="CY45" s="26" t="n"/>
      <c r="DA45" s="25" t="n"/>
      <c r="DC45" s="26" t="n"/>
      <c r="DD45" s="26" t="n"/>
      <c r="DE45" s="26" t="n"/>
      <c r="DF45" s="26" t="n"/>
      <c r="DG45" s="26" t="n"/>
      <c r="DH45" s="27" t="n"/>
      <c r="DJ45" s="211" t="inlineStr">
        <is>
          <t>订单表中未找到</t>
        </is>
      </c>
      <c r="DK45" t="inlineStr">
        <is>
          <t>—</t>
        </is>
      </c>
      <c r="DL45" t="inlineStr">
        <is>
          <t>—</t>
        </is>
      </c>
    </row>
    <row r="46" ht="15.75" customHeight="1" s="187">
      <c r="A46" s="99" t="n">
        <v>45665</v>
      </c>
      <c r="B46" s="100" t="inlineStr">
        <is>
          <t>退单</t>
        </is>
      </c>
      <c r="C46" s="101" t="inlineStr">
        <is>
          <t>2434415196469020951</t>
        </is>
      </c>
      <c r="D46" s="100" t="inlineStr">
        <is>
          <t>张浩</t>
        </is>
      </c>
      <c r="E46" s="100" t="n"/>
      <c r="F46" s="100" t="n"/>
      <c r="G46" s="100" t="inlineStr">
        <is>
          <t>砂白色1.5米岩板餐桌</t>
        </is>
      </c>
      <c r="H46" s="100" t="inlineStr">
        <is>
          <t>榉木餐桌</t>
        </is>
      </c>
      <c r="I46" s="102" t="inlineStr">
        <is>
          <t>150cm*90cm</t>
        </is>
      </c>
      <c r="J46" s="100" t="inlineStr">
        <is>
          <t>已结算</t>
        </is>
      </c>
      <c r="K46" s="100" t="inlineStr">
        <is>
          <t>江西</t>
        </is>
      </c>
      <c r="L46" s="212">
        <f>SUM(M46:AM46)</f>
        <v/>
      </c>
      <c r="M46" s="212" t="n">
        <v>0</v>
      </c>
      <c r="N46" s="212" t="n"/>
      <c r="O46" s="212" t="n"/>
      <c r="P46" s="212" t="n"/>
      <c r="Q46" s="212" t="n"/>
      <c r="R46" s="212" t="n"/>
      <c r="S46" s="212" t="n"/>
      <c r="T46" s="212" t="n"/>
      <c r="U46" s="212" t="n"/>
      <c r="V46" s="212" t="n"/>
      <c r="W46" s="212" t="n"/>
      <c r="X46" s="212" t="n"/>
      <c r="Y46" s="212" t="n"/>
      <c r="Z46" s="212" t="n"/>
      <c r="AA46" s="212" t="n"/>
      <c r="AB46" s="212" t="n"/>
      <c r="AC46" s="212" t="n"/>
      <c r="AD46" s="212" t="n"/>
      <c r="AE46" s="212" t="n"/>
      <c r="AF46" s="212" t="n"/>
      <c r="AG46" s="212" t="n"/>
      <c r="AH46" s="212" t="n"/>
      <c r="AI46" s="212" t="n"/>
      <c r="AJ46" s="212" t="n"/>
      <c r="AK46" s="212" t="n"/>
      <c r="AL46" s="212" t="n"/>
      <c r="AM46" s="213" t="n"/>
      <c r="AN46" s="213" t="n"/>
      <c r="AO46" s="213" t="n"/>
      <c r="AP46" s="213" t="n">
        <v>0</v>
      </c>
      <c r="AQ46" s="213" t="n">
        <v>0</v>
      </c>
      <c r="AR46" s="213" t="n">
        <v>0</v>
      </c>
      <c r="AS46" s="213" t="n">
        <v>0</v>
      </c>
      <c r="AT46" s="213" t="n">
        <v>0</v>
      </c>
      <c r="AU46" s="213" t="n">
        <v>0</v>
      </c>
      <c r="AV46" s="213" t="n">
        <v>0</v>
      </c>
      <c r="AW46" s="213" t="n">
        <v>0</v>
      </c>
      <c r="AX46" s="214" t="n">
        <v>1</v>
      </c>
      <c r="AY46" s="213">
        <f>L46*AX46+AP46+AQ46+AR46+AV46+AW46+AS46+AT46+AU46</f>
        <v/>
      </c>
      <c r="AZ46" s="213" t="n">
        <v>0</v>
      </c>
      <c r="BA46" s="213" t="n">
        <v>0</v>
      </c>
      <c r="BB46" s="213">
        <f>AZ46*0.006</f>
        <v/>
      </c>
      <c r="BC46" s="213">
        <f>AZ46+BA46-BB46</f>
        <v/>
      </c>
      <c r="BD46" s="213">
        <f>AT46+AU46</f>
        <v/>
      </c>
      <c r="BE46" s="213" t="n">
        <v>0</v>
      </c>
      <c r="BF46" s="213">
        <f>BD46+BE46</f>
        <v/>
      </c>
      <c r="BG46" s="213">
        <f>BC46-AY46+BF46</f>
        <v/>
      </c>
      <c r="BH46" s="100" t="inlineStr">
        <is>
          <t>张浩</t>
        </is>
      </c>
      <c r="BI46" s="100" t="inlineStr">
        <is>
          <t>安徽省 合肥市 蜀山区 小庙镇 西城兰苑B区6栋1501</t>
        </is>
      </c>
      <c r="BJ46" s="100" t="inlineStr">
        <is>
          <t>13063482450-9644</t>
        </is>
      </c>
      <c r="BK46" s="101" t="n"/>
      <c r="BL46" s="215" t="n">
        <v>0</v>
      </c>
      <c r="BM46" s="107" t="n">
        <v>0</v>
      </c>
      <c r="BN46" s="108">
        <f>BG46/BC46</f>
        <v/>
      </c>
      <c r="BO46" s="107" t="n"/>
      <c r="BP46" s="101" t="n"/>
      <c r="BQ46" s="109" t="n"/>
      <c r="BR46" s="109" t="n"/>
      <c r="BS46" s="100" t="n"/>
      <c r="BT46" s="109" t="n"/>
      <c r="BU46" s="100" t="n"/>
      <c r="BV46" s="109" t="n"/>
      <c r="BW46" s="100" t="n"/>
      <c r="BX46" s="100" t="n"/>
      <c r="BY46" s="100" t="n"/>
      <c r="BZ46" s="100" t="n"/>
      <c r="CA46" s="98" t="n"/>
      <c r="CH46" s="2" t="n"/>
      <c r="CI46" s="26" t="n"/>
      <c r="CJ46" s="26" t="n"/>
      <c r="CK46" s="26" t="n"/>
      <c r="CL46" s="26" t="n"/>
      <c r="CM46" s="26" t="n"/>
      <c r="CN46" s="26" t="n"/>
      <c r="CO46" s="26" t="n"/>
      <c r="CP46" s="26" t="n"/>
      <c r="CQ46" s="26" t="n"/>
      <c r="CR46" s="26" t="n"/>
      <c r="CS46" s="26" t="n"/>
      <c r="CT46" s="26" t="n"/>
      <c r="CU46" s="26" t="n"/>
      <c r="CV46" s="26" t="n"/>
      <c r="CW46" s="26" t="n"/>
      <c r="CX46" s="26" t="n"/>
      <c r="CY46" s="26" t="n"/>
      <c r="DA46" s="25" t="n"/>
      <c r="DC46" s="26" t="n"/>
      <c r="DD46" s="26" t="n"/>
      <c r="DE46" s="26" t="n"/>
      <c r="DF46" s="26" t="n"/>
      <c r="DG46" s="26" t="n"/>
      <c r="DH46" s="27" t="n"/>
      <c r="DJ46" s="211" t="inlineStr">
        <is>
          <t>订单表中未找到</t>
        </is>
      </c>
      <c r="DK46" t="inlineStr">
        <is>
          <t>—</t>
        </is>
      </c>
      <c r="DL46" t="inlineStr">
        <is>
          <t>—</t>
        </is>
      </c>
    </row>
    <row r="47" ht="15.75" customHeight="1" s="187">
      <c r="A47" s="84" t="n">
        <v>45667</v>
      </c>
      <c r="B47" s="206" t="inlineStr">
        <is>
          <t>已收货</t>
        </is>
      </c>
      <c r="C47" s="86" t="inlineStr">
        <is>
          <t>2437280294123497978</t>
        </is>
      </c>
      <c r="D47" s="87" t="inlineStr">
        <is>
          <t>雷光秀</t>
        </is>
      </c>
      <c r="E47" s="86" t="n"/>
      <c r="F47" s="110" t="n"/>
      <c r="G47" s="207" t="inlineStr">
        <is>
          <t>样块*2</t>
        </is>
      </c>
      <c r="H47" s="207" t="inlineStr">
        <is>
          <t>样块</t>
        </is>
      </c>
      <c r="I47" s="111" t="n"/>
      <c r="J47" s="87" t="inlineStr">
        <is>
          <t>已结算</t>
        </is>
      </c>
      <c r="K47" s="87" t="inlineStr">
        <is>
          <t>杭州</t>
        </is>
      </c>
      <c r="L47" s="207">
        <f>SUM(M47:AO47)</f>
        <v/>
      </c>
      <c r="M47" s="207" t="n">
        <v>10</v>
      </c>
      <c r="N47" s="207" t="n"/>
      <c r="O47" s="207" t="n"/>
      <c r="P47" s="207" t="n"/>
      <c r="Q47" s="207" t="n"/>
      <c r="R47" s="207" t="n"/>
      <c r="S47" s="207" t="n"/>
      <c r="T47" s="207" t="n"/>
      <c r="U47" s="207" t="n"/>
      <c r="V47" s="207" t="n"/>
      <c r="W47" s="207" t="n"/>
      <c r="X47" s="207" t="n"/>
      <c r="Y47" s="207" t="n"/>
      <c r="Z47" s="207" t="n"/>
      <c r="AA47" s="207" t="n"/>
      <c r="AB47" s="207" t="n"/>
      <c r="AC47" s="207" t="n"/>
      <c r="AD47" s="207" t="n"/>
      <c r="AE47" s="207" t="n"/>
      <c r="AF47" s="207" t="n"/>
      <c r="AG47" s="207" t="n"/>
      <c r="AH47" s="207" t="n"/>
      <c r="AI47" s="207" t="n"/>
      <c r="AJ47" s="207" t="n"/>
      <c r="AK47" s="207" t="n"/>
      <c r="AL47" s="207" t="n"/>
      <c r="AM47" s="207" t="n">
        <v>2</v>
      </c>
      <c r="AN47" s="207" t="n"/>
      <c r="AO47" s="207" t="n"/>
      <c r="AP47" s="207" t="n">
        <v>5</v>
      </c>
      <c r="AQ47" s="207" t="n">
        <v>0</v>
      </c>
      <c r="AR47" s="207" t="n">
        <v>0</v>
      </c>
      <c r="AS47" s="207" t="n">
        <v>0</v>
      </c>
      <c r="AT47" s="207" t="n">
        <v>0</v>
      </c>
      <c r="AU47" s="207" t="n">
        <v>0</v>
      </c>
      <c r="AV47" s="207" t="n">
        <v>0</v>
      </c>
      <c r="AW47" s="207" t="n">
        <v>50</v>
      </c>
      <c r="AX47" s="208" t="n">
        <v>1</v>
      </c>
      <c r="AY47" s="209">
        <f>L47*AX47+AP47+AQ47+AR47+AV47+AW47+AS47+AT47+AU47</f>
        <v/>
      </c>
      <c r="AZ47" s="207" t="n">
        <v>50</v>
      </c>
      <c r="BA47" s="207" t="n">
        <v>0</v>
      </c>
      <c r="BB47" s="207">
        <f>AZ47*0.006</f>
        <v/>
      </c>
      <c r="BC47" s="209">
        <f>AZ47+BA47-BB47</f>
        <v/>
      </c>
      <c r="BD47" s="207">
        <f>AT47+AU47</f>
        <v/>
      </c>
      <c r="BE47" s="207" t="n">
        <v>0</v>
      </c>
      <c r="BF47" s="209">
        <f>BD47+BE47</f>
        <v/>
      </c>
      <c r="BG47" s="209">
        <f>BC47-AY47+BF47</f>
        <v/>
      </c>
      <c r="BH47" s="87" t="inlineStr">
        <is>
          <t>雷光秀</t>
        </is>
      </c>
      <c r="BI47" s="87" t="inlineStr">
        <is>
          <t>江苏省淮安市盱眙县黄花塘镇旧铺富康路30号</t>
        </is>
      </c>
      <c r="BJ47" s="87" t="inlineStr">
        <is>
          <t>18466653191-8016</t>
        </is>
      </c>
      <c r="BK47" s="86" t="n"/>
      <c r="BL47" s="210">
        <f>BC47</f>
        <v/>
      </c>
      <c r="BM47" s="93" t="n"/>
      <c r="BN47" s="94" t="n"/>
      <c r="BO47" s="95" t="n"/>
      <c r="BP47" s="86" t="n"/>
      <c r="BQ47" s="96" t="n"/>
      <c r="BR47" s="96" t="n"/>
      <c r="BS47" s="97" t="n"/>
      <c r="BT47" s="96" t="n"/>
      <c r="BU47" s="97" t="n"/>
      <c r="BV47" s="96" t="n"/>
      <c r="BW47" s="97" t="n"/>
      <c r="BX47" s="97" t="n"/>
      <c r="BY47" s="97" t="n"/>
      <c r="BZ47" s="97" t="n"/>
      <c r="CA47" s="98" t="n"/>
      <c r="CH47" s="2" t="n"/>
      <c r="CI47" s="26" t="n"/>
      <c r="CJ47" s="26" t="n"/>
      <c r="CK47" s="26" t="n"/>
      <c r="CL47" s="26" t="n"/>
      <c r="CM47" s="26" t="n"/>
      <c r="CN47" s="26" t="n"/>
      <c r="CO47" s="26" t="n"/>
      <c r="CP47" s="26" t="n"/>
      <c r="CQ47" s="26" t="n"/>
      <c r="CR47" s="26" t="n"/>
      <c r="CS47" s="26" t="n"/>
      <c r="CT47" s="26" t="n"/>
      <c r="CU47" s="26" t="n"/>
      <c r="CV47" s="26" t="n"/>
      <c r="CW47" s="26" t="n"/>
      <c r="CX47" s="26" t="n"/>
      <c r="CY47" s="26" t="n"/>
      <c r="DA47" s="25" t="n"/>
      <c r="DC47" s="26" t="n"/>
      <c r="DD47" s="26" t="n"/>
      <c r="DE47" s="26" t="n"/>
      <c r="DF47" s="26" t="n"/>
      <c r="DG47" s="26" t="n"/>
      <c r="DH47" s="27" t="n"/>
      <c r="DJ47" s="211" t="inlineStr">
        <is>
          <t>订单表中未找到</t>
        </is>
      </c>
      <c r="DK47" t="inlineStr">
        <is>
          <t>—</t>
        </is>
      </c>
      <c r="DL47" t="inlineStr">
        <is>
          <t>—</t>
        </is>
      </c>
    </row>
    <row r="48" ht="15.75" customHeight="1" s="187">
      <c r="A48" s="84" t="n">
        <v>45667</v>
      </c>
      <c r="B48" s="206" t="inlineStr">
        <is>
          <t>已收货</t>
        </is>
      </c>
      <c r="C48" s="86" t="inlineStr">
        <is>
          <t>4198524480570660217</t>
        </is>
      </c>
      <c r="D48" s="87" t="inlineStr">
        <is>
          <t>雷光秀</t>
        </is>
      </c>
      <c r="E48" s="86" t="n"/>
      <c r="F48" s="110" t="n"/>
      <c r="G48" s="207" t="inlineStr">
        <is>
          <t>样块*2</t>
        </is>
      </c>
      <c r="H48" s="207" t="inlineStr">
        <is>
          <t>样块</t>
        </is>
      </c>
      <c r="I48" s="111" t="n"/>
      <c r="J48" s="87" t="inlineStr">
        <is>
          <t>已结算</t>
        </is>
      </c>
      <c r="K48" s="87" t="inlineStr">
        <is>
          <t>杭州</t>
        </is>
      </c>
      <c r="L48" s="207">
        <f>SUM(M48:AO48)</f>
        <v/>
      </c>
      <c r="M48" s="207" t="n">
        <v>10</v>
      </c>
      <c r="N48" s="207" t="n"/>
      <c r="O48" s="207" t="n"/>
      <c r="P48" s="207" t="n"/>
      <c r="Q48" s="207" t="n"/>
      <c r="R48" s="207" t="n"/>
      <c r="S48" s="207" t="n"/>
      <c r="T48" s="207" t="n"/>
      <c r="U48" s="207" t="n"/>
      <c r="V48" s="207" t="n"/>
      <c r="W48" s="207" t="n"/>
      <c r="X48" s="207" t="n"/>
      <c r="Y48" s="207" t="n"/>
      <c r="Z48" s="207" t="n"/>
      <c r="AA48" s="207" t="n"/>
      <c r="AB48" s="207" t="n"/>
      <c r="AC48" s="207" t="n"/>
      <c r="AD48" s="207" t="n"/>
      <c r="AE48" s="207" t="n"/>
      <c r="AF48" s="207" t="n"/>
      <c r="AG48" s="207" t="n"/>
      <c r="AH48" s="207" t="n"/>
      <c r="AI48" s="207" t="n"/>
      <c r="AJ48" s="207" t="n"/>
      <c r="AK48" s="207" t="n"/>
      <c r="AL48" s="207" t="n"/>
      <c r="AM48" s="207" t="n">
        <v>2</v>
      </c>
      <c r="AN48" s="207" t="n"/>
      <c r="AO48" s="207" t="n"/>
      <c r="AP48" s="207" t="n">
        <v>5</v>
      </c>
      <c r="AQ48" s="207" t="n">
        <v>0</v>
      </c>
      <c r="AR48" s="207" t="n">
        <v>0</v>
      </c>
      <c r="AS48" s="207" t="n">
        <v>0</v>
      </c>
      <c r="AT48" s="207" t="n">
        <v>0</v>
      </c>
      <c r="AU48" s="207" t="n">
        <v>0</v>
      </c>
      <c r="AV48" s="207" t="n">
        <v>0</v>
      </c>
      <c r="AW48" s="207" t="n">
        <v>30</v>
      </c>
      <c r="AX48" s="208" t="n">
        <v>1</v>
      </c>
      <c r="AY48" s="209">
        <f>L48*AX48+AP48+AQ48+AR48+AV48+AW48+AS48+AT48+AU48</f>
        <v/>
      </c>
      <c r="AZ48" s="207" t="n">
        <v>50</v>
      </c>
      <c r="BA48" s="207" t="n">
        <v>0</v>
      </c>
      <c r="BB48" s="207">
        <f>AZ48*0.006</f>
        <v/>
      </c>
      <c r="BC48" s="209">
        <f>AZ48+BA48-BB48</f>
        <v/>
      </c>
      <c r="BD48" s="207">
        <f>AT48+AU48</f>
        <v/>
      </c>
      <c r="BE48" s="207" t="n">
        <v>0</v>
      </c>
      <c r="BF48" s="209">
        <f>BD48+BE48</f>
        <v/>
      </c>
      <c r="BG48" s="209">
        <f>BC48-AY48+BF48</f>
        <v/>
      </c>
      <c r="BH48" s="87" t="inlineStr">
        <is>
          <t>雷光秀</t>
        </is>
      </c>
      <c r="BI48" s="87" t="inlineStr">
        <is>
          <t>江苏省淮安市盱眙县黄花塘镇旧铺富康路30号</t>
        </is>
      </c>
      <c r="BJ48" s="87" t="inlineStr">
        <is>
          <t>18466653191-8016</t>
        </is>
      </c>
      <c r="BK48" s="86" t="n"/>
      <c r="BL48" s="210">
        <f>BC48</f>
        <v/>
      </c>
      <c r="BM48" s="93" t="n"/>
      <c r="BN48" s="94" t="n"/>
      <c r="BO48" s="95" t="n"/>
      <c r="BP48" s="86" t="n"/>
      <c r="BQ48" s="96" t="n"/>
      <c r="BR48" s="96" t="n"/>
      <c r="BS48" s="97" t="n"/>
      <c r="BT48" s="96" t="n"/>
      <c r="BU48" s="97" t="n"/>
      <c r="BV48" s="96" t="n"/>
      <c r="BW48" s="97" t="n"/>
      <c r="BX48" s="97" t="n"/>
      <c r="BY48" s="97" t="n"/>
      <c r="BZ48" s="97" t="n"/>
      <c r="CA48" s="98" t="n"/>
      <c r="CH48" s="2" t="n"/>
      <c r="CI48" s="26" t="n"/>
      <c r="CJ48" s="26" t="n"/>
      <c r="CK48" s="26" t="n"/>
      <c r="CL48" s="26" t="n"/>
      <c r="CM48" s="26" t="n"/>
      <c r="CN48" s="26" t="n"/>
      <c r="CO48" s="26" t="n"/>
      <c r="CP48" s="26" t="n"/>
      <c r="CQ48" s="26" t="n"/>
      <c r="CR48" s="26" t="n"/>
      <c r="CS48" s="26" t="n"/>
      <c r="CT48" s="26" t="n"/>
      <c r="CU48" s="26" t="n"/>
      <c r="CV48" s="26" t="n"/>
      <c r="CW48" s="26" t="n"/>
      <c r="CX48" s="26" t="n"/>
      <c r="CY48" s="26" t="n"/>
      <c r="DA48" s="25" t="n"/>
      <c r="DC48" s="26" t="n"/>
      <c r="DD48" s="26" t="n"/>
      <c r="DE48" s="26" t="n"/>
      <c r="DF48" s="26" t="n"/>
      <c r="DG48" s="26" t="n"/>
      <c r="DH48" s="27" t="n"/>
      <c r="DJ48" s="211" t="inlineStr">
        <is>
          <t>订单表中未找到</t>
        </is>
      </c>
      <c r="DK48" t="inlineStr">
        <is>
          <t>—</t>
        </is>
      </c>
      <c r="DL48" t="inlineStr">
        <is>
          <t>—</t>
        </is>
      </c>
    </row>
    <row r="49" ht="15.75" customHeight="1" s="187">
      <c r="A49" s="84" t="n">
        <v>45668</v>
      </c>
      <c r="B49" s="206" t="inlineStr">
        <is>
          <t>已收货</t>
        </is>
      </c>
      <c r="C49" s="86" t="inlineStr">
        <is>
          <t>4199714859843183507</t>
        </is>
      </c>
      <c r="D49" s="87" t="inlineStr">
        <is>
          <t>乐婷婷</t>
        </is>
      </c>
      <c r="E49" s="86" t="n"/>
      <c r="F49" s="110" t="n"/>
      <c r="G49" s="87" t="inlineStr">
        <is>
          <t>样块</t>
        </is>
      </c>
      <c r="H49" s="207" t="inlineStr">
        <is>
          <t>样块</t>
        </is>
      </c>
      <c r="I49" s="111" t="n"/>
      <c r="J49" s="87" t="inlineStr">
        <is>
          <t>已结算</t>
        </is>
      </c>
      <c r="K49" s="87" t="inlineStr">
        <is>
          <t>杭州</t>
        </is>
      </c>
      <c r="L49" s="207">
        <f>SUM(M49:AO49)</f>
        <v/>
      </c>
      <c r="M49" s="207" t="n">
        <v>5</v>
      </c>
      <c r="N49" s="207" t="n"/>
      <c r="O49" s="207" t="n"/>
      <c r="P49" s="207" t="n"/>
      <c r="Q49" s="207" t="n"/>
      <c r="R49" s="207" t="n"/>
      <c r="S49" s="207" t="n"/>
      <c r="T49" s="207" t="n"/>
      <c r="U49" s="207" t="n"/>
      <c r="V49" s="207" t="n"/>
      <c r="W49" s="207" t="n"/>
      <c r="X49" s="207" t="n"/>
      <c r="Y49" s="207" t="n"/>
      <c r="Z49" s="207" t="n"/>
      <c r="AA49" s="207" t="n"/>
      <c r="AB49" s="207" t="n"/>
      <c r="AC49" s="207" t="n"/>
      <c r="AD49" s="207" t="n"/>
      <c r="AE49" s="207" t="n"/>
      <c r="AF49" s="207" t="n"/>
      <c r="AG49" s="207" t="n"/>
      <c r="AH49" s="207" t="n"/>
      <c r="AI49" s="207" t="n"/>
      <c r="AJ49" s="207" t="n"/>
      <c r="AK49" s="207" t="n"/>
      <c r="AL49" s="207" t="n"/>
      <c r="AM49" s="207" t="n">
        <v>2</v>
      </c>
      <c r="AN49" s="207" t="n"/>
      <c r="AO49" s="207" t="n"/>
      <c r="AP49" s="207" t="n">
        <v>5</v>
      </c>
      <c r="AQ49" s="207" t="n">
        <v>0</v>
      </c>
      <c r="AR49" s="207" t="n">
        <v>0</v>
      </c>
      <c r="AS49" s="207" t="n">
        <v>0</v>
      </c>
      <c r="AT49" s="207" t="n">
        <v>0</v>
      </c>
      <c r="AU49" s="207" t="n">
        <v>0</v>
      </c>
      <c r="AV49" s="207" t="n">
        <v>0</v>
      </c>
      <c r="AW49" s="207" t="n">
        <v>0</v>
      </c>
      <c r="AX49" s="208" t="n">
        <v>1</v>
      </c>
      <c r="AY49" s="209">
        <f>L49*AX49+AP49+AQ49+AR49+AV49+AW49+AS49+AT49+AU49</f>
        <v/>
      </c>
      <c r="AZ49" s="207" t="n">
        <v>21.5</v>
      </c>
      <c r="BA49" s="207" t="n">
        <v>0</v>
      </c>
      <c r="BB49" s="207">
        <f>AZ49*0.006</f>
        <v/>
      </c>
      <c r="BC49" s="209">
        <f>AZ49+BA49-BB49</f>
        <v/>
      </c>
      <c r="BD49" s="207">
        <f>AT49+AU49</f>
        <v/>
      </c>
      <c r="BE49" s="207" t="n">
        <v>0</v>
      </c>
      <c r="BF49" s="209">
        <f>BD49+BE49</f>
        <v/>
      </c>
      <c r="BG49" s="209">
        <f>BC49-AY49+BF49</f>
        <v/>
      </c>
      <c r="BH49" s="87" t="inlineStr">
        <is>
          <t>乐婷婷</t>
        </is>
      </c>
      <c r="BI49" s="210" t="inlineStr">
        <is>
          <t>重庆重庆市石柱土家族自治县黄水镇青岗平鑫芯农家</t>
        </is>
      </c>
      <c r="BJ49" s="86" t="inlineStr">
        <is>
          <t>13140366585-2484</t>
        </is>
      </c>
      <c r="BK49" s="86" t="n"/>
      <c r="BL49" s="210">
        <f>BC49</f>
        <v/>
      </c>
      <c r="BM49" s="93" t="n"/>
      <c r="BN49" s="94" t="n"/>
      <c r="BO49" s="95" t="n"/>
      <c r="BP49" s="86" t="n"/>
      <c r="BQ49" s="96" t="n"/>
      <c r="BR49" s="96" t="n"/>
      <c r="BS49" s="97" t="n"/>
      <c r="BT49" s="96" t="n"/>
      <c r="BU49" s="97" t="n"/>
      <c r="BV49" s="96" t="n"/>
      <c r="BW49" s="97" t="n"/>
      <c r="BX49" s="97" t="n"/>
      <c r="BY49" s="97" t="n"/>
      <c r="BZ49" s="97" t="n"/>
      <c r="CA49" s="98" t="n"/>
      <c r="CH49" s="2" t="n"/>
      <c r="CI49" s="26" t="n"/>
      <c r="CJ49" s="26" t="n"/>
      <c r="CK49" s="26" t="n"/>
      <c r="CL49" s="26" t="n"/>
      <c r="CM49" s="26" t="n"/>
      <c r="CN49" s="26" t="n"/>
      <c r="CO49" s="26" t="n"/>
      <c r="CP49" s="26" t="n"/>
      <c r="CQ49" s="26" t="n"/>
      <c r="CR49" s="26" t="n"/>
      <c r="CS49" s="26" t="n"/>
      <c r="CT49" s="26" t="n"/>
      <c r="CU49" s="26" t="n"/>
      <c r="CV49" s="26" t="n"/>
      <c r="CW49" s="26" t="n"/>
      <c r="CX49" s="26" t="n"/>
      <c r="CY49" s="26" t="n"/>
      <c r="DA49" s="25" t="n"/>
      <c r="DC49" s="26" t="n"/>
      <c r="DD49" s="26" t="n"/>
      <c r="DE49" s="26" t="n"/>
      <c r="DF49" s="26" t="n"/>
      <c r="DG49" s="26" t="n"/>
      <c r="DH49" s="27" t="n"/>
      <c r="DJ49" s="211" t="inlineStr">
        <is>
          <t>订单表中未找到</t>
        </is>
      </c>
      <c r="DK49" t="inlineStr">
        <is>
          <t>—</t>
        </is>
      </c>
      <c r="DL49" t="inlineStr">
        <is>
          <t>—</t>
        </is>
      </c>
    </row>
    <row r="50" ht="15.75" customHeight="1" s="187">
      <c r="A50" s="84" t="n">
        <v>45669</v>
      </c>
      <c r="B50" s="206" t="inlineStr">
        <is>
          <t>已收货</t>
        </is>
      </c>
      <c r="C50" s="86" t="inlineStr">
        <is>
          <t>4201423670829327439</t>
        </is>
      </c>
      <c r="D50" s="87" t="inlineStr">
        <is>
          <t>熊军</t>
        </is>
      </c>
      <c r="E50" s="86" t="n"/>
      <c r="F50" s="110" t="n"/>
      <c r="G50" s="87" t="inlineStr">
        <is>
          <t>1.6柜+1.2单腿餐桌旋转餐边柜：黑胡桃木</t>
        </is>
      </c>
      <c r="H50" s="87" t="inlineStr">
        <is>
          <t>旋转餐边柜</t>
        </is>
      </c>
      <c r="I50" s="89" t="n">
        <v>1600</v>
      </c>
      <c r="J50" s="87" t="inlineStr">
        <is>
          <t>已结算</t>
        </is>
      </c>
      <c r="K50" s="87" t="inlineStr">
        <is>
          <t>江西</t>
        </is>
      </c>
      <c r="L50" s="207">
        <f>SUM(M50:AO50)</f>
        <v/>
      </c>
      <c r="M50" s="207">
        <f>8700</f>
        <v/>
      </c>
      <c r="N50" s="207" t="n">
        <v>910</v>
      </c>
      <c r="O50" s="207">
        <f>238*2</f>
        <v/>
      </c>
      <c r="P50" s="207" t="n">
        <v>38</v>
      </c>
      <c r="Q50" s="207">
        <f>1.55*260+12+2*55</f>
        <v/>
      </c>
      <c r="R50" s="207" t="n">
        <v>22</v>
      </c>
      <c r="S50" s="207" t="n">
        <v>16</v>
      </c>
      <c r="T50" s="207" t="n">
        <v>370</v>
      </c>
      <c r="U50" s="207" t="n"/>
      <c r="V50" s="207" t="n"/>
      <c r="W50" s="207" t="n">
        <v>36</v>
      </c>
      <c r="X50" s="207">
        <f>22*8</f>
        <v/>
      </c>
      <c r="Y50" s="207" t="n">
        <v>150</v>
      </c>
      <c r="Z50" s="207" t="n"/>
      <c r="AA50" s="207" t="n"/>
      <c r="AB50" s="207" t="n"/>
      <c r="AC50" s="207" t="n"/>
      <c r="AD50" s="207" t="n"/>
      <c r="AE50" s="207" t="n">
        <v>100</v>
      </c>
      <c r="AF50" s="207" t="n"/>
      <c r="AG50" s="207" t="n"/>
      <c r="AH50" s="207" t="n"/>
      <c r="AI50" s="207" t="n"/>
      <c r="AJ50" s="207" t="n"/>
      <c r="AK50" s="207" t="n"/>
      <c r="AL50" s="207" t="n"/>
      <c r="AM50" s="207">
        <f>370+150</f>
        <v/>
      </c>
      <c r="AN50" s="207" t="n"/>
      <c r="AO50" s="207" t="n"/>
      <c r="AP50" s="207" t="n">
        <v>411</v>
      </c>
      <c r="AQ50" s="207" t="n">
        <v>132</v>
      </c>
      <c r="AR50" s="207" t="n">
        <v>168</v>
      </c>
      <c r="AS50" s="207" t="n">
        <v>0</v>
      </c>
      <c r="AT50" s="207" t="n">
        <v>0</v>
      </c>
      <c r="AU50" s="207" t="n">
        <v>0</v>
      </c>
      <c r="AV50" s="207" t="n">
        <v>0</v>
      </c>
      <c r="AW50" s="207" t="n">
        <v>100</v>
      </c>
      <c r="AX50" s="208" t="n">
        <v>1</v>
      </c>
      <c r="AY50" s="209">
        <f>L50*AX50+AP50+AQ50+AR50+AV50+AW50+AS50+AT50+AU50</f>
        <v/>
      </c>
      <c r="AZ50" s="207" t="n">
        <v>15548</v>
      </c>
      <c r="BA50" s="207" t="n">
        <v>0</v>
      </c>
      <c r="BB50" s="207">
        <f>AZ50*0.006</f>
        <v/>
      </c>
      <c r="BC50" s="209">
        <f>AZ50+BA50-BB50</f>
        <v/>
      </c>
      <c r="BD50" s="207">
        <f>AT50+AU50</f>
        <v/>
      </c>
      <c r="BE50" s="207" t="n">
        <v>0</v>
      </c>
      <c r="BF50" s="209">
        <f>BD50+BE50</f>
        <v/>
      </c>
      <c r="BG50" s="209">
        <f>BC50-AY50+BF50</f>
        <v/>
      </c>
      <c r="BH50" s="87" t="inlineStr">
        <is>
          <t>熊军</t>
        </is>
      </c>
      <c r="BI50" s="87" t="inlineStr">
        <is>
          <t>广东省 深圳市 福田区 莲花街道彩云路盛世家园一期B座1408</t>
        </is>
      </c>
      <c r="BJ50" s="87" t="inlineStr">
        <is>
          <t>15794967140-5573</t>
        </is>
      </c>
      <c r="BK50" s="86" t="n"/>
      <c r="BL50" s="210">
        <f>BC50</f>
        <v/>
      </c>
      <c r="BM50" s="93">
        <f>BL50+AW50-BC50</f>
        <v/>
      </c>
      <c r="BN50" s="94">
        <f>BG50/BC50</f>
        <v/>
      </c>
      <c r="BO50" s="95" t="n"/>
      <c r="BP50" s="86" t="n"/>
      <c r="BQ50" s="96" t="n"/>
      <c r="BR50" s="96" t="n"/>
      <c r="BS50" s="97" t="n"/>
      <c r="BT50" s="96" t="n"/>
      <c r="BU50" s="97" t="n"/>
      <c r="BV50" s="96" t="n"/>
      <c r="BW50" s="97" t="n"/>
      <c r="BX50" s="97" t="n"/>
      <c r="BY50" s="97" t="n"/>
      <c r="BZ50" s="97" t="n"/>
      <c r="CA50" s="98" t="n"/>
      <c r="CH50" s="2" t="n"/>
      <c r="CI50" s="26" t="n"/>
      <c r="CJ50" s="26" t="n"/>
      <c r="CK50" s="26" t="n"/>
      <c r="CL50" s="26" t="n"/>
      <c r="CM50" s="26" t="n"/>
      <c r="CN50" s="26" t="n"/>
      <c r="CO50" s="26" t="n"/>
      <c r="CP50" s="26" t="n"/>
      <c r="CQ50" s="26" t="n"/>
      <c r="CR50" s="26" t="n"/>
      <c r="CS50" s="26" t="n"/>
      <c r="CT50" s="26" t="n"/>
      <c r="CU50" s="26" t="n"/>
      <c r="CV50" s="26" t="n"/>
      <c r="CW50" s="26" t="n"/>
      <c r="CX50" s="26" t="n"/>
      <c r="CY50" s="26" t="n"/>
      <c r="DA50" s="25" t="n"/>
      <c r="DC50" s="26" t="n"/>
      <c r="DD50" s="26" t="n"/>
      <c r="DE50" s="26" t="n"/>
      <c r="DF50" s="26" t="n"/>
      <c r="DG50" s="26" t="n"/>
      <c r="DH50" s="27" t="n"/>
      <c r="DJ50" s="211" t="inlineStr">
        <is>
          <t>订单表中未找到</t>
        </is>
      </c>
      <c r="DK50" t="inlineStr">
        <is>
          <t>—</t>
        </is>
      </c>
      <c r="DL50" t="inlineStr">
        <is>
          <t>—</t>
        </is>
      </c>
    </row>
    <row r="51" ht="15.75" customHeight="1" s="187">
      <c r="A51" s="84" t="n">
        <v>45670</v>
      </c>
      <c r="B51" s="206" t="inlineStr">
        <is>
          <t>已收货</t>
        </is>
      </c>
      <c r="C51" s="86" t="inlineStr">
        <is>
          <t>2440984801713865851</t>
        </is>
      </c>
      <c r="D51" s="87" t="inlineStr">
        <is>
          <t>李小冲</t>
        </is>
      </c>
      <c r="E51" s="87" t="n"/>
      <c r="F51" s="87" t="n"/>
      <c r="G51" s="87" t="inlineStr">
        <is>
          <t>样块</t>
        </is>
      </c>
      <c r="H51" s="207" t="inlineStr">
        <is>
          <t>样块</t>
        </is>
      </c>
      <c r="I51" s="89" t="n"/>
      <c r="J51" s="87" t="inlineStr">
        <is>
          <t>已结算</t>
        </is>
      </c>
      <c r="K51" s="87" t="inlineStr">
        <is>
          <t>杭州</t>
        </is>
      </c>
      <c r="L51" s="207">
        <f>SUM(M51:AO51)</f>
        <v/>
      </c>
      <c r="M51" s="207" t="n">
        <v>5</v>
      </c>
      <c r="N51" s="207" t="n"/>
      <c r="O51" s="207" t="n"/>
      <c r="P51" s="207" t="n"/>
      <c r="Q51" s="207" t="n"/>
      <c r="R51" s="207" t="n"/>
      <c r="S51" s="207" t="n"/>
      <c r="T51" s="207" t="n"/>
      <c r="U51" s="207" t="n"/>
      <c r="V51" s="207" t="n"/>
      <c r="W51" s="207" t="n"/>
      <c r="X51" s="207" t="n"/>
      <c r="Y51" s="207" t="n"/>
      <c r="Z51" s="207" t="n"/>
      <c r="AA51" s="207" t="n"/>
      <c r="AB51" s="207" t="n"/>
      <c r="AC51" s="207" t="n"/>
      <c r="AD51" s="207" t="n"/>
      <c r="AE51" s="207" t="n"/>
      <c r="AF51" s="207" t="n"/>
      <c r="AG51" s="207" t="n"/>
      <c r="AH51" s="207" t="n"/>
      <c r="AI51" s="207" t="n"/>
      <c r="AJ51" s="207" t="n"/>
      <c r="AK51" s="207" t="n"/>
      <c r="AL51" s="207" t="n"/>
      <c r="AM51" s="207" t="n">
        <v>2</v>
      </c>
      <c r="AN51" s="207" t="n"/>
      <c r="AO51" s="207" t="n"/>
      <c r="AP51" s="207" t="n">
        <v>5</v>
      </c>
      <c r="AQ51" s="207" t="n">
        <v>0</v>
      </c>
      <c r="AR51" s="207" t="n">
        <v>0</v>
      </c>
      <c r="AS51" s="207" t="n">
        <v>0</v>
      </c>
      <c r="AT51" s="207" t="n">
        <v>0</v>
      </c>
      <c r="AU51" s="207" t="n">
        <v>0</v>
      </c>
      <c r="AV51" s="207" t="n">
        <v>0</v>
      </c>
      <c r="AW51" s="207" t="n">
        <v>0</v>
      </c>
      <c r="AX51" s="208" t="n">
        <v>1</v>
      </c>
      <c r="AY51" s="209" t="n">
        <v>10</v>
      </c>
      <c r="AZ51" s="207" t="n">
        <v>16.27</v>
      </c>
      <c r="BA51" s="207" t="n">
        <v>0</v>
      </c>
      <c r="BB51" s="207">
        <f>AZ51*0.006</f>
        <v/>
      </c>
      <c r="BC51" s="209">
        <f>AZ51+BA51-BB51</f>
        <v/>
      </c>
      <c r="BD51" s="207">
        <f>AT51+AU51</f>
        <v/>
      </c>
      <c r="BE51" s="207" t="n">
        <v>0</v>
      </c>
      <c r="BF51" s="209" t="n">
        <v>0</v>
      </c>
      <c r="BG51" s="209">
        <f>BC51-AY51+BF51</f>
        <v/>
      </c>
      <c r="BH51" s="87" t="inlineStr">
        <is>
          <t>李小冲</t>
        </is>
      </c>
      <c r="BI51" s="87" t="inlineStr">
        <is>
          <t>四川省德阳市旌阳区旌东街道西湖街1号旌港花园10栋</t>
        </is>
      </c>
      <c r="BJ51" s="87" t="inlineStr">
        <is>
          <t>13140292573-4724</t>
        </is>
      </c>
      <c r="BK51" s="86" t="n"/>
      <c r="BL51" s="210">
        <f>BC51</f>
        <v/>
      </c>
      <c r="BM51" s="93" t="n"/>
      <c r="BN51" s="94" t="n"/>
      <c r="BO51" s="95" t="n"/>
      <c r="BP51" s="86" t="n"/>
      <c r="BQ51" s="96" t="n"/>
      <c r="BR51" s="96" t="n"/>
      <c r="BS51" s="97" t="n"/>
      <c r="BT51" s="96" t="n"/>
      <c r="BU51" s="97" t="n"/>
      <c r="BV51" s="96" t="n"/>
      <c r="BW51" s="97" t="n"/>
      <c r="BX51" s="97" t="n"/>
      <c r="BY51" s="97" t="n"/>
      <c r="BZ51" s="97" t="n"/>
      <c r="CA51" s="98" t="n"/>
      <c r="CH51" s="2" t="n"/>
      <c r="CI51" s="26" t="n"/>
      <c r="CJ51" s="26" t="n"/>
      <c r="CK51" s="26" t="n"/>
      <c r="CL51" s="26" t="n"/>
      <c r="CM51" s="26" t="n"/>
      <c r="CN51" s="26" t="n"/>
      <c r="CO51" s="26" t="n"/>
      <c r="CP51" s="26" t="n"/>
      <c r="CQ51" s="26" t="n"/>
      <c r="CR51" s="26" t="n"/>
      <c r="CS51" s="26" t="n"/>
      <c r="CT51" s="26" t="n"/>
      <c r="CU51" s="26" t="n"/>
      <c r="CV51" s="26" t="n"/>
      <c r="CW51" s="26" t="n"/>
      <c r="CX51" s="26" t="n"/>
      <c r="CY51" s="26" t="n"/>
      <c r="DA51" s="25" t="n"/>
      <c r="DC51" s="26" t="n"/>
      <c r="DD51" s="26" t="n"/>
      <c r="DE51" s="26" t="n"/>
      <c r="DF51" s="26" t="n"/>
      <c r="DG51" s="26" t="n"/>
      <c r="DH51" s="27" t="n"/>
      <c r="DJ51" s="211" t="inlineStr">
        <is>
          <t>订单表中未找到</t>
        </is>
      </c>
      <c r="DK51" t="inlineStr">
        <is>
          <t>—</t>
        </is>
      </c>
      <c r="DL51" t="inlineStr">
        <is>
          <t>—</t>
        </is>
      </c>
    </row>
    <row r="52" ht="15.75" customHeight="1" s="187">
      <c r="A52" s="84" t="n">
        <v>45672</v>
      </c>
      <c r="B52" s="206" t="inlineStr">
        <is>
          <t>已收货</t>
        </is>
      </c>
      <c r="C52" s="86" t="inlineStr">
        <is>
          <t>2443571942606194763</t>
        </is>
      </c>
      <c r="D52" s="87" t="inlineStr">
        <is>
          <t>陆聪</t>
        </is>
      </c>
      <c r="E52" s="87" t="n"/>
      <c r="F52" s="87" t="n"/>
      <c r="G52" s="207" t="inlineStr">
        <is>
          <t>洞石整柜2.1米-定制（多抽组合）（分类抽屉+玻璃移门+开门）</t>
        </is>
      </c>
      <c r="H52" s="87" t="inlineStr">
        <is>
          <t>洞石餐边柜</t>
        </is>
      </c>
      <c r="I52" s="89" t="n">
        <v>2100</v>
      </c>
      <c r="J52" s="87" t="inlineStr">
        <is>
          <t>已结算</t>
        </is>
      </c>
      <c r="K52" s="87" t="inlineStr">
        <is>
          <t>江西</t>
        </is>
      </c>
      <c r="L52" s="207">
        <f>SUM(M52:AO52)</f>
        <v/>
      </c>
      <c r="M52" s="207">
        <f>6600</f>
        <v/>
      </c>
      <c r="N52" s="207">
        <f>2.058*260+12+2*55</f>
        <v/>
      </c>
      <c r="O52" s="207" t="n">
        <v>320</v>
      </c>
      <c r="P52" s="207" t="n">
        <v>690</v>
      </c>
      <c r="Q52" s="207" t="n">
        <v>657.08</v>
      </c>
      <c r="R52" s="207" t="n">
        <v>84</v>
      </c>
      <c r="S52" s="207" t="n">
        <v>14</v>
      </c>
      <c r="T52" s="207" t="n">
        <v>8.5</v>
      </c>
      <c r="U52" s="207" t="n">
        <v>20</v>
      </c>
      <c r="V52" s="207" t="n"/>
      <c r="W52" s="207" t="n">
        <v>7</v>
      </c>
      <c r="X52" s="207">
        <f>22*7</f>
        <v/>
      </c>
      <c r="Y52" s="207" t="inlineStr">
        <is>
          <t>52*2</t>
        </is>
      </c>
      <c r="Z52" s="207">
        <f>3.5+14</f>
        <v/>
      </c>
      <c r="AA52" s="207" t="n"/>
      <c r="AB52" s="207" t="n"/>
      <c r="AC52" s="207" t="n">
        <v>10</v>
      </c>
      <c r="AD52" s="207" t="n">
        <v>490</v>
      </c>
      <c r="AE52" s="207" t="n">
        <v>14</v>
      </c>
      <c r="AF52" s="207" t="n">
        <v>20</v>
      </c>
      <c r="AG52" s="207" t="n"/>
      <c r="AH52" s="207" t="n"/>
      <c r="AI52" s="207" t="n"/>
      <c r="AJ52" s="207" t="n"/>
      <c r="AK52" s="207" t="n"/>
      <c r="AL52" s="207" t="n"/>
      <c r="AM52" s="207" t="n">
        <v>330</v>
      </c>
      <c r="AN52" s="207" t="n"/>
      <c r="AO52" s="207" t="n"/>
      <c r="AP52" s="207">
        <f>470+156-80</f>
        <v/>
      </c>
      <c r="AQ52" s="207" t="n">
        <v>100</v>
      </c>
      <c r="AR52" s="207">
        <f>148+248</f>
        <v/>
      </c>
      <c r="AS52" s="207" t="n">
        <v>0</v>
      </c>
      <c r="AT52" s="207" t="n">
        <v>0</v>
      </c>
      <c r="AU52" s="207" t="n">
        <v>0</v>
      </c>
      <c r="AV52" s="207">
        <f>100+20+100</f>
        <v/>
      </c>
      <c r="AW52" s="207" t="n">
        <v>0</v>
      </c>
      <c r="AX52" s="208" t="n">
        <v>1</v>
      </c>
      <c r="AY52" s="209">
        <f>L52*AX52+AP52+AQ52+AR52+AV52+AW52+AS52+AT52+AU52</f>
        <v/>
      </c>
      <c r="AZ52" s="207" t="n">
        <v>13807</v>
      </c>
      <c r="BA52" s="207" t="n">
        <v>0</v>
      </c>
      <c r="BB52" s="207">
        <f>AZ52*0.006</f>
        <v/>
      </c>
      <c r="BC52" s="209">
        <f>AZ52+BA52-BB52</f>
        <v/>
      </c>
      <c r="BD52" s="207">
        <f>AT52+AU52</f>
        <v/>
      </c>
      <c r="BE52" s="207" t="n">
        <v>0</v>
      </c>
      <c r="BF52" s="209">
        <f>BD52+BE52</f>
        <v/>
      </c>
      <c r="BG52" s="209">
        <f>BC52-AY52+BF52</f>
        <v/>
      </c>
      <c r="BH52" s="87" t="inlineStr">
        <is>
          <t>陆聪</t>
        </is>
      </c>
      <c r="BI52" s="87" t="inlineStr">
        <is>
          <t>广东省 深圳市 龙华区 民治街道 金亨利瑜璟苑B栋2302</t>
        </is>
      </c>
      <c r="BJ52" s="87" t="inlineStr">
        <is>
          <t>18466228509-9179</t>
        </is>
      </c>
      <c r="BK52" s="86" t="n"/>
      <c r="BL52" s="210">
        <f>BC52</f>
        <v/>
      </c>
      <c r="BM52" s="93">
        <f>BL52+AW52-BC52</f>
        <v/>
      </c>
      <c r="BN52" s="94">
        <f>BG52/BC52</f>
        <v/>
      </c>
      <c r="BO52" s="95" t="n"/>
      <c r="BP52" s="86" t="n"/>
      <c r="BQ52" s="96" t="n"/>
      <c r="BR52" s="96" t="n"/>
      <c r="BS52" s="97" t="n"/>
      <c r="BT52" s="96" t="n"/>
      <c r="BU52" s="97" t="n"/>
      <c r="BV52" s="96" t="n"/>
      <c r="BW52" s="97" t="n"/>
      <c r="BX52" s="97" t="n"/>
      <c r="BY52" s="97" t="n"/>
      <c r="BZ52" s="97" t="n"/>
      <c r="CA52" s="98" t="n"/>
      <c r="CH52" s="2" t="n"/>
      <c r="CI52" s="26" t="n"/>
      <c r="CJ52" s="26" t="n"/>
      <c r="CK52" s="26" t="n"/>
      <c r="CL52" s="26" t="n"/>
      <c r="CM52" s="26" t="n"/>
      <c r="CN52" s="26" t="n"/>
      <c r="CO52" s="26" t="n"/>
      <c r="CP52" s="26" t="n"/>
      <c r="CQ52" s="26" t="n"/>
      <c r="CR52" s="26" t="n"/>
      <c r="CS52" s="26" t="n"/>
      <c r="CT52" s="26" t="n"/>
      <c r="CU52" s="26" t="n"/>
      <c r="CV52" s="26" t="n"/>
      <c r="CW52" s="26" t="n"/>
      <c r="CX52" s="26" t="n"/>
      <c r="CY52" s="26" t="n"/>
      <c r="DA52" s="25" t="n"/>
      <c r="DC52" s="26" t="n"/>
      <c r="DD52" s="26" t="n"/>
      <c r="DE52" s="26" t="n"/>
      <c r="DF52" s="26" t="n"/>
      <c r="DG52" s="26" t="n"/>
      <c r="DH52" s="27" t="n"/>
      <c r="DJ52" s="211" t="inlineStr">
        <is>
          <t>订单表中未找到</t>
        </is>
      </c>
      <c r="DK52" t="inlineStr">
        <is>
          <t>—</t>
        </is>
      </c>
      <c r="DL52" t="inlineStr">
        <is>
          <t>—</t>
        </is>
      </c>
    </row>
    <row r="53" ht="15.75" customHeight="1" s="187">
      <c r="A53" s="84" t="n">
        <v>45672</v>
      </c>
      <c r="B53" s="206" t="inlineStr">
        <is>
          <t>已收货</t>
        </is>
      </c>
      <c r="C53" s="86" t="inlineStr">
        <is>
          <t>2443497960963633060</t>
        </is>
      </c>
      <c r="D53" s="87" t="inlineStr">
        <is>
          <t>小刘</t>
        </is>
      </c>
      <c r="E53" s="87" t="n"/>
      <c r="F53" s="87" t="n"/>
      <c r="G53" s="87" t="inlineStr">
        <is>
          <t>砂白色1.6米岩板餐桌</t>
        </is>
      </c>
      <c r="H53" s="87" t="inlineStr">
        <is>
          <t>榉木餐桌</t>
        </is>
      </c>
      <c r="I53" s="89" t="inlineStr">
        <is>
          <t>160cm*85cm</t>
        </is>
      </c>
      <c r="J53" s="87" t="inlineStr">
        <is>
          <t>已结算</t>
        </is>
      </c>
      <c r="K53" s="87" t="inlineStr">
        <is>
          <t>江西</t>
        </is>
      </c>
      <c r="L53" s="207">
        <f>SUM(M53:AO53)</f>
        <v/>
      </c>
      <c r="M53" s="207">
        <f>1520</f>
        <v/>
      </c>
      <c r="N53" s="207" t="n"/>
      <c r="O53" s="207" t="n"/>
      <c r="P53" s="207" t="n"/>
      <c r="Q53" s="207" t="n"/>
      <c r="R53" s="207" t="n">
        <v>390</v>
      </c>
      <c r="S53" s="207" t="n"/>
      <c r="T53" s="207" t="n"/>
      <c r="U53" s="207" t="n"/>
      <c r="V53" s="207" t="n"/>
      <c r="W53" s="207" t="n"/>
      <c r="X53" s="207" t="n"/>
      <c r="Y53" s="207" t="n"/>
      <c r="Z53" s="207" t="n"/>
      <c r="AA53" s="207" t="n"/>
      <c r="AB53" s="207" t="n"/>
      <c r="AC53" s="207" t="n"/>
      <c r="AD53" s="207" t="n">
        <v>2.5</v>
      </c>
      <c r="AE53" s="207" t="n"/>
      <c r="AF53" s="207" t="n"/>
      <c r="AG53" s="207" t="n"/>
      <c r="AH53" s="207" t="n"/>
      <c r="AI53" s="207" t="n"/>
      <c r="AJ53" s="207" t="n"/>
      <c r="AK53" s="207" t="n"/>
      <c r="AL53" s="207" t="n"/>
      <c r="AM53" s="207" t="n">
        <v>120</v>
      </c>
      <c r="AN53" s="207" t="n"/>
      <c r="AO53" s="207" t="n"/>
      <c r="AP53" s="207" t="n">
        <v>192</v>
      </c>
      <c r="AQ53" s="207" t="n">
        <v>51</v>
      </c>
      <c r="AR53" s="207" t="n">
        <v>80</v>
      </c>
      <c r="AS53" s="207" t="n">
        <v>0</v>
      </c>
      <c r="AT53" s="207" t="n">
        <v>0</v>
      </c>
      <c r="AU53" s="207" t="n">
        <v>0</v>
      </c>
      <c r="AV53" s="207" t="n">
        <v>0</v>
      </c>
      <c r="AW53" s="207" t="n">
        <v>0</v>
      </c>
      <c r="AX53" s="208" t="n">
        <v>1</v>
      </c>
      <c r="AY53" s="209">
        <f>L53*AX53+AP53+AQ53+AR53+AV53+AW53+AS53+AT53+AU53</f>
        <v/>
      </c>
      <c r="AZ53" s="207" t="n">
        <v>2931.09</v>
      </c>
      <c r="BA53" s="207" t="n">
        <v>0</v>
      </c>
      <c r="BB53" s="207">
        <f>AZ53*0.006</f>
        <v/>
      </c>
      <c r="BC53" s="209">
        <f>AZ53+BA53-BB53</f>
        <v/>
      </c>
      <c r="BD53" s="207">
        <f>AT53+AU53</f>
        <v/>
      </c>
      <c r="BE53" s="207" t="n">
        <v>0</v>
      </c>
      <c r="BF53" s="209">
        <f>BD53+BE53</f>
        <v/>
      </c>
      <c r="BG53" s="209">
        <f>BC53-AY53+BF53</f>
        <v/>
      </c>
      <c r="BH53" s="87" t="inlineStr">
        <is>
          <t>小刘</t>
        </is>
      </c>
      <c r="BI53" s="87" t="inlineStr">
        <is>
          <t>广东省 广州市 天河区 珠吉街道岐山路183号珠江花城18栋502</t>
        </is>
      </c>
      <c r="BJ53" s="87" t="inlineStr">
        <is>
          <t>18620586049-1339</t>
        </is>
      </c>
      <c r="BK53" s="86" t="n"/>
      <c r="BL53" s="210">
        <f>BC53</f>
        <v/>
      </c>
      <c r="BM53" s="93">
        <f>BL53+AW53-BC53</f>
        <v/>
      </c>
      <c r="BN53" s="94">
        <f>BG53/BC53</f>
        <v/>
      </c>
      <c r="BO53" s="95" t="n"/>
      <c r="BP53" s="86" t="n"/>
      <c r="BQ53" s="96" t="n"/>
      <c r="BR53" s="96" t="n"/>
      <c r="BS53" s="97" t="n"/>
      <c r="BT53" s="96" t="n"/>
      <c r="BU53" s="97" t="n"/>
      <c r="BV53" s="96" t="n"/>
      <c r="BW53" s="97" t="n"/>
      <c r="BX53" s="97" t="n"/>
      <c r="BY53" s="97" t="n"/>
      <c r="BZ53" s="97" t="n"/>
      <c r="CA53" s="98" t="n"/>
      <c r="CH53" s="2" t="n"/>
      <c r="CI53" s="26" t="n"/>
      <c r="CJ53" s="26" t="n"/>
      <c r="CK53" s="26" t="n"/>
      <c r="CL53" s="26" t="n"/>
      <c r="CM53" s="26" t="n"/>
      <c r="CN53" s="26" t="n"/>
      <c r="CO53" s="26" t="n"/>
      <c r="CP53" s="26" t="n"/>
      <c r="CQ53" s="26" t="n"/>
      <c r="CR53" s="26" t="n"/>
      <c r="CS53" s="26" t="n"/>
      <c r="CT53" s="26" t="n"/>
      <c r="CU53" s="26" t="n"/>
      <c r="CV53" s="26" t="n"/>
      <c r="CW53" s="26" t="n"/>
      <c r="CX53" s="26" t="n"/>
      <c r="CY53" s="26" t="n"/>
      <c r="DA53" s="25" t="n"/>
      <c r="DC53" s="26" t="n"/>
      <c r="DD53" s="26" t="n"/>
      <c r="DE53" s="26" t="n"/>
      <c r="DF53" s="26" t="n"/>
      <c r="DG53" s="26" t="n"/>
      <c r="DH53" s="27" t="n"/>
      <c r="DJ53" s="211" t="inlineStr">
        <is>
          <t>订单表中未找到</t>
        </is>
      </c>
      <c r="DK53" t="inlineStr">
        <is>
          <t>—</t>
        </is>
      </c>
      <c r="DL53" t="inlineStr">
        <is>
          <t>—</t>
        </is>
      </c>
    </row>
    <row r="54" ht="15.75" customHeight="1" s="187">
      <c r="A54" s="84" t="n">
        <v>45675</v>
      </c>
      <c r="B54" s="206" t="inlineStr">
        <is>
          <t>已收货</t>
        </is>
      </c>
      <c r="C54" s="86" t="inlineStr">
        <is>
          <t>4205908980690127225</t>
        </is>
      </c>
      <c r="D54" s="87" t="inlineStr">
        <is>
          <t>刘兆</t>
        </is>
      </c>
      <c r="E54" s="87" t="n"/>
      <c r="F54" s="87" t="n"/>
      <c r="G54" s="87" t="inlineStr">
        <is>
          <t>样块*4</t>
        </is>
      </c>
      <c r="H54" s="207" t="inlineStr">
        <is>
          <t>样块</t>
        </is>
      </c>
      <c r="I54" s="89" t="n"/>
      <c r="J54" s="87" t="inlineStr">
        <is>
          <t>已结算</t>
        </is>
      </c>
      <c r="K54" s="87" t="inlineStr">
        <is>
          <t>杭州</t>
        </is>
      </c>
      <c r="L54" s="207">
        <f>SUM(M54:AO54)</f>
        <v/>
      </c>
      <c r="M54" s="207" t="n">
        <v>20</v>
      </c>
      <c r="N54" s="207" t="n"/>
      <c r="O54" s="207" t="n"/>
      <c r="P54" s="207" t="n"/>
      <c r="Q54" s="207" t="n"/>
      <c r="R54" s="207" t="n"/>
      <c r="S54" s="207" t="n"/>
      <c r="T54" s="207" t="n"/>
      <c r="U54" s="207" t="n"/>
      <c r="V54" s="207" t="n"/>
      <c r="W54" s="207" t="n"/>
      <c r="X54" s="207" t="n"/>
      <c r="Y54" s="207" t="n"/>
      <c r="Z54" s="207" t="n"/>
      <c r="AA54" s="207" t="n"/>
      <c r="AB54" s="207" t="n"/>
      <c r="AC54" s="207" t="n"/>
      <c r="AD54" s="207" t="n"/>
      <c r="AE54" s="207" t="n"/>
      <c r="AF54" s="207" t="n"/>
      <c r="AG54" s="207" t="n"/>
      <c r="AH54" s="207" t="n"/>
      <c r="AI54" s="207" t="n"/>
      <c r="AJ54" s="207" t="n"/>
      <c r="AK54" s="207" t="n"/>
      <c r="AL54" s="207" t="n"/>
      <c r="AM54" s="207" t="n">
        <v>2</v>
      </c>
      <c r="AN54" s="207" t="n"/>
      <c r="AO54" s="207" t="n"/>
      <c r="AP54" s="207" t="n">
        <v>5</v>
      </c>
      <c r="AQ54" s="207" t="n">
        <v>0</v>
      </c>
      <c r="AR54" s="207" t="n">
        <v>0</v>
      </c>
      <c r="AS54" s="207" t="n">
        <v>0</v>
      </c>
      <c r="AT54" s="207" t="n">
        <v>0</v>
      </c>
      <c r="AU54" s="207" t="n">
        <v>0</v>
      </c>
      <c r="AV54" s="207" t="n">
        <v>0</v>
      </c>
      <c r="AW54" s="207" t="n">
        <v>0</v>
      </c>
      <c r="AX54" s="208" t="n">
        <v>1</v>
      </c>
      <c r="AY54" s="209">
        <f>L54*AX54+AP54+AQ54+AR54+AV54+AW54+AS54+AT54+AU54</f>
        <v/>
      </c>
      <c r="AZ54" s="207" t="n">
        <v>100</v>
      </c>
      <c r="BA54" s="207" t="n">
        <v>0</v>
      </c>
      <c r="BB54" s="207">
        <f>AZ54*0.006</f>
        <v/>
      </c>
      <c r="BC54" s="209">
        <f>AZ54+BA54-BB54</f>
        <v/>
      </c>
      <c r="BD54" s="207">
        <f>AT54+AU54</f>
        <v/>
      </c>
      <c r="BE54" s="207" t="n">
        <v>0</v>
      </c>
      <c r="BF54" s="209" t="n">
        <v>0</v>
      </c>
      <c r="BG54" s="209">
        <f>BC54-AY54+BF54</f>
        <v/>
      </c>
      <c r="BH54" s="87" t="inlineStr">
        <is>
          <t>刘兆</t>
        </is>
      </c>
      <c r="BI54" s="87" t="inlineStr">
        <is>
          <t>北京北京市朝阳区建外街道大望路阳光100 a3303</t>
        </is>
      </c>
      <c r="BJ54" s="87" t="inlineStr">
        <is>
          <t>13141380749-8729</t>
        </is>
      </c>
      <c r="BK54" s="86" t="n"/>
      <c r="BL54" s="210">
        <f>BC54</f>
        <v/>
      </c>
      <c r="BM54" s="93" t="n"/>
      <c r="BN54" s="94">
        <f>BG54/BC54</f>
        <v/>
      </c>
      <c r="BO54" s="95" t="n"/>
      <c r="BP54" s="86" t="n"/>
      <c r="BQ54" s="96" t="n"/>
      <c r="BR54" s="96" t="n"/>
      <c r="BS54" s="97" t="n"/>
      <c r="BT54" s="96" t="n"/>
      <c r="BU54" s="97" t="n"/>
      <c r="BV54" s="96" t="n"/>
      <c r="BW54" s="97" t="n"/>
      <c r="BX54" s="97" t="n"/>
      <c r="BY54" s="97" t="n"/>
      <c r="BZ54" s="97" t="n"/>
      <c r="CA54" s="98" t="n"/>
      <c r="CH54" s="2" t="n"/>
      <c r="CI54" s="26" t="n"/>
      <c r="CJ54" s="26" t="n"/>
      <c r="CK54" s="26" t="n"/>
      <c r="CL54" s="26" t="n"/>
      <c r="CM54" s="26" t="n"/>
      <c r="CN54" s="26" t="n"/>
      <c r="CO54" s="26" t="n"/>
      <c r="CP54" s="26" t="n"/>
      <c r="CQ54" s="26" t="n"/>
      <c r="CR54" s="26" t="n"/>
      <c r="CS54" s="26" t="n"/>
      <c r="CT54" s="26" t="n"/>
      <c r="CU54" s="26" t="n"/>
      <c r="CV54" s="26" t="n"/>
      <c r="CW54" s="26" t="n"/>
      <c r="CX54" s="26" t="n"/>
      <c r="CY54" s="26" t="n"/>
      <c r="DA54" s="25" t="n"/>
      <c r="DC54" s="26" t="n"/>
      <c r="DD54" s="26" t="n"/>
      <c r="DE54" s="26" t="n"/>
      <c r="DF54" s="26" t="n"/>
      <c r="DG54" s="26" t="n"/>
      <c r="DH54" s="27" t="n"/>
      <c r="DJ54" s="211" t="inlineStr">
        <is>
          <t>订单表中未找到</t>
        </is>
      </c>
      <c r="DK54" t="inlineStr">
        <is>
          <t>—</t>
        </is>
      </c>
      <c r="DL54" t="inlineStr">
        <is>
          <t>—</t>
        </is>
      </c>
    </row>
    <row r="55" ht="15.75" customHeight="1" s="187">
      <c r="A55" s="99" t="n">
        <v>45678</v>
      </c>
      <c r="B55" s="100" t="inlineStr">
        <is>
          <t>退单</t>
        </is>
      </c>
      <c r="C55" s="101" t="inlineStr">
        <is>
          <t>4212578414312307316</t>
        </is>
      </c>
      <c r="D55" s="100" t="inlineStr">
        <is>
          <t>郭</t>
        </is>
      </c>
      <c r="E55" s="100" t="n"/>
      <c r="F55" s="100" t="n"/>
      <c r="G55" s="100" t="inlineStr">
        <is>
          <t>砂白色1.6米岩板餐桌</t>
        </is>
      </c>
      <c r="H55" s="100" t="inlineStr">
        <is>
          <t>榉木餐桌</t>
        </is>
      </c>
      <c r="I55" s="102" t="inlineStr">
        <is>
          <t>160cm*85cm</t>
        </is>
      </c>
      <c r="J55" s="100" t="inlineStr">
        <is>
          <t>已结算</t>
        </is>
      </c>
      <c r="K55" s="100" t="inlineStr">
        <is>
          <t>江西</t>
        </is>
      </c>
      <c r="L55" s="212" t="n">
        <v>0</v>
      </c>
      <c r="M55" s="212" t="n">
        <v>0</v>
      </c>
      <c r="N55" s="212" t="n"/>
      <c r="O55" s="212" t="n"/>
      <c r="P55" s="212" t="n"/>
      <c r="Q55" s="212" t="n"/>
      <c r="R55" s="212" t="n"/>
      <c r="S55" s="212" t="n"/>
      <c r="T55" s="212" t="n"/>
      <c r="U55" s="212" t="n"/>
      <c r="V55" s="212" t="n"/>
      <c r="W55" s="212" t="n"/>
      <c r="X55" s="212" t="n"/>
      <c r="Y55" s="212" t="n"/>
      <c r="Z55" s="212" t="n"/>
      <c r="AA55" s="212" t="n"/>
      <c r="AB55" s="212" t="n"/>
      <c r="AC55" s="212" t="n"/>
      <c r="AD55" s="212" t="n"/>
      <c r="AE55" s="212" t="n"/>
      <c r="AF55" s="212" t="n"/>
      <c r="AG55" s="212" t="n"/>
      <c r="AH55" s="212" t="n"/>
      <c r="AI55" s="212" t="n"/>
      <c r="AJ55" s="212" t="n"/>
      <c r="AK55" s="212" t="n"/>
      <c r="AL55" s="212" t="n"/>
      <c r="AM55" s="213" t="n"/>
      <c r="AN55" s="213" t="n"/>
      <c r="AO55" s="213" t="n"/>
      <c r="AP55" s="213" t="n">
        <v>0</v>
      </c>
      <c r="AQ55" s="213" t="n">
        <v>0</v>
      </c>
      <c r="AR55" s="213" t="n">
        <v>0</v>
      </c>
      <c r="AS55" s="213" t="n">
        <v>0</v>
      </c>
      <c r="AT55" s="213" t="n">
        <v>0</v>
      </c>
      <c r="AU55" s="213" t="n">
        <v>0</v>
      </c>
      <c r="AV55" s="213" t="n">
        <v>0</v>
      </c>
      <c r="AW55" s="213" t="n">
        <v>0</v>
      </c>
      <c r="AX55" s="214" t="n">
        <v>1</v>
      </c>
      <c r="AY55" s="213">
        <f>L55*AX55+AP55+AQ55+AR55+AV55+AW55+AS55+AT55+AU55</f>
        <v/>
      </c>
      <c r="AZ55" s="213" t="n">
        <v>0</v>
      </c>
      <c r="BA55" s="213" t="n">
        <v>0</v>
      </c>
      <c r="BB55" s="213" t="n">
        <v>0</v>
      </c>
      <c r="BC55" s="213">
        <f>AZ55+BA55-BB55</f>
        <v/>
      </c>
      <c r="BD55" s="213">
        <f>AT55+AU55</f>
        <v/>
      </c>
      <c r="BE55" s="213" t="n">
        <v>0</v>
      </c>
      <c r="BF55" s="213">
        <f>BD55+BE55</f>
        <v/>
      </c>
      <c r="BG55" s="213">
        <f>BC55-AY55+BF55</f>
        <v/>
      </c>
      <c r="BH55" s="100" t="inlineStr">
        <is>
          <t>郭</t>
        </is>
      </c>
      <c r="BI55" s="100" t="inlineStr">
        <is>
          <t>浙江省 杭州市 余杭区 仁和街道余杭区仁和街道余山花苑10-2701</t>
        </is>
      </c>
      <c r="BJ55" s="100" t="inlineStr">
        <is>
          <t>18413283813-1269</t>
        </is>
      </c>
      <c r="BK55" s="101" t="n"/>
      <c r="BL55" s="215">
        <f>BC55</f>
        <v/>
      </c>
      <c r="BM55" s="107">
        <f>BL55+AW55-BC55</f>
        <v/>
      </c>
      <c r="BN55" s="108">
        <f>BG55/BC55</f>
        <v/>
      </c>
      <c r="BO55" s="107" t="n"/>
      <c r="BP55" s="101" t="n"/>
      <c r="BQ55" s="109" t="n"/>
      <c r="BR55" s="109" t="n"/>
      <c r="BS55" s="100" t="n"/>
      <c r="BT55" s="109" t="n"/>
      <c r="BU55" s="100" t="n"/>
      <c r="BV55" s="109" t="n"/>
      <c r="BW55" s="100" t="n"/>
      <c r="BX55" s="100" t="n"/>
      <c r="BY55" s="100" t="n"/>
      <c r="BZ55" s="100" t="n"/>
      <c r="CA55" s="98" t="n"/>
      <c r="CH55" s="2" t="n"/>
      <c r="CI55" s="26" t="n"/>
      <c r="CJ55" s="26" t="n"/>
      <c r="CK55" s="26" t="n"/>
      <c r="CL55" s="26" t="n"/>
      <c r="CM55" s="26" t="n"/>
      <c r="CN55" s="26" t="n"/>
      <c r="CO55" s="26" t="n"/>
      <c r="CP55" s="26" t="n"/>
      <c r="CQ55" s="26" t="n"/>
      <c r="CR55" s="26" t="n"/>
      <c r="CS55" s="26" t="n"/>
      <c r="CT55" s="26" t="n"/>
      <c r="CU55" s="26" t="n"/>
      <c r="CV55" s="26" t="n"/>
      <c r="CW55" s="26" t="n"/>
      <c r="CX55" s="26" t="n"/>
      <c r="CY55" s="26" t="n"/>
      <c r="DA55" s="25" t="n"/>
      <c r="DC55" s="26" t="n"/>
      <c r="DD55" s="26" t="n"/>
      <c r="DE55" s="26" t="n"/>
      <c r="DF55" s="26" t="n"/>
      <c r="DG55" s="26" t="n"/>
      <c r="DH55" s="27" t="n"/>
      <c r="DJ55" s="211" t="inlineStr">
        <is>
          <t>订单表中未找到</t>
        </is>
      </c>
      <c r="DK55" t="inlineStr">
        <is>
          <t>—</t>
        </is>
      </c>
      <c r="DL55" t="inlineStr">
        <is>
          <t>—</t>
        </is>
      </c>
    </row>
    <row r="56" ht="15.75" customHeight="1" s="187">
      <c r="A56" s="84" t="n">
        <v>45678</v>
      </c>
      <c r="B56" s="206" t="inlineStr">
        <is>
          <t>已收货</t>
        </is>
      </c>
      <c r="C56" s="86" t="inlineStr">
        <is>
          <t>2449623471695194272
2474547890505194272</t>
        </is>
      </c>
      <c r="D56" s="87" t="inlineStr">
        <is>
          <t>纪淘淘</t>
        </is>
      </c>
      <c r="E56" s="87" t="n"/>
      <c r="F56" s="87" t="n"/>
      <c r="G56" s="87" t="inlineStr">
        <is>
          <t>1.5洞石+1.2单腿桌旋转餐边柜：樱桃木，白色岩板，洞石背板，左旋</t>
        </is>
      </c>
      <c r="H56" s="87" t="inlineStr">
        <is>
          <t>旋转餐边柜</t>
        </is>
      </c>
      <c r="I56" s="89" t="n">
        <v>1500</v>
      </c>
      <c r="J56" s="87" t="inlineStr">
        <is>
          <t>已结算</t>
        </is>
      </c>
      <c r="K56" s="87" t="inlineStr">
        <is>
          <t>江西</t>
        </is>
      </c>
      <c r="L56" s="207">
        <f>5800+320+238+22*7+84+14+8.5+7+501+52*2+14+450</f>
        <v/>
      </c>
      <c r="M56" s="207">
        <f>5800</f>
        <v/>
      </c>
      <c r="N56" s="207" t="n">
        <v>320</v>
      </c>
      <c r="O56" s="207" t="n">
        <v>238</v>
      </c>
      <c r="P56" s="207" t="n"/>
      <c r="Q56" s="207" t="n"/>
      <c r="R56" s="207" t="n">
        <v>84</v>
      </c>
      <c r="S56" s="207" t="n">
        <v>14</v>
      </c>
      <c r="T56" s="207" t="n">
        <v>8.5</v>
      </c>
      <c r="U56" s="207" t="n"/>
      <c r="V56" s="207" t="n"/>
      <c r="W56" s="207" t="n">
        <v>7</v>
      </c>
      <c r="X56" s="207">
        <f>22*7</f>
        <v/>
      </c>
      <c r="Y56" s="207" t="n">
        <v>501</v>
      </c>
      <c r="Z56" s="207" t="n"/>
      <c r="AA56" s="207" t="n"/>
      <c r="AB56" s="207" t="n"/>
      <c r="AC56" s="207" t="n"/>
      <c r="AD56" s="207" t="n">
        <v>450</v>
      </c>
      <c r="AE56" s="207" t="n">
        <v>14</v>
      </c>
      <c r="AF56" s="207" t="inlineStr">
        <is>
          <t>52*2</t>
        </is>
      </c>
      <c r="AG56" s="207" t="n"/>
      <c r="AH56" s="207" t="n"/>
      <c r="AI56" s="207" t="n"/>
      <c r="AJ56" s="207" t="n"/>
      <c r="AK56" s="207" t="n"/>
      <c r="AL56" s="207" t="n"/>
      <c r="AM56" s="207" t="n">
        <v>450</v>
      </c>
      <c r="AN56" s="207" t="n"/>
      <c r="AO56" s="207" t="n"/>
      <c r="AP56" s="207" t="n">
        <v>623</v>
      </c>
      <c r="AQ56" s="207" t="n">
        <v>0</v>
      </c>
      <c r="AR56" s="207" t="n">
        <v>180</v>
      </c>
      <c r="AS56" s="207" t="n">
        <v>0</v>
      </c>
      <c r="AT56" s="207" t="n">
        <v>0</v>
      </c>
      <c r="AU56" s="207" t="n">
        <v>0</v>
      </c>
      <c r="AV56" s="207">
        <f>55*2+8+100</f>
        <v/>
      </c>
      <c r="AW56" s="207" t="n">
        <v>0</v>
      </c>
      <c r="AX56" s="208" t="n">
        <v>1</v>
      </c>
      <c r="AY56" s="209">
        <f>L56*AX56+AP56+AQ56+AR56+AV56+AW56+AS56+AT56+AU56</f>
        <v/>
      </c>
      <c r="AZ56" s="207">
        <f>11491+290</f>
        <v/>
      </c>
      <c r="BA56" s="207" t="n">
        <v>0</v>
      </c>
      <c r="BB56" s="207">
        <f>AZ56*0.006</f>
        <v/>
      </c>
      <c r="BC56" s="209">
        <f>AZ56+BA56-BB56</f>
        <v/>
      </c>
      <c r="BD56" s="207">
        <f>AT56+AU56</f>
        <v/>
      </c>
      <c r="BE56" s="207" t="n">
        <v>180</v>
      </c>
      <c r="BF56" s="209">
        <f>BD56+BE56</f>
        <v/>
      </c>
      <c r="BG56" s="209">
        <f>BC56-AY56+BF56</f>
        <v/>
      </c>
      <c r="BH56" s="87" t="inlineStr">
        <is>
          <t>纪淘淘</t>
        </is>
      </c>
      <c r="BI56" s="210" t="inlineStr">
        <is>
          <t>北京 北京市 海淀区 上地街道 农大南路33号院4号楼108（一楼）</t>
        </is>
      </c>
      <c r="BJ56" s="86" t="inlineStr">
        <is>
          <t>18400870124-5918</t>
        </is>
      </c>
      <c r="BK56" s="86" t="n"/>
      <c r="BL56" s="210">
        <f>BC56</f>
        <v/>
      </c>
      <c r="BM56" s="95" t="n"/>
      <c r="BN56" s="94">
        <f>BG56/BC56</f>
        <v/>
      </c>
      <c r="BO56" s="95" t="n"/>
      <c r="BP56" s="86" t="inlineStr">
        <is>
          <t>洞石背板   已采银色电力轨道T25，  2.058+2个插座  mini拉手，银色轨道，黑色塑料轨道，亚克力条   吊杆  洞石岩板</t>
        </is>
      </c>
      <c r="BQ56" s="96" t="n"/>
      <c r="BR56" s="96" t="inlineStr">
        <is>
          <t>纪淘淘</t>
        </is>
      </c>
      <c r="BS56" s="97" t="inlineStr">
        <is>
          <t>纯白岩板149.8*54.8，左边打孔</t>
        </is>
      </c>
      <c r="BT56" s="96" t="n"/>
      <c r="BU56" s="97" t="n"/>
      <c r="BV56" s="96" t="n"/>
      <c r="BW56" s="97" t="n"/>
      <c r="BX56" s="97" t="n"/>
      <c r="BY56" s="97" t="n"/>
      <c r="BZ56" s="97" t="n"/>
      <c r="CA56" s="98" t="n"/>
      <c r="CH56" s="2" t="n"/>
      <c r="CI56" s="26" t="n"/>
      <c r="CJ56" s="26" t="n"/>
      <c r="CK56" s="26" t="n"/>
      <c r="CL56" s="26" t="n"/>
      <c r="CM56" s="26" t="n"/>
      <c r="CN56" s="26" t="n"/>
      <c r="CO56" s="26" t="n"/>
      <c r="CP56" s="26" t="n"/>
      <c r="CQ56" s="26" t="n"/>
      <c r="CR56" s="26" t="n"/>
      <c r="CS56" s="26" t="n"/>
      <c r="CT56" s="26" t="n"/>
      <c r="CU56" s="26" t="n"/>
      <c r="CV56" s="26" t="n"/>
      <c r="CW56" s="26" t="n"/>
      <c r="CX56" s="26" t="n"/>
      <c r="CY56" s="26" t="n"/>
      <c r="DA56" s="25" t="n"/>
      <c r="DC56" s="26" t="n"/>
      <c r="DD56" s="26" t="n"/>
      <c r="DE56" s="26" t="n"/>
      <c r="DF56" s="26" t="n"/>
      <c r="DG56" s="26" t="n"/>
      <c r="DH56" s="27" t="n"/>
      <c r="DJ56" s="211" t="inlineStr">
        <is>
          <t>订单表中未找到</t>
        </is>
      </c>
      <c r="DK56" t="inlineStr">
        <is>
          <t>—</t>
        </is>
      </c>
      <c r="DL56" t="inlineStr">
        <is>
          <t>—</t>
        </is>
      </c>
    </row>
    <row r="57" ht="15.75" customHeight="1" s="187">
      <c r="A57" s="84" t="n">
        <v>45679</v>
      </c>
      <c r="B57" s="206" t="inlineStr">
        <is>
          <t>已收货</t>
        </is>
      </c>
      <c r="C57" s="86" t="inlineStr">
        <is>
          <t>2450664192671194272</t>
        </is>
      </c>
      <c r="D57" s="87" t="inlineStr">
        <is>
          <t>纪淘淘</t>
        </is>
      </c>
      <c r="E57" s="87" t="n"/>
      <c r="F57" s="87" t="n"/>
      <c r="G57" s="87" t="inlineStr">
        <is>
          <t>补差价</t>
        </is>
      </c>
      <c r="H57" s="87" t="n"/>
      <c r="I57" s="89" t="n"/>
      <c r="J57" s="87" t="inlineStr">
        <is>
          <t>已结算</t>
        </is>
      </c>
      <c r="K57" s="87" t="inlineStr">
        <is>
          <t>江西</t>
        </is>
      </c>
      <c r="L57" s="207" t="n">
        <v>0</v>
      </c>
      <c r="M57" s="207" t="n">
        <v>0</v>
      </c>
      <c r="N57" s="207" t="n"/>
      <c r="O57" s="207" t="n"/>
      <c r="P57" s="207" t="n"/>
      <c r="Q57" s="207" t="n"/>
      <c r="R57" s="207" t="n"/>
      <c r="S57" s="207" t="n"/>
      <c r="T57" s="207" t="n"/>
      <c r="U57" s="207" t="n"/>
      <c r="V57" s="207" t="n"/>
      <c r="W57" s="207" t="n"/>
      <c r="X57" s="207" t="n"/>
      <c r="Y57" s="207" t="n"/>
      <c r="Z57" s="207" t="n"/>
      <c r="AA57" s="207" t="n"/>
      <c r="AB57" s="207" t="n"/>
      <c r="AC57" s="207" t="n"/>
      <c r="AD57" s="207" t="n"/>
      <c r="AE57" s="207" t="n"/>
      <c r="AF57" s="207" t="n"/>
      <c r="AG57" s="207" t="n"/>
      <c r="AH57" s="207" t="n"/>
      <c r="AI57" s="207" t="n"/>
      <c r="AJ57" s="207" t="n"/>
      <c r="AK57" s="207" t="n"/>
      <c r="AL57" s="207" t="n"/>
      <c r="AM57" s="207" t="n"/>
      <c r="AN57" s="207" t="n"/>
      <c r="AO57" s="207" t="n"/>
      <c r="AP57" s="207" t="n"/>
      <c r="AQ57" s="207" t="n"/>
      <c r="AR57" s="207" t="n"/>
      <c r="AS57" s="207" t="n"/>
      <c r="AT57" s="207" t="n"/>
      <c r="AU57" s="207" t="n"/>
      <c r="AV57" s="207" t="n"/>
      <c r="AW57" s="207" t="n"/>
      <c r="AX57" s="208" t="n">
        <v>1</v>
      </c>
      <c r="AY57" s="209">
        <f>L57*AX57+AP57+AQ57+AR57+AV57+AW57+AS57+AT57+AU57</f>
        <v/>
      </c>
      <c r="AZ57" s="207" t="n">
        <v>621</v>
      </c>
      <c r="BA57" s="207" t="n">
        <v>0</v>
      </c>
      <c r="BB57" s="207">
        <f>AZ57*0.006</f>
        <v/>
      </c>
      <c r="BC57" s="209">
        <f>AZ57+BA57-BB57</f>
        <v/>
      </c>
      <c r="BD57" s="207">
        <f>AT57+AU57</f>
        <v/>
      </c>
      <c r="BE57" s="207" t="n">
        <v>0</v>
      </c>
      <c r="BF57" s="209">
        <f>BD57+BE57</f>
        <v/>
      </c>
      <c r="BG57" s="209">
        <f>BC57-AY57+BF57</f>
        <v/>
      </c>
      <c r="BH57" s="87" t="inlineStr">
        <is>
          <t>纪淘淘</t>
        </is>
      </c>
      <c r="BI57" s="210" t="inlineStr">
        <is>
          <t>北京 北京市 海淀区 上地街道 农大南路33号院4号楼108（一楼）</t>
        </is>
      </c>
      <c r="BJ57" s="86" t="inlineStr">
        <is>
          <t>18400870124-5918</t>
        </is>
      </c>
      <c r="BK57" s="86" t="n"/>
      <c r="BL57" s="210" t="n"/>
      <c r="BM57" s="95" t="n"/>
      <c r="BN57" s="94">
        <f>BG57/BC57</f>
        <v/>
      </c>
      <c r="BO57" s="95" t="n"/>
      <c r="BP57" s="86" t="n"/>
      <c r="BQ57" s="96" t="n"/>
      <c r="BR57" s="96" t="n"/>
      <c r="BS57" s="97" t="n"/>
      <c r="BT57" s="96" t="n"/>
      <c r="BU57" s="97" t="n"/>
      <c r="BV57" s="96" t="n"/>
      <c r="BW57" s="97" t="n"/>
      <c r="BX57" s="97" t="n"/>
      <c r="BY57" s="97" t="n"/>
      <c r="BZ57" s="97" t="n"/>
      <c r="CA57" s="98" t="n"/>
      <c r="CH57" s="2" t="n"/>
      <c r="CI57" s="26" t="n"/>
      <c r="CJ57" s="26" t="n"/>
      <c r="CK57" s="26" t="n"/>
      <c r="CL57" s="26" t="n"/>
      <c r="CM57" s="26" t="n"/>
      <c r="CN57" s="26" t="n"/>
      <c r="CO57" s="26" t="n"/>
      <c r="CP57" s="26" t="n"/>
      <c r="CQ57" s="26" t="n"/>
      <c r="CR57" s="26" t="n"/>
      <c r="CS57" s="26" t="n"/>
      <c r="CT57" s="26" t="n"/>
      <c r="CU57" s="26" t="n"/>
      <c r="CV57" s="26" t="n"/>
      <c r="CW57" s="26" t="n"/>
      <c r="CX57" s="26" t="n"/>
      <c r="CY57" s="26" t="n"/>
      <c r="DA57" s="25" t="n"/>
      <c r="DC57" s="26" t="n"/>
      <c r="DD57" s="26" t="n"/>
      <c r="DE57" s="26" t="n"/>
      <c r="DF57" s="26" t="n"/>
      <c r="DG57" s="26" t="n"/>
      <c r="DH57" s="27" t="n"/>
      <c r="DJ57" s="211" t="inlineStr">
        <is>
          <t>订单表中未找到</t>
        </is>
      </c>
      <c r="DK57" t="inlineStr">
        <is>
          <t>—</t>
        </is>
      </c>
      <c r="DL57" t="inlineStr">
        <is>
          <t>—</t>
        </is>
      </c>
    </row>
    <row r="58" ht="15.75" customHeight="1" s="187">
      <c r="A58" s="84" t="n">
        <v>45690</v>
      </c>
      <c r="B58" s="206" t="inlineStr">
        <is>
          <t>已收货</t>
        </is>
      </c>
      <c r="C58" s="86" t="inlineStr">
        <is>
          <t>2455794122232796758</t>
        </is>
      </c>
      <c r="D58" s="87" t="inlineStr">
        <is>
          <t>张嘉诚</t>
        </is>
      </c>
      <c r="E58" s="87" t="n"/>
      <c r="F58" s="87" t="n"/>
      <c r="G58" s="207" t="inlineStr">
        <is>
          <t>洞石整柜2.1米（全景组合）（全景抽屉+玻璃移门+开门）</t>
        </is>
      </c>
      <c r="H58" s="87" t="inlineStr">
        <is>
          <t>洞石餐边柜</t>
        </is>
      </c>
      <c r="I58" s="89" t="n">
        <v>2100</v>
      </c>
      <c r="J58" s="87" t="inlineStr">
        <is>
          <t>已结算</t>
        </is>
      </c>
      <c r="K58" s="87" t="inlineStr">
        <is>
          <t>江西</t>
        </is>
      </c>
      <c r="L58" s="207">
        <f>6300+680+320+22*7+84+14+8.5+7+657.08+52*2+14+490</f>
        <v/>
      </c>
      <c r="M58" s="207">
        <f>6300</f>
        <v/>
      </c>
      <c r="N58" s="207" t="n">
        <v>680</v>
      </c>
      <c r="O58" s="207" t="n">
        <v>320</v>
      </c>
      <c r="P58" s="207" t="n"/>
      <c r="Q58" s="207" t="n">
        <v>657.08</v>
      </c>
      <c r="R58" s="207" t="n">
        <v>84</v>
      </c>
      <c r="S58" s="207" t="n">
        <v>14</v>
      </c>
      <c r="T58" s="207" t="n">
        <v>8.5</v>
      </c>
      <c r="U58" s="207" t="n"/>
      <c r="V58" s="207" t="n"/>
      <c r="W58" s="207" t="n">
        <v>7</v>
      </c>
      <c r="X58" s="207">
        <f>22*7</f>
        <v/>
      </c>
      <c r="Y58" s="207" t="inlineStr">
        <is>
          <t>52*2</t>
        </is>
      </c>
      <c r="Z58" s="207">
        <f>3.5+14</f>
        <v/>
      </c>
      <c r="AA58" s="207" t="n"/>
      <c r="AB58" s="207" t="n"/>
      <c r="AC58" s="207" t="n"/>
      <c r="AD58" s="207" t="n">
        <v>490</v>
      </c>
      <c r="AE58" s="207" t="n">
        <v>14</v>
      </c>
      <c r="AF58" s="207" t="n"/>
      <c r="AG58" s="207" t="n"/>
      <c r="AH58" s="207" t="n"/>
      <c r="AI58" s="207" t="n"/>
      <c r="AJ58" s="207" t="n"/>
      <c r="AK58" s="207" t="n"/>
      <c r="AL58" s="207" t="n"/>
      <c r="AM58" s="207" t="n">
        <v>490</v>
      </c>
      <c r="AN58" s="207" t="n"/>
      <c r="AO58" s="207" t="n"/>
      <c r="AP58" s="207" t="n">
        <v>731</v>
      </c>
      <c r="AQ58" s="207" t="n">
        <v>0</v>
      </c>
      <c r="AR58" s="207" t="n">
        <v>150</v>
      </c>
      <c r="AS58" s="207" t="n">
        <v>0</v>
      </c>
      <c r="AT58" s="207" t="n">
        <v>100</v>
      </c>
      <c r="AU58" s="207" t="n">
        <v>0</v>
      </c>
      <c r="AV58" s="207" t="n">
        <v>100</v>
      </c>
      <c r="AW58" s="207" t="n">
        <v>0</v>
      </c>
      <c r="AX58" s="208" t="n">
        <v>1</v>
      </c>
      <c r="AY58" s="209">
        <f>L58*AX58+AP58+AQ58+AR58+AV58+AW58+AS58+AT58+AU58</f>
        <v/>
      </c>
      <c r="AZ58" s="207" t="n">
        <v>13701.47</v>
      </c>
      <c r="BA58" s="207" t="n">
        <v>0</v>
      </c>
      <c r="BB58" s="207">
        <f>AZ58*0.006</f>
        <v/>
      </c>
      <c r="BC58" s="209">
        <f>AZ58+BA58-BB58</f>
        <v/>
      </c>
      <c r="BD58" s="207" t="n">
        <v>0</v>
      </c>
      <c r="BE58" s="207" t="n">
        <v>0</v>
      </c>
      <c r="BF58" s="209" t="n">
        <v>0</v>
      </c>
      <c r="BG58" s="209">
        <f>BC58-AY58+BF58</f>
        <v/>
      </c>
      <c r="BH58" s="87" t="inlineStr">
        <is>
          <t>张嘉诚</t>
        </is>
      </c>
      <c r="BI58" s="210" t="inlineStr">
        <is>
          <t>山东省 青岛市 市北区 海伦路街道重庆南路128号，海尔玫瑰兰亭4号楼102户</t>
        </is>
      </c>
      <c r="BJ58" s="86" t="inlineStr">
        <is>
          <t>15165424810-2674</t>
        </is>
      </c>
      <c r="BK58" s="86" t="n"/>
      <c r="BL58" s="210">
        <f>BC58</f>
        <v/>
      </c>
      <c r="BM58" s="95" t="n"/>
      <c r="BN58" s="94">
        <f>BG58/BC58</f>
        <v/>
      </c>
      <c r="BO58" s="95" t="n"/>
      <c r="BP58" s="86" t="inlineStr">
        <is>
          <t>洞石背板   已采银色电力轨道T25，  2.058+2个插座  mini拉手，银色轨道，黑色塑料轨道，亚克力条   吊杆  洞石岩板</t>
        </is>
      </c>
      <c r="BQ58" s="96" t="n"/>
      <c r="BR58" s="96" t="inlineStr">
        <is>
          <t>张嘉诚</t>
        </is>
      </c>
      <c r="BS58" s="97" t="inlineStr">
        <is>
          <t>210*50洞石岩板，3面下挂</t>
        </is>
      </c>
      <c r="BT58" s="96" t="n"/>
      <c r="BU58" s="97" t="n"/>
      <c r="BV58" s="96" t="n"/>
      <c r="BW58" s="97" t="n"/>
      <c r="BX58" s="97" t="n"/>
      <c r="BY58" s="97" t="n"/>
      <c r="BZ58" s="97" t="n"/>
      <c r="CA58" s="98" t="n"/>
      <c r="CH58" s="2" t="n"/>
      <c r="CI58" s="26" t="n"/>
      <c r="CJ58" s="26" t="n"/>
      <c r="CK58" s="26" t="n"/>
      <c r="CL58" s="26" t="n"/>
      <c r="CM58" s="26" t="n"/>
      <c r="CN58" s="26" t="n"/>
      <c r="CO58" s="26" t="n"/>
      <c r="CP58" s="26" t="n"/>
      <c r="CQ58" s="26" t="n"/>
      <c r="CR58" s="26" t="n"/>
      <c r="CS58" s="26" t="n"/>
      <c r="CT58" s="26" t="n"/>
      <c r="CU58" s="26" t="n"/>
      <c r="CV58" s="26" t="n"/>
      <c r="CW58" s="26" t="n"/>
      <c r="CX58" s="26" t="n"/>
      <c r="CY58" s="26" t="n"/>
      <c r="DA58" s="25" t="n"/>
      <c r="DC58" s="26" t="n"/>
      <c r="DD58" s="26" t="n"/>
      <c r="DE58" s="26" t="n"/>
      <c r="DF58" s="26" t="n"/>
      <c r="DG58" s="26" t="n"/>
      <c r="DH58" s="27" t="n"/>
      <c r="DJ58" s="211" t="inlineStr">
        <is>
          <t>订单表中未找到</t>
        </is>
      </c>
      <c r="DK58" t="inlineStr">
        <is>
          <t>—</t>
        </is>
      </c>
      <c r="DL58" t="inlineStr">
        <is>
          <t>—</t>
        </is>
      </c>
    </row>
    <row r="59" ht="15.75" customHeight="1" s="187">
      <c r="A59" s="84" t="n">
        <v>45690</v>
      </c>
      <c r="B59" s="206" t="inlineStr">
        <is>
          <t>已收货</t>
        </is>
      </c>
      <c r="C59" s="86" t="inlineStr">
        <is>
          <t>4219241761048127225</t>
        </is>
      </c>
      <c r="D59" s="87" t="inlineStr">
        <is>
          <t>刘兆</t>
        </is>
      </c>
      <c r="E59" s="87" t="n"/>
      <c r="F59" s="87" t="n"/>
      <c r="G59" s="87" t="inlineStr">
        <is>
          <t>砂白色1.4米岩板餐桌</t>
        </is>
      </c>
      <c r="H59" s="87" t="inlineStr">
        <is>
          <t>榉木餐桌</t>
        </is>
      </c>
      <c r="I59" s="89" t="inlineStr">
        <is>
          <t>140cm*75cm</t>
        </is>
      </c>
      <c r="J59" s="87" t="inlineStr">
        <is>
          <t>已结算</t>
        </is>
      </c>
      <c r="K59" s="87" t="inlineStr">
        <is>
          <t>江西</t>
        </is>
      </c>
      <c r="L59" s="207">
        <f>SUM(M59:AO59)</f>
        <v/>
      </c>
      <c r="M59" s="207">
        <f>1450</f>
        <v/>
      </c>
      <c r="N59" s="207" t="n"/>
      <c r="O59" s="207" t="n"/>
      <c r="P59" s="207" t="n"/>
      <c r="Q59" s="207" t="n"/>
      <c r="R59" s="207">
        <f>340+315</f>
        <v/>
      </c>
      <c r="S59" s="207" t="n"/>
      <c r="T59" s="207" t="n"/>
      <c r="U59" s="207" t="n"/>
      <c r="V59" s="207" t="n"/>
      <c r="W59" s="207" t="n"/>
      <c r="X59" s="207" t="n"/>
      <c r="Y59" s="207" t="n"/>
      <c r="Z59" s="207" t="n"/>
      <c r="AA59" s="207" t="n"/>
      <c r="AB59" s="207" t="n"/>
      <c r="AC59" s="207" t="n"/>
      <c r="AD59" s="207" t="n">
        <v>2.5</v>
      </c>
      <c r="AE59" s="207" t="n"/>
      <c r="AF59" s="207" t="n"/>
      <c r="AG59" s="207" t="n"/>
      <c r="AH59" s="207" t="n"/>
      <c r="AI59" s="207" t="n"/>
      <c r="AJ59" s="207" t="n"/>
      <c r="AK59" s="207" t="n"/>
      <c r="AL59" s="207" t="n"/>
      <c r="AM59" s="207" t="n">
        <v>120</v>
      </c>
      <c r="AN59" s="207" t="n"/>
      <c r="AO59" s="207" t="n"/>
      <c r="AP59" s="207">
        <f>173-AQ59</f>
        <v/>
      </c>
      <c r="AQ59" s="207" t="n">
        <v>46</v>
      </c>
      <c r="AR59" s="207" t="n">
        <v>90</v>
      </c>
      <c r="AS59" s="207" t="n">
        <v>0</v>
      </c>
      <c r="AT59" s="207" t="n">
        <v>0</v>
      </c>
      <c r="AU59" s="207" t="n">
        <v>0</v>
      </c>
      <c r="AV59" s="207" t="n">
        <v>0</v>
      </c>
      <c r="AW59" s="207" t="n">
        <v>0</v>
      </c>
      <c r="AX59" s="208" t="n">
        <v>1</v>
      </c>
      <c r="AY59" s="209">
        <f>L59*AX59+AP59+AQ59+AR59+AV59+AW59+AS59+AT59+AU59</f>
        <v/>
      </c>
      <c r="AZ59" s="207" t="n">
        <v>3896</v>
      </c>
      <c r="BA59" s="207" t="n">
        <v>0</v>
      </c>
      <c r="BB59" s="207">
        <f>AZ59*0.006</f>
        <v/>
      </c>
      <c r="BC59" s="209">
        <f>AZ59+BA59-BB59</f>
        <v/>
      </c>
      <c r="BD59" s="207" t="n">
        <v>0</v>
      </c>
      <c r="BE59" s="207" t="n">
        <v>0</v>
      </c>
      <c r="BF59" s="209" t="n">
        <v>0</v>
      </c>
      <c r="BG59" s="209">
        <f>BC59-AY59+BF59</f>
        <v/>
      </c>
      <c r="BH59" s="87" t="inlineStr">
        <is>
          <t>刘兆</t>
        </is>
      </c>
      <c r="BI59" s="210" t="inlineStr">
        <is>
          <t>北京 北京市 朝阳区 建外街道大望路阳光100 a3303</t>
        </is>
      </c>
      <c r="BJ59" s="86" t="inlineStr">
        <is>
          <t>18400848396-1175</t>
        </is>
      </c>
      <c r="BK59" s="86" t="n"/>
      <c r="BL59" s="210">
        <f>BC59</f>
        <v/>
      </c>
      <c r="BM59" s="95" t="n"/>
      <c r="BN59" s="94">
        <f>BG59/BC59</f>
        <v/>
      </c>
      <c r="BO59" s="95" t="n"/>
      <c r="BP59" s="86" t="inlineStr">
        <is>
          <t>岩板</t>
        </is>
      </c>
      <c r="BQ59" s="96" t="n"/>
      <c r="BR59" s="96" t="inlineStr">
        <is>
          <t>刘兆</t>
        </is>
      </c>
      <c r="BS59" s="97" t="inlineStr">
        <is>
          <t>纯白岩板140*75</t>
        </is>
      </c>
      <c r="BT59" s="96" t="n"/>
      <c r="BU59" s="97" t="n"/>
      <c r="BV59" s="96" t="n"/>
      <c r="BW59" s="97" t="n"/>
      <c r="BX59" s="97" t="n"/>
      <c r="BY59" s="97" t="n"/>
      <c r="BZ59" s="97" t="n"/>
      <c r="CA59" s="98" t="n"/>
      <c r="CH59" s="2" t="n"/>
      <c r="CI59" s="26" t="n"/>
      <c r="CJ59" s="26" t="n"/>
      <c r="CK59" s="26" t="n"/>
      <c r="CL59" s="26" t="n"/>
      <c r="CM59" s="26" t="n"/>
      <c r="CN59" s="26" t="n"/>
      <c r="CO59" s="26" t="n"/>
      <c r="CP59" s="26" t="n"/>
      <c r="CQ59" s="26" t="n"/>
      <c r="CR59" s="26" t="n"/>
      <c r="CS59" s="26" t="n"/>
      <c r="CT59" s="26" t="n"/>
      <c r="CU59" s="26" t="n"/>
      <c r="CV59" s="26" t="n"/>
      <c r="CW59" s="26" t="n"/>
      <c r="CX59" s="26" t="n"/>
      <c r="CY59" s="26" t="n"/>
      <c r="DA59" s="25" t="n"/>
      <c r="DC59" s="26" t="n"/>
      <c r="DD59" s="26" t="n"/>
      <c r="DE59" s="26" t="n"/>
      <c r="DF59" s="26" t="n"/>
      <c r="DG59" s="26" t="n"/>
      <c r="DH59" s="27" t="n"/>
      <c r="DJ59" s="211" t="inlineStr">
        <is>
          <t>订单表中未找到</t>
        </is>
      </c>
      <c r="DK59" t="inlineStr">
        <is>
          <t>—</t>
        </is>
      </c>
      <c r="DL59" t="inlineStr">
        <is>
          <t>—</t>
        </is>
      </c>
    </row>
    <row r="60" ht="15.75" customHeight="1" s="187">
      <c r="A60" s="84" t="n">
        <v>45692</v>
      </c>
      <c r="B60" s="206" t="inlineStr">
        <is>
          <t>已收货</t>
        </is>
      </c>
      <c r="C60" s="86" t="inlineStr">
        <is>
          <t>4220756859706036044</t>
        </is>
      </c>
      <c r="D60" s="87" t="inlineStr">
        <is>
          <t>李剑</t>
        </is>
      </c>
      <c r="E60" s="87" t="n"/>
      <c r="F60" s="87" t="n"/>
      <c r="G60" s="87" t="inlineStr">
        <is>
          <t>砂白色1.6米岩板餐桌</t>
        </is>
      </c>
      <c r="H60" s="87" t="inlineStr">
        <is>
          <t>榉木餐桌</t>
        </is>
      </c>
      <c r="I60" s="89" t="inlineStr">
        <is>
          <t>160cm*85cm</t>
        </is>
      </c>
      <c r="J60" s="87" t="inlineStr">
        <is>
          <t>已结算</t>
        </is>
      </c>
      <c r="K60" s="87" t="inlineStr">
        <is>
          <t>江西</t>
        </is>
      </c>
      <c r="L60" s="207">
        <f>SUM(M60:AO60)</f>
        <v/>
      </c>
      <c r="M60" s="207">
        <f>1520</f>
        <v/>
      </c>
      <c r="N60" s="207" t="n"/>
      <c r="O60" s="207" t="n"/>
      <c r="P60" s="207" t="n"/>
      <c r="Q60" s="207" t="n"/>
      <c r="R60" s="207" t="n">
        <v>390</v>
      </c>
      <c r="S60" s="207" t="n"/>
      <c r="T60" s="207" t="n"/>
      <c r="U60" s="207" t="n"/>
      <c r="V60" s="207" t="n"/>
      <c r="W60" s="207" t="n"/>
      <c r="X60" s="207" t="n"/>
      <c r="Y60" s="207" t="n"/>
      <c r="Z60" s="207" t="n"/>
      <c r="AA60" s="207" t="n"/>
      <c r="AB60" s="207" t="n"/>
      <c r="AC60" s="207" t="n"/>
      <c r="AD60" s="207" t="n">
        <v>2.5</v>
      </c>
      <c r="AE60" s="207" t="n"/>
      <c r="AF60" s="207" t="n"/>
      <c r="AG60" s="207" t="n"/>
      <c r="AH60" s="207" t="n"/>
      <c r="AI60" s="207" t="n"/>
      <c r="AJ60" s="207" t="n"/>
      <c r="AK60" s="207" t="n"/>
      <c r="AL60" s="207" t="n"/>
      <c r="AM60" s="207" t="n">
        <v>120</v>
      </c>
      <c r="AN60" s="207" t="n"/>
      <c r="AO60" s="207" t="n"/>
      <c r="AP60" s="207" t="n">
        <v>140</v>
      </c>
      <c r="AQ60" s="207" t="n">
        <v>60</v>
      </c>
      <c r="AR60" s="207" t="n">
        <v>77</v>
      </c>
      <c r="AS60" s="207" t="n">
        <v>0</v>
      </c>
      <c r="AT60" s="207" t="n">
        <v>0</v>
      </c>
      <c r="AU60" s="207" t="n">
        <v>0</v>
      </c>
      <c r="AV60" s="207" t="n">
        <v>0</v>
      </c>
      <c r="AW60" s="207" t="n">
        <v>0</v>
      </c>
      <c r="AX60" s="208" t="n">
        <v>1</v>
      </c>
      <c r="AY60" s="209">
        <f>L60*AX60+AP60+AQ60+AR60+AV60+AW60+AS60+AT60+AU60</f>
        <v/>
      </c>
      <c r="AZ60" s="207" t="n">
        <v>2763</v>
      </c>
      <c r="BA60" s="207" t="n">
        <v>0</v>
      </c>
      <c r="BB60" s="207">
        <f>AZ60*0.006</f>
        <v/>
      </c>
      <c r="BC60" s="209">
        <f>AZ60+BA60-BB60</f>
        <v/>
      </c>
      <c r="BD60" s="207" t="n">
        <v>0</v>
      </c>
      <c r="BE60" s="207" t="n">
        <v>0</v>
      </c>
      <c r="BF60" s="209" t="n">
        <v>0</v>
      </c>
      <c r="BG60" s="209">
        <f>BC60-AY60+BF60</f>
        <v/>
      </c>
      <c r="BH60" s="87" t="inlineStr">
        <is>
          <t>李剑</t>
        </is>
      </c>
      <c r="BI60" s="210" t="inlineStr">
        <is>
          <t>安徽省 黄山市 黄山区 甘棠镇浦园大道天都浦溪苑13栋404</t>
        </is>
      </c>
      <c r="BJ60" s="86" t="inlineStr">
        <is>
          <t>13167642634-2686</t>
        </is>
      </c>
      <c r="BK60" s="86" t="n"/>
      <c r="BL60" s="210">
        <f>BC60</f>
        <v/>
      </c>
      <c r="BM60" s="95" t="n"/>
      <c r="BN60" s="94">
        <f>BG60/BC60</f>
        <v/>
      </c>
      <c r="BO60" s="95" t="n"/>
      <c r="BP60" s="86" t="inlineStr">
        <is>
          <t>岩板</t>
        </is>
      </c>
      <c r="BQ60" s="96" t="n"/>
      <c r="BR60" s="96" t="inlineStr">
        <is>
          <t>李剑</t>
        </is>
      </c>
      <c r="BS60" s="97" t="inlineStr">
        <is>
          <t>纯白岩板160*85</t>
        </is>
      </c>
      <c r="BT60" s="96" t="n"/>
      <c r="BU60" s="97" t="n"/>
      <c r="BV60" s="96" t="n"/>
      <c r="BW60" s="97" t="n"/>
      <c r="BX60" s="97" t="n"/>
      <c r="BY60" s="97" t="n"/>
      <c r="BZ60" s="97" t="n"/>
      <c r="CA60" s="98" t="n"/>
      <c r="CH60" s="2" t="n"/>
      <c r="CI60" s="26" t="n"/>
      <c r="CJ60" s="26" t="n"/>
      <c r="CK60" s="26" t="n"/>
      <c r="CL60" s="26" t="n"/>
      <c r="CM60" s="26" t="n"/>
      <c r="CN60" s="26" t="n"/>
      <c r="CO60" s="26" t="n"/>
      <c r="CP60" s="26" t="n"/>
      <c r="CQ60" s="26" t="n"/>
      <c r="CR60" s="26" t="n"/>
      <c r="CS60" s="26" t="n"/>
      <c r="CT60" s="26" t="n"/>
      <c r="CU60" s="26" t="n"/>
      <c r="CV60" s="26" t="n"/>
      <c r="CW60" s="26" t="n"/>
      <c r="CX60" s="26" t="n"/>
      <c r="CY60" s="26" t="n"/>
      <c r="DA60" s="25" t="n"/>
      <c r="DC60" s="26" t="n"/>
      <c r="DD60" s="26" t="n"/>
      <c r="DE60" s="26" t="n"/>
      <c r="DF60" s="26" t="n"/>
      <c r="DG60" s="26" t="n"/>
      <c r="DH60" s="27" t="n"/>
      <c r="DJ60" s="211" t="inlineStr">
        <is>
          <t>订单表中未找到</t>
        </is>
      </c>
      <c r="DK60" t="inlineStr">
        <is>
          <t>—</t>
        </is>
      </c>
      <c r="DL60" t="inlineStr">
        <is>
          <t>—</t>
        </is>
      </c>
    </row>
    <row r="61" ht="15.75" customHeight="1" s="187">
      <c r="A61" s="84" t="n">
        <v>45692</v>
      </c>
      <c r="B61" s="206" t="inlineStr">
        <is>
          <t>已收货</t>
        </is>
      </c>
      <c r="C61" s="86" t="inlineStr">
        <is>
          <t>2457826537019769870</t>
        </is>
      </c>
      <c r="D61" s="87" t="inlineStr">
        <is>
          <t>莱莱</t>
        </is>
      </c>
      <c r="E61" s="87" t="n"/>
      <c r="F61" s="87" t="n"/>
      <c r="G61" s="87" t="inlineStr">
        <is>
          <t>砂白色1.8米岩板餐桌</t>
        </is>
      </c>
      <c r="H61" s="87" t="inlineStr">
        <is>
          <t>榉木餐桌</t>
        </is>
      </c>
      <c r="I61" s="89" t="inlineStr">
        <is>
          <t>180cm*85cm</t>
        </is>
      </c>
      <c r="J61" s="87" t="inlineStr">
        <is>
          <t>已结算</t>
        </is>
      </c>
      <c r="K61" s="87" t="inlineStr">
        <is>
          <t>江西</t>
        </is>
      </c>
      <c r="L61" s="207">
        <f>SUM(M61:AO61)</f>
        <v/>
      </c>
      <c r="M61" s="207">
        <f>1560</f>
        <v/>
      </c>
      <c r="N61" s="207" t="n"/>
      <c r="O61" s="207" t="n"/>
      <c r="P61" s="207" t="n"/>
      <c r="Q61" s="207" t="n"/>
      <c r="R61" s="207" t="n">
        <v>450</v>
      </c>
      <c r="S61" s="207" t="n"/>
      <c r="T61" s="207" t="n"/>
      <c r="U61" s="207" t="n"/>
      <c r="V61" s="207" t="n"/>
      <c r="W61" s="207" t="n"/>
      <c r="X61" s="207" t="n"/>
      <c r="Y61" s="207" t="n"/>
      <c r="Z61" s="207" t="n"/>
      <c r="AA61" s="207" t="n"/>
      <c r="AB61" s="207" t="n"/>
      <c r="AC61" s="207" t="n"/>
      <c r="AD61" s="207" t="n">
        <v>2.5</v>
      </c>
      <c r="AE61" s="207" t="n"/>
      <c r="AF61" s="207" t="n"/>
      <c r="AG61" s="207" t="n"/>
      <c r="AH61" s="207" t="n"/>
      <c r="AI61" s="207" t="n"/>
      <c r="AJ61" s="207" t="n"/>
      <c r="AK61" s="207" t="n"/>
      <c r="AL61" s="207" t="n"/>
      <c r="AM61" s="207" t="n">
        <v>120</v>
      </c>
      <c r="AN61" s="207" t="n"/>
      <c r="AO61" s="207" t="n"/>
      <c r="AP61" s="207" t="n">
        <v>162</v>
      </c>
      <c r="AQ61" s="207" t="n">
        <v>51</v>
      </c>
      <c r="AR61" s="207" t="n">
        <v>60</v>
      </c>
      <c r="AS61" s="207" t="n">
        <v>0</v>
      </c>
      <c r="AT61" s="207" t="n">
        <v>99</v>
      </c>
      <c r="AU61" s="207" t="n">
        <v>0</v>
      </c>
      <c r="AV61" s="207" t="n">
        <v>0</v>
      </c>
      <c r="AW61" s="207" t="n">
        <v>0</v>
      </c>
      <c r="AX61" s="208" t="n">
        <v>1</v>
      </c>
      <c r="AY61" s="209">
        <f>L61*AX61+AP61+AQ61+AR61+AV61+AW61+AS61+AT61+AU61</f>
        <v/>
      </c>
      <c r="AZ61" s="207" t="n">
        <v>3150.92</v>
      </c>
      <c r="BA61" s="207" t="n">
        <v>0</v>
      </c>
      <c r="BB61" s="207">
        <f>AZ61*0.006</f>
        <v/>
      </c>
      <c r="BC61" s="209">
        <f>AZ61+BA61-BB61</f>
        <v/>
      </c>
      <c r="BD61" s="207" t="n">
        <v>0</v>
      </c>
      <c r="BE61" s="207" t="n">
        <v>0</v>
      </c>
      <c r="BF61" s="209" t="n">
        <v>0</v>
      </c>
      <c r="BG61" s="209">
        <f>BC61-AY61+BF61</f>
        <v/>
      </c>
      <c r="BH61" s="87" t="inlineStr">
        <is>
          <t>莱莱</t>
        </is>
      </c>
      <c r="BI61" s="210" t="inlineStr">
        <is>
          <t>四川省 成都市 双流区 兴隆街道保水逸苑e区</t>
        </is>
      </c>
      <c r="BJ61" s="86" t="inlineStr">
        <is>
          <t>18418974728-7191</t>
        </is>
      </c>
      <c r="BK61" s="86" t="n"/>
      <c r="BL61" s="210">
        <f>BC61</f>
        <v/>
      </c>
      <c r="BM61" s="95" t="n"/>
      <c r="BN61" s="94">
        <f>BG61/BC61</f>
        <v/>
      </c>
      <c r="BO61" s="95" t="n"/>
      <c r="BP61" s="86" t="inlineStr">
        <is>
          <t>岩板</t>
        </is>
      </c>
      <c r="BQ61" s="96" t="n"/>
      <c r="BR61" s="96" t="inlineStr">
        <is>
          <t>莱莱</t>
        </is>
      </c>
      <c r="BS61" s="97" t="inlineStr">
        <is>
          <t>纯白岩板180*85</t>
        </is>
      </c>
      <c r="BT61" s="96" t="n"/>
      <c r="BU61" s="97" t="n"/>
      <c r="BV61" s="96" t="n"/>
      <c r="BW61" s="97" t="n"/>
      <c r="BX61" s="97" t="n"/>
      <c r="BY61" s="97" t="n"/>
      <c r="BZ61" s="97" t="n"/>
      <c r="CA61" s="98" t="n"/>
      <c r="CH61" s="2" t="n"/>
      <c r="CI61" s="26" t="n"/>
      <c r="CJ61" s="26" t="n"/>
      <c r="CK61" s="26" t="n"/>
      <c r="CL61" s="26" t="n"/>
      <c r="CM61" s="26" t="n"/>
      <c r="CN61" s="26" t="n"/>
      <c r="CO61" s="26" t="n"/>
      <c r="CP61" s="26" t="n"/>
      <c r="CQ61" s="26" t="n"/>
      <c r="CR61" s="26" t="n"/>
      <c r="CS61" s="26" t="n"/>
      <c r="CT61" s="26" t="n"/>
      <c r="CU61" s="26" t="n"/>
      <c r="CV61" s="26" t="n"/>
      <c r="CW61" s="26" t="n"/>
      <c r="CX61" s="26" t="n"/>
      <c r="CY61" s="26" t="n"/>
      <c r="DA61" s="25" t="n"/>
      <c r="DC61" s="26" t="n"/>
      <c r="DD61" s="26" t="n"/>
      <c r="DE61" s="26" t="n"/>
      <c r="DF61" s="26" t="n"/>
      <c r="DG61" s="26" t="n"/>
      <c r="DH61" s="27" t="n"/>
      <c r="DJ61" s="211" t="inlineStr">
        <is>
          <t>订单表中未找到</t>
        </is>
      </c>
      <c r="DK61" t="inlineStr">
        <is>
          <t>—</t>
        </is>
      </c>
      <c r="DL61" t="inlineStr">
        <is>
          <t>—</t>
        </is>
      </c>
    </row>
    <row r="62" ht="15.6" customHeight="1" s="187">
      <c r="A62" s="84" t="n">
        <v>45693</v>
      </c>
      <c r="B62" s="206" t="inlineStr">
        <is>
          <t>已收货</t>
        </is>
      </c>
      <c r="C62" s="86" t="inlineStr">
        <is>
          <t>4221458319291293932</t>
        </is>
      </c>
      <c r="D62" s="87" t="inlineStr">
        <is>
          <t>小明</t>
        </is>
      </c>
      <c r="E62" s="87" t="n"/>
      <c r="F62" s="87" t="n"/>
      <c r="G62" s="87" t="inlineStr">
        <is>
          <t>2个插座</t>
        </is>
      </c>
      <c r="H62" s="87" t="inlineStr">
        <is>
          <t>配件</t>
        </is>
      </c>
      <c r="I62" s="89" t="n"/>
      <c r="J62" s="87" t="inlineStr">
        <is>
          <t>已结算</t>
        </is>
      </c>
      <c r="K62" s="86" t="inlineStr">
        <is>
          <t>其他</t>
        </is>
      </c>
      <c r="L62" s="207" t="n">
        <v>110</v>
      </c>
      <c r="M62" s="207" t="n">
        <v>110</v>
      </c>
      <c r="N62" s="207" t="n"/>
      <c r="O62" s="207" t="n"/>
      <c r="P62" s="207" t="n"/>
      <c r="Q62" s="207" t="n"/>
      <c r="R62" s="207" t="n"/>
      <c r="S62" s="207" t="n"/>
      <c r="T62" s="207" t="n"/>
      <c r="U62" s="207" t="n"/>
      <c r="V62" s="207" t="n"/>
      <c r="W62" s="207" t="n"/>
      <c r="X62" s="207" t="n"/>
      <c r="Y62" s="207" t="n"/>
      <c r="Z62" s="207" t="n"/>
      <c r="AA62" s="207" t="n"/>
      <c r="AB62" s="207" t="n"/>
      <c r="AC62" s="207" t="n"/>
      <c r="AD62" s="207" t="n"/>
      <c r="AE62" s="207" t="n"/>
      <c r="AF62" s="207" t="n"/>
      <c r="AG62" s="207" t="n"/>
      <c r="AH62" s="207" t="n"/>
      <c r="AI62" s="207" t="n"/>
      <c r="AJ62" s="207" t="n"/>
      <c r="AK62" s="207" t="n"/>
      <c r="AL62" s="207" t="n"/>
      <c r="AM62" s="207" t="n"/>
      <c r="AN62" s="207" t="n"/>
      <c r="AO62" s="207" t="n"/>
      <c r="AP62" s="207" t="n">
        <v>8</v>
      </c>
      <c r="AQ62" s="207" t="n">
        <v>0</v>
      </c>
      <c r="AR62" s="207" t="n">
        <v>0</v>
      </c>
      <c r="AS62" s="207" t="n">
        <v>0</v>
      </c>
      <c r="AT62" s="207" t="n">
        <v>0</v>
      </c>
      <c r="AU62" s="207" t="n">
        <v>0</v>
      </c>
      <c r="AV62" s="207" t="n">
        <v>0</v>
      </c>
      <c r="AW62" s="207" t="n">
        <v>0</v>
      </c>
      <c r="AX62" s="208" t="n">
        <v>1</v>
      </c>
      <c r="AY62" s="209" t="n">
        <v>118</v>
      </c>
      <c r="AZ62" s="207" t="n">
        <v>200</v>
      </c>
      <c r="BA62" s="207" t="n">
        <v>0</v>
      </c>
      <c r="BB62" s="207">
        <f>AZ62*0.006</f>
        <v/>
      </c>
      <c r="BC62" s="209">
        <f>AZ62+BA62-BB62</f>
        <v/>
      </c>
      <c r="BD62" s="207" t="n">
        <v>0</v>
      </c>
      <c r="BE62" s="207" t="n">
        <v>0</v>
      </c>
      <c r="BF62" s="209" t="n">
        <v>0</v>
      </c>
      <c r="BG62" s="209">
        <f>BC62-AY62+BF62</f>
        <v/>
      </c>
      <c r="BH62" s="87" t="inlineStr">
        <is>
          <t>小明</t>
        </is>
      </c>
      <c r="BI62" s="210" t="inlineStr">
        <is>
          <t>广东省 广州市 海珠区 南石头街道 保利海棠花园海棠2街6号802</t>
        </is>
      </c>
      <c r="BJ62" s="86" t="inlineStr">
        <is>
          <t>17896419607-6815</t>
        </is>
      </c>
      <c r="BK62" s="86" t="n"/>
      <c r="BL62" s="210">
        <f>BC62</f>
        <v/>
      </c>
      <c r="BM62" s="95" t="n"/>
      <c r="BN62" s="94" t="n"/>
      <c r="BO62" s="95" t="n"/>
      <c r="BP62" s="86" t="n"/>
      <c r="BQ62" s="96" t="n"/>
      <c r="BR62" s="96" t="n"/>
      <c r="BS62" s="97" t="n"/>
      <c r="BT62" s="96" t="n"/>
      <c r="BU62" s="97" t="n"/>
      <c r="BV62" s="96" t="n"/>
      <c r="BW62" s="97" t="n"/>
      <c r="BX62" s="97" t="n"/>
      <c r="BY62" s="97" t="n"/>
      <c r="BZ62" s="97" t="n"/>
      <c r="CA62" s="98" t="n"/>
      <c r="CH62" s="2" t="n"/>
      <c r="CI62" s="26" t="n"/>
      <c r="CJ62" s="26" t="n"/>
      <c r="CK62" s="26" t="n"/>
      <c r="CL62" s="26" t="n"/>
      <c r="CM62" s="26" t="n"/>
      <c r="CN62" s="26" t="n"/>
      <c r="CO62" s="26" t="n"/>
      <c r="CP62" s="26" t="n"/>
      <c r="CQ62" s="26" t="n"/>
      <c r="CR62" s="26" t="n"/>
      <c r="CS62" s="26" t="n"/>
      <c r="CT62" s="26" t="n"/>
      <c r="CU62" s="26" t="n"/>
      <c r="CV62" s="26" t="n"/>
      <c r="CW62" s="26" t="n"/>
      <c r="CX62" s="26" t="n"/>
      <c r="CY62" s="26" t="n"/>
      <c r="DA62" s="25" t="n"/>
      <c r="DC62" s="26" t="n"/>
      <c r="DD62" s="26" t="n"/>
      <c r="DE62" s="26" t="n"/>
      <c r="DF62" s="26" t="n"/>
      <c r="DG62" s="26" t="n"/>
      <c r="DH62" s="27" t="n"/>
      <c r="DJ62" s="211" t="inlineStr">
        <is>
          <t>订单表中未找到</t>
        </is>
      </c>
      <c r="DK62" t="inlineStr">
        <is>
          <t>—</t>
        </is>
      </c>
      <c r="DL62" t="inlineStr">
        <is>
          <t>—</t>
        </is>
      </c>
    </row>
    <row r="63" ht="15.75" customHeight="1" s="187">
      <c r="A63" s="84" t="n">
        <v>45694</v>
      </c>
      <c r="B63" s="206" t="inlineStr">
        <is>
          <t>已收货</t>
        </is>
      </c>
      <c r="C63" s="86" t="inlineStr">
        <is>
          <t>2457947751416389683</t>
        </is>
      </c>
      <c r="D63" s="87" t="inlineStr">
        <is>
          <t>黄先森</t>
        </is>
      </c>
      <c r="E63" s="87" t="n"/>
      <c r="F63" s="87" t="n"/>
      <c r="G63" s="87" t="inlineStr">
        <is>
          <t>樱桃木旋转餐边柜：1.6米整柜+1.2双腿餐桌 
送木蜡油+洞洞板挂篮</t>
        </is>
      </c>
      <c r="H63" s="87" t="inlineStr">
        <is>
          <t>旋转餐边柜</t>
        </is>
      </c>
      <c r="I63" s="89" t="n">
        <v>1600</v>
      </c>
      <c r="J63" s="87" t="inlineStr">
        <is>
          <t>已结算</t>
        </is>
      </c>
      <c r="K63" s="87" t="inlineStr">
        <is>
          <t>江西</t>
        </is>
      </c>
      <c r="L63" s="207">
        <f>5700+300+238+460+525+9.8+289+52+20+22*9+20+36+440+70</f>
        <v/>
      </c>
      <c r="M63" s="207">
        <f>5700</f>
        <v/>
      </c>
      <c r="N63" s="207" t="n"/>
      <c r="O63" s="207" t="n"/>
      <c r="P63" s="207" t="n"/>
      <c r="Q63" s="207" t="n"/>
      <c r="R63" s="207" t="n"/>
      <c r="S63" s="207" t="n">
        <v>9.800000000000001</v>
      </c>
      <c r="T63" s="207" t="n">
        <v>289</v>
      </c>
      <c r="U63" s="207" t="n"/>
      <c r="V63" s="207" t="n"/>
      <c r="W63" s="207" t="n">
        <v>52</v>
      </c>
      <c r="X63" s="207">
        <f>22*9</f>
        <v/>
      </c>
      <c r="Y63" s="207" t="n">
        <v>20</v>
      </c>
      <c r="Z63" s="207" t="n"/>
      <c r="AA63" s="207" t="n"/>
      <c r="AB63" s="207" t="n"/>
      <c r="AC63" s="207" t="n"/>
      <c r="AD63" s="207" t="n">
        <v>36</v>
      </c>
      <c r="AE63" s="207" t="n">
        <v>20</v>
      </c>
      <c r="AF63" s="207" t="n">
        <v>440</v>
      </c>
      <c r="AG63" s="207" t="n"/>
      <c r="AH63" s="207" t="n"/>
      <c r="AI63" s="207" t="n"/>
      <c r="AJ63" s="207" t="n">
        <v>70</v>
      </c>
      <c r="AK63" s="207" t="n"/>
      <c r="AL63" s="207" t="n"/>
      <c r="AM63" s="207">
        <f>440+70</f>
        <v/>
      </c>
      <c r="AN63" s="207" t="n"/>
      <c r="AO63" s="207" t="n"/>
      <c r="AP63" s="207">
        <f>409+55</f>
        <v/>
      </c>
      <c r="AQ63" s="207">
        <f>100+10</f>
        <v/>
      </c>
      <c r="AR63" s="207" t="n">
        <v>95</v>
      </c>
      <c r="AS63" s="207" t="n">
        <v>0</v>
      </c>
      <c r="AT63" s="207" t="n">
        <v>0</v>
      </c>
      <c r="AU63" s="207" t="n">
        <v>0</v>
      </c>
      <c r="AV63" s="207">
        <f>28+9.8</f>
        <v/>
      </c>
      <c r="AW63" s="207" t="n">
        <v>0</v>
      </c>
      <c r="AX63" s="208" t="n">
        <v>1</v>
      </c>
      <c r="AY63" s="209">
        <f>L63*AX63+AP63+AQ63+AR63+AV63+AW63+AS63+AT63+AU63</f>
        <v/>
      </c>
      <c r="AZ63" s="207" t="n">
        <v>11396.69</v>
      </c>
      <c r="BA63" s="207" t="n">
        <v>0</v>
      </c>
      <c r="BB63" s="207">
        <f>AZ63*0.006</f>
        <v/>
      </c>
      <c r="BC63" s="209">
        <f>AZ63+BA63-BB63</f>
        <v/>
      </c>
      <c r="BD63" s="207" t="n">
        <v>0</v>
      </c>
      <c r="BE63" s="207" t="n">
        <v>0</v>
      </c>
      <c r="BF63" s="209" t="n">
        <v>0</v>
      </c>
      <c r="BG63" s="209">
        <f>BC63-AY63+BF63</f>
        <v/>
      </c>
      <c r="BH63" s="87" t="inlineStr">
        <is>
          <t>黄先森</t>
        </is>
      </c>
      <c r="BI63" s="210" t="inlineStr">
        <is>
          <t>福建省 福州市 晋安区 鼓山镇 目鱼山路3号中海晋安湖三号院B区11栋2楼西</t>
        </is>
      </c>
      <c r="BJ63" s="86" t="inlineStr">
        <is>
          <t>18480118448-9551</t>
        </is>
      </c>
      <c r="BK63" s="86" t="n"/>
      <c r="BL63" s="210">
        <f>BC63</f>
        <v/>
      </c>
      <c r="BM63" s="95" t="n"/>
      <c r="BN63" s="94">
        <f>BG63/BC63</f>
        <v/>
      </c>
      <c r="BO63" s="95" t="n"/>
      <c r="BP63" s="86" t="inlineStr">
        <is>
          <t>玻璃把手，悬空五金，洞洞板，已采电力轨道 岩板</t>
        </is>
      </c>
      <c r="BQ63" s="96" t="n"/>
      <c r="BR63" s="96" t="inlineStr">
        <is>
          <t>黄先森</t>
        </is>
      </c>
      <c r="BS63" s="97" t="inlineStr">
        <is>
          <t>纯黑岩板159.8*54.8，右边打孔</t>
        </is>
      </c>
      <c r="BT63" s="96" t="n"/>
      <c r="BU63" s="97" t="n"/>
      <c r="BV63" s="96" t="n"/>
      <c r="BW63" s="97" t="n"/>
      <c r="BX63" s="97" t="n"/>
      <c r="BY63" s="97" t="n"/>
      <c r="BZ63" s="97" t="n"/>
      <c r="CA63" s="98" t="n"/>
      <c r="CH63" s="2" t="n"/>
      <c r="CI63" s="26" t="n"/>
      <c r="CJ63" s="26" t="n"/>
      <c r="CK63" s="26" t="n"/>
      <c r="CL63" s="26" t="n"/>
      <c r="CM63" s="26" t="n"/>
      <c r="CN63" s="26" t="n"/>
      <c r="CO63" s="26" t="n"/>
      <c r="CP63" s="26" t="n"/>
      <c r="CQ63" s="26" t="n"/>
      <c r="CR63" s="26" t="n"/>
      <c r="CS63" s="26" t="n"/>
      <c r="CT63" s="26" t="n"/>
      <c r="CU63" s="26" t="n"/>
      <c r="CV63" s="26" t="n"/>
      <c r="CW63" s="26" t="n"/>
      <c r="CX63" s="26" t="n"/>
      <c r="CY63" s="26" t="n"/>
      <c r="DA63" s="25" t="n"/>
      <c r="DC63" s="26" t="n"/>
      <c r="DD63" s="26" t="n"/>
      <c r="DE63" s="26" t="n"/>
      <c r="DF63" s="26" t="n"/>
      <c r="DG63" s="26" t="n"/>
      <c r="DH63" s="27" t="n"/>
      <c r="DJ63" s="211" t="inlineStr">
        <is>
          <t>订单表中未找到</t>
        </is>
      </c>
      <c r="DK63" t="inlineStr">
        <is>
          <t>—</t>
        </is>
      </c>
      <c r="DL63" t="inlineStr">
        <is>
          <t>—</t>
        </is>
      </c>
    </row>
    <row r="64" ht="15.75" customHeight="1" s="187">
      <c r="A64" s="84" t="n">
        <v>45695</v>
      </c>
      <c r="B64" s="206" t="inlineStr">
        <is>
          <t>已收货</t>
        </is>
      </c>
      <c r="C64" s="86" t="inlineStr">
        <is>
          <t>4224115441455164930</t>
        </is>
      </c>
      <c r="D64" s="87" t="inlineStr">
        <is>
          <t>陈康</t>
        </is>
      </c>
      <c r="E64" s="87" t="n"/>
      <c r="F64" s="87" t="n"/>
      <c r="G64" s="87" t="inlineStr">
        <is>
          <t>樱桃木单腿追加</t>
        </is>
      </c>
      <c r="H64" s="87" t="inlineStr">
        <is>
          <t>配件</t>
        </is>
      </c>
      <c r="I64" s="89" t="n"/>
      <c r="J64" s="87" t="n"/>
      <c r="K64" s="87" t="inlineStr">
        <is>
          <t>江西</t>
        </is>
      </c>
      <c r="L64" s="216" t="n">
        <v>300</v>
      </c>
      <c r="M64" s="216" t="n">
        <v>300</v>
      </c>
      <c r="N64" s="216" t="n"/>
      <c r="O64" s="216" t="n"/>
      <c r="P64" s="216" t="n"/>
      <c r="Q64" s="216" t="n"/>
      <c r="R64" s="216" t="n"/>
      <c r="S64" s="216" t="n"/>
      <c r="T64" s="216" t="n"/>
      <c r="U64" s="216" t="n"/>
      <c r="V64" s="216" t="n"/>
      <c r="W64" s="216" t="n"/>
      <c r="X64" s="216" t="n"/>
      <c r="Y64" s="216" t="n"/>
      <c r="Z64" s="216" t="n"/>
      <c r="AA64" s="216" t="n"/>
      <c r="AB64" s="216" t="n"/>
      <c r="AC64" s="216" t="n"/>
      <c r="AD64" s="216" t="n"/>
      <c r="AE64" s="216" t="n"/>
      <c r="AF64" s="216" t="n"/>
      <c r="AG64" s="216" t="n"/>
      <c r="AH64" s="216" t="n"/>
      <c r="AI64" s="216" t="n"/>
      <c r="AJ64" s="216" t="n"/>
      <c r="AK64" s="216" t="n"/>
      <c r="AL64" s="216" t="n"/>
      <c r="AM64" s="207" t="n"/>
      <c r="AN64" s="207" t="n"/>
      <c r="AO64" s="207" t="n"/>
      <c r="AP64" s="207" t="n">
        <v>55</v>
      </c>
      <c r="AQ64" s="207" t="n">
        <v>0</v>
      </c>
      <c r="AR64" s="207" t="n">
        <v>0</v>
      </c>
      <c r="AS64" s="207" t="n">
        <v>0</v>
      </c>
      <c r="AT64" s="207" t="n">
        <v>0</v>
      </c>
      <c r="AU64" s="207" t="n">
        <v>0</v>
      </c>
      <c r="AV64" s="207" t="n">
        <v>0</v>
      </c>
      <c r="AW64" s="207" t="n">
        <v>0</v>
      </c>
      <c r="AX64" s="208" t="n">
        <v>1</v>
      </c>
      <c r="AY64" s="209">
        <f>L64*AX64+AP64+AQ64+AR64+AV64+AW64+AS64+AT64+AU64</f>
        <v/>
      </c>
      <c r="AZ64" s="207" t="n">
        <v>400</v>
      </c>
      <c r="BA64" s="207" t="n">
        <v>0</v>
      </c>
      <c r="BB64" s="207">
        <f>AZ64*0.006</f>
        <v/>
      </c>
      <c r="BC64" s="209">
        <f>AZ64+BA64-BB64</f>
        <v/>
      </c>
      <c r="BD64" s="207" t="n">
        <v>0</v>
      </c>
      <c r="BE64" s="207" t="n">
        <v>0</v>
      </c>
      <c r="BF64" s="209" t="n">
        <v>0</v>
      </c>
      <c r="BG64" s="209">
        <f>BC64-AY64+BF64</f>
        <v/>
      </c>
      <c r="BH64" s="87" t="inlineStr">
        <is>
          <t>陈康</t>
        </is>
      </c>
      <c r="BI64" s="210" t="inlineStr">
        <is>
          <t>湖南省 长沙市 天心区 裕南街街道天心区江山云著13栋2502</t>
        </is>
      </c>
      <c r="BJ64" s="86" t="inlineStr">
        <is>
          <t>14737698886-5404</t>
        </is>
      </c>
      <c r="BK64" s="86" t="n"/>
      <c r="BL64" s="210">
        <f>BC64</f>
        <v/>
      </c>
      <c r="BM64" s="95" t="n"/>
      <c r="BN64" s="94">
        <f>BG64/BC64</f>
        <v/>
      </c>
      <c r="BO64" s="95" t="n"/>
      <c r="BP64" s="86" t="inlineStr">
        <is>
          <t>已采黑色洞洞板205.8*60.8，已采黑色岩板右边打孔209.8*54.8，已采桌面黑色岩板159.8*74.8，已采樱桃木把手，已采U80 2.05+2插座</t>
        </is>
      </c>
      <c r="BQ64" s="96" t="n"/>
      <c r="BR64" s="96" t="n"/>
      <c r="BS64" s="97" t="n"/>
      <c r="BT64" s="96" t="n"/>
      <c r="BU64" s="97" t="n"/>
      <c r="BV64" s="96" t="n"/>
      <c r="BW64" s="97" t="n"/>
      <c r="BX64" s="97" t="n"/>
      <c r="BY64" s="97" t="n"/>
      <c r="BZ64" s="97" t="n"/>
      <c r="CA64" s="98" t="n"/>
      <c r="CH64" s="2" t="n"/>
      <c r="CI64" s="26" t="n"/>
      <c r="CJ64" s="26" t="n"/>
      <c r="CK64" s="26" t="n"/>
      <c r="CL64" s="26" t="n"/>
      <c r="CM64" s="26" t="n"/>
      <c r="CN64" s="26" t="n"/>
      <c r="CO64" s="26" t="n"/>
      <c r="CP64" s="26" t="n"/>
      <c r="CQ64" s="26" t="n"/>
      <c r="CR64" s="26" t="n"/>
      <c r="CS64" s="26" t="n"/>
      <c r="CT64" s="26" t="n"/>
      <c r="CU64" s="26" t="n"/>
      <c r="CV64" s="26" t="n"/>
      <c r="CW64" s="26" t="n"/>
      <c r="CX64" s="26" t="n"/>
      <c r="CY64" s="26" t="n"/>
      <c r="DA64" s="25" t="n"/>
      <c r="DC64" s="26" t="n"/>
      <c r="DD64" s="26" t="n"/>
      <c r="DE64" s="26" t="n"/>
      <c r="DF64" s="26" t="n"/>
      <c r="DG64" s="26" t="n"/>
      <c r="DH64" s="27" t="n"/>
      <c r="DJ64" s="211" t="inlineStr">
        <is>
          <t>订单表中未找到</t>
        </is>
      </c>
      <c r="DK64" t="inlineStr">
        <is>
          <t>—</t>
        </is>
      </c>
      <c r="DL64" t="inlineStr">
        <is>
          <t>—</t>
        </is>
      </c>
    </row>
    <row r="65" ht="15.75" customHeight="1" s="187">
      <c r="A65" s="99" t="n">
        <v>45700</v>
      </c>
      <c r="B65" s="100" t="inlineStr">
        <is>
          <t>退货</t>
        </is>
      </c>
      <c r="C65" s="101" t="inlineStr">
        <is>
          <t>2465587707209040275</t>
        </is>
      </c>
      <c r="D65" s="100" t="inlineStr">
        <is>
          <t>哞哞崽</t>
        </is>
      </c>
      <c r="E65" s="100" t="inlineStr">
        <is>
          <t>退货，需要厂里赔付退回运费，打包费用240</t>
        </is>
      </c>
      <c r="F65" s="100" t="n"/>
      <c r="G65" s="100" t="inlineStr">
        <is>
          <t>书柜：60cm+90cm定制带瓷白玻璃</t>
        </is>
      </c>
      <c r="H65" s="100" t="inlineStr">
        <is>
          <t>书柜-2024款</t>
        </is>
      </c>
      <c r="I65" s="102" t="n"/>
      <c r="J65" s="100" t="inlineStr">
        <is>
          <t>已结算</t>
        </is>
      </c>
      <c r="K65" s="100" t="inlineStr">
        <is>
          <t>江西</t>
        </is>
      </c>
      <c r="L65" s="212" t="n">
        <v>260</v>
      </c>
      <c r="M65" s="212" t="n">
        <v>260</v>
      </c>
      <c r="N65" s="212" t="n"/>
      <c r="O65" s="212" t="n"/>
      <c r="P65" s="212" t="n"/>
      <c r="Q65" s="212" t="n"/>
      <c r="R65" s="212" t="n"/>
      <c r="S65" s="212" t="n"/>
      <c r="T65" s="212" t="n"/>
      <c r="U65" s="212" t="n"/>
      <c r="V65" s="212" t="n"/>
      <c r="W65" s="212" t="n"/>
      <c r="X65" s="212" t="n"/>
      <c r="Y65" s="212" t="n"/>
      <c r="Z65" s="212" t="n"/>
      <c r="AA65" s="212" t="n"/>
      <c r="AB65" s="212" t="n"/>
      <c r="AC65" s="212" t="n"/>
      <c r="AD65" s="212" t="n"/>
      <c r="AE65" s="212" t="n"/>
      <c r="AF65" s="212" t="n"/>
      <c r="AG65" s="212" t="n"/>
      <c r="AH65" s="212" t="n"/>
      <c r="AI65" s="212" t="n"/>
      <c r="AJ65" s="212" t="n"/>
      <c r="AK65" s="212" t="n"/>
      <c r="AL65" s="212" t="n"/>
      <c r="AM65" s="213" t="n"/>
      <c r="AN65" s="213" t="n"/>
      <c r="AO65" s="213" t="n"/>
      <c r="AP65" s="213" t="n">
        <v>0</v>
      </c>
      <c r="AQ65" s="213" t="n">
        <v>0</v>
      </c>
      <c r="AR65" s="213" t="n">
        <v>0</v>
      </c>
      <c r="AS65" s="213" t="n">
        <v>0</v>
      </c>
      <c r="AT65" s="213" t="n">
        <v>0</v>
      </c>
      <c r="AU65" s="213" t="n">
        <v>690</v>
      </c>
      <c r="AV65" s="213" t="n">
        <v>0</v>
      </c>
      <c r="AW65" s="213" t="n">
        <v>0</v>
      </c>
      <c r="AX65" s="214" t="n">
        <v>1</v>
      </c>
      <c r="AY65" s="213">
        <f>L65*AX65+AP65+AQ65+AR65+AV65+AW65+AS65+AT65+AU65</f>
        <v/>
      </c>
      <c r="AZ65" s="213" t="n">
        <v>0</v>
      </c>
      <c r="BA65" s="213" t="n">
        <v>0</v>
      </c>
      <c r="BB65" s="213" t="n">
        <v>0</v>
      </c>
      <c r="BC65" s="213" t="n">
        <v>0</v>
      </c>
      <c r="BD65" s="213" t="n">
        <v>690</v>
      </c>
      <c r="BE65" s="213" t="n">
        <v>0</v>
      </c>
      <c r="BF65" s="213">
        <f>BD65+BE65</f>
        <v/>
      </c>
      <c r="BG65" s="213">
        <f>BC65-AY65+BF65</f>
        <v/>
      </c>
      <c r="BH65" s="100" t="inlineStr">
        <is>
          <t>哞哞崽</t>
        </is>
      </c>
      <c r="BI65" s="100" t="inlineStr">
        <is>
          <t xml:space="preserve">北京 北京市 朝阳区 奥运村街道 林萃路10号院2-14-301 </t>
        </is>
      </c>
      <c r="BJ65" s="100" t="inlineStr">
        <is>
          <t>18400986216-4176</t>
        </is>
      </c>
      <c r="BK65" s="101" t="n"/>
      <c r="BL65" s="215" t="n"/>
      <c r="BM65" s="107" t="n"/>
      <c r="BN65" s="108">
        <f>BG65/BC65</f>
        <v/>
      </c>
      <c r="BO65" s="107" t="n"/>
      <c r="BP65" s="101" t="inlineStr">
        <is>
          <t>瓷白玻璃（拍摄场地拿），灯带长度宽度待定</t>
        </is>
      </c>
      <c r="BQ65" s="109" t="n"/>
      <c r="BR65" s="109" t="n"/>
      <c r="BS65" s="100" t="n"/>
      <c r="BT65" s="109" t="n"/>
      <c r="BU65" s="100" t="n"/>
      <c r="BV65" s="109" t="n"/>
      <c r="BW65" s="100" t="n"/>
      <c r="BX65" s="100" t="n"/>
      <c r="BY65" s="100" t="n"/>
      <c r="BZ65" s="100" t="n"/>
      <c r="CA65" s="98" t="n"/>
      <c r="CH65" s="2" t="n"/>
      <c r="CI65" s="26" t="n"/>
      <c r="CJ65" s="26" t="n"/>
      <c r="CK65" s="26" t="n"/>
      <c r="CL65" s="26" t="n"/>
      <c r="CM65" s="26" t="n"/>
      <c r="CN65" s="26" t="n"/>
      <c r="CO65" s="26" t="n"/>
      <c r="CP65" s="26" t="n"/>
      <c r="CQ65" s="26" t="n"/>
      <c r="CR65" s="26" t="n"/>
      <c r="CS65" s="26" t="n"/>
      <c r="CT65" s="26" t="n"/>
      <c r="CU65" s="26" t="n"/>
      <c r="CV65" s="26" t="n"/>
      <c r="CW65" s="26" t="n"/>
      <c r="CX65" s="26" t="n"/>
      <c r="CY65" s="26" t="n"/>
      <c r="DA65" s="25" t="n"/>
      <c r="DC65" s="26" t="n"/>
      <c r="DD65" s="26" t="n"/>
      <c r="DE65" s="26" t="n"/>
      <c r="DF65" s="26" t="n"/>
      <c r="DG65" s="26" t="n"/>
      <c r="DH65" s="27" t="n"/>
      <c r="DJ65" s="211" t="inlineStr">
        <is>
          <t>订单表中未找到</t>
        </is>
      </c>
      <c r="DK65" t="inlineStr">
        <is>
          <t>—</t>
        </is>
      </c>
      <c r="DL65" t="inlineStr">
        <is>
          <t>—</t>
        </is>
      </c>
    </row>
    <row r="66" ht="15.75" customHeight="1" s="187">
      <c r="A66" s="84" t="n">
        <v>45701</v>
      </c>
      <c r="B66" s="206" t="inlineStr">
        <is>
          <t>已收货</t>
        </is>
      </c>
      <c r="C66" s="86" t="inlineStr">
        <is>
          <t>4229536934396727449</t>
        </is>
      </c>
      <c r="D66" s="87" t="inlineStr">
        <is>
          <t>邵先生</t>
        </is>
      </c>
      <c r="E66" s="87" t="n"/>
      <c r="F66" s="87" t="n"/>
      <c r="G66" s="87" t="inlineStr">
        <is>
          <t>软木板上柜+带抽屉隐藏把手下柜+4条透气孔</t>
        </is>
      </c>
      <c r="H66" s="87" t="inlineStr">
        <is>
          <t>鞋柜</t>
        </is>
      </c>
      <c r="I66" s="89" t="n"/>
      <c r="J66" s="87" t="inlineStr">
        <is>
          <t>已结算</t>
        </is>
      </c>
      <c r="K66" s="87" t="inlineStr">
        <is>
          <t>江西</t>
        </is>
      </c>
      <c r="L66" s="207">
        <f>SUM(M66:AO66)</f>
        <v/>
      </c>
      <c r="M66" s="207">
        <f>2220</f>
        <v/>
      </c>
      <c r="N66" s="207" t="n"/>
      <c r="O66" s="207" t="n">
        <v>30</v>
      </c>
      <c r="P66" s="207" t="n"/>
      <c r="Q66" s="207" t="n"/>
      <c r="R66" s="207" t="n">
        <v>120</v>
      </c>
      <c r="S66" s="207" t="n"/>
      <c r="T66" s="207" t="n"/>
      <c r="U66" s="207" t="n"/>
      <c r="V66" s="207" t="n"/>
      <c r="W66" s="207" t="n"/>
      <c r="X66" s="207" t="n">
        <v>60</v>
      </c>
      <c r="Y66" s="207" t="n"/>
      <c r="Z66" s="207" t="n"/>
      <c r="AA66" s="207" t="n"/>
      <c r="AB66" s="207" t="n"/>
      <c r="AC66" s="207" t="n"/>
      <c r="AD66" s="207" t="n"/>
      <c r="AE66" s="207" t="n"/>
      <c r="AF66" s="207" t="n"/>
      <c r="AG66" s="207" t="n"/>
      <c r="AH66" s="207" t="n"/>
      <c r="AI66" s="207" t="n"/>
      <c r="AJ66" s="207" t="n"/>
      <c r="AK66" s="207" t="n"/>
      <c r="AL66" s="207" t="n"/>
      <c r="AM66" s="207" t="n">
        <v>150</v>
      </c>
      <c r="AN66" s="207" t="n"/>
      <c r="AO66" s="207" t="n"/>
      <c r="AP66" s="207" t="n">
        <v>148</v>
      </c>
      <c r="AQ66" s="207" t="n">
        <v>51</v>
      </c>
      <c r="AR66" s="207" t="n">
        <v>0</v>
      </c>
      <c r="AS66" s="207" t="n">
        <v>0</v>
      </c>
      <c r="AT66" s="207" t="n">
        <v>0</v>
      </c>
      <c r="AU66" s="207" t="n">
        <v>0</v>
      </c>
      <c r="AV66" s="207" t="n">
        <v>0</v>
      </c>
      <c r="AW66" s="207" t="n">
        <v>0</v>
      </c>
      <c r="AX66" s="208" t="n">
        <v>1</v>
      </c>
      <c r="AY66" s="209">
        <f>L66*AX66+AP66+AQ66+AR66+AV66+AW66+AS66+AT66+AU66</f>
        <v/>
      </c>
      <c r="AZ66" s="207" t="n">
        <v>3700</v>
      </c>
      <c r="BA66" s="207" t="n">
        <v>0</v>
      </c>
      <c r="BB66" s="207">
        <f>AZ66*0.006</f>
        <v/>
      </c>
      <c r="BC66" s="209">
        <f>AZ66+BA66-BB66</f>
        <v/>
      </c>
      <c r="BD66" s="207" t="n">
        <v>0</v>
      </c>
      <c r="BE66" s="207" t="n">
        <v>0</v>
      </c>
      <c r="BF66" s="209" t="n">
        <v>0</v>
      </c>
      <c r="BG66" s="209">
        <f>BC66-AY66+BF66</f>
        <v/>
      </c>
      <c r="BH66" s="87" t="inlineStr">
        <is>
          <t>邵先生</t>
        </is>
      </c>
      <c r="BI66" s="210" t="inlineStr">
        <is>
          <t>北京 北京市 朝阳区 劲松街道南磨房路禧福汇小区3号楼1902</t>
        </is>
      </c>
      <c r="BJ66" s="86" t="inlineStr">
        <is>
          <t>18400941348-5336</t>
        </is>
      </c>
      <c r="BK66" s="86" t="n"/>
      <c r="BL66" s="210">
        <f>BC66</f>
        <v/>
      </c>
      <c r="BM66" s="95" t="n"/>
      <c r="BN66" s="94">
        <f>BG66/BC66</f>
        <v/>
      </c>
      <c r="BO66" s="95" t="n"/>
      <c r="BP66" s="86" t="inlineStr">
        <is>
          <t>翻盖五金（办公室有），岩板</t>
        </is>
      </c>
      <c r="BQ66" s="96" t="n"/>
      <c r="BR66" s="96" t="inlineStr">
        <is>
          <t>邵先生</t>
        </is>
      </c>
      <c r="BS66" s="97" t="inlineStr">
        <is>
          <t>白色岩板 待报尺寸</t>
        </is>
      </c>
      <c r="BT66" s="96" t="n"/>
      <c r="BU66" s="97" t="n"/>
      <c r="BV66" s="96" t="n"/>
      <c r="BW66" s="97" t="n"/>
      <c r="BX66" s="97" t="n"/>
      <c r="BY66" s="97" t="n"/>
      <c r="BZ66" s="97" t="n"/>
      <c r="CA66" s="98" t="n"/>
      <c r="CH66" s="2" t="n"/>
      <c r="CI66" s="26" t="n"/>
      <c r="CJ66" s="26" t="n"/>
      <c r="CK66" s="26" t="n"/>
      <c r="CL66" s="26" t="n"/>
      <c r="CM66" s="26" t="n"/>
      <c r="CN66" s="26" t="n"/>
      <c r="CO66" s="26" t="n"/>
      <c r="CP66" s="26" t="n"/>
      <c r="CQ66" s="26" t="n"/>
      <c r="CR66" s="26" t="n"/>
      <c r="CS66" s="26" t="n"/>
      <c r="CT66" s="26" t="n"/>
      <c r="CU66" s="26" t="n"/>
      <c r="CV66" s="26" t="n"/>
      <c r="CW66" s="26" t="n"/>
      <c r="CX66" s="26" t="n"/>
      <c r="CY66" s="26" t="n"/>
      <c r="DA66" s="25" t="n"/>
      <c r="DC66" s="26" t="n"/>
      <c r="DD66" s="26" t="n"/>
      <c r="DE66" s="26" t="n"/>
      <c r="DF66" s="26" t="n"/>
      <c r="DG66" s="26" t="n"/>
      <c r="DH66" s="27" t="n"/>
      <c r="DJ66" s="211" t="inlineStr">
        <is>
          <t>订单表中未找到</t>
        </is>
      </c>
      <c r="DK66" t="inlineStr">
        <is>
          <t>—</t>
        </is>
      </c>
      <c r="DL66" t="inlineStr">
        <is>
          <t>—</t>
        </is>
      </c>
    </row>
    <row r="67" ht="15.75" customHeight="1" s="187">
      <c r="A67" s="84" t="n">
        <v>45703</v>
      </c>
      <c r="B67" s="206" t="inlineStr">
        <is>
          <t>已收货</t>
        </is>
      </c>
      <c r="C67" s="86" t="inlineStr">
        <is>
          <t>4237734926263367845</t>
        </is>
      </c>
      <c r="D67" s="87" t="inlineStr">
        <is>
          <t>元子</t>
        </is>
      </c>
      <c r="E67" s="87" t="n"/>
      <c r="F67" s="87" t="n"/>
      <c r="G67" s="87" t="inlineStr">
        <is>
          <t>1.5洞石柜：樱桃木，洞石下挂岩板，洞石背板</t>
        </is>
      </c>
      <c r="H67" s="87" t="inlineStr">
        <is>
          <t>洞石餐边柜</t>
        </is>
      </c>
      <c r="I67" s="89" t="n">
        <v>1500</v>
      </c>
      <c r="J67" s="87" t="inlineStr">
        <is>
          <t>已结算</t>
        </is>
      </c>
      <c r="K67" s="87" t="inlineStr">
        <is>
          <t>江西</t>
        </is>
      </c>
      <c r="L67" s="207">
        <f>5400+549.6+320+22*7+84+14+8.5+7+501.08+52*2+14+450+340</f>
        <v/>
      </c>
      <c r="M67" s="207">
        <f>5400</f>
        <v/>
      </c>
      <c r="N67" s="207" t="n">
        <v>549.6</v>
      </c>
      <c r="O67" s="207" t="n">
        <v>320</v>
      </c>
      <c r="P67" s="207" t="inlineStr">
        <is>
          <t>22*7</t>
        </is>
      </c>
      <c r="Q67" s="207">
        <f>1.458*260+12+2*55</f>
        <v/>
      </c>
      <c r="R67" s="207" t="n">
        <v>84</v>
      </c>
      <c r="S67" s="207">
        <f>52*2</f>
        <v/>
      </c>
      <c r="T67" s="207" t="n">
        <v>8.5</v>
      </c>
      <c r="U67" s="207" t="n"/>
      <c r="V67" s="207" t="n"/>
      <c r="W67" s="207" t="n"/>
      <c r="X67" s="207" t="n">
        <v>501.08</v>
      </c>
      <c r="Y67" s="207" t="n"/>
      <c r="Z67" s="207">
        <f>3.5+14</f>
        <v/>
      </c>
      <c r="AA67" s="207" t="n"/>
      <c r="AB67" s="207" t="n"/>
      <c r="AC67" s="207" t="n">
        <v>7</v>
      </c>
      <c r="AD67" s="207" t="n">
        <v>450</v>
      </c>
      <c r="AE67" s="207" t="n"/>
      <c r="AF67" s="207" t="n"/>
      <c r="AG67" s="207" t="n"/>
      <c r="AH67" s="207" t="n"/>
      <c r="AI67" s="207" t="n"/>
      <c r="AJ67" s="207" t="n"/>
      <c r="AK67" s="207" t="n"/>
      <c r="AL67" s="207" t="n"/>
      <c r="AM67" s="207" t="n">
        <v>340</v>
      </c>
      <c r="AN67" s="207" t="n"/>
      <c r="AO67" s="207" t="n"/>
      <c r="AP67" s="207" t="n">
        <v>633</v>
      </c>
      <c r="AQ67" s="207" t="n">
        <v>95</v>
      </c>
      <c r="AR67" s="207" t="n">
        <v>100</v>
      </c>
      <c r="AS67" s="207" t="n">
        <v>0</v>
      </c>
      <c r="AT67" s="207" t="n">
        <v>0</v>
      </c>
      <c r="AU67" s="207" t="n">
        <v>0</v>
      </c>
      <c r="AV67" s="207" t="n">
        <v>100</v>
      </c>
      <c r="AW67" s="207" t="n">
        <v>0</v>
      </c>
      <c r="AX67" s="208" t="n">
        <v>1</v>
      </c>
      <c r="AY67" s="209">
        <f>L67*AX67+AP67+AQ67+AR67+AV67+AW67+AS67+AT67+AU67</f>
        <v/>
      </c>
      <c r="AZ67" s="207" t="n">
        <v>11384</v>
      </c>
      <c r="BA67" s="207" t="n">
        <v>0</v>
      </c>
      <c r="BB67" s="207">
        <f>AZ67*0.006</f>
        <v/>
      </c>
      <c r="BC67" s="209">
        <f>AZ67+BA67-BB67</f>
        <v/>
      </c>
      <c r="BD67" s="207" t="n">
        <v>0</v>
      </c>
      <c r="BE67" s="207" t="n">
        <v>0</v>
      </c>
      <c r="BF67" s="209" t="n">
        <v>0</v>
      </c>
      <c r="BG67" s="209">
        <f>BC67-AY67+BF67</f>
        <v/>
      </c>
      <c r="BH67" s="87" t="inlineStr">
        <is>
          <t>元子</t>
        </is>
      </c>
      <c r="BI67" s="210" t="inlineStr">
        <is>
          <t>北京 北京市 朝阳区 酒仙桥街道万红西街9号银河湾6号楼2单元903</t>
        </is>
      </c>
      <c r="BJ67" s="86" t="inlineStr">
        <is>
          <t>18401156869-5251</t>
        </is>
      </c>
      <c r="BK67" s="86" t="n"/>
      <c r="BL67" s="210">
        <f>BC67</f>
        <v/>
      </c>
      <c r="BM67" s="95" t="n"/>
      <c r="BN67" s="94">
        <f>BG67/BC67</f>
        <v/>
      </c>
      <c r="BO67" s="95" t="n"/>
      <c r="BP67" s="86" t="inlineStr">
        <is>
          <t>洞石背板   已采银色电力轨道T25   1.458+2个插座  ，已采银色轨道，已采黑色塑料轨道，亚克力条   已采吊杆  洞石岩板</t>
        </is>
      </c>
      <c r="BQ67" s="96" t="inlineStr">
        <is>
          <t>黑色塑料轨道双轨上下1000
银色轨道1460*2</t>
        </is>
      </c>
      <c r="BR67" s="96" t="inlineStr">
        <is>
          <t>元子</t>
        </is>
      </c>
      <c r="BS67" s="97" t="inlineStr">
        <is>
          <t>洞石岩三面下挂150*50</t>
        </is>
      </c>
      <c r="BT67" s="96" t="n"/>
      <c r="BU67" s="97" t="n"/>
      <c r="BV67" s="96" t="n"/>
      <c r="BW67" s="97" t="n"/>
      <c r="BX67" s="97" t="n"/>
      <c r="BY67" s="97" t="n"/>
      <c r="BZ67" s="97" t="n"/>
      <c r="CA67" s="98" t="n"/>
      <c r="CH67" s="2" t="n"/>
      <c r="CI67" s="26" t="n"/>
      <c r="CJ67" s="26" t="n"/>
      <c r="CK67" s="26" t="n"/>
      <c r="CL67" s="26" t="n"/>
      <c r="CM67" s="26" t="n"/>
      <c r="CN67" s="26" t="n"/>
      <c r="CO67" s="26" t="n"/>
      <c r="CP67" s="26" t="n"/>
      <c r="CQ67" s="26" t="n"/>
      <c r="CR67" s="26" t="n"/>
      <c r="CS67" s="26" t="n"/>
      <c r="CT67" s="26" t="n"/>
      <c r="CU67" s="26" t="n"/>
      <c r="CV67" s="26" t="n"/>
      <c r="CW67" s="26" t="n"/>
      <c r="CX67" s="26" t="n"/>
      <c r="CY67" s="26" t="n"/>
      <c r="DA67" s="25" t="n"/>
      <c r="DC67" s="26" t="n"/>
      <c r="DD67" s="26" t="n"/>
      <c r="DE67" s="26" t="n"/>
      <c r="DF67" s="26" t="n"/>
      <c r="DG67" s="26" t="n"/>
      <c r="DH67" s="27" t="n"/>
      <c r="DJ67" s="211" t="inlineStr">
        <is>
          <t>订单表中未找到</t>
        </is>
      </c>
      <c r="DK67" t="inlineStr">
        <is>
          <t>—</t>
        </is>
      </c>
      <c r="DL67" t="inlineStr">
        <is>
          <t>—</t>
        </is>
      </c>
    </row>
    <row r="68" ht="15.75" customHeight="1" s="187">
      <c r="A68" s="84" t="n">
        <v>45705</v>
      </c>
      <c r="B68" s="206" t="inlineStr">
        <is>
          <t>已收货</t>
        </is>
      </c>
      <c r="C68" s="86" t="inlineStr">
        <is>
          <t>2470075035963769870</t>
        </is>
      </c>
      <c r="D68" s="87" t="inlineStr">
        <is>
          <t>李</t>
        </is>
      </c>
      <c r="E68" s="87" t="n"/>
      <c r="F68" s="87" t="n"/>
      <c r="G68" s="87" t="inlineStr">
        <is>
          <t>升降桌：樱桃木，1.5米（抽屉+腿+置物架+插排+底部+E361+E360）</t>
        </is>
      </c>
      <c r="H68" s="87" t="inlineStr">
        <is>
          <t>升降桌-2024款</t>
        </is>
      </c>
      <c r="I68" s="89" t="n">
        <v>1500</v>
      </c>
      <c r="J68" s="87" t="inlineStr">
        <is>
          <t>已结算</t>
        </is>
      </c>
      <c r="K68" s="87" t="inlineStr">
        <is>
          <t>江西</t>
        </is>
      </c>
      <c r="L68" s="207">
        <f>1250+115+32+990+94+70+62.9+160</f>
        <v/>
      </c>
      <c r="M68" s="207">
        <f>1250</f>
        <v/>
      </c>
      <c r="N68" s="207" t="n">
        <v>115</v>
      </c>
      <c r="O68" s="207" t="n">
        <v>32</v>
      </c>
      <c r="P68" s="207" t="n">
        <v>990</v>
      </c>
      <c r="Q68" s="207" t="n"/>
      <c r="R68" s="207" t="n">
        <v>94</v>
      </c>
      <c r="S68" s="207" t="n">
        <v>70</v>
      </c>
      <c r="T68" s="207" t="n"/>
      <c r="U68" s="207" t="n"/>
      <c r="V68" s="207" t="n"/>
      <c r="W68" s="207" t="n"/>
      <c r="X68" s="207" t="n"/>
      <c r="Y68" s="207" t="n"/>
      <c r="Z68" s="207" t="n"/>
      <c r="AA68" s="207" t="n"/>
      <c r="AB68" s="207" t="n"/>
      <c r="AC68" s="207" t="n"/>
      <c r="AD68" s="207" t="n"/>
      <c r="AE68" s="207" t="n"/>
      <c r="AF68" s="207" t="n"/>
      <c r="AG68" s="207" t="n"/>
      <c r="AH68" s="207">
        <f>63</f>
        <v/>
      </c>
      <c r="AI68" s="207" t="n"/>
      <c r="AJ68" s="207" t="n"/>
      <c r="AK68" s="207" t="n"/>
      <c r="AL68" s="207" t="n"/>
      <c r="AM68" s="207" t="n">
        <v>160</v>
      </c>
      <c r="AN68" s="207" t="n"/>
      <c r="AO68" s="207" t="n"/>
      <c r="AP68" s="207" t="n">
        <v>64</v>
      </c>
      <c r="AQ68" s="207" t="n">
        <v>46</v>
      </c>
      <c r="AR68" s="207" t="n">
        <v>89</v>
      </c>
      <c r="AS68" s="207" t="n">
        <v>0</v>
      </c>
      <c r="AT68" s="207" t="n">
        <v>0</v>
      </c>
      <c r="AU68" s="207" t="n">
        <v>0</v>
      </c>
      <c r="AV68" s="207" t="n">
        <v>0</v>
      </c>
      <c r="AW68" s="207" t="n">
        <v>0</v>
      </c>
      <c r="AX68" s="208" t="n">
        <v>1</v>
      </c>
      <c r="AY68" s="209">
        <f>L68*AX68+AP68+AQ68+AR68+AV68+AW68+AS68+AT68+AU68</f>
        <v/>
      </c>
      <c r="AZ68" s="207" t="n">
        <v>4590</v>
      </c>
      <c r="BA68" s="207" t="n">
        <v>0</v>
      </c>
      <c r="BB68" s="207">
        <f>AZ68*0.006</f>
        <v/>
      </c>
      <c r="BC68" s="209">
        <f>AZ68+BA68-BB68</f>
        <v/>
      </c>
      <c r="BD68" s="207" t="n">
        <v>0</v>
      </c>
      <c r="BE68" s="207" t="n">
        <v>0</v>
      </c>
      <c r="BF68" s="209" t="n">
        <v>0</v>
      </c>
      <c r="BG68" s="209">
        <f>BC68-AY68+BF68</f>
        <v/>
      </c>
      <c r="BH68" s="87" t="inlineStr">
        <is>
          <t>李</t>
        </is>
      </c>
      <c r="BI68" s="210" t="inlineStr">
        <is>
          <t>上海 上海市 松江区 九里亭街道九亭中心北区7号楼214</t>
        </is>
      </c>
      <c r="BJ68" s="86" t="inlineStr">
        <is>
          <t>18466704899-8626</t>
        </is>
      </c>
      <c r="BK68" s="86" t="n"/>
      <c r="BL68" s="210">
        <f>BC68</f>
        <v/>
      </c>
      <c r="BM68" s="95" t="n"/>
      <c r="BN68" s="94">
        <f>BG68/BC68</f>
        <v/>
      </c>
      <c r="BO68" s="95" t="n"/>
      <c r="BP68" s="86" t="inlineStr">
        <is>
          <t>插排，亚克力，刹车轮子（工厂有）</t>
        </is>
      </c>
      <c r="BQ68" s="96" t="n"/>
      <c r="BR68" s="96" t="n"/>
      <c r="BS68" s="97" t="n"/>
      <c r="BT68" s="96" t="n"/>
      <c r="BU68" s="97" t="n"/>
      <c r="BV68" s="96" t="n"/>
      <c r="BW68" s="97" t="n"/>
      <c r="BX68" s="97" t="n"/>
      <c r="BY68" s="97" t="n"/>
      <c r="BZ68" s="97" t="n"/>
      <c r="CA68" s="98" t="n"/>
      <c r="CH68" s="2" t="n"/>
      <c r="CI68" s="26" t="n"/>
      <c r="CJ68" s="26" t="n"/>
      <c r="CK68" s="26" t="n"/>
      <c r="CL68" s="26" t="n"/>
      <c r="CM68" s="26" t="n"/>
      <c r="CN68" s="26" t="n"/>
      <c r="CO68" s="26" t="n"/>
      <c r="CP68" s="26" t="n"/>
      <c r="CQ68" s="26" t="n"/>
      <c r="CR68" s="26" t="n"/>
      <c r="CS68" s="26" t="n"/>
      <c r="CT68" s="26" t="n"/>
      <c r="CU68" s="26" t="n"/>
      <c r="CV68" s="26" t="n"/>
      <c r="CW68" s="26" t="n"/>
      <c r="CX68" s="26" t="n"/>
      <c r="CY68" s="26" t="n"/>
      <c r="DA68" s="25" t="n"/>
      <c r="DC68" s="26" t="n"/>
      <c r="DD68" s="26" t="n"/>
      <c r="DE68" s="26" t="n"/>
      <c r="DF68" s="26" t="n"/>
      <c r="DG68" s="26" t="n"/>
      <c r="DH68" s="27" t="n"/>
      <c r="DJ68" s="211" t="inlineStr">
        <is>
          <t>订单表中未找到</t>
        </is>
      </c>
      <c r="DK68" t="inlineStr">
        <is>
          <t>—</t>
        </is>
      </c>
      <c r="DL68" t="inlineStr">
        <is>
          <t>—</t>
        </is>
      </c>
    </row>
    <row r="69" ht="15.75" customHeight="1" s="187">
      <c r="A69" s="84" t="n">
        <v>45707</v>
      </c>
      <c r="B69" s="206" t="inlineStr">
        <is>
          <t>已收货</t>
        </is>
      </c>
      <c r="C69" s="86" t="inlineStr">
        <is>
          <t>2472268404657361765</t>
        </is>
      </c>
      <c r="D69" s="87" t="inlineStr">
        <is>
          <t>李铭仪</t>
        </is>
      </c>
      <c r="E69" s="87" t="n"/>
      <c r="F69" s="87" t="n"/>
      <c r="G69" s="87" t="inlineStr">
        <is>
          <t>榉木餐边柜：白色岩板 120cm*45*192cm</t>
        </is>
      </c>
      <c r="H69" s="87" t="inlineStr">
        <is>
          <t>榉木餐边柜</t>
        </is>
      </c>
      <c r="I69" s="89" t="n">
        <v>1200</v>
      </c>
      <c r="J69" s="87" t="inlineStr">
        <is>
          <t>已结算，灰色玻璃</t>
        </is>
      </c>
      <c r="K69" s="87" t="inlineStr">
        <is>
          <t>江西</t>
        </is>
      </c>
      <c r="L69" s="207">
        <f>3500+160+828+15+8.5+330+40+181+22*4+52</f>
        <v/>
      </c>
      <c r="M69" s="207">
        <f>3500</f>
        <v/>
      </c>
      <c r="N69" s="207" t="n">
        <v>160</v>
      </c>
      <c r="O69" s="207" t="n">
        <v>828</v>
      </c>
      <c r="P69" s="207" t="n">
        <v>15</v>
      </c>
      <c r="Q69" s="207" t="n"/>
      <c r="R69" s="207" t="n">
        <v>8.5</v>
      </c>
      <c r="S69" s="207" t="n">
        <v>330</v>
      </c>
      <c r="T69" s="207" t="n">
        <v>40</v>
      </c>
      <c r="U69" s="207" t="n"/>
      <c r="V69" s="207" t="n"/>
      <c r="W69" s="207" t="n">
        <v>181</v>
      </c>
      <c r="X69" s="207" t="inlineStr">
        <is>
          <t>22*4</t>
        </is>
      </c>
      <c r="Y69" s="207" t="n">
        <v>52</v>
      </c>
      <c r="Z69" s="207" t="n"/>
      <c r="AA69" s="207" t="n"/>
      <c r="AB69" s="207" t="n"/>
      <c r="AC69" s="207" t="n"/>
      <c r="AD69" s="207" t="n"/>
      <c r="AE69" s="207" t="n"/>
      <c r="AF69" s="207" t="n"/>
      <c r="AG69" s="207" t="n"/>
      <c r="AH69" s="207" t="n"/>
      <c r="AI69" s="207" t="n"/>
      <c r="AJ69" s="207" t="n"/>
      <c r="AK69" s="207" t="n"/>
      <c r="AL69" s="207" t="n"/>
      <c r="AM69" s="207" t="n">
        <v>330</v>
      </c>
      <c r="AN69" s="207" t="n"/>
      <c r="AO69" s="207" t="n"/>
      <c r="AP69" s="207" t="n">
        <v>230</v>
      </c>
      <c r="AQ69" s="207" t="n">
        <v>71</v>
      </c>
      <c r="AR69" s="207" t="n">
        <v>168</v>
      </c>
      <c r="AS69" s="207" t="n">
        <v>0</v>
      </c>
      <c r="AT69" s="207" t="n">
        <v>0</v>
      </c>
      <c r="AU69" s="207" t="n">
        <v>0</v>
      </c>
      <c r="AV69" s="207" t="n">
        <v>100</v>
      </c>
      <c r="AW69" s="207" t="n">
        <v>0</v>
      </c>
      <c r="AX69" s="208" t="n">
        <v>1</v>
      </c>
      <c r="AY69" s="209">
        <f>L69*AX69+AP69+AQ69+AR69+AV69+AW69+AS69+AT69+AU69</f>
        <v/>
      </c>
      <c r="AZ69" s="207" t="n">
        <v>7371</v>
      </c>
      <c r="BA69" s="207" t="n">
        <v>0</v>
      </c>
      <c r="BB69" s="207">
        <f>AZ69*0.006</f>
        <v/>
      </c>
      <c r="BC69" s="209">
        <f>AZ69+BA69-BB69</f>
        <v/>
      </c>
      <c r="BD69" s="207" t="n">
        <v>0</v>
      </c>
      <c r="BE69" s="207" t="n">
        <v>0</v>
      </c>
      <c r="BF69" s="209" t="n">
        <v>0</v>
      </c>
      <c r="BG69" s="209">
        <f>BC69-AY69+BF69</f>
        <v/>
      </c>
      <c r="BH69" s="87" t="inlineStr">
        <is>
          <t>李铭仪</t>
        </is>
      </c>
      <c r="BI69" s="210" t="inlineStr">
        <is>
          <t>广东省 中山市  小榄镇维港湾19栋1203</t>
        </is>
      </c>
      <c r="BJ69" s="86" t="inlineStr">
        <is>
          <t>18466424112-8126</t>
        </is>
      </c>
      <c r="BK69" s="86" t="n"/>
      <c r="BL69" s="210">
        <f>BC69</f>
        <v/>
      </c>
      <c r="BM69" s="95" t="n"/>
      <c r="BN69" s="94">
        <f>BG69/BC69</f>
        <v/>
      </c>
      <c r="BO69" s="95" t="n"/>
      <c r="BP69" s="86" t="inlineStr">
        <is>
          <t>已采白色岩板，已采电力轨道K59  1.15  已采吊杆</t>
        </is>
      </c>
      <c r="BQ69" s="96" t="inlineStr">
        <is>
          <t>黑色塑料轨道双轨上下1200</t>
        </is>
      </c>
      <c r="BR69" s="96" t="inlineStr">
        <is>
          <t>李铭仪</t>
        </is>
      </c>
      <c r="BS69" s="97" t="inlineStr">
        <is>
          <t>纯白岩板119.8*44.8 右边打孔</t>
        </is>
      </c>
      <c r="BT69" s="96" t="n"/>
      <c r="BU69" s="97" t="n"/>
      <c r="BV69" s="96" t="n"/>
      <c r="BW69" s="97" t="n"/>
      <c r="BX69" s="97" t="n"/>
      <c r="BY69" s="97" t="n"/>
      <c r="BZ69" s="97" t="n"/>
      <c r="CA69" s="98" t="n"/>
      <c r="CH69" s="2" t="n"/>
      <c r="CI69" s="26" t="n"/>
      <c r="CJ69" s="26" t="n"/>
      <c r="CK69" s="26" t="n"/>
      <c r="CL69" s="26" t="n"/>
      <c r="CM69" s="26" t="n"/>
      <c r="CN69" s="26" t="n"/>
      <c r="CO69" s="26" t="n"/>
      <c r="CP69" s="26" t="n"/>
      <c r="CQ69" s="26" t="n"/>
      <c r="CR69" s="26" t="n"/>
      <c r="CS69" s="26" t="n"/>
      <c r="CT69" s="26" t="n"/>
      <c r="CU69" s="26" t="n"/>
      <c r="CV69" s="26" t="n"/>
      <c r="CW69" s="26" t="n"/>
      <c r="CX69" s="26" t="n"/>
      <c r="CY69" s="26" t="n"/>
      <c r="DA69" s="25" t="n"/>
      <c r="DC69" s="26" t="n"/>
      <c r="DD69" s="26" t="n"/>
      <c r="DE69" s="26" t="n"/>
      <c r="DF69" s="26" t="n"/>
      <c r="DG69" s="26" t="n"/>
      <c r="DH69" s="27" t="n"/>
      <c r="DJ69" s="211" t="inlineStr">
        <is>
          <t>订单表中未找到</t>
        </is>
      </c>
      <c r="DK69" t="inlineStr">
        <is>
          <t>—</t>
        </is>
      </c>
      <c r="DL69" t="inlineStr">
        <is>
          <t>—</t>
        </is>
      </c>
    </row>
    <row r="70" ht="15.75" customHeight="1" s="187">
      <c r="A70" s="84" t="n">
        <v>45707</v>
      </c>
      <c r="B70" s="206" t="inlineStr">
        <is>
          <t>已收货</t>
        </is>
      </c>
      <c r="C70" s="86" t="inlineStr">
        <is>
          <t>3836690209026259538</t>
        </is>
      </c>
      <c r="D70" s="87" t="inlineStr">
        <is>
          <t>大王</t>
        </is>
      </c>
      <c r="E70" s="113" t="n"/>
      <c r="F70" s="113" t="n"/>
      <c r="G70" s="87" t="inlineStr">
        <is>
          <t>售后单：腿重做</t>
        </is>
      </c>
      <c r="H70" s="87" t="inlineStr">
        <is>
          <t>配件</t>
        </is>
      </c>
      <c r="I70" s="89" t="n"/>
      <c r="J70" s="87" t="inlineStr">
        <is>
          <t>已结算</t>
        </is>
      </c>
      <c r="K70" s="87" t="inlineStr">
        <is>
          <t>江西</t>
        </is>
      </c>
      <c r="L70" s="207" t="n">
        <v>30</v>
      </c>
      <c r="M70" s="207" t="n">
        <v>31</v>
      </c>
      <c r="N70" s="207" t="n"/>
      <c r="O70" s="207" t="n"/>
      <c r="P70" s="207" t="n"/>
      <c r="Q70" s="207" t="n"/>
      <c r="R70" s="207" t="n"/>
      <c r="S70" s="207" t="n"/>
      <c r="T70" s="207" t="n"/>
      <c r="U70" s="207" t="n"/>
      <c r="V70" s="207" t="n"/>
      <c r="W70" s="207" t="n"/>
      <c r="X70" s="207" t="n"/>
      <c r="Y70" s="207" t="n"/>
      <c r="Z70" s="207" t="n"/>
      <c r="AA70" s="207" t="n"/>
      <c r="AB70" s="207" t="n"/>
      <c r="AC70" s="207" t="n"/>
      <c r="AD70" s="207" t="n"/>
      <c r="AE70" s="207" t="n"/>
      <c r="AF70" s="207" t="n"/>
      <c r="AG70" s="207" t="n"/>
      <c r="AH70" s="207" t="n"/>
      <c r="AI70" s="207" t="n"/>
      <c r="AJ70" s="207" t="n"/>
      <c r="AK70" s="207" t="n"/>
      <c r="AL70" s="207" t="n"/>
      <c r="AM70" s="207" t="n">
        <v>30</v>
      </c>
      <c r="AN70" s="207" t="n"/>
      <c r="AO70" s="207" t="n"/>
      <c r="AP70" s="207" t="n">
        <v>55</v>
      </c>
      <c r="AQ70" s="207" t="n">
        <v>0</v>
      </c>
      <c r="AR70" s="207" t="n">
        <v>0</v>
      </c>
      <c r="AS70" s="207" t="n">
        <v>0</v>
      </c>
      <c r="AT70" s="207" t="n">
        <v>0</v>
      </c>
      <c r="AU70" s="207" t="n">
        <v>0</v>
      </c>
      <c r="AV70" s="207" t="n">
        <v>0</v>
      </c>
      <c r="AW70" s="207" t="n">
        <v>0</v>
      </c>
      <c r="AX70" s="208" t="n">
        <v>1</v>
      </c>
      <c r="AY70" s="209">
        <f>L70*AX70+AP70+AQ70+AR70+AV70+AW70+AS70+AT70+AU70</f>
        <v/>
      </c>
      <c r="AZ70" s="207" t="n">
        <v>0</v>
      </c>
      <c r="BA70" s="207" t="n">
        <v>0</v>
      </c>
      <c r="BB70" s="207">
        <f>AZ70*0.006</f>
        <v/>
      </c>
      <c r="BC70" s="209">
        <f>AZ70+BA70-BB70</f>
        <v/>
      </c>
      <c r="BD70" s="207" t="n">
        <v>0</v>
      </c>
      <c r="BE70" s="207" t="n">
        <v>0</v>
      </c>
      <c r="BF70" s="209" t="n">
        <v>0</v>
      </c>
      <c r="BG70" s="209">
        <f>BC70-AY70+BF70</f>
        <v/>
      </c>
      <c r="BH70" s="87" t="inlineStr">
        <is>
          <t>大王</t>
        </is>
      </c>
      <c r="BI70" s="210" t="inlineStr">
        <is>
          <t>江苏省 无锡市 锡山区 东北塘街道无锡旭辉城5-9-301</t>
        </is>
      </c>
      <c r="BJ70" s="86" t="inlineStr">
        <is>
          <t>17200913776-6535</t>
        </is>
      </c>
      <c r="BK70" s="86" t="n"/>
      <c r="BL70" s="210">
        <f>BC70</f>
        <v/>
      </c>
      <c r="BM70" s="95" t="n"/>
      <c r="BN70" s="94">
        <f>BG70/BC70</f>
        <v/>
      </c>
      <c r="BO70" s="95" t="n"/>
      <c r="BP70" s="86" t="n"/>
      <c r="BQ70" s="96" t="n"/>
      <c r="BR70" s="96" t="n"/>
      <c r="BS70" s="97" t="n"/>
      <c r="BT70" s="96" t="n"/>
      <c r="BU70" s="97" t="n"/>
      <c r="BV70" s="96" t="n"/>
      <c r="BW70" s="97" t="n"/>
      <c r="BX70" s="97" t="n"/>
      <c r="BY70" s="97" t="n"/>
      <c r="BZ70" s="97" t="n"/>
      <c r="CA70" s="98" t="n"/>
      <c r="CH70" s="2" t="n"/>
      <c r="CI70" s="26" t="n"/>
      <c r="CJ70" s="26" t="n"/>
      <c r="CK70" s="26" t="n"/>
      <c r="CL70" s="26" t="n"/>
      <c r="CM70" s="26" t="n"/>
      <c r="CN70" s="26" t="n"/>
      <c r="CO70" s="26" t="n"/>
      <c r="CP70" s="26" t="n"/>
      <c r="CQ70" s="26" t="n"/>
      <c r="CR70" s="26" t="n"/>
      <c r="CS70" s="26" t="n"/>
      <c r="CT70" s="26" t="n"/>
      <c r="CU70" s="26" t="n"/>
      <c r="CV70" s="26" t="n"/>
      <c r="CW70" s="26" t="n"/>
      <c r="CX70" s="26" t="n"/>
      <c r="CY70" s="26" t="n"/>
      <c r="DA70" s="25" t="n"/>
      <c r="DC70" s="26" t="n"/>
      <c r="DD70" s="26" t="n"/>
      <c r="DE70" s="26" t="n"/>
      <c r="DF70" s="26" t="n"/>
      <c r="DG70" s="26" t="n"/>
      <c r="DH70" s="27" t="n"/>
      <c r="DJ70" s="211" t="inlineStr">
        <is>
          <t>订单表中未找到</t>
        </is>
      </c>
      <c r="DK70" t="inlineStr">
        <is>
          <t>—</t>
        </is>
      </c>
      <c r="DL70" t="inlineStr">
        <is>
          <t>—</t>
        </is>
      </c>
    </row>
    <row r="71" ht="15.75" customHeight="1" s="187">
      <c r="A71" s="84" t="n">
        <v>45710</v>
      </c>
      <c r="B71" s="206" t="inlineStr">
        <is>
          <t>已收货</t>
        </is>
      </c>
      <c r="C71" s="86" t="inlineStr">
        <is>
          <t>2475930109279018364</t>
        </is>
      </c>
      <c r="D71" s="87" t="inlineStr">
        <is>
          <t>发仔</t>
        </is>
      </c>
      <c r="E71" s="113" t="inlineStr">
        <is>
          <t>赔付了客户3000，线上2500，线下500，物流抵扣500</t>
        </is>
      </c>
      <c r="F71" s="113" t="n"/>
      <c r="G71" s="87" t="inlineStr">
        <is>
          <t>香港洞石餐边柜：樱桃木 上柜1800*420*1120  下柜1800*460*880</t>
        </is>
      </c>
      <c r="H71" s="87" t="inlineStr">
        <is>
          <t>洞石餐边柜</t>
        </is>
      </c>
      <c r="I71" s="89" t="n">
        <v>1800</v>
      </c>
      <c r="J71" s="87" t="inlineStr">
        <is>
          <t>已结算，灰色玻璃</t>
        </is>
      </c>
      <c r="K71" s="87" t="inlineStr">
        <is>
          <t>江西</t>
        </is>
      </c>
      <c r="L71" s="207">
        <f>5700+560+320+577+5.2+84+10+30+22*3+20+52*2+14+470</f>
        <v/>
      </c>
      <c r="M71" s="207">
        <f>5700</f>
        <v/>
      </c>
      <c r="N71" s="207" t="n">
        <v>560</v>
      </c>
      <c r="O71" s="207" t="n">
        <v>320</v>
      </c>
      <c r="P71" s="207" t="n">
        <v>577</v>
      </c>
      <c r="Q71" s="207" t="n"/>
      <c r="R71" s="207" t="n">
        <v>5.2</v>
      </c>
      <c r="S71" s="207" t="n">
        <v>84</v>
      </c>
      <c r="T71" s="207" t="n">
        <v>10</v>
      </c>
      <c r="U71" s="207" t="n"/>
      <c r="V71" s="207" t="n"/>
      <c r="W71" s="207" t="n">
        <v>30</v>
      </c>
      <c r="X71" s="207">
        <f>22*3</f>
        <v/>
      </c>
      <c r="Y71" s="207" t="n">
        <v>20</v>
      </c>
      <c r="Z71" s="207" t="n"/>
      <c r="AA71" s="207" t="n"/>
      <c r="AB71" s="207" t="n"/>
      <c r="AC71" s="207" t="n"/>
      <c r="AD71" s="207" t="n">
        <v>14</v>
      </c>
      <c r="AE71" s="207" t="inlineStr">
        <is>
          <t>52*2</t>
        </is>
      </c>
      <c r="AF71" s="207" t="n"/>
      <c r="AG71" s="207" t="n"/>
      <c r="AH71" s="207" t="n"/>
      <c r="AI71" s="207" t="n"/>
      <c r="AJ71" s="207" t="n"/>
      <c r="AK71" s="207" t="n"/>
      <c r="AL71" s="207" t="n"/>
      <c r="AM71" s="207" t="n">
        <v>470</v>
      </c>
      <c r="AN71" s="207" t="n"/>
      <c r="AO71" s="207" t="n"/>
      <c r="AP71" s="207">
        <f>55+500</f>
        <v/>
      </c>
      <c r="AQ71" s="207" t="n">
        <v>0</v>
      </c>
      <c r="AR71" s="207" t="n">
        <v>0</v>
      </c>
      <c r="AS71" s="207" t="n">
        <v>0</v>
      </c>
      <c r="AT71" s="207" t="n">
        <v>0</v>
      </c>
      <c r="AU71" s="207" t="n">
        <v>0</v>
      </c>
      <c r="AV71" s="207" t="n">
        <v>100</v>
      </c>
      <c r="AW71" s="207" t="n">
        <v>3000</v>
      </c>
      <c r="AX71" s="208" t="n">
        <v>1</v>
      </c>
      <c r="AY71" s="209">
        <f>L71*AX71+AP71+AQ71+AR71+AV71+AW71+AS71+AT71+AU71</f>
        <v/>
      </c>
      <c r="AZ71" s="207">
        <f>11384.12+816</f>
        <v/>
      </c>
      <c r="BA71" s="207" t="n">
        <v>0</v>
      </c>
      <c r="BB71" s="207">
        <f>AZ71*0.006</f>
        <v/>
      </c>
      <c r="BC71" s="209">
        <f>AZ71+BA71-BB71</f>
        <v/>
      </c>
      <c r="BD71" s="207" t="n">
        <v>0</v>
      </c>
      <c r="BE71" s="207" t="n">
        <v>500</v>
      </c>
      <c r="BF71" s="209">
        <f>BD71+BE71</f>
        <v/>
      </c>
      <c r="BG71" s="209">
        <f>BC71-AY71+BF71</f>
        <v/>
      </c>
      <c r="BH71" s="87" t="inlineStr">
        <is>
          <t>发仔</t>
        </is>
      </c>
      <c r="BI71" s="210" t="inlineStr">
        <is>
          <t>广东省 东莞市  虎门镇怀德社区大茂高新工业园2号1栋（轉loyinyan23)</t>
        </is>
      </c>
      <c r="BJ71" s="86" t="inlineStr">
        <is>
          <t>18825744679-4644</t>
        </is>
      </c>
      <c r="BK71" s="86" t="n"/>
      <c r="BL71" s="210">
        <f>BC71</f>
        <v/>
      </c>
      <c r="BM71" s="95" t="n"/>
      <c r="BN71" s="94">
        <f>BG71/BC71</f>
        <v/>
      </c>
      <c r="BO71" s="95" t="n"/>
      <c r="BP71" s="86" t="inlineStr">
        <is>
          <t>洞石背板   已采银色英标电力轨道T25 1.758+2个插座  银色轨道，黑色塑料轨道，亚克力条   已采吊杆  已采洞石岩板</t>
        </is>
      </c>
      <c r="BQ71" s="96" t="inlineStr">
        <is>
          <t>黑色塑料轨道双轨上下1500
银色轨道2060*2</t>
        </is>
      </c>
      <c r="BR71" s="96" t="inlineStr">
        <is>
          <t>发仔</t>
        </is>
      </c>
      <c r="BS71" s="97" t="inlineStr">
        <is>
          <t>洞石岩板三面下挂180*46</t>
        </is>
      </c>
      <c r="BT71" s="96" t="n"/>
      <c r="BU71" s="97" t="n"/>
      <c r="BV71" s="96" t="n"/>
      <c r="BW71" s="97" t="n"/>
      <c r="BX71" s="97" t="n"/>
      <c r="BY71" s="97" t="n"/>
      <c r="BZ71" s="97" t="n"/>
      <c r="CA71" s="98" t="n"/>
      <c r="CH71" s="2" t="n"/>
      <c r="CI71" s="26" t="n"/>
      <c r="CJ71" s="26" t="n"/>
      <c r="CK71" s="26" t="n"/>
      <c r="CL71" s="26" t="n"/>
      <c r="CM71" s="26" t="n"/>
      <c r="CN71" s="26" t="n"/>
      <c r="CO71" s="26" t="n"/>
      <c r="CP71" s="26" t="n"/>
      <c r="CQ71" s="26" t="n"/>
      <c r="CR71" s="26" t="n"/>
      <c r="CS71" s="26" t="n"/>
      <c r="CT71" s="26" t="n"/>
      <c r="CU71" s="26" t="n"/>
      <c r="CV71" s="26" t="n"/>
      <c r="CW71" s="26" t="n"/>
      <c r="CX71" s="26" t="n"/>
      <c r="CY71" s="26" t="n"/>
      <c r="DA71" s="25" t="n"/>
      <c r="DC71" s="26" t="n"/>
      <c r="DD71" s="26" t="n"/>
      <c r="DE71" s="26" t="n"/>
      <c r="DF71" s="26" t="n"/>
      <c r="DG71" s="26" t="n"/>
      <c r="DH71" s="27" t="n"/>
      <c r="DJ71" s="211" t="inlineStr">
        <is>
          <t>订单表中未找到</t>
        </is>
      </c>
      <c r="DK71" t="inlineStr">
        <is>
          <t>—</t>
        </is>
      </c>
      <c r="DL71" t="inlineStr">
        <is>
          <t>—</t>
        </is>
      </c>
    </row>
    <row r="72" ht="15.75" customHeight="1" s="187">
      <c r="A72" s="84" t="n">
        <v>45710</v>
      </c>
      <c r="B72" s="206" t="inlineStr">
        <is>
          <t>已收货</t>
        </is>
      </c>
      <c r="C72" s="86" t="inlineStr">
        <is>
          <t>2476406137101431288</t>
        </is>
      </c>
      <c r="D72" s="87" t="inlineStr">
        <is>
          <t>尹燕青</t>
        </is>
      </c>
      <c r="E72" s="114" t="inlineStr">
        <is>
          <t>第一次发过来的岩板貌似少了一块，重新定的，还在跟岩板厂售后</t>
        </is>
      </c>
      <c r="F72" s="114" t="n"/>
      <c r="G72" s="87" t="inlineStr">
        <is>
          <t>旋转柜立柱：1.55米白色岩板整柜+1.2白色岩板双腿餐桌</t>
        </is>
      </c>
      <c r="H72" s="87" t="inlineStr">
        <is>
          <t>旋转餐边柜</t>
        </is>
      </c>
      <c r="I72" s="89" t="n">
        <v>1550</v>
      </c>
      <c r="J72" s="87" t="inlineStr">
        <is>
          <t>已结算，茶色玻璃</t>
        </is>
      </c>
      <c r="K72" s="87" t="inlineStr">
        <is>
          <t>江西</t>
        </is>
      </c>
      <c r="L72" s="207">
        <f>5600+240+240+180+229+512+9.8+52+20+31+18.6+22*9+490</f>
        <v/>
      </c>
      <c r="M72" s="207">
        <f>5600</f>
        <v/>
      </c>
      <c r="N72" s="207" t="n"/>
      <c r="O72" s="207" t="n"/>
      <c r="P72" s="207" t="n"/>
      <c r="Q72" s="207" t="n"/>
      <c r="R72" s="207" t="n"/>
      <c r="S72" s="207" t="n">
        <v>512</v>
      </c>
      <c r="T72" s="207" t="n">
        <v>9.800000000000001</v>
      </c>
      <c r="U72" s="207" t="n"/>
      <c r="V72" s="207" t="n"/>
      <c r="W72" s="207" t="n">
        <v>52</v>
      </c>
      <c r="X72" s="207">
        <f>22*9</f>
        <v/>
      </c>
      <c r="Y72" s="207" t="n">
        <v>31</v>
      </c>
      <c r="Z72" s="207" t="n"/>
      <c r="AA72" s="207" t="n"/>
      <c r="AB72" s="207" t="n"/>
      <c r="AC72" s="207" t="n"/>
      <c r="AD72" s="207" t="n"/>
      <c r="AE72" s="207" t="n">
        <v>18.6</v>
      </c>
      <c r="AF72" s="207" t="n">
        <v>490</v>
      </c>
      <c r="AG72" s="207" t="n"/>
      <c r="AH72" s="207" t="n"/>
      <c r="AI72" s="207" t="n"/>
      <c r="AJ72" s="207" t="n">
        <v>20</v>
      </c>
      <c r="AK72" s="207" t="n"/>
      <c r="AL72" s="207" t="n"/>
      <c r="AM72" s="207" t="n">
        <v>490</v>
      </c>
      <c r="AN72" s="207" t="n"/>
      <c r="AO72" s="207" t="n"/>
      <c r="AP72" s="207">
        <f>556+65</f>
        <v/>
      </c>
      <c r="AQ72" s="207">
        <f>91+41</f>
        <v/>
      </c>
      <c r="AR72" s="207" t="n">
        <v>168</v>
      </c>
      <c r="AS72" s="207" t="n">
        <v>0</v>
      </c>
      <c r="AT72" s="207" t="n">
        <v>0</v>
      </c>
      <c r="AU72" s="207" t="n">
        <v>0</v>
      </c>
      <c r="AV72" s="207">
        <f>55+8</f>
        <v/>
      </c>
      <c r="AW72" s="207" t="n">
        <v>0</v>
      </c>
      <c r="AX72" s="208" t="n">
        <v>1</v>
      </c>
      <c r="AY72" s="209">
        <f>L72*AX72+AP72+AQ72+AR72+AV72+AW72+AS72+AT72+AU72</f>
        <v/>
      </c>
      <c r="AZ72" s="207" t="n">
        <v>11609</v>
      </c>
      <c r="BA72" s="207" t="n">
        <v>0</v>
      </c>
      <c r="BB72" s="207">
        <f>AZ72*0.006</f>
        <v/>
      </c>
      <c r="BC72" s="209">
        <f>AZ72+BA72-BB72</f>
        <v/>
      </c>
      <c r="BD72" s="207" t="n">
        <v>0</v>
      </c>
      <c r="BE72" s="207" t="n">
        <v>0</v>
      </c>
      <c r="BF72" s="209" t="n">
        <v>0</v>
      </c>
      <c r="BG72" s="209">
        <f>BC72-AY72+BF72</f>
        <v/>
      </c>
      <c r="BH72" s="87" t="inlineStr">
        <is>
          <t>尹燕青</t>
        </is>
      </c>
      <c r="BI72" s="210" t="inlineStr">
        <is>
          <t>四川省 成都市 青羊区 苏坡街道龙欣苑</t>
        </is>
      </c>
      <c r="BJ72" s="86" t="inlineStr">
        <is>
          <t>18400754574-1678</t>
        </is>
      </c>
      <c r="BK72" s="86" t="n"/>
      <c r="BL72" s="210">
        <f>BC72</f>
        <v/>
      </c>
      <c r="BM72" s="95" t="n"/>
      <c r="BN72" s="94">
        <f>BG72/BC72</f>
        <v/>
      </c>
      <c r="BO72" s="95" t="n"/>
      <c r="BP72" s="86" t="inlineStr">
        <is>
          <t>已采U80 1.5轨道，背板立柱，已采白色岩板*2</t>
        </is>
      </c>
      <c r="BQ72" s="96" t="n"/>
      <c r="BR72" s="96" t="inlineStr">
        <is>
          <t>尹燕青</t>
        </is>
      </c>
      <c r="BS72" s="97" t="inlineStr">
        <is>
          <t>纯白岩板：154.8*54.8 右侧打孔  
纯白岩板：120*75 不打孔</t>
        </is>
      </c>
      <c r="BT72" s="96" t="n"/>
      <c r="BU72" s="97" t="n"/>
      <c r="BV72" s="96" t="n"/>
      <c r="BW72" s="97" t="n"/>
      <c r="BX72" s="97" t="n"/>
      <c r="BY72" s="97" t="n"/>
      <c r="BZ72" s="97" t="n"/>
      <c r="CA72" s="98" t="n"/>
      <c r="CH72" s="2" t="n"/>
      <c r="CI72" s="26" t="n"/>
      <c r="CJ72" s="26" t="n"/>
      <c r="CK72" s="26" t="n"/>
      <c r="CL72" s="26" t="n"/>
      <c r="CM72" s="26" t="n"/>
      <c r="CN72" s="26" t="n"/>
      <c r="CO72" s="26" t="n"/>
      <c r="CP72" s="26" t="n"/>
      <c r="CQ72" s="26" t="n"/>
      <c r="CR72" s="26" t="n"/>
      <c r="CS72" s="26" t="n"/>
      <c r="CT72" s="26" t="n"/>
      <c r="CU72" s="26" t="n"/>
      <c r="CV72" s="26" t="n"/>
      <c r="CW72" s="26" t="n"/>
      <c r="CX72" s="26" t="n"/>
      <c r="CY72" s="26" t="n"/>
      <c r="DA72" s="25" t="n"/>
      <c r="DC72" s="26" t="n"/>
      <c r="DD72" s="26" t="n"/>
      <c r="DE72" s="26" t="n"/>
      <c r="DF72" s="26" t="n"/>
      <c r="DG72" s="26" t="n"/>
      <c r="DH72" s="27" t="n"/>
      <c r="DJ72" s="211" t="inlineStr">
        <is>
          <t>订单表中未找到</t>
        </is>
      </c>
      <c r="DK72" t="inlineStr">
        <is>
          <t>—</t>
        </is>
      </c>
      <c r="DL72" t="inlineStr">
        <is>
          <t>—</t>
        </is>
      </c>
    </row>
    <row r="73" ht="15.75" customHeight="1" s="187">
      <c r="A73" s="84" t="n">
        <v>45711</v>
      </c>
      <c r="B73" s="206" t="inlineStr">
        <is>
          <t>已收货</t>
        </is>
      </c>
      <c r="C73" s="86" t="inlineStr">
        <is>
          <t>4242527496528443244</t>
        </is>
      </c>
      <c r="D73" s="87" t="inlineStr">
        <is>
          <t>李小毛</t>
        </is>
      </c>
      <c r="E73" s="114" t="inlineStr">
        <is>
          <t>第一次发过来的岩板破损，重新定了，还在跟岩板厂售后</t>
        </is>
      </c>
      <c r="F73" s="114" t="n"/>
      <c r="G73" s="87" t="inlineStr">
        <is>
          <t>旋转柜：1.6米黑色岩板整柜+1.2黑色岩板双腿餐桌</t>
        </is>
      </c>
      <c r="H73" s="87" t="inlineStr">
        <is>
          <t>旋转餐边柜</t>
        </is>
      </c>
      <c r="I73" s="89" t="n">
        <v>1600</v>
      </c>
      <c r="J73" s="87" t="inlineStr">
        <is>
          <t>已结算，茶色玻璃</t>
        </is>
      </c>
      <c r="K73" s="87" t="inlineStr">
        <is>
          <t>江西</t>
        </is>
      </c>
      <c r="L73" s="207">
        <f>5700+300+460+525+180+229+9.8+52+20+22*9+36+490</f>
        <v/>
      </c>
      <c r="M73" s="207">
        <f>5700</f>
        <v/>
      </c>
      <c r="N73" s="207" t="n"/>
      <c r="O73" s="207" t="n"/>
      <c r="P73" s="207" t="n"/>
      <c r="Q73" s="207" t="n"/>
      <c r="R73" s="207" t="n"/>
      <c r="S73" s="207" t="n">
        <v>229</v>
      </c>
      <c r="T73" s="207" t="n">
        <v>9.800000000000001</v>
      </c>
      <c r="U73" s="207" t="n"/>
      <c r="V73" s="207" t="n"/>
      <c r="W73" s="207" t="n">
        <v>52</v>
      </c>
      <c r="X73" s="207">
        <f>22*9</f>
        <v/>
      </c>
      <c r="Y73" s="207" t="n"/>
      <c r="Z73" s="207" t="n"/>
      <c r="AA73" s="207" t="n"/>
      <c r="AB73" s="207" t="n"/>
      <c r="AC73" s="207" t="n"/>
      <c r="AD73" s="207" t="n">
        <v>490</v>
      </c>
      <c r="AE73" s="207" t="n">
        <v>36</v>
      </c>
      <c r="AF73" s="207" t="n">
        <v>20</v>
      </c>
      <c r="AG73" s="207" t="n"/>
      <c r="AH73" s="207" t="n"/>
      <c r="AI73" s="207" t="n"/>
      <c r="AJ73" s="207" t="n"/>
      <c r="AK73" s="207" t="n"/>
      <c r="AL73" s="207" t="n"/>
      <c r="AM73" s="207" t="n">
        <v>490</v>
      </c>
      <c r="AN73" s="207" t="n"/>
      <c r="AO73" s="207" t="n"/>
      <c r="AP73" s="207" t="n">
        <v>612</v>
      </c>
      <c r="AQ73" s="207">
        <f>95+200</f>
        <v/>
      </c>
      <c r="AR73" s="207" t="n">
        <v>133</v>
      </c>
      <c r="AS73" s="207" t="n">
        <v>0</v>
      </c>
      <c r="AT73" s="207" t="n">
        <v>0</v>
      </c>
      <c r="AU73" s="207" t="n">
        <v>0</v>
      </c>
      <c r="AV73" s="207" t="n">
        <v>0</v>
      </c>
      <c r="AW73" s="207" t="n">
        <v>0</v>
      </c>
      <c r="AX73" s="208" t="n">
        <v>1</v>
      </c>
      <c r="AY73" s="209">
        <f>L73*AX73+AP73+AQ73+AR73+AV73+AW73+AS73+AT73+AU73</f>
        <v/>
      </c>
      <c r="AZ73" s="207" t="n">
        <v>11848</v>
      </c>
      <c r="BA73" s="207" t="n">
        <v>0</v>
      </c>
      <c r="BB73" s="207">
        <f>AZ73*0.006</f>
        <v/>
      </c>
      <c r="BC73" s="209">
        <f>AZ73+BA73-BB73</f>
        <v/>
      </c>
      <c r="BD73" s="207" t="n">
        <v>0</v>
      </c>
      <c r="BE73" s="207" t="n">
        <v>0</v>
      </c>
      <c r="BF73" s="209" t="n">
        <v>0</v>
      </c>
      <c r="BG73" s="209">
        <f>BC73-AY73+BF73</f>
        <v/>
      </c>
      <c r="BH73" s="87" t="inlineStr">
        <is>
          <t>李小毛</t>
        </is>
      </c>
      <c r="BI73" s="210" t="inlineStr">
        <is>
          <t>陕西省 西安市 灞桥区 洪庆街道同心路2号东苑小区</t>
        </is>
      </c>
      <c r="BJ73" s="86" t="inlineStr">
        <is>
          <t>18400692449-1118</t>
        </is>
      </c>
      <c r="BK73" s="86" t="n"/>
      <c r="BL73" s="210">
        <f>BC73</f>
        <v/>
      </c>
      <c r="BM73" s="95" t="n"/>
      <c r="BN73" s="94">
        <f>BG73/BC73</f>
        <v/>
      </c>
      <c r="BO73" s="95" t="n"/>
      <c r="BP73" s="86" t="inlineStr">
        <is>
          <t>已采U80 1.55轨道，洞洞板，已采黑色岩板*2</t>
        </is>
      </c>
      <c r="BQ73" s="96" t="n"/>
      <c r="BR73" s="96" t="inlineStr">
        <is>
          <t>李小毛</t>
        </is>
      </c>
      <c r="BS73" s="97" t="inlineStr">
        <is>
          <t>纯黑岩板：159.8*54.8 右侧打孔  
纯黑岩板：120*75 不打孔</t>
        </is>
      </c>
      <c r="BT73" s="96" t="n"/>
      <c r="BU73" s="97" t="n"/>
      <c r="BV73" s="96" t="n"/>
      <c r="BW73" s="97" t="n"/>
      <c r="BX73" s="97" t="n"/>
      <c r="BY73" s="97" t="n"/>
      <c r="BZ73" s="97" t="n"/>
      <c r="CA73" s="98" t="n"/>
      <c r="CH73" s="2" t="n"/>
      <c r="CI73" s="26" t="n"/>
      <c r="CJ73" s="26" t="n"/>
      <c r="CK73" s="26" t="n"/>
      <c r="CL73" s="26" t="n"/>
      <c r="CM73" s="26" t="n"/>
      <c r="CN73" s="26" t="n"/>
      <c r="CO73" s="26" t="n"/>
      <c r="CP73" s="26" t="n"/>
      <c r="CQ73" s="26" t="n"/>
      <c r="CR73" s="26" t="n"/>
      <c r="CS73" s="26" t="n"/>
      <c r="CT73" s="26" t="n"/>
      <c r="CU73" s="26" t="n"/>
      <c r="CV73" s="26" t="n"/>
      <c r="CW73" s="26" t="n"/>
      <c r="CX73" s="26" t="n"/>
      <c r="CY73" s="26" t="n"/>
      <c r="DA73" s="25" t="n"/>
      <c r="DC73" s="26" t="n"/>
      <c r="DD73" s="26" t="n"/>
      <c r="DE73" s="26" t="n"/>
      <c r="DF73" s="26" t="n"/>
      <c r="DG73" s="26" t="n"/>
      <c r="DH73" s="27" t="n"/>
      <c r="DJ73" s="211" t="inlineStr">
        <is>
          <t>订单表中未找到</t>
        </is>
      </c>
      <c r="DK73" t="inlineStr">
        <is>
          <t>—</t>
        </is>
      </c>
      <c r="DL73" t="inlineStr">
        <is>
          <t>—</t>
        </is>
      </c>
    </row>
    <row r="74" ht="15.75" customHeight="1" s="187">
      <c r="A74" s="84" t="n">
        <v>45712</v>
      </c>
      <c r="B74" s="206" t="inlineStr">
        <is>
          <t>已收货</t>
        </is>
      </c>
      <c r="C74" s="86" t="inlineStr">
        <is>
          <t>2477420222284908495</t>
        </is>
      </c>
      <c r="D74" s="87" t="inlineStr">
        <is>
          <t>侯世伟</t>
        </is>
      </c>
      <c r="E74" s="115" t="inlineStr">
        <is>
          <t>给客户划伤大门500+破损，修复+2次上门230（30元包含在了105安装里面）
退差价94</t>
        </is>
      </c>
      <c r="F74" s="115" t="n"/>
      <c r="G74" s="87" t="inlineStr">
        <is>
          <t>砂白色1.6米岩板餐桌</t>
        </is>
      </c>
      <c r="H74" s="87" t="inlineStr">
        <is>
          <t>榉木餐桌</t>
        </is>
      </c>
      <c r="I74" s="89" t="inlineStr">
        <is>
          <t>160cm*75cm</t>
        </is>
      </c>
      <c r="J74" s="87" t="inlineStr">
        <is>
          <t>已结算</t>
        </is>
      </c>
      <c r="K74" s="87" t="inlineStr">
        <is>
          <t>江西</t>
        </is>
      </c>
      <c r="L74" s="207">
        <f>SUM(M74:AO74)</f>
        <v/>
      </c>
      <c r="M74" s="207">
        <f>1500</f>
        <v/>
      </c>
      <c r="N74" s="207" t="n"/>
      <c r="O74" s="207" t="n"/>
      <c r="P74" s="207" t="n"/>
      <c r="Q74" s="207" t="n"/>
      <c r="R74" s="207" t="n">
        <v>300</v>
      </c>
      <c r="S74" s="207" t="n"/>
      <c r="T74" s="207" t="n"/>
      <c r="U74" s="207" t="n"/>
      <c r="V74" s="207" t="n"/>
      <c r="W74" s="207" t="n"/>
      <c r="X74" s="207" t="n"/>
      <c r="Y74" s="207" t="n"/>
      <c r="Z74" s="207" t="n"/>
      <c r="AA74" s="207" t="n"/>
      <c r="AB74" s="207" t="n"/>
      <c r="AC74" s="207" t="n"/>
      <c r="AD74" s="207" t="n">
        <v>2.5</v>
      </c>
      <c r="AE74" s="207" t="n"/>
      <c r="AF74" s="207" t="n"/>
      <c r="AG74" s="207" t="n"/>
      <c r="AH74" s="207" t="n"/>
      <c r="AI74" s="207" t="n"/>
      <c r="AJ74" s="207" t="n"/>
      <c r="AK74" s="207" t="n"/>
      <c r="AL74" s="207" t="n"/>
      <c r="AM74" s="207" t="n">
        <v>180</v>
      </c>
      <c r="AN74" s="207" t="n"/>
      <c r="AO74" s="207" t="n"/>
      <c r="AP74" s="207" t="n">
        <v>56</v>
      </c>
      <c r="AQ74" s="207">
        <f>46</f>
        <v/>
      </c>
      <c r="AR74" s="207" t="n">
        <v>105</v>
      </c>
      <c r="AS74" s="207" t="n">
        <v>500</v>
      </c>
      <c r="AT74" s="207" t="n">
        <v>200</v>
      </c>
      <c r="AU74" s="207" t="n">
        <v>0</v>
      </c>
      <c r="AV74" s="207" t="n">
        <v>0</v>
      </c>
      <c r="AW74" s="207" t="n">
        <v>94</v>
      </c>
      <c r="AX74" s="208" t="n">
        <v>1</v>
      </c>
      <c r="AY74" s="209">
        <f>L74*AX74+AP74+AQ74+AR74+AV74+AW74+AS74+AT74+AU74</f>
        <v/>
      </c>
      <c r="AZ74" s="207" t="n">
        <v>2953.37</v>
      </c>
      <c r="BA74" s="207" t="n">
        <v>0</v>
      </c>
      <c r="BB74" s="207">
        <f>AZ74*0.006</f>
        <v/>
      </c>
      <c r="BC74" s="209">
        <f>AZ74+BA74-BB74</f>
        <v/>
      </c>
      <c r="BD74" s="207" t="n">
        <v>0</v>
      </c>
      <c r="BE74" s="207" t="n">
        <v>730</v>
      </c>
      <c r="BF74" s="209">
        <f>BD74+BE74</f>
        <v/>
      </c>
      <c r="BG74" s="209">
        <f>BC74-AY74+BF74</f>
        <v/>
      </c>
      <c r="BH74" s="87" t="inlineStr">
        <is>
          <t>侯世伟</t>
        </is>
      </c>
      <c r="BI74" s="210" t="inlineStr">
        <is>
          <t>浙江省 杭州市 临安区 青山湖街道如沐清晖城72-2-804</t>
        </is>
      </c>
      <c r="BJ74" s="86" t="inlineStr">
        <is>
          <t>18413298717-2178</t>
        </is>
      </c>
      <c r="BK74" s="86" t="n"/>
      <c r="BL74" s="210">
        <f>BC74</f>
        <v/>
      </c>
      <c r="BM74" s="95" t="n"/>
      <c r="BN74" s="94">
        <f>BG74/BC74</f>
        <v/>
      </c>
      <c r="BO74" s="95" t="n"/>
      <c r="BP74" s="86" t="inlineStr">
        <is>
          <t>已采白色岩板：160*75</t>
        </is>
      </c>
      <c r="BQ74" s="96" t="n"/>
      <c r="BR74" s="96" t="inlineStr">
        <is>
          <t>侯世伟</t>
        </is>
      </c>
      <c r="BS74" s="97" t="inlineStr">
        <is>
          <t>纯白岩板160*75</t>
        </is>
      </c>
      <c r="BT74" s="96" t="n"/>
      <c r="BU74" s="97" t="n"/>
      <c r="BV74" s="96" t="n"/>
      <c r="BW74" s="97" t="n"/>
      <c r="BX74" s="97" t="n"/>
      <c r="BY74" s="97" t="n"/>
      <c r="BZ74" s="97" t="n"/>
      <c r="CA74" s="98" t="n"/>
      <c r="CH74" s="2" t="n"/>
      <c r="CI74" s="26" t="n"/>
      <c r="CJ74" s="26" t="n"/>
      <c r="CK74" s="26" t="n"/>
      <c r="CL74" s="26" t="n"/>
      <c r="CM74" s="26" t="n"/>
      <c r="CN74" s="26" t="n"/>
      <c r="CO74" s="26" t="n"/>
      <c r="CP74" s="26" t="n"/>
      <c r="CQ74" s="26" t="n"/>
      <c r="CR74" s="26" t="n"/>
      <c r="CS74" s="26" t="n"/>
      <c r="CT74" s="26" t="n"/>
      <c r="CU74" s="26" t="n"/>
      <c r="CV74" s="26" t="n"/>
      <c r="CW74" s="26" t="n"/>
      <c r="CX74" s="26" t="n"/>
      <c r="CY74" s="26" t="n"/>
      <c r="DA74" s="25" t="n"/>
      <c r="DC74" s="26" t="n"/>
      <c r="DD74" s="26" t="n"/>
      <c r="DE74" s="26" t="n"/>
      <c r="DF74" s="26" t="n"/>
      <c r="DG74" s="26" t="n"/>
      <c r="DH74" s="27" t="n"/>
      <c r="DJ74" s="211" t="inlineStr">
        <is>
          <t>订单表中未找到</t>
        </is>
      </c>
      <c r="DK74" t="inlineStr">
        <is>
          <t>—</t>
        </is>
      </c>
      <c r="DL74" t="inlineStr">
        <is>
          <t>—</t>
        </is>
      </c>
    </row>
    <row r="75" ht="15.75" customHeight="1" s="187">
      <c r="A75" s="84" t="n">
        <v>45713</v>
      </c>
      <c r="B75" s="206" t="inlineStr">
        <is>
          <t>已收货</t>
        </is>
      </c>
      <c r="C75" s="86" t="inlineStr">
        <is>
          <t>4243799089138297716</t>
        </is>
      </c>
      <c r="D75" s="87" t="inlineStr">
        <is>
          <t>王爱婷</t>
        </is>
      </c>
      <c r="E75" s="87" t="n"/>
      <c r="F75" s="87" t="n"/>
      <c r="G75" s="87" t="inlineStr">
        <is>
          <t>旋转柜：樱桃1.75米整柜+1.4单腿餐桌</t>
        </is>
      </c>
      <c r="H75" s="87" t="inlineStr">
        <is>
          <t>旋转餐边柜</t>
        </is>
      </c>
      <c r="I75" s="89" t="n">
        <v>1750</v>
      </c>
      <c r="J75" s="87" t="inlineStr">
        <is>
          <t>已结算，茶色玻璃</t>
        </is>
      </c>
      <c r="K75" s="87" t="inlineStr">
        <is>
          <t>江西</t>
        </is>
      </c>
      <c r="L75" s="207">
        <f>5700+470+300+668+52+22+42.5+22*9+240+36</f>
        <v/>
      </c>
      <c r="M75" s="207">
        <f>5700</f>
        <v/>
      </c>
      <c r="N75" s="207" t="n"/>
      <c r="O75" s="207" t="n"/>
      <c r="P75" s="207" t="n"/>
      <c r="Q75" s="207" t="n"/>
      <c r="R75" s="207" t="n"/>
      <c r="S75" s="207" t="n">
        <v>22</v>
      </c>
      <c r="T75" s="207" t="n">
        <v>42.5</v>
      </c>
      <c r="U75" s="207" t="n"/>
      <c r="V75" s="207" t="n"/>
      <c r="W75" s="207" t="n">
        <v>240</v>
      </c>
      <c r="X75" s="207">
        <f>22*9</f>
        <v/>
      </c>
      <c r="Y75" s="207" t="n">
        <v>36</v>
      </c>
      <c r="Z75" s="207" t="n"/>
      <c r="AA75" s="207" t="n"/>
      <c r="AB75" s="207" t="n"/>
      <c r="AC75" s="207" t="n"/>
      <c r="AD75" s="207" t="n"/>
      <c r="AE75" s="207" t="n"/>
      <c r="AF75" s="207" t="n"/>
      <c r="AG75" s="207" t="n"/>
      <c r="AH75" s="207" t="n"/>
      <c r="AI75" s="207" t="n"/>
      <c r="AJ75" s="207" t="n"/>
      <c r="AK75" s="207" t="n"/>
      <c r="AL75" s="207" t="n"/>
      <c r="AM75" s="207" t="n">
        <v>470</v>
      </c>
      <c r="AN75" s="207" t="n"/>
      <c r="AO75" s="207" t="n"/>
      <c r="AP75" s="207" t="n">
        <v>395</v>
      </c>
      <c r="AQ75" s="207" t="n">
        <v>97</v>
      </c>
      <c r="AR75" s="207" t="n">
        <v>139</v>
      </c>
      <c r="AS75" s="207" t="n">
        <v>0</v>
      </c>
      <c r="AT75" s="207" t="n">
        <v>0</v>
      </c>
      <c r="AU75" s="207" t="n">
        <v>0</v>
      </c>
      <c r="AV75" s="207" t="n">
        <v>0</v>
      </c>
      <c r="AW75" s="207" t="n">
        <v>0</v>
      </c>
      <c r="AX75" s="208" t="n">
        <v>1</v>
      </c>
      <c r="AY75" s="209">
        <f>L75*AX75+AP75+AQ75+AR75+AV75+AW75+AS75+AT75+AU75</f>
        <v/>
      </c>
      <c r="AZ75" s="207">
        <f>11859+253</f>
        <v/>
      </c>
      <c r="BA75" s="207" t="n">
        <v>0</v>
      </c>
      <c r="BB75" s="207">
        <f>AZ75*0.006</f>
        <v/>
      </c>
      <c r="BC75" s="209">
        <f>AZ75+BA75-BB75</f>
        <v/>
      </c>
      <c r="BD75" s="207" t="n">
        <v>0</v>
      </c>
      <c r="BE75" s="207" t="n">
        <v>0</v>
      </c>
      <c r="BF75" s="209" t="n">
        <v>0</v>
      </c>
      <c r="BG75" s="209">
        <f>BC75-AY75+BF75</f>
        <v/>
      </c>
      <c r="BH75" s="87" t="inlineStr">
        <is>
          <t>王爱婷</t>
        </is>
      </c>
      <c r="BI75" s="210" t="inlineStr">
        <is>
          <t>浙江省 温州市 瓯海区 娄桥街道 今汇路奥体华府3栋104室</t>
        </is>
      </c>
      <c r="BJ75" s="86" t="inlineStr">
        <is>
          <t>18413514738-9198</t>
        </is>
      </c>
      <c r="BK75" s="86" t="n"/>
      <c r="BL75" s="210">
        <f>BC75</f>
        <v/>
      </c>
      <c r="BM75" s="95" t="n"/>
      <c r="BN75" s="94">
        <f>BG75/BC75</f>
        <v/>
      </c>
      <c r="BO75" s="95" t="n"/>
      <c r="BP75" s="86" t="inlineStr">
        <is>
          <t>已采U80 1.7轨道，洞洞板，已采黑色岩板*2</t>
        </is>
      </c>
      <c r="BQ75" s="96" t="n"/>
      <c r="BR75" s="96" t="inlineStr">
        <is>
          <t>王爱婷</t>
        </is>
      </c>
      <c r="BS75" s="97" t="inlineStr">
        <is>
          <t xml:space="preserve">纯黑岩板：174.8*54.8 右侧打孔  </t>
        </is>
      </c>
      <c r="BT75" s="96" t="n"/>
      <c r="BU75" s="97" t="n"/>
      <c r="BV75" s="96" t="n"/>
      <c r="BW75" s="97" t="n"/>
      <c r="BX75" s="97" t="n"/>
      <c r="BY75" s="97" t="n"/>
      <c r="BZ75" s="97" t="n"/>
      <c r="CA75" s="98" t="n"/>
      <c r="CH75" s="2" t="n"/>
      <c r="CI75" s="26" t="n"/>
      <c r="CJ75" s="26" t="n"/>
      <c r="CK75" s="26" t="n"/>
      <c r="CL75" s="26" t="n"/>
      <c r="CM75" s="26" t="n"/>
      <c r="CN75" s="26" t="n"/>
      <c r="CO75" s="26" t="n"/>
      <c r="CP75" s="26" t="n"/>
      <c r="CQ75" s="26" t="n"/>
      <c r="CR75" s="26" t="n"/>
      <c r="CS75" s="26" t="n"/>
      <c r="CT75" s="26" t="n"/>
      <c r="CU75" s="26" t="n"/>
      <c r="CV75" s="26" t="n"/>
      <c r="CW75" s="26" t="n"/>
      <c r="CX75" s="26" t="n"/>
      <c r="CY75" s="26" t="n"/>
      <c r="DA75" s="25" t="n"/>
      <c r="DC75" s="26" t="n"/>
      <c r="DD75" s="26" t="n"/>
      <c r="DE75" s="26" t="n"/>
      <c r="DF75" s="26" t="n"/>
      <c r="DG75" s="26" t="n"/>
      <c r="DH75" s="27" t="n"/>
      <c r="DJ75" s="211" t="inlineStr">
        <is>
          <t>订单表中未找到</t>
        </is>
      </c>
      <c r="DK75" t="inlineStr">
        <is>
          <t>—</t>
        </is>
      </c>
      <c r="DL75" t="inlineStr">
        <is>
          <t>—</t>
        </is>
      </c>
    </row>
    <row r="76" ht="15.75" customHeight="1" s="187">
      <c r="A76" s="84" t="n">
        <v>45716</v>
      </c>
      <c r="B76" s="206" t="inlineStr">
        <is>
          <t>已收货</t>
        </is>
      </c>
      <c r="C76" s="86" t="inlineStr">
        <is>
          <t>4248322203263223405</t>
        </is>
      </c>
      <c r="D76" s="87" t="inlineStr">
        <is>
          <t>林叶</t>
        </is>
      </c>
      <c r="E76" s="87" t="n"/>
      <c r="F76" s="87" t="n"/>
      <c r="G76" s="87" t="inlineStr">
        <is>
          <t>榉木样块</t>
        </is>
      </c>
      <c r="H76" s="207" t="inlineStr">
        <is>
          <t>样块</t>
        </is>
      </c>
      <c r="I76" s="89" t="n"/>
      <c r="J76" s="87" t="inlineStr">
        <is>
          <t>已结算</t>
        </is>
      </c>
      <c r="K76" s="87" t="inlineStr">
        <is>
          <t>杭州</t>
        </is>
      </c>
      <c r="L76" s="207">
        <f>SUM(M76:AO76)</f>
        <v/>
      </c>
      <c r="M76" s="207" t="n">
        <v>5</v>
      </c>
      <c r="N76" s="207" t="n"/>
      <c r="O76" s="207" t="n"/>
      <c r="P76" s="207" t="n"/>
      <c r="Q76" s="207" t="n"/>
      <c r="R76" s="207" t="n"/>
      <c r="S76" s="207" t="n"/>
      <c r="T76" s="207" t="n"/>
      <c r="U76" s="207" t="n"/>
      <c r="V76" s="207" t="n"/>
      <c r="W76" s="207" t="n"/>
      <c r="X76" s="207" t="n"/>
      <c r="Y76" s="207" t="n"/>
      <c r="Z76" s="207" t="n"/>
      <c r="AA76" s="207" t="n"/>
      <c r="AB76" s="207" t="n"/>
      <c r="AC76" s="207" t="n"/>
      <c r="AD76" s="207" t="n"/>
      <c r="AE76" s="207" t="n"/>
      <c r="AF76" s="207" t="n"/>
      <c r="AG76" s="207" t="n"/>
      <c r="AH76" s="207" t="n"/>
      <c r="AI76" s="207" t="n"/>
      <c r="AJ76" s="207" t="n"/>
      <c r="AK76" s="207" t="n"/>
      <c r="AL76" s="207" t="n"/>
      <c r="AM76" s="207" t="n">
        <v>2</v>
      </c>
      <c r="AN76" s="207" t="n"/>
      <c r="AO76" s="207" t="n"/>
      <c r="AP76" s="207" t="n">
        <v>5</v>
      </c>
      <c r="AQ76" s="207" t="n">
        <v>0</v>
      </c>
      <c r="AR76" s="207" t="n">
        <v>0</v>
      </c>
      <c r="AS76" s="207" t="n">
        <v>0</v>
      </c>
      <c r="AT76" s="207" t="n">
        <v>0</v>
      </c>
      <c r="AU76" s="207" t="n">
        <v>0</v>
      </c>
      <c r="AV76" s="207" t="n">
        <v>0</v>
      </c>
      <c r="AW76" s="207" t="n">
        <v>0</v>
      </c>
      <c r="AX76" s="208" t="n">
        <v>1</v>
      </c>
      <c r="AY76" s="209">
        <f>L76*AX76+AP76+AQ76+AR76+AV76+AW76+AS76+AT76+AU76</f>
        <v/>
      </c>
      <c r="AZ76" s="207" t="n">
        <v>25</v>
      </c>
      <c r="BA76" s="207" t="n">
        <v>0</v>
      </c>
      <c r="BB76" s="207">
        <f>AZ76*0.006</f>
        <v/>
      </c>
      <c r="BC76" s="209">
        <f>AZ76+BA76-BB76</f>
        <v/>
      </c>
      <c r="BD76" s="207" t="n">
        <v>0</v>
      </c>
      <c r="BE76" s="207" t="n">
        <v>0</v>
      </c>
      <c r="BF76" s="209" t="n">
        <v>0</v>
      </c>
      <c r="BG76" s="209">
        <f>BC76-AY76+BF76</f>
        <v/>
      </c>
      <c r="BH76" s="87" t="inlineStr">
        <is>
          <t>林叶</t>
        </is>
      </c>
      <c r="BI76" s="210" t="n"/>
      <c r="BJ76" s="86" t="n"/>
      <c r="BK76" s="86" t="n"/>
      <c r="BL76" s="210">
        <f>BC76</f>
        <v/>
      </c>
      <c r="BM76" s="95" t="n"/>
      <c r="BN76" s="94">
        <f>BG76/BC76</f>
        <v/>
      </c>
      <c r="BO76" s="95" t="n"/>
      <c r="BP76" s="86" t="n"/>
      <c r="BQ76" s="96" t="n"/>
      <c r="BR76" s="96" t="n"/>
      <c r="BS76" s="97" t="n"/>
      <c r="BT76" s="96" t="n"/>
      <c r="BU76" s="97" t="n"/>
      <c r="BV76" s="96" t="n"/>
      <c r="BW76" s="97" t="n"/>
      <c r="BX76" s="97" t="n"/>
      <c r="BY76" s="97" t="n"/>
      <c r="BZ76" s="97" t="n"/>
      <c r="CA76" s="98" t="n"/>
      <c r="CH76" s="2" t="n"/>
      <c r="CI76" s="26" t="n"/>
      <c r="CJ76" s="26" t="n"/>
      <c r="CK76" s="26" t="n"/>
      <c r="CL76" s="26" t="n"/>
      <c r="CM76" s="26" t="n"/>
      <c r="CN76" s="26" t="n"/>
      <c r="CO76" s="26" t="n"/>
      <c r="CP76" s="26" t="n"/>
      <c r="CQ76" s="26" t="n"/>
      <c r="CR76" s="26" t="n"/>
      <c r="CS76" s="26" t="n"/>
      <c r="CT76" s="26" t="n"/>
      <c r="CU76" s="26" t="n"/>
      <c r="CV76" s="26" t="n"/>
      <c r="CW76" s="26" t="n"/>
      <c r="CX76" s="26" t="n"/>
      <c r="CY76" s="26" t="n"/>
      <c r="DA76" s="25" t="n"/>
      <c r="DC76" s="26" t="n"/>
      <c r="DD76" s="26" t="n"/>
      <c r="DE76" s="26" t="n"/>
      <c r="DF76" s="26" t="n"/>
      <c r="DG76" s="26" t="n"/>
      <c r="DH76" s="27" t="n"/>
      <c r="DJ76" s="211" t="inlineStr">
        <is>
          <t>订单表中未找到</t>
        </is>
      </c>
      <c r="DK76" t="inlineStr">
        <is>
          <t>—</t>
        </is>
      </c>
      <c r="DL76" t="inlineStr">
        <is>
          <t>—</t>
        </is>
      </c>
    </row>
    <row r="77" ht="15.75" customHeight="1" s="187">
      <c r="A77" s="84" t="n">
        <v>45720</v>
      </c>
      <c r="B77" s="206" t="inlineStr">
        <is>
          <t>已收货</t>
        </is>
      </c>
      <c r="C77" s="86" t="inlineStr">
        <is>
          <t>4253006991866515844</t>
        </is>
      </c>
      <c r="D77" s="87" t="inlineStr">
        <is>
          <t>邓先生</t>
        </is>
      </c>
      <c r="E77" s="113" t="inlineStr">
        <is>
          <t>破损修复280，物流承担100</t>
        </is>
      </c>
      <c r="F77" s="113" t="n"/>
      <c r="G77" s="87" t="inlineStr">
        <is>
          <t>玻璃上柜900*220+隐藏把手抽屉下柜900*341+洞石背板</t>
        </is>
      </c>
      <c r="H77" s="87" t="inlineStr">
        <is>
          <t>鞋柜</t>
        </is>
      </c>
      <c r="I77" s="89" t="n"/>
      <c r="J77" s="87" t="inlineStr">
        <is>
          <t>已结算</t>
        </is>
      </c>
      <c r="K77" s="87" t="inlineStr">
        <is>
          <t>江西</t>
        </is>
      </c>
      <c r="L77" s="207">
        <f>SUM(M77:AO77)</f>
        <v/>
      </c>
      <c r="M77" s="207">
        <f>2500</f>
        <v/>
      </c>
      <c r="N77" s="207" t="n"/>
      <c r="O77" s="207" t="n"/>
      <c r="P77" s="207" t="n"/>
      <c r="Q77" s="207" t="n"/>
      <c r="R77" s="207" t="n">
        <v>350</v>
      </c>
      <c r="S77" s="207" t="n"/>
      <c r="T77" s="207" t="n"/>
      <c r="U77" s="207" t="n"/>
      <c r="V77" s="207" t="n"/>
      <c r="W77" s="207" t="n"/>
      <c r="X77" s="207" t="n">
        <v>60</v>
      </c>
      <c r="Y77" s="207" t="n"/>
      <c r="Z77" s="207" t="n"/>
      <c r="AA77" s="207" t="n"/>
      <c r="AB77" s="207" t="n"/>
      <c r="AC77" s="207" t="n"/>
      <c r="AD77" s="207" t="n"/>
      <c r="AE77" s="207" t="n"/>
      <c r="AF77" s="207" t="n"/>
      <c r="AG77" s="207" t="n"/>
      <c r="AH77" s="207" t="n"/>
      <c r="AI77" s="207" t="n"/>
      <c r="AJ77" s="207" t="n"/>
      <c r="AK77" s="207" t="n"/>
      <c r="AL77" s="207" t="n"/>
      <c r="AM77" s="207" t="n">
        <v>160</v>
      </c>
      <c r="AN77" s="207" t="n"/>
      <c r="AO77" s="207" t="n"/>
      <c r="AP77" s="207" t="n">
        <v>357</v>
      </c>
      <c r="AQ77" s="207" t="n">
        <v>61</v>
      </c>
      <c r="AR77" s="207" t="n">
        <v>197</v>
      </c>
      <c r="AS77" s="207" t="n">
        <v>0</v>
      </c>
      <c r="AT77" s="207" t="n">
        <v>280</v>
      </c>
      <c r="AU77" s="207" t="n">
        <v>0</v>
      </c>
      <c r="AV77" s="207" t="n">
        <v>0</v>
      </c>
      <c r="AW77" s="207" t="n">
        <v>0</v>
      </c>
      <c r="AX77" s="208" t="n">
        <v>1</v>
      </c>
      <c r="AY77" s="209">
        <f>L77*AX77+AP77+AQ77+AR77+AV77+AW77+AS77+AT77+AU77</f>
        <v/>
      </c>
      <c r="AZ77" s="207" t="n">
        <v>5226.66</v>
      </c>
      <c r="BA77" s="207" t="n">
        <v>0</v>
      </c>
      <c r="BB77" s="207">
        <f>AZ77*0.006</f>
        <v/>
      </c>
      <c r="BC77" s="209">
        <f>AZ77+BA77-BB77</f>
        <v/>
      </c>
      <c r="BD77" s="207" t="n">
        <v>0</v>
      </c>
      <c r="BE77" s="207" t="n">
        <v>100</v>
      </c>
      <c r="BF77" s="209">
        <f>BD77+BE77</f>
        <v/>
      </c>
      <c r="BG77" s="209">
        <f>BC77-AY77+BF77</f>
        <v/>
      </c>
      <c r="BH77" s="87" t="inlineStr">
        <is>
          <t>邓先生</t>
        </is>
      </c>
      <c r="BI77" s="210" t="inlineStr">
        <is>
          <t>海南省 三亚市 天涯区 天涯镇中粮红塘悦海18号楼401</t>
        </is>
      </c>
      <c r="BJ77" s="86" t="inlineStr">
        <is>
          <t>13034964114-8878</t>
        </is>
      </c>
      <c r="BK77" s="86" t="n"/>
      <c r="BL77" s="210">
        <f>BC77</f>
        <v/>
      </c>
      <c r="BM77" s="95" t="n"/>
      <c r="BN77" s="94">
        <f>BG77/BC77</f>
        <v/>
      </c>
      <c r="BO77" s="95" t="n"/>
      <c r="BP77" s="86" t="inlineStr">
        <is>
          <t>磁吸件 鞋柜五金</t>
        </is>
      </c>
      <c r="BQ77" s="96" t="n"/>
      <c r="BR77" s="96" t="n"/>
      <c r="BS77" s="97" t="n"/>
      <c r="BT77" s="96" t="n"/>
      <c r="BU77" s="97" t="n"/>
      <c r="BV77" s="96" t="n"/>
      <c r="BW77" s="97" t="n"/>
      <c r="BX77" s="97" t="n"/>
      <c r="BY77" s="97" t="n"/>
      <c r="BZ77" s="97" t="n"/>
      <c r="CA77" s="98" t="n"/>
      <c r="CH77" s="2" t="n"/>
      <c r="CI77" s="26" t="n"/>
      <c r="CJ77" s="26" t="n"/>
      <c r="CK77" s="26" t="n"/>
      <c r="CL77" s="26" t="n"/>
      <c r="CM77" s="26" t="n"/>
      <c r="CN77" s="26" t="n"/>
      <c r="CO77" s="26" t="n"/>
      <c r="CP77" s="26" t="n"/>
      <c r="CQ77" s="26" t="n"/>
      <c r="CR77" s="26" t="n"/>
      <c r="CS77" s="26" t="n"/>
      <c r="CT77" s="26" t="n"/>
      <c r="CU77" s="26" t="n"/>
      <c r="CV77" s="26" t="n"/>
      <c r="CW77" s="26" t="n"/>
      <c r="CX77" s="26" t="n"/>
      <c r="CY77" s="26" t="n"/>
      <c r="DA77" s="25" t="n"/>
      <c r="DC77" s="26" t="n"/>
      <c r="DD77" s="26" t="n"/>
      <c r="DE77" s="26" t="n"/>
      <c r="DF77" s="26" t="n"/>
      <c r="DG77" s="26" t="n"/>
      <c r="DH77" s="27" t="n"/>
      <c r="DJ77" s="211" t="inlineStr">
        <is>
          <t>订单表中未找到</t>
        </is>
      </c>
      <c r="DK77" t="inlineStr">
        <is>
          <t>—</t>
        </is>
      </c>
      <c r="DL77" t="inlineStr">
        <is>
          <t>—</t>
        </is>
      </c>
    </row>
    <row r="78" ht="15.75" customHeight="1" s="187">
      <c r="A78" s="84" t="n">
        <v>45721</v>
      </c>
      <c r="B78" s="206" t="inlineStr">
        <is>
          <t>已收货</t>
        </is>
      </c>
      <c r="C78" s="86" t="inlineStr">
        <is>
          <t>2487616536606006086</t>
        </is>
      </c>
      <c r="D78" s="87" t="inlineStr">
        <is>
          <t>魏仁江</t>
        </is>
      </c>
      <c r="E78" s="116" t="inlineStr">
        <is>
          <t>打包费130</t>
        </is>
      </c>
      <c r="F78" s="116" t="n"/>
      <c r="G78" s="87" t="inlineStr">
        <is>
          <t>砂白色2.0米岩板餐桌</t>
        </is>
      </c>
      <c r="H78" s="87" t="inlineStr">
        <is>
          <t>榉木餐桌</t>
        </is>
      </c>
      <c r="I78" s="89" t="inlineStr">
        <is>
          <t>200cm*85cm</t>
        </is>
      </c>
      <c r="J78" s="87" t="inlineStr">
        <is>
          <t>已结算</t>
        </is>
      </c>
      <c r="K78" s="87" t="inlineStr">
        <is>
          <t>江西</t>
        </is>
      </c>
      <c r="L78" s="207">
        <f>SUM(M78:AO78)</f>
        <v/>
      </c>
      <c r="M78" s="207">
        <f>1650</f>
        <v/>
      </c>
      <c r="N78" s="207" t="n"/>
      <c r="O78" s="207" t="n"/>
      <c r="P78" s="207" t="n"/>
      <c r="Q78" s="207" t="n"/>
      <c r="R78" s="207" t="n">
        <v>510</v>
      </c>
      <c r="S78" s="207" t="n"/>
      <c r="T78" s="207" t="n"/>
      <c r="U78" s="207" t="n"/>
      <c r="V78" s="207" t="n"/>
      <c r="W78" s="207" t="n"/>
      <c r="X78" s="207" t="n"/>
      <c r="Y78" s="207" t="n"/>
      <c r="Z78" s="207" t="n"/>
      <c r="AA78" s="207" t="n"/>
      <c r="AB78" s="207" t="n"/>
      <c r="AC78" s="207" t="n"/>
      <c r="AD78" s="207" t="n">
        <v>2.5</v>
      </c>
      <c r="AE78" s="207" t="n"/>
      <c r="AF78" s="207" t="n"/>
      <c r="AG78" s="207" t="n"/>
      <c r="AH78" s="207" t="n"/>
      <c r="AI78" s="207" t="n"/>
      <c r="AJ78" s="207" t="n"/>
      <c r="AK78" s="207" t="n"/>
      <c r="AL78" s="207" t="n"/>
      <c r="AM78" s="207" t="n">
        <v>130</v>
      </c>
      <c r="AN78" s="207" t="n"/>
      <c r="AO78" s="207" t="n"/>
      <c r="AP78" s="207" t="n">
        <v>363</v>
      </c>
      <c r="AQ78" s="207" t="n">
        <v>0</v>
      </c>
      <c r="AR78" s="207" t="n">
        <v>68</v>
      </c>
      <c r="AS78" s="207" t="n">
        <v>0</v>
      </c>
      <c r="AT78" s="207" t="n">
        <v>0</v>
      </c>
      <c r="AU78" s="207" t="n">
        <v>0</v>
      </c>
      <c r="AV78" s="207" t="n">
        <v>0</v>
      </c>
      <c r="AW78" s="207" t="n">
        <v>0</v>
      </c>
      <c r="AX78" s="208" t="n">
        <v>1</v>
      </c>
      <c r="AY78" s="209">
        <f>L78*AX78+AP78+AQ78+AR78+AV78+AW78+AS78+AT78+AU78</f>
        <v/>
      </c>
      <c r="AZ78" s="207" t="n">
        <v>3689.67</v>
      </c>
      <c r="BA78" s="207" t="n">
        <v>0</v>
      </c>
      <c r="BB78" s="207">
        <f>AZ78*0.006</f>
        <v/>
      </c>
      <c r="BC78" s="209">
        <f>AZ78+BA78-BB78</f>
        <v/>
      </c>
      <c r="BD78" s="207" t="n">
        <v>0</v>
      </c>
      <c r="BE78" s="207" t="n">
        <v>0</v>
      </c>
      <c r="BF78" s="209">
        <f>BD78+BE78</f>
        <v/>
      </c>
      <c r="BG78" s="209">
        <f>BC78-AY78+BF78</f>
        <v/>
      </c>
      <c r="BH78" s="87" t="inlineStr">
        <is>
          <t>魏仁江</t>
        </is>
      </c>
      <c r="BI78" s="210" t="inlineStr">
        <is>
          <t>广东省 惠州市 惠城区 河南岸街道广东华宁装饰集团·全案设计中心</t>
        </is>
      </c>
      <c r="BJ78" s="86" t="inlineStr">
        <is>
          <t>17806517350-5849</t>
        </is>
      </c>
      <c r="BK78" s="86" t="n"/>
      <c r="BL78" s="210">
        <f>BC78</f>
        <v/>
      </c>
      <c r="BM78" s="95" t="n"/>
      <c r="BN78" s="94">
        <f>BG78/BC78</f>
        <v/>
      </c>
      <c r="BO78" s="95" t="n"/>
      <c r="BP78" s="86" t="inlineStr">
        <is>
          <t>已采纯白岩板</t>
        </is>
      </c>
      <c r="BQ78" s="96" t="n"/>
      <c r="BR78" s="96" t="inlineStr">
        <is>
          <t>魏仁江</t>
        </is>
      </c>
      <c r="BS78" s="97" t="inlineStr">
        <is>
          <t>纯白岩板 200*85</t>
        </is>
      </c>
      <c r="BT78" s="96" t="n"/>
      <c r="BU78" s="97" t="n"/>
      <c r="BV78" s="96" t="n"/>
      <c r="BW78" s="97" t="n"/>
      <c r="BX78" s="97" t="n"/>
      <c r="BY78" s="97" t="n"/>
      <c r="BZ78" s="97" t="n"/>
      <c r="CA78" s="98" t="n"/>
      <c r="CH78" s="2" t="n"/>
      <c r="CI78" s="26" t="n"/>
      <c r="CJ78" s="26" t="n"/>
      <c r="CK78" s="26" t="n"/>
      <c r="CL78" s="26" t="n"/>
      <c r="CM78" s="26" t="n"/>
      <c r="CN78" s="26" t="n"/>
      <c r="CO78" s="26" t="n"/>
      <c r="CP78" s="26" t="n"/>
      <c r="CQ78" s="26" t="n"/>
      <c r="CR78" s="26" t="n"/>
      <c r="CS78" s="26" t="n"/>
      <c r="CT78" s="26" t="n"/>
      <c r="CU78" s="26" t="n"/>
      <c r="CV78" s="26" t="n"/>
      <c r="CW78" s="26" t="n"/>
      <c r="CX78" s="26" t="n"/>
      <c r="CY78" s="26" t="n"/>
      <c r="DA78" s="25" t="n"/>
      <c r="DC78" s="26" t="n"/>
      <c r="DD78" s="26" t="n"/>
      <c r="DE78" s="26" t="n"/>
      <c r="DF78" s="26" t="n"/>
      <c r="DG78" s="26" t="n"/>
      <c r="DH78" s="27" t="n"/>
      <c r="DJ78" s="211" t="inlineStr">
        <is>
          <t>订单表中未找到</t>
        </is>
      </c>
      <c r="DK78" t="inlineStr">
        <is>
          <t>—</t>
        </is>
      </c>
      <c r="DL78" t="inlineStr">
        <is>
          <t>—</t>
        </is>
      </c>
    </row>
    <row r="79" ht="15.75" customHeight="1" s="187">
      <c r="A79" s="84" t="n">
        <v>45721</v>
      </c>
      <c r="B79" s="206" t="inlineStr">
        <is>
          <t>已收货</t>
        </is>
      </c>
      <c r="C79" s="86" t="inlineStr">
        <is>
          <t>4254271203977463835</t>
        </is>
      </c>
      <c r="D79" s="87" t="inlineStr">
        <is>
          <t>草莓</t>
        </is>
      </c>
      <c r="E79" s="87" t="n"/>
      <c r="F79" s="87" t="n"/>
      <c r="G79" s="87" t="inlineStr">
        <is>
          <t>榉木  樱桃  白橡木  白蜡木  黑胡桃木</t>
        </is>
      </c>
      <c r="H79" s="207" t="inlineStr">
        <is>
          <t>样块</t>
        </is>
      </c>
      <c r="I79" s="89" t="n"/>
      <c r="J79" s="87" t="inlineStr">
        <is>
          <t>已结算</t>
        </is>
      </c>
      <c r="K79" s="87" t="inlineStr">
        <is>
          <t>杭州</t>
        </is>
      </c>
      <c r="L79" s="207">
        <f>SUM(M79:AO79)</f>
        <v/>
      </c>
      <c r="M79" s="207" t="n">
        <v>20</v>
      </c>
      <c r="N79" s="207" t="n"/>
      <c r="O79" s="207" t="n"/>
      <c r="P79" s="207" t="n"/>
      <c r="Q79" s="207" t="n"/>
      <c r="R79" s="207" t="n"/>
      <c r="S79" s="207" t="n"/>
      <c r="T79" s="207" t="n"/>
      <c r="U79" s="207" t="n"/>
      <c r="V79" s="207" t="n"/>
      <c r="W79" s="207" t="n"/>
      <c r="X79" s="207" t="n"/>
      <c r="Y79" s="207" t="n"/>
      <c r="Z79" s="207" t="n"/>
      <c r="AA79" s="207" t="n"/>
      <c r="AB79" s="207" t="n"/>
      <c r="AC79" s="207" t="n"/>
      <c r="AD79" s="207" t="n"/>
      <c r="AE79" s="207" t="n"/>
      <c r="AF79" s="207" t="n"/>
      <c r="AG79" s="207" t="n"/>
      <c r="AH79" s="207" t="n"/>
      <c r="AI79" s="207" t="n"/>
      <c r="AJ79" s="207" t="n"/>
      <c r="AK79" s="207" t="n"/>
      <c r="AL79" s="207" t="n"/>
      <c r="AM79" s="207" t="n">
        <v>2</v>
      </c>
      <c r="AN79" s="207" t="n"/>
      <c r="AO79" s="207" t="n"/>
      <c r="AP79" s="207" t="n">
        <v>5</v>
      </c>
      <c r="AQ79" s="207" t="n">
        <v>0</v>
      </c>
      <c r="AR79" s="207" t="n">
        <v>0</v>
      </c>
      <c r="AS79" s="207" t="n">
        <v>0</v>
      </c>
      <c r="AT79" s="207" t="n">
        <v>0</v>
      </c>
      <c r="AU79" s="207" t="n">
        <v>0</v>
      </c>
      <c r="AV79" s="207" t="n">
        <v>0</v>
      </c>
      <c r="AW79" s="207" t="n">
        <v>0</v>
      </c>
      <c r="AX79" s="208" t="n">
        <v>1</v>
      </c>
      <c r="AY79" s="209">
        <f>L79*AX79+AP79+AQ79+AR79+AV79+AW79+AS79+AT79+AU79</f>
        <v/>
      </c>
      <c r="AZ79" s="207" t="n">
        <v>75</v>
      </c>
      <c r="BA79" s="207" t="n">
        <v>0</v>
      </c>
      <c r="BB79" s="207">
        <f>AZ79*0.006</f>
        <v/>
      </c>
      <c r="BC79" s="209">
        <f>AZ79+BA79-BB79</f>
        <v/>
      </c>
      <c r="BD79" s="207" t="n">
        <v>0</v>
      </c>
      <c r="BE79" s="207" t="n">
        <v>0</v>
      </c>
      <c r="BF79" s="209">
        <f>BD79+BE79</f>
        <v/>
      </c>
      <c r="BG79" s="209">
        <f>BC79-AY79+BF79</f>
        <v/>
      </c>
      <c r="BH79" s="87" t="inlineStr">
        <is>
          <t>草莓</t>
        </is>
      </c>
      <c r="BI79" s="210" t="inlineStr">
        <is>
          <t>江苏省 盐城市 东台市 东台镇范公中路176号蓝色港湾彩票店</t>
        </is>
      </c>
      <c r="BJ79" s="86" t="inlineStr">
        <is>
          <t>18468482930-6355</t>
        </is>
      </c>
      <c r="BK79" s="86" t="n"/>
      <c r="BL79" s="210">
        <f>BC79</f>
        <v/>
      </c>
      <c r="BM79" s="95" t="n"/>
      <c r="BN79" s="94">
        <f>BG79/BC79</f>
        <v/>
      </c>
      <c r="BO79" s="95" t="n"/>
      <c r="BP79" s="86" t="n"/>
      <c r="BQ79" s="96" t="n"/>
      <c r="BR79" s="96" t="n"/>
      <c r="BS79" s="97" t="n"/>
      <c r="BT79" s="96" t="n"/>
      <c r="BU79" s="97" t="n"/>
      <c r="BV79" s="96" t="n"/>
      <c r="BW79" s="97" t="n"/>
      <c r="BX79" s="97" t="n"/>
      <c r="BY79" s="97" t="n"/>
      <c r="BZ79" s="97" t="n"/>
      <c r="CA79" s="98" t="n"/>
      <c r="CH79" s="2" t="n"/>
      <c r="CI79" s="26" t="n"/>
      <c r="CJ79" s="26" t="n"/>
      <c r="CK79" s="26" t="n"/>
      <c r="CL79" s="26" t="n"/>
      <c r="CM79" s="26" t="n"/>
      <c r="CN79" s="26" t="n"/>
      <c r="CO79" s="26" t="n"/>
      <c r="CP79" s="26" t="n"/>
      <c r="CQ79" s="26" t="n"/>
      <c r="CR79" s="26" t="n"/>
      <c r="CS79" s="26" t="n"/>
      <c r="CT79" s="26" t="n"/>
      <c r="CU79" s="26" t="n"/>
      <c r="CV79" s="26" t="n"/>
      <c r="CW79" s="26" t="n"/>
      <c r="CX79" s="26" t="n"/>
      <c r="CY79" s="26" t="n"/>
      <c r="DA79" s="25" t="n"/>
      <c r="DC79" s="26" t="n"/>
      <c r="DD79" s="26" t="n"/>
      <c r="DE79" s="26" t="n"/>
      <c r="DF79" s="26" t="n"/>
      <c r="DG79" s="26" t="n"/>
      <c r="DH79" s="27" t="n"/>
      <c r="DJ79" s="211" t="inlineStr">
        <is>
          <t>订单表中未找到</t>
        </is>
      </c>
      <c r="DK79" t="inlineStr">
        <is>
          <t>—</t>
        </is>
      </c>
      <c r="DL79" t="inlineStr">
        <is>
          <t>—</t>
        </is>
      </c>
    </row>
    <row r="80" ht="15.75" customHeight="1" s="187">
      <c r="A80" s="84" t="n">
        <v>45722</v>
      </c>
      <c r="B80" s="206" t="inlineStr">
        <is>
          <t>已收货</t>
        </is>
      </c>
      <c r="C80" s="86" t="inlineStr">
        <is>
          <t>2489611802335418055</t>
        </is>
      </c>
      <c r="D80" s="87" t="inlineStr">
        <is>
          <t>许小风</t>
        </is>
      </c>
      <c r="E80" s="87" t="inlineStr">
        <is>
          <t>已发，侧板磕碰，不修复，赔付150扣物流100</t>
        </is>
      </c>
      <c r="F80" s="87" t="n"/>
      <c r="G80" s="87" t="inlineStr">
        <is>
          <t>2.1洞石整柜：左边改多抽</t>
        </is>
      </c>
      <c r="H80" s="87" t="inlineStr">
        <is>
          <t>洞石餐边柜</t>
        </is>
      </c>
      <c r="I80" s="89" t="n">
        <v>2100</v>
      </c>
      <c r="J80" s="87" t="inlineStr">
        <is>
          <t>已结算</t>
        </is>
      </c>
      <c r="K80" s="87" t="inlineStr">
        <is>
          <t>江西</t>
        </is>
      </c>
      <c r="L80" s="207">
        <f>6700+660+320+22*7+84+14+8.5+7+657.08+52*2+14+490+20</f>
        <v/>
      </c>
      <c r="M80" s="207">
        <f>6700</f>
        <v/>
      </c>
      <c r="N80" s="207" t="n">
        <v>660</v>
      </c>
      <c r="O80" s="207" t="n">
        <v>320</v>
      </c>
      <c r="P80" s="207" t="inlineStr">
        <is>
          <t>22*7</t>
        </is>
      </c>
      <c r="Q80" s="207" t="n"/>
      <c r="R80" s="207" t="n">
        <v>84</v>
      </c>
      <c r="S80" s="207" t="n">
        <v>14</v>
      </c>
      <c r="T80" s="207" t="n">
        <v>8.5</v>
      </c>
      <c r="U80" s="207" t="n">
        <v>20</v>
      </c>
      <c r="V80" s="207" t="n"/>
      <c r="W80" s="207" t="n">
        <v>7</v>
      </c>
      <c r="X80" s="207" t="n">
        <v>657.08</v>
      </c>
      <c r="Y80" s="207" t="inlineStr">
        <is>
          <t>52*2</t>
        </is>
      </c>
      <c r="Z80" s="207">
        <f>3.5+14</f>
        <v/>
      </c>
      <c r="AA80" s="207" t="n"/>
      <c r="AB80" s="207" t="n"/>
      <c r="AC80" s="207" t="n"/>
      <c r="AD80" s="207" t="n"/>
      <c r="AE80" s="207" t="n">
        <v>14</v>
      </c>
      <c r="AF80" s="207" t="n">
        <v>20</v>
      </c>
      <c r="AG80" s="207" t="n"/>
      <c r="AH80" s="207" t="n"/>
      <c r="AI80" s="207" t="n"/>
      <c r="AJ80" s="207" t="n"/>
      <c r="AK80" s="207" t="n"/>
      <c r="AL80" s="207" t="n"/>
      <c r="AM80" s="207" t="n">
        <v>490</v>
      </c>
      <c r="AN80" s="207" t="n"/>
      <c r="AO80" s="207" t="n"/>
      <c r="AP80" s="207" t="n">
        <v>583</v>
      </c>
      <c r="AQ80" s="207">
        <f>100</f>
        <v/>
      </c>
      <c r="AR80" s="207" t="n">
        <v>0</v>
      </c>
      <c r="AS80" s="207" t="n">
        <v>0</v>
      </c>
      <c r="AT80" s="207" t="n">
        <v>0</v>
      </c>
      <c r="AU80" s="207" t="n">
        <v>0</v>
      </c>
      <c r="AV80" s="207" t="n">
        <v>100</v>
      </c>
      <c r="AW80" s="207" t="n">
        <v>0</v>
      </c>
      <c r="AX80" s="208" t="n">
        <v>1</v>
      </c>
      <c r="AY80" s="209">
        <f>L80*AX80+AP80+AQ80+AR80+AV80+AW80+AS80+AT80+AU80</f>
        <v/>
      </c>
      <c r="AZ80" s="207" t="n">
        <v>12900</v>
      </c>
      <c r="BA80" s="207" t="n">
        <v>0</v>
      </c>
      <c r="BB80" s="207">
        <f>AZ80*0.006</f>
        <v/>
      </c>
      <c r="BC80" s="209">
        <f>AZ80+BA80-BB80</f>
        <v/>
      </c>
      <c r="BD80" s="207" t="n">
        <v>0</v>
      </c>
      <c r="BE80" s="207" t="n">
        <v>100</v>
      </c>
      <c r="BF80" s="209">
        <f>BD80+BE80</f>
        <v/>
      </c>
      <c r="BG80" s="209">
        <f>BC80-AY80+BF80</f>
        <v/>
      </c>
      <c r="BH80" s="87" t="inlineStr">
        <is>
          <t>许小风</t>
        </is>
      </c>
      <c r="BI80" s="210" t="inlineStr">
        <is>
          <t>广东省 东莞市  高埗镇华侨城天鹅堡15栋2202</t>
        </is>
      </c>
      <c r="BJ80" s="86" t="inlineStr">
        <is>
          <t>18824528469-7662</t>
        </is>
      </c>
      <c r="BK80" s="86" t="n"/>
      <c r="BL80" s="210">
        <f>BC80</f>
        <v/>
      </c>
      <c r="BM80" s="95" t="n"/>
      <c r="BN80" s="94">
        <f>BG80/BC80</f>
        <v/>
      </c>
      <c r="BO80" s="95" t="n"/>
      <c r="BP80" s="86" t="n"/>
      <c r="BQ80" s="96" t="inlineStr">
        <is>
          <t>黑色塑料轨道双轨上下1500
银色轨道2060*2</t>
        </is>
      </c>
      <c r="BR80" s="96" t="n"/>
      <c r="BS80" s="97" t="n"/>
      <c r="BT80" s="96" t="n"/>
      <c r="BU80" s="97" t="n"/>
      <c r="BV80" s="96" t="n"/>
      <c r="BW80" s="97" t="n"/>
      <c r="BX80" s="97" t="n"/>
      <c r="BY80" s="97" t="n"/>
      <c r="BZ80" s="97" t="n"/>
      <c r="CA80" s="98" t="n"/>
      <c r="CH80" s="2" t="n"/>
      <c r="CI80" s="26" t="n"/>
      <c r="CJ80" s="26" t="n"/>
      <c r="CK80" s="26" t="n"/>
      <c r="CL80" s="26" t="n"/>
      <c r="CM80" s="26" t="n"/>
      <c r="CN80" s="26" t="n"/>
      <c r="CO80" s="26" t="n"/>
      <c r="CP80" s="26" t="n"/>
      <c r="CQ80" s="26" t="n"/>
      <c r="CR80" s="26" t="n"/>
      <c r="CS80" s="26" t="n"/>
      <c r="CT80" s="26" t="n"/>
      <c r="CU80" s="26" t="n"/>
      <c r="CV80" s="26" t="n"/>
      <c r="CW80" s="26" t="n"/>
      <c r="CX80" s="26" t="n"/>
      <c r="CY80" s="26" t="n"/>
      <c r="DA80" s="25" t="n"/>
      <c r="DC80" s="26" t="n"/>
      <c r="DD80" s="26" t="n"/>
      <c r="DE80" s="26" t="n"/>
      <c r="DF80" s="26" t="n"/>
      <c r="DG80" s="26" t="n"/>
      <c r="DH80" s="27" t="n"/>
      <c r="DJ80" s="211" t="inlineStr">
        <is>
          <t>订单表中未找到</t>
        </is>
      </c>
      <c r="DK80" t="inlineStr">
        <is>
          <t>—</t>
        </is>
      </c>
      <c r="DL80" t="inlineStr">
        <is>
          <t>—</t>
        </is>
      </c>
    </row>
    <row r="81" ht="15.75" customHeight="1" s="187">
      <c r="A81" s="84" t="n">
        <v>45723</v>
      </c>
      <c r="B81" s="206" t="inlineStr">
        <is>
          <t>已收货</t>
        </is>
      </c>
      <c r="C81" s="86" t="inlineStr">
        <is>
          <t>4256408485953503038</t>
        </is>
      </c>
      <c r="D81" s="87" t="inlineStr">
        <is>
          <t>李浩</t>
        </is>
      </c>
      <c r="E81" s="87" t="n"/>
      <c r="F81" s="87" t="n"/>
      <c r="G81" s="87" t="inlineStr">
        <is>
          <t>樱桃木洞石柜：1.5米整柜</t>
        </is>
      </c>
      <c r="H81" s="87" t="inlineStr">
        <is>
          <t>洞石餐边柜</t>
        </is>
      </c>
      <c r="I81" s="89" t="n">
        <v>1500</v>
      </c>
      <c r="J81" s="87" t="inlineStr">
        <is>
          <t>已结算</t>
        </is>
      </c>
      <c r="K81" s="87" t="inlineStr">
        <is>
          <t>江西</t>
        </is>
      </c>
      <c r="L81" s="207">
        <f>5400+510+320+22*4+84+14+8.5+7+501.08+52*2+20+14+320</f>
        <v/>
      </c>
      <c r="M81" s="207">
        <f>5400</f>
        <v/>
      </c>
      <c r="N81" s="207" t="n">
        <v>510</v>
      </c>
      <c r="O81" s="207" t="n">
        <v>320</v>
      </c>
      <c r="P81" s="207" t="inlineStr">
        <is>
          <t>22*4</t>
        </is>
      </c>
      <c r="Q81" s="207" t="n"/>
      <c r="R81" s="207" t="n">
        <v>84</v>
      </c>
      <c r="S81" s="207">
        <f>52*2</f>
        <v/>
      </c>
      <c r="T81" s="207" t="n">
        <v>8.5</v>
      </c>
      <c r="U81" s="207" t="n"/>
      <c r="V81" s="207" t="n"/>
      <c r="W81" s="207" t="n"/>
      <c r="X81" s="207" t="n">
        <v>501.08</v>
      </c>
      <c r="Y81" s="207" t="n"/>
      <c r="Z81" s="207">
        <f>3.5+14</f>
        <v/>
      </c>
      <c r="AA81" s="207" t="n"/>
      <c r="AB81" s="207" t="n"/>
      <c r="AC81" s="207" t="n">
        <v>7</v>
      </c>
      <c r="AD81" s="207" t="n"/>
      <c r="AE81" s="207" t="n">
        <v>20</v>
      </c>
      <c r="AF81" s="207" t="n"/>
      <c r="AG81" s="207" t="n"/>
      <c r="AH81" s="207" t="n"/>
      <c r="AI81" s="207" t="n"/>
      <c r="AJ81" s="207" t="n"/>
      <c r="AK81" s="207" t="n"/>
      <c r="AL81" s="207" t="n"/>
      <c r="AM81" s="207" t="n">
        <v>320</v>
      </c>
      <c r="AN81" s="207" t="n"/>
      <c r="AO81" s="207" t="n"/>
      <c r="AP81" s="207" t="n">
        <v>635</v>
      </c>
      <c r="AQ81" s="207" t="n">
        <v>95</v>
      </c>
      <c r="AR81" s="207" t="n">
        <v>158</v>
      </c>
      <c r="AS81" s="207" t="n">
        <v>0</v>
      </c>
      <c r="AT81" s="207" t="n">
        <v>0</v>
      </c>
      <c r="AU81" s="207" t="n">
        <v>0</v>
      </c>
      <c r="AV81" s="207" t="n">
        <v>178</v>
      </c>
      <c r="AW81" s="207" t="n">
        <v>0</v>
      </c>
      <c r="AX81" s="208" t="n">
        <v>1</v>
      </c>
      <c r="AY81" s="209">
        <f>L81*AX81+AP81+AQ81+AR81+AV81+AW81+AS81+AT81+AU81</f>
        <v/>
      </c>
      <c r="AZ81" s="207" t="n">
        <v>10764</v>
      </c>
      <c r="BA81" s="207" t="n">
        <v>0</v>
      </c>
      <c r="BB81" s="207">
        <f>AZ81*0.006</f>
        <v/>
      </c>
      <c r="BC81" s="209">
        <f>AZ81+BA81-BB81</f>
        <v/>
      </c>
      <c r="BD81" s="207" t="n">
        <v>0</v>
      </c>
      <c r="BE81" s="207" t="n">
        <v>0</v>
      </c>
      <c r="BF81" s="209">
        <f>BD81+BE81</f>
        <v/>
      </c>
      <c r="BG81" s="209">
        <f>BC81-AY81+BF81</f>
        <v/>
      </c>
      <c r="BH81" s="87" t="inlineStr">
        <is>
          <t>李浩</t>
        </is>
      </c>
      <c r="BI81" s="210" t="inlineStr">
        <is>
          <t>四川省 成都市 武侯区 桂溪街道高新区天环街719号1-2-1703</t>
        </is>
      </c>
      <c r="BJ81" s="86" t="inlineStr">
        <is>
          <t>18418944710-6262</t>
        </is>
      </c>
      <c r="BK81" s="86" t="n"/>
      <c r="BL81" s="210">
        <f>BC81</f>
        <v/>
      </c>
      <c r="BM81" s="95" t="n"/>
      <c r="BN81" s="94">
        <f>BG81/BC81</f>
        <v/>
      </c>
      <c r="BO81" s="95" t="n"/>
      <c r="BP81" s="86" t="n"/>
      <c r="BQ81" s="96" t="inlineStr">
        <is>
          <t>黑色塑料轨道双轨上下1000
银色轨道1460*2</t>
        </is>
      </c>
      <c r="BR81" s="96" t="inlineStr">
        <is>
          <t>李浩</t>
        </is>
      </c>
      <c r="BS81" s="97" t="inlineStr">
        <is>
          <t>洞石岩三面下挂150*50</t>
        </is>
      </c>
      <c r="BT81" s="96" t="n"/>
      <c r="BU81" s="97" t="n"/>
      <c r="BV81" s="96" t="n"/>
      <c r="BW81" s="97" t="n"/>
      <c r="BX81" s="97" t="n"/>
      <c r="BY81" s="97" t="n"/>
      <c r="BZ81" s="97" t="n"/>
      <c r="CA81" s="98" t="n"/>
      <c r="CH81" s="2" t="n"/>
      <c r="CI81" s="26" t="n"/>
      <c r="CJ81" s="26" t="n"/>
      <c r="CK81" s="26" t="n"/>
      <c r="CL81" s="26" t="n"/>
      <c r="CM81" s="26" t="n"/>
      <c r="CN81" s="26" t="n"/>
      <c r="CO81" s="26" t="n"/>
      <c r="CP81" s="26" t="n"/>
      <c r="CQ81" s="26" t="n"/>
      <c r="CR81" s="26" t="n"/>
      <c r="CS81" s="26" t="n"/>
      <c r="CT81" s="26" t="n"/>
      <c r="CU81" s="26" t="n"/>
      <c r="CV81" s="26" t="n"/>
      <c r="CW81" s="26" t="n"/>
      <c r="CX81" s="26" t="n"/>
      <c r="CY81" s="26" t="n"/>
      <c r="DA81" s="25" t="n"/>
      <c r="DC81" s="26" t="n"/>
      <c r="DD81" s="26" t="n"/>
      <c r="DE81" s="26" t="n"/>
      <c r="DF81" s="26" t="n"/>
      <c r="DG81" s="26" t="n"/>
      <c r="DH81" s="27" t="n"/>
      <c r="DJ81" s="211" t="inlineStr">
        <is>
          <t>订单表中未找到</t>
        </is>
      </c>
      <c r="DK81" t="inlineStr">
        <is>
          <t>—</t>
        </is>
      </c>
      <c r="DL81" t="inlineStr">
        <is>
          <t>—</t>
        </is>
      </c>
    </row>
    <row r="82" ht="15.75" customHeight="1" s="187">
      <c r="A82" s="84" t="n">
        <v>45723</v>
      </c>
      <c r="B82" s="206" t="inlineStr">
        <is>
          <t>已收货</t>
        </is>
      </c>
      <c r="C82" s="86" t="inlineStr">
        <is>
          <t>4256996186507659814</t>
        </is>
      </c>
      <c r="D82" s="87" t="inlineStr">
        <is>
          <t>王先生</t>
        </is>
      </c>
      <c r="E82" s="87" t="n"/>
      <c r="F82" s="87" t="n"/>
      <c r="G82" s="87" t="inlineStr">
        <is>
          <t>白橡木洞石旋转柜：1.5柜+1.2桌洞石背板+洞石平板岩板。高度2.03米</t>
        </is>
      </c>
      <c r="H82" s="87" t="inlineStr">
        <is>
          <t>旋转餐边柜</t>
        </is>
      </c>
      <c r="I82" s="89" t="n">
        <v>1500</v>
      </c>
      <c r="J82" s="87" t="inlineStr">
        <is>
          <t>已结算</t>
        </is>
      </c>
      <c r="K82" s="87" t="inlineStr">
        <is>
          <t>江西</t>
        </is>
      </c>
      <c r="L82" s="207">
        <f>6300+320+501+22*9+14+84+14+84+325+340+42.2+40.5+7.22+8.33</f>
        <v/>
      </c>
      <c r="M82" s="207">
        <f>6300</f>
        <v/>
      </c>
      <c r="N82" s="207" t="n">
        <v>320</v>
      </c>
      <c r="O82" s="216" t="n">
        <v>501</v>
      </c>
      <c r="P82" s="216" t="inlineStr">
        <is>
          <t>22*9</t>
        </is>
      </c>
      <c r="Q82" s="216" t="n"/>
      <c r="R82" s="207" t="n">
        <v>14</v>
      </c>
      <c r="S82" s="207" t="n">
        <v>84</v>
      </c>
      <c r="T82" s="207" t="n">
        <v>14</v>
      </c>
      <c r="U82" s="207" t="n"/>
      <c r="V82" s="207" t="n"/>
      <c r="W82" s="207" t="n">
        <v>84</v>
      </c>
      <c r="X82" s="207" t="n">
        <v>325</v>
      </c>
      <c r="Y82" s="207" t="n">
        <v>340</v>
      </c>
      <c r="Z82" s="207" t="n"/>
      <c r="AA82" s="207" t="n"/>
      <c r="AB82" s="207" t="n"/>
      <c r="AC82" s="207" t="n"/>
      <c r="AD82" s="207" t="n">
        <v>40.5</v>
      </c>
      <c r="AE82" s="207" t="n">
        <v>42.2</v>
      </c>
      <c r="AF82" s="207" t="n">
        <v>7.22</v>
      </c>
      <c r="AG82" s="207" t="n"/>
      <c r="AH82" s="207" t="n"/>
      <c r="AI82" s="207" t="n"/>
      <c r="AJ82" s="207" t="n">
        <v>8.33</v>
      </c>
      <c r="AK82" s="207" t="n"/>
      <c r="AL82" s="207" t="n"/>
      <c r="AM82" s="207" t="n">
        <v>340</v>
      </c>
      <c r="AN82" s="207" t="n"/>
      <c r="AO82" s="207" t="n"/>
      <c r="AP82" s="207">
        <f>680+100</f>
        <v/>
      </c>
      <c r="AQ82" s="207" t="n">
        <v>0</v>
      </c>
      <c r="AR82" s="207" t="n">
        <v>150</v>
      </c>
      <c r="AS82" s="207" t="n">
        <v>0</v>
      </c>
      <c r="AT82" s="207" t="n">
        <v>0</v>
      </c>
      <c r="AU82" s="207" t="n">
        <v>0</v>
      </c>
      <c r="AV82" s="207" t="n">
        <v>0</v>
      </c>
      <c r="AW82" s="207">
        <f>25+100</f>
        <v/>
      </c>
      <c r="AX82" s="208" t="n">
        <v>1</v>
      </c>
      <c r="AY82" s="209">
        <f>L82*AX82+AP82+AQ82+AR82+AV82+AW82+AS82+AT82+AU82</f>
        <v/>
      </c>
      <c r="AZ82" s="207" t="n">
        <v>12000</v>
      </c>
      <c r="BA82" s="207" t="n">
        <v>0</v>
      </c>
      <c r="BB82" s="207">
        <f>AZ82*0.006</f>
        <v/>
      </c>
      <c r="BC82" s="209">
        <f>AZ82+BA82-BB82</f>
        <v/>
      </c>
      <c r="BD82" s="207" t="n">
        <v>300</v>
      </c>
      <c r="BE82" s="207" t="n">
        <v>0</v>
      </c>
      <c r="BF82" s="209">
        <f>BD82+BE82</f>
        <v/>
      </c>
      <c r="BG82" s="209">
        <f>BC82-AY82+BF82</f>
        <v/>
      </c>
      <c r="BH82" s="87" t="inlineStr">
        <is>
          <t>王先生</t>
        </is>
      </c>
      <c r="BI82" s="210" t="inlineStr">
        <is>
          <t>浙江省 杭州市 余杭区 良渚街道未来之光7幢1502</t>
        </is>
      </c>
      <c r="BJ82" s="86" t="inlineStr">
        <is>
          <t>18413280402-1391</t>
        </is>
      </c>
      <c r="BK82" s="86" t="n"/>
      <c r="BL82" s="210">
        <f>BC82</f>
        <v/>
      </c>
      <c r="BM82" s="95" t="n"/>
      <c r="BN82" s="94">
        <f>BG82/BC82</f>
        <v/>
      </c>
      <c r="BO82" s="95" t="n"/>
      <c r="BP82" s="86" t="n"/>
      <c r="BQ82" s="96" t="inlineStr">
        <is>
          <t>黑色塑料轨道双轨上下1000
银色轨道1460*2</t>
        </is>
      </c>
      <c r="BR82" s="96" t="n"/>
      <c r="BS82" s="97" t="n"/>
      <c r="BT82" s="96" t="n"/>
      <c r="BU82" s="97" t="n"/>
      <c r="BV82" s="96" t="n"/>
      <c r="BW82" s="97" t="n"/>
      <c r="BX82" s="97" t="n"/>
      <c r="BY82" s="97" t="n"/>
      <c r="BZ82" s="97" t="n"/>
      <c r="CA82" s="98" t="n"/>
      <c r="CH82" s="2" t="n"/>
      <c r="CI82" s="26" t="n"/>
      <c r="CJ82" s="26" t="n"/>
      <c r="CK82" s="26" t="n"/>
      <c r="CL82" s="26" t="n"/>
      <c r="CM82" s="26" t="n"/>
      <c r="CN82" s="26" t="n"/>
      <c r="CO82" s="26" t="n"/>
      <c r="CP82" s="26" t="n"/>
      <c r="CQ82" s="26" t="n"/>
      <c r="CR82" s="26" t="n"/>
      <c r="CS82" s="26" t="n"/>
      <c r="CT82" s="26" t="n"/>
      <c r="CU82" s="26" t="n"/>
      <c r="CV82" s="26" t="n"/>
      <c r="CW82" s="26" t="n"/>
      <c r="CX82" s="26" t="n"/>
      <c r="CY82" s="26" t="n"/>
      <c r="DA82" s="25" t="n"/>
      <c r="DC82" s="26" t="n"/>
      <c r="DD82" s="26" t="n"/>
      <c r="DE82" s="26" t="n"/>
      <c r="DF82" s="26" t="n"/>
      <c r="DG82" s="26" t="n"/>
      <c r="DH82" s="27" t="n"/>
      <c r="DJ82" s="211" t="inlineStr">
        <is>
          <t>订单表中未找到</t>
        </is>
      </c>
      <c r="DK82" t="inlineStr">
        <is>
          <t>—</t>
        </is>
      </c>
      <c r="DL82" t="inlineStr">
        <is>
          <t>—</t>
        </is>
      </c>
    </row>
    <row r="83" ht="15.75" customHeight="1" s="187">
      <c r="A83" s="84" t="n">
        <v>45724</v>
      </c>
      <c r="B83" s="206" t="inlineStr">
        <is>
          <t>已收货</t>
        </is>
      </c>
      <c r="C83" s="86" t="inlineStr">
        <is>
          <t>2491247784207265250</t>
        </is>
      </c>
      <c r="D83" s="87" t="inlineStr">
        <is>
          <t>p35725kj</t>
        </is>
      </c>
      <c r="E83" s="87" t="n"/>
      <c r="F83" s="87" t="n"/>
      <c r="G83" s="87" t="inlineStr">
        <is>
          <t>2.1米榉木旋转柜+1.6米双腿餐桌：白色岩板+白色洞洞板</t>
        </is>
      </c>
      <c r="H83" s="87" t="inlineStr">
        <is>
          <t>旋转餐边柜</t>
        </is>
      </c>
      <c r="I83" s="89" t="n">
        <v>2100</v>
      </c>
      <c r="J83" s="87" t="inlineStr">
        <is>
          <t>已结算，茶色玻璃</t>
        </is>
      </c>
      <c r="K83" s="87" t="inlineStr">
        <is>
          <t>江西</t>
        </is>
      </c>
      <c r="L83" s="207">
        <f>350+5220+229+50+38+655+385.44+22*9+20+77.1+24.86+570</f>
        <v/>
      </c>
      <c r="M83" s="207" t="n">
        <v>5220</v>
      </c>
      <c r="N83" s="216" t="n"/>
      <c r="O83" s="216" t="n"/>
      <c r="P83" s="216" t="n"/>
      <c r="Q83" s="216" t="n"/>
      <c r="R83" s="207" t="n"/>
      <c r="S83" s="207" t="n">
        <v>655</v>
      </c>
      <c r="T83" s="207" t="n">
        <v>385.44</v>
      </c>
      <c r="U83" s="207" t="n"/>
      <c r="V83" s="207" t="n"/>
      <c r="W83" s="207" t="n"/>
      <c r="X83" s="207">
        <f>22*9</f>
        <v/>
      </c>
      <c r="Y83" s="207" t="n">
        <v>77.09999999999999</v>
      </c>
      <c r="Z83" s="207" t="n"/>
      <c r="AA83" s="207" t="n"/>
      <c r="AB83" s="207" t="n"/>
      <c r="AC83" s="207" t="n"/>
      <c r="AD83" s="207">
        <f>350</f>
        <v/>
      </c>
      <c r="AE83" s="207" t="n">
        <v>24.86</v>
      </c>
      <c r="AF83" s="207" t="n"/>
      <c r="AG83" s="207" t="n"/>
      <c r="AH83" s="207" t="n"/>
      <c r="AI83" s="207" t="n"/>
      <c r="AJ83" s="207" t="n"/>
      <c r="AK83" s="207" t="n"/>
      <c r="AL83" s="207" t="n"/>
      <c r="AM83" s="207">
        <f>420+150</f>
        <v/>
      </c>
      <c r="AN83" s="207" t="n"/>
      <c r="AO83" s="207" t="n"/>
      <c r="AP83" s="207" t="n">
        <v>524</v>
      </c>
      <c r="AQ83" s="207" t="n">
        <v>0</v>
      </c>
      <c r="AR83" s="207" t="n">
        <v>0</v>
      </c>
      <c r="AS83" s="207" t="n">
        <v>0</v>
      </c>
      <c r="AT83" s="207" t="n">
        <v>0</v>
      </c>
      <c r="AU83" s="207" t="n">
        <v>0</v>
      </c>
      <c r="AV83" s="207" t="n">
        <v>0</v>
      </c>
      <c r="AW83" s="207" t="n">
        <v>0</v>
      </c>
      <c r="AX83" s="208" t="n">
        <v>1</v>
      </c>
      <c r="AY83" s="209">
        <f>L83*AX83+AP83+AQ83+AR83+AV83+AW83+AS83+AT83+AU83</f>
        <v/>
      </c>
      <c r="AZ83" s="207" t="n">
        <v>9450.950000000001</v>
      </c>
      <c r="BA83" s="207" t="n">
        <v>0</v>
      </c>
      <c r="BB83" s="207">
        <f>AZ83*0.006</f>
        <v/>
      </c>
      <c r="BC83" s="209">
        <f>AZ83+BA83-BB83</f>
        <v/>
      </c>
      <c r="BD83" s="207" t="n">
        <v>0</v>
      </c>
      <c r="BE83" s="207" t="n">
        <v>0</v>
      </c>
      <c r="BF83" s="209">
        <f>BD83+BE83</f>
        <v/>
      </c>
      <c r="BG83" s="209">
        <f>BC83-AY83+BF83</f>
        <v/>
      </c>
      <c r="BH83" s="87" t="inlineStr">
        <is>
          <t>p35725kj</t>
        </is>
      </c>
      <c r="BI83" s="210" t="inlineStr">
        <is>
          <t>福建省 福州市 平潭县 海坛街道台集运(111793)\n18319011167\n350499\n福建省福州市平潭县海坛街道澳前镇澳前西路邮政大厅B区808仓台集运(111793)</t>
        </is>
      </c>
      <c r="BJ83" s="86" t="inlineStr">
        <is>
          <t>18319011167</t>
        </is>
      </c>
      <c r="BK83" s="86" t="n"/>
      <c r="BL83" s="210">
        <f>BC83</f>
        <v/>
      </c>
      <c r="BM83" s="95" t="n"/>
      <c r="BN83" s="94">
        <f>BG83/BC83</f>
        <v/>
      </c>
      <c r="BO83" s="95" t="n"/>
      <c r="BP83" s="86" t="inlineStr">
        <is>
          <t>白色洞洞板</t>
        </is>
      </c>
      <c r="BQ83" s="96" t="n"/>
      <c r="BR83" s="96" t="inlineStr">
        <is>
          <t>p35725kj</t>
        </is>
      </c>
      <c r="BS83" s="97" t="inlineStr">
        <is>
          <t xml:space="preserve">纯白岩板：209.8*54.8 右侧打孔  </t>
        </is>
      </c>
      <c r="BT83" s="96" t="n"/>
      <c r="BU83" s="97" t="n"/>
      <c r="BV83" s="96" t="n"/>
      <c r="BW83" s="97" t="n"/>
      <c r="BX83" s="97" t="n"/>
      <c r="BY83" s="97" t="n"/>
      <c r="BZ83" s="97" t="n"/>
      <c r="CA83" s="98" t="n"/>
      <c r="CH83" s="2" t="n"/>
      <c r="CI83" s="26" t="n"/>
      <c r="CJ83" s="26" t="n"/>
      <c r="CK83" s="26" t="n"/>
      <c r="CL83" s="26" t="n"/>
      <c r="CM83" s="26" t="n"/>
      <c r="CN83" s="26" t="n"/>
      <c r="CO83" s="26" t="n"/>
      <c r="CP83" s="26" t="n"/>
      <c r="CQ83" s="26" t="n"/>
      <c r="CR83" s="26" t="n"/>
      <c r="CS83" s="26" t="n"/>
      <c r="CT83" s="26" t="n"/>
      <c r="CU83" s="26" t="n"/>
      <c r="CV83" s="26" t="n"/>
      <c r="CW83" s="26" t="n"/>
      <c r="CX83" s="26" t="n"/>
      <c r="CY83" s="26" t="n"/>
      <c r="DA83" s="25" t="n"/>
      <c r="DC83" s="26" t="n"/>
      <c r="DD83" s="26" t="n"/>
      <c r="DE83" s="26" t="n"/>
      <c r="DF83" s="26" t="n"/>
      <c r="DG83" s="26" t="n"/>
      <c r="DH83" s="27" t="n"/>
      <c r="DJ83" s="211" t="inlineStr">
        <is>
          <t>订单表中未找到</t>
        </is>
      </c>
      <c r="DK83" t="inlineStr">
        <is>
          <t>—</t>
        </is>
      </c>
      <c r="DL83" t="inlineStr">
        <is>
          <t>—</t>
        </is>
      </c>
    </row>
    <row r="84" ht="15.75" customHeight="1" s="187">
      <c r="A84" s="84" t="n">
        <v>45725</v>
      </c>
      <c r="B84" s="206" t="inlineStr">
        <is>
          <t>已收货</t>
        </is>
      </c>
      <c r="C84" s="86" t="inlineStr">
        <is>
          <t>4258795141352759326</t>
        </is>
      </c>
      <c r="D84" s="87" t="inlineStr">
        <is>
          <t>彤子彤</t>
        </is>
      </c>
      <c r="E84" s="87" t="n"/>
      <c r="F84" s="87" t="n"/>
      <c r="G84" s="87" t="inlineStr">
        <is>
          <t>连柜书桌1.09上柜-定制</t>
        </is>
      </c>
      <c r="H84" s="87" t="inlineStr">
        <is>
          <t>连柜书桌</t>
        </is>
      </c>
      <c r="I84" s="89" t="n">
        <v>1090</v>
      </c>
      <c r="J84" s="87" t="inlineStr">
        <is>
          <t>已结算</t>
        </is>
      </c>
      <c r="K84" s="87" t="inlineStr">
        <is>
          <t>庄毅</t>
        </is>
      </c>
      <c r="L84" s="207">
        <f>SUM(M84:AO84)</f>
        <v/>
      </c>
      <c r="M84" s="207" t="n">
        <v>1180</v>
      </c>
      <c r="N84" s="216" t="n"/>
      <c r="O84" s="216" t="n"/>
      <c r="P84" s="216" t="n"/>
      <c r="Q84" s="216" t="n"/>
      <c r="R84" s="216" t="n"/>
      <c r="S84" s="216" t="n"/>
      <c r="T84" s="216" t="n"/>
      <c r="U84" s="216" t="n"/>
      <c r="V84" s="216" t="n"/>
      <c r="W84" s="216" t="n"/>
      <c r="X84" s="216" t="n"/>
      <c r="Y84" s="216" t="n"/>
      <c r="Z84" s="216" t="n"/>
      <c r="AA84" s="216" t="n"/>
      <c r="AB84" s="216" t="n"/>
      <c r="AC84" s="216" t="n"/>
      <c r="AD84" s="216" t="n"/>
      <c r="AE84" s="216" t="n"/>
      <c r="AF84" s="216" t="n"/>
      <c r="AG84" s="216" t="n"/>
      <c r="AH84" s="216" t="n"/>
      <c r="AI84" s="216" t="n"/>
      <c r="AJ84" s="216" t="n"/>
      <c r="AK84" s="216" t="n"/>
      <c r="AL84" s="216" t="n"/>
      <c r="AM84" s="207" t="n"/>
      <c r="AN84" s="207" t="n"/>
      <c r="AO84" s="207" t="n"/>
      <c r="AP84" s="207" t="n">
        <v>166</v>
      </c>
      <c r="AQ84" s="116" t="n">
        <v>50</v>
      </c>
      <c r="AR84" s="217" t="n">
        <v>0</v>
      </c>
      <c r="AS84" s="207" t="n">
        <v>0</v>
      </c>
      <c r="AT84" s="207" t="n">
        <v>0</v>
      </c>
      <c r="AU84" s="207" t="n">
        <v>0</v>
      </c>
      <c r="AV84" s="207" t="n">
        <v>0</v>
      </c>
      <c r="AW84" s="207" t="n">
        <v>0</v>
      </c>
      <c r="AX84" s="208" t="n">
        <v>1</v>
      </c>
      <c r="AY84" s="209">
        <f>L84*AX84+AP84+AQ84+AR84+AV84+AW84+AS84+AT84+AU84</f>
        <v/>
      </c>
      <c r="AZ84" s="207" t="n">
        <v>1855</v>
      </c>
      <c r="BA84" s="207" t="n">
        <v>0</v>
      </c>
      <c r="BB84" s="207">
        <f>AZ84*0.006</f>
        <v/>
      </c>
      <c r="BC84" s="209">
        <f>AZ84+BA84-BB84</f>
        <v/>
      </c>
      <c r="BD84" s="207" t="n">
        <v>0</v>
      </c>
      <c r="BE84" s="207" t="n">
        <v>0</v>
      </c>
      <c r="BF84" s="209">
        <f>BD84+BE84</f>
        <v/>
      </c>
      <c r="BG84" s="209">
        <f>BC84-AY84+BF84</f>
        <v/>
      </c>
      <c r="BH84" s="87" t="inlineStr">
        <is>
          <t>彤子彤</t>
        </is>
      </c>
      <c r="BI84" s="210" t="inlineStr">
        <is>
          <t>河南省 平顶山市 新华区 湖滨路街道新城区 水岸豪庭（祥云路北150米）西门快递柜</t>
        </is>
      </c>
      <c r="BJ84" s="86" t="inlineStr">
        <is>
          <t>16696108134-8557</t>
        </is>
      </c>
      <c r="BK84" s="86" t="n"/>
      <c r="BL84" s="210">
        <f>BC84</f>
        <v/>
      </c>
      <c r="BM84" s="95" t="n"/>
      <c r="BN84" s="94" t="n"/>
      <c r="BO84" s="95" t="n"/>
      <c r="BP84" s="86" t="n"/>
      <c r="BQ84" s="96" t="n"/>
      <c r="BR84" s="96" t="n"/>
      <c r="BS84" s="97" t="n"/>
      <c r="BT84" s="96" t="n"/>
      <c r="BU84" s="97" t="n"/>
      <c r="BV84" s="96" t="n"/>
      <c r="BW84" s="97" t="n"/>
      <c r="BX84" s="97" t="n"/>
      <c r="BY84" s="97" t="n"/>
      <c r="BZ84" s="97" t="n"/>
      <c r="CA84" s="98" t="n"/>
      <c r="CH84" s="2" t="n"/>
      <c r="CI84" s="26" t="n"/>
      <c r="CJ84" s="26" t="n"/>
      <c r="CK84" s="26" t="n"/>
      <c r="CL84" s="26" t="n"/>
      <c r="CM84" s="26" t="n"/>
      <c r="CN84" s="26" t="n"/>
      <c r="CO84" s="26" t="n"/>
      <c r="CP84" s="26" t="n"/>
      <c r="CQ84" s="26" t="n"/>
      <c r="CR84" s="26" t="n"/>
      <c r="CS84" s="26" t="n"/>
      <c r="CT84" s="26" t="n"/>
      <c r="CU84" s="26" t="n"/>
      <c r="CV84" s="26" t="n"/>
      <c r="CW84" s="26" t="n"/>
      <c r="CX84" s="26" t="n"/>
      <c r="CY84" s="26" t="n"/>
      <c r="DA84" s="25" t="n"/>
      <c r="DC84" s="26" t="n"/>
      <c r="DD84" s="26" t="n"/>
      <c r="DE84" s="26" t="n"/>
      <c r="DF84" s="26" t="n"/>
      <c r="DG84" s="26" t="n"/>
      <c r="DH84" s="27" t="n"/>
      <c r="DJ84" s="211" t="inlineStr">
        <is>
          <t>订单表中未找到</t>
        </is>
      </c>
      <c r="DK84" t="inlineStr">
        <is>
          <t>—</t>
        </is>
      </c>
      <c r="DL84" t="inlineStr">
        <is>
          <t>—</t>
        </is>
      </c>
    </row>
    <row r="85" ht="15.75" customHeight="1" s="187">
      <c r="A85" s="84" t="n">
        <v>45725</v>
      </c>
      <c r="B85" s="206" t="inlineStr">
        <is>
          <t>已收货</t>
        </is>
      </c>
      <c r="C85" s="86" t="inlineStr">
        <is>
          <t>2491940714754460056</t>
        </is>
      </c>
      <c r="D85" s="87" t="inlineStr">
        <is>
          <t>胡</t>
        </is>
      </c>
      <c r="E85" s="87" t="n"/>
      <c r="F85" s="87" t="n"/>
      <c r="G85" s="87" t="inlineStr">
        <is>
          <t>1.5米榉木餐边柜</t>
        </is>
      </c>
      <c r="H85" s="87" t="inlineStr">
        <is>
          <t>榉木餐边柜</t>
        </is>
      </c>
      <c r="I85" s="89" t="n"/>
      <c r="J85" s="87" t="inlineStr">
        <is>
          <t>已结算，茶色玻璃</t>
        </is>
      </c>
      <c r="K85" s="87" t="inlineStr">
        <is>
          <t>江西</t>
        </is>
      </c>
      <c r="L85" s="207">
        <f>4200+229+907+15+8.5+360+22*8+181</f>
        <v/>
      </c>
      <c r="M85" s="207">
        <f>4200</f>
        <v/>
      </c>
      <c r="N85" s="216" t="n">
        <v>229</v>
      </c>
      <c r="O85" s="216" t="n">
        <v>907</v>
      </c>
      <c r="P85" s="216" t="n">
        <v>15</v>
      </c>
      <c r="Q85" s="216" t="n"/>
      <c r="R85" s="207" t="n">
        <v>8.5</v>
      </c>
      <c r="S85" s="207" t="n">
        <v>360</v>
      </c>
      <c r="T85" s="207" t="inlineStr">
        <is>
          <t>22*8</t>
        </is>
      </c>
      <c r="U85" s="207" t="n"/>
      <c r="V85" s="207" t="n"/>
      <c r="W85" s="207" t="n">
        <v>181</v>
      </c>
      <c r="X85" s="207" t="n"/>
      <c r="Y85" s="207" t="n"/>
      <c r="Z85" s="207" t="n"/>
      <c r="AA85" s="207" t="n"/>
      <c r="AB85" s="207" t="n"/>
      <c r="AC85" s="207" t="n"/>
      <c r="AD85" s="207" t="n"/>
      <c r="AE85" s="207" t="n"/>
      <c r="AF85" s="207" t="n"/>
      <c r="AG85" s="207" t="n"/>
      <c r="AH85" s="207" t="n"/>
      <c r="AI85" s="207" t="n"/>
      <c r="AJ85" s="207" t="n"/>
      <c r="AK85" s="207" t="n"/>
      <c r="AL85" s="207" t="n"/>
      <c r="AM85" s="207" t="n">
        <v>360</v>
      </c>
      <c r="AN85" s="207" t="n"/>
      <c r="AO85" s="207" t="n"/>
      <c r="AP85" s="87" t="n">
        <v>224</v>
      </c>
      <c r="AQ85" s="207" t="n">
        <v>71</v>
      </c>
      <c r="AR85" s="207" t="n">
        <v>79</v>
      </c>
      <c r="AS85" s="207" t="n">
        <v>0</v>
      </c>
      <c r="AT85" s="207" t="n">
        <v>0</v>
      </c>
      <c r="AU85" s="207" t="n">
        <v>0</v>
      </c>
      <c r="AV85" s="207">
        <f>269.4+51</f>
        <v/>
      </c>
      <c r="AW85" s="207" t="n">
        <v>0</v>
      </c>
      <c r="AX85" s="208" t="n">
        <v>1</v>
      </c>
      <c r="AY85" s="209">
        <f>L85*AX85+AP85+AQ85+AR85+AV85+AW85+AS85+AT85+AU85</f>
        <v/>
      </c>
      <c r="AZ85" s="207" t="n">
        <v>8267</v>
      </c>
      <c r="BA85" s="207" t="n">
        <v>0</v>
      </c>
      <c r="BB85" s="207">
        <f>AZ85*0.006</f>
        <v/>
      </c>
      <c r="BC85" s="209">
        <f>AZ85+BA85-BB85</f>
        <v/>
      </c>
      <c r="BD85" s="207" t="n">
        <v>0</v>
      </c>
      <c r="BE85" s="207" t="n">
        <v>0</v>
      </c>
      <c r="BF85" s="209">
        <f>BD85+BE85</f>
        <v/>
      </c>
      <c r="BG85" s="209">
        <f>BC85-AY85+BF85</f>
        <v/>
      </c>
      <c r="BH85" s="87" t="inlineStr">
        <is>
          <t>胡</t>
        </is>
      </c>
      <c r="BI85" s="210" t="inlineStr">
        <is>
          <t>江西省 景德镇市 珠山区 竟成镇陶阳北路166号碧桂园昌南府3栋2102室</t>
        </is>
      </c>
      <c r="BJ85" s="86" t="inlineStr">
        <is>
          <t>17507980645-1980</t>
        </is>
      </c>
      <c r="BK85" s="86" t="n"/>
      <c r="BL85" s="210">
        <f>BC85</f>
        <v/>
      </c>
      <c r="BM85" s="95" t="n"/>
      <c r="BN85" s="94" t="n"/>
      <c r="BO85" s="95" t="inlineStr">
        <is>
          <t>白色岩板，K59</t>
        </is>
      </c>
      <c r="BP85" s="86" t="n"/>
      <c r="BQ85" s="96" t="n"/>
      <c r="BR85" s="96" t="n"/>
      <c r="BS85" s="97" t="n"/>
      <c r="BT85" s="96" t="n"/>
      <c r="BU85" s="97" t="n"/>
      <c r="BV85" s="96" t="n"/>
      <c r="BW85" s="97" t="n"/>
      <c r="BX85" s="97" t="n"/>
      <c r="BY85" s="97" t="n"/>
      <c r="BZ85" s="97" t="n"/>
      <c r="CA85" s="98" t="n"/>
      <c r="CH85" s="2" t="n"/>
      <c r="CI85" s="26" t="n"/>
      <c r="CJ85" s="26" t="n"/>
      <c r="CK85" s="26" t="n"/>
      <c r="CL85" s="26" t="n"/>
      <c r="CM85" s="26" t="n"/>
      <c r="CN85" s="26" t="n"/>
      <c r="CO85" s="26" t="n"/>
      <c r="CP85" s="26" t="n"/>
      <c r="CQ85" s="26" t="n"/>
      <c r="CR85" s="26" t="n"/>
      <c r="CS85" s="26" t="n"/>
      <c r="CT85" s="26" t="n"/>
      <c r="CU85" s="26" t="n"/>
      <c r="CV85" s="26" t="n"/>
      <c r="CW85" s="26" t="n"/>
      <c r="CX85" s="26" t="n"/>
      <c r="CY85" s="26" t="n"/>
      <c r="DA85" s="25" t="n"/>
      <c r="DC85" s="26" t="n"/>
      <c r="DD85" s="26" t="n"/>
      <c r="DE85" s="26" t="n"/>
      <c r="DF85" s="26" t="n"/>
      <c r="DG85" s="26" t="n"/>
      <c r="DH85" s="27" t="n"/>
      <c r="DJ85" s="211" t="inlineStr">
        <is>
          <t>订单表中未找到</t>
        </is>
      </c>
      <c r="DK85" t="inlineStr">
        <is>
          <t>—</t>
        </is>
      </c>
      <c r="DL85" t="inlineStr">
        <is>
          <t>—</t>
        </is>
      </c>
    </row>
    <row r="86" ht="15.75" customHeight="1" s="187">
      <c r="A86" s="84" t="n">
        <v>45727</v>
      </c>
      <c r="B86" s="206" t="inlineStr">
        <is>
          <t>已收货</t>
        </is>
      </c>
      <c r="C86" s="86" t="inlineStr">
        <is>
          <t>4261809278853893135</t>
        </is>
      </c>
      <c r="D86" s="87" t="inlineStr">
        <is>
          <t>向女士</t>
        </is>
      </c>
      <c r="E86" s="87" t="n"/>
      <c r="F86" s="87" t="n"/>
      <c r="G86" s="87" t="inlineStr">
        <is>
          <t>原木色1.6米餐桌</t>
        </is>
      </c>
      <c r="H86" s="87" t="inlineStr">
        <is>
          <t>榉木餐桌</t>
        </is>
      </c>
      <c r="I86" s="89" t="inlineStr">
        <is>
          <t>160cm*85cm</t>
        </is>
      </c>
      <c r="J86" s="87" t="inlineStr">
        <is>
          <t>已结算</t>
        </is>
      </c>
      <c r="K86" s="87" t="inlineStr">
        <is>
          <t>江西</t>
        </is>
      </c>
      <c r="L86" s="207">
        <f>SUM(M86:AO86)</f>
        <v/>
      </c>
      <c r="M86" s="207">
        <f>1800</f>
        <v/>
      </c>
      <c r="N86" s="216" t="n"/>
      <c r="O86" s="216" t="n"/>
      <c r="P86" s="216" t="n"/>
      <c r="Q86" s="216" t="n"/>
      <c r="R86" s="207" t="n"/>
      <c r="S86" s="207" t="n"/>
      <c r="T86" s="207" t="n"/>
      <c r="U86" s="207" t="n"/>
      <c r="V86" s="207" t="n"/>
      <c r="W86" s="207" t="n"/>
      <c r="X86" s="207" t="n"/>
      <c r="Y86" s="207" t="n"/>
      <c r="Z86" s="207" t="n"/>
      <c r="AA86" s="207" t="n"/>
      <c r="AB86" s="207" t="n"/>
      <c r="AC86" s="207" t="n"/>
      <c r="AD86" s="207" t="n"/>
      <c r="AE86" s="207" t="n"/>
      <c r="AF86" s="207" t="n"/>
      <c r="AG86" s="207" t="n"/>
      <c r="AH86" s="207" t="n"/>
      <c r="AI86" s="207" t="n"/>
      <c r="AJ86" s="207" t="n"/>
      <c r="AK86" s="207" t="n"/>
      <c r="AL86" s="207" t="n"/>
      <c r="AM86" s="207" t="n">
        <v>130</v>
      </c>
      <c r="AN86" s="207" t="n"/>
      <c r="AO86" s="207" t="n"/>
      <c r="AP86" s="207" t="n">
        <v>89</v>
      </c>
      <c r="AQ86" s="207" t="n">
        <v>51</v>
      </c>
      <c r="AR86" s="207" t="n">
        <v>70</v>
      </c>
      <c r="AS86" s="207" t="n">
        <v>0</v>
      </c>
      <c r="AT86" s="207" t="n">
        <v>0</v>
      </c>
      <c r="AU86" s="207" t="n">
        <v>0</v>
      </c>
      <c r="AV86" s="207" t="n">
        <v>0</v>
      </c>
      <c r="AW86" s="207" t="n">
        <v>0</v>
      </c>
      <c r="AX86" s="208" t="n">
        <v>1</v>
      </c>
      <c r="AY86" s="209">
        <f>L86*AX86+AP86+AQ86+AR86+AV86+AW86+AS86+AT86+AU86</f>
        <v/>
      </c>
      <c r="AZ86" s="207" t="n">
        <v>3000</v>
      </c>
      <c r="BA86" s="207" t="n">
        <v>0</v>
      </c>
      <c r="BB86" s="207">
        <f>AZ86*0.006</f>
        <v/>
      </c>
      <c r="BC86" s="209">
        <f>AZ86+BA86-BB86</f>
        <v/>
      </c>
      <c r="BD86" s="207" t="n">
        <v>0</v>
      </c>
      <c r="BE86" s="207" t="n">
        <v>0</v>
      </c>
      <c r="BF86" s="209">
        <f>BD86+BE86</f>
        <v/>
      </c>
      <c r="BG86" s="209">
        <f>BC86-AY86+BF86</f>
        <v/>
      </c>
      <c r="BH86" s="87" t="inlineStr">
        <is>
          <t>向女士</t>
        </is>
      </c>
      <c r="BI86" s="210" t="inlineStr">
        <is>
          <t>湖北省 宜昌市 西陵区 西陵街道东山大道99号万佳幸福花园A座1503室</t>
        </is>
      </c>
      <c r="BJ86" s="86" t="inlineStr">
        <is>
          <t>18472175596-9424</t>
        </is>
      </c>
      <c r="BK86" s="86" t="n"/>
      <c r="BL86" s="210">
        <f>BC86</f>
        <v/>
      </c>
      <c r="BM86" s="95" t="n"/>
      <c r="BN86" s="94">
        <f>BG86/BC86</f>
        <v/>
      </c>
      <c r="BO86" s="95" t="n"/>
      <c r="BP86" s="86" t="n"/>
      <c r="BQ86" s="96" t="n"/>
      <c r="BR86" s="96" t="n"/>
      <c r="BS86" s="97" t="n"/>
      <c r="BT86" s="96" t="n"/>
      <c r="BU86" s="97" t="n"/>
      <c r="BV86" s="96" t="n"/>
      <c r="BW86" s="97" t="n"/>
      <c r="BX86" s="97" t="n"/>
      <c r="BY86" s="97" t="n"/>
      <c r="BZ86" s="97" t="n"/>
      <c r="CA86" s="98" t="n"/>
      <c r="CH86" s="2" t="n"/>
      <c r="CI86" s="26" t="n"/>
      <c r="CJ86" s="26" t="n"/>
      <c r="CK86" s="26" t="n"/>
      <c r="CL86" s="26" t="n"/>
      <c r="CM86" s="26" t="n"/>
      <c r="CN86" s="26" t="n"/>
      <c r="CO86" s="26" t="n"/>
      <c r="CP86" s="26" t="n"/>
      <c r="CQ86" s="26" t="n"/>
      <c r="CR86" s="26" t="n"/>
      <c r="CS86" s="26" t="n"/>
      <c r="CT86" s="26" t="n"/>
      <c r="CU86" s="26" t="n"/>
      <c r="CV86" s="26" t="n"/>
      <c r="CW86" s="26" t="n"/>
      <c r="CX86" s="26" t="n"/>
      <c r="CY86" s="26" t="n"/>
      <c r="DA86" s="25" t="n"/>
      <c r="DC86" s="26" t="n"/>
      <c r="DD86" s="26" t="n"/>
      <c r="DE86" s="26" t="n"/>
      <c r="DF86" s="26" t="n"/>
      <c r="DG86" s="26" t="n"/>
      <c r="DH86" s="27" t="n"/>
      <c r="DJ86" s="211" t="inlineStr">
        <is>
          <t>订单表中未找到</t>
        </is>
      </c>
      <c r="DK86" t="inlineStr">
        <is>
          <t>—</t>
        </is>
      </c>
      <c r="DL86" t="inlineStr">
        <is>
          <t>—</t>
        </is>
      </c>
    </row>
    <row r="87" ht="15.75" customHeight="1" s="187">
      <c r="A87" s="84" t="n">
        <v>45728</v>
      </c>
      <c r="B87" s="206" t="inlineStr">
        <is>
          <t>已收货</t>
        </is>
      </c>
      <c r="C87" s="86" t="inlineStr">
        <is>
          <t>2498039005704365166</t>
        </is>
      </c>
      <c r="D87" s="87" t="inlineStr">
        <is>
          <t>坤-李锦坤(陈雨恒)</t>
        </is>
      </c>
      <c r="E87" s="87" t="n"/>
      <c r="F87" s="87" t="n"/>
      <c r="G87" s="87" t="inlineStr">
        <is>
          <t>砂白色1.3米岩板餐桌，定制</t>
        </is>
      </c>
      <c r="H87" s="87" t="inlineStr">
        <is>
          <t>榉木餐桌</t>
        </is>
      </c>
      <c r="I87" s="89" t="inlineStr">
        <is>
          <t>130cm*80cm</t>
        </is>
      </c>
      <c r="J87" s="87" t="inlineStr">
        <is>
          <t>已结算</t>
        </is>
      </c>
      <c r="K87" s="87" t="inlineStr">
        <is>
          <t>江西</t>
        </is>
      </c>
      <c r="L87" s="207">
        <f>SUM(M87:AO87)</f>
        <v/>
      </c>
      <c r="M87" s="207">
        <f>1450</f>
        <v/>
      </c>
      <c r="N87" s="216" t="n"/>
      <c r="O87" s="216" t="n"/>
      <c r="P87" s="216" t="n"/>
      <c r="Q87" s="216" t="n"/>
      <c r="R87" s="207" t="n">
        <v>255</v>
      </c>
      <c r="S87" s="207" t="n"/>
      <c r="T87" s="207" t="n"/>
      <c r="U87" s="207" t="n"/>
      <c r="V87" s="207" t="n"/>
      <c r="W87" s="207" t="n"/>
      <c r="X87" s="207" t="n"/>
      <c r="Y87" s="207" t="n"/>
      <c r="Z87" s="207" t="n"/>
      <c r="AA87" s="207" t="n"/>
      <c r="AB87" s="207" t="n"/>
      <c r="AC87" s="207" t="n"/>
      <c r="AD87" s="207" t="n">
        <v>2.5</v>
      </c>
      <c r="AE87" s="207" t="n"/>
      <c r="AF87" s="207" t="n"/>
      <c r="AG87" s="207" t="n"/>
      <c r="AH87" s="207" t="n"/>
      <c r="AI87" s="207" t="n"/>
      <c r="AJ87" s="207" t="n"/>
      <c r="AK87" s="207" t="n"/>
      <c r="AL87" s="207" t="n"/>
      <c r="AM87" s="207" t="n">
        <v>120</v>
      </c>
      <c r="AN87" s="207" t="n"/>
      <c r="AO87" s="207" t="n"/>
      <c r="AP87" s="207" t="n">
        <v>93</v>
      </c>
      <c r="AQ87" s="207" t="n">
        <v>0</v>
      </c>
      <c r="AR87" s="207" t="n">
        <v>0</v>
      </c>
      <c r="AS87" s="207" t="n">
        <v>0</v>
      </c>
      <c r="AT87" s="207" t="n">
        <v>0</v>
      </c>
      <c r="AU87" s="207" t="n">
        <v>0</v>
      </c>
      <c r="AV87" s="207" t="n">
        <v>0</v>
      </c>
      <c r="AW87" s="207" t="n">
        <v>0</v>
      </c>
      <c r="AX87" s="208" t="n">
        <v>1</v>
      </c>
      <c r="AY87" s="209">
        <f>L87*AX87+AP87+AQ87+AR87+AV87+AW87+AS87+AT87+AU87</f>
        <v/>
      </c>
      <c r="AZ87" s="207" t="n">
        <v>2730</v>
      </c>
      <c r="BA87" s="207" t="n">
        <v>0</v>
      </c>
      <c r="BB87" s="207">
        <f>AZ87*0.006</f>
        <v/>
      </c>
      <c r="BC87" s="209">
        <f>AZ87+BA87-BB87</f>
        <v/>
      </c>
      <c r="BD87" s="207" t="n">
        <v>0</v>
      </c>
      <c r="BE87" s="207" t="n">
        <v>0</v>
      </c>
      <c r="BF87" s="209">
        <f>BD87+BE87</f>
        <v/>
      </c>
      <c r="BG87" s="209">
        <f>BC87-AY87+BF87</f>
        <v/>
      </c>
      <c r="BH87" s="87" t="inlineStr">
        <is>
          <t>坤-李锦坤(陈雨恒)</t>
        </is>
      </c>
      <c r="BI87" s="210" t="inlineStr">
        <is>
          <t>广东省 广州市 白云区 大源街道石湖村镇东路148号+KA250208E,陈雨恒</t>
        </is>
      </c>
      <c r="BJ87" s="86" t="inlineStr">
        <is>
          <t>18466101944-8682</t>
        </is>
      </c>
      <c r="BK87" s="86" t="n"/>
      <c r="BL87" s="210">
        <f>BC87</f>
        <v/>
      </c>
      <c r="BM87" s="95" t="n"/>
      <c r="BN87" s="94">
        <f>BG87/BC87</f>
        <v/>
      </c>
      <c r="BO87" s="95" t="n"/>
      <c r="BP87" s="86" t="inlineStr">
        <is>
          <t>纯白岩板</t>
        </is>
      </c>
      <c r="BQ87" s="96" t="n"/>
      <c r="BR87" s="96" t="inlineStr">
        <is>
          <t>坤-李锦坤(陈雨恒)</t>
        </is>
      </c>
      <c r="BS87" s="97" t="inlineStr">
        <is>
          <t xml:space="preserve">纯白岩板：130*80 </t>
        </is>
      </c>
      <c r="BT87" s="96" t="n"/>
      <c r="BU87" s="97" t="n"/>
      <c r="BV87" s="96" t="n"/>
      <c r="BW87" s="97" t="n"/>
      <c r="BX87" s="97" t="n"/>
      <c r="BY87" s="97" t="n"/>
      <c r="BZ87" s="97" t="n"/>
      <c r="CA87" s="98" t="n"/>
      <c r="CH87" s="2" t="n"/>
      <c r="CI87" s="26" t="n"/>
      <c r="CJ87" s="26" t="n"/>
      <c r="CK87" s="26" t="n"/>
      <c r="CL87" s="26" t="n"/>
      <c r="CM87" s="26" t="n"/>
      <c r="CN87" s="26" t="n"/>
      <c r="CO87" s="26" t="n"/>
      <c r="CP87" s="26" t="n"/>
      <c r="CQ87" s="26" t="n"/>
      <c r="CR87" s="26" t="n"/>
      <c r="CS87" s="26" t="n"/>
      <c r="CT87" s="26" t="n"/>
      <c r="CU87" s="26" t="n"/>
      <c r="CV87" s="26" t="n"/>
      <c r="CW87" s="26" t="n"/>
      <c r="CX87" s="26" t="n"/>
      <c r="CY87" s="26" t="n"/>
      <c r="DA87" s="25" t="n"/>
      <c r="DC87" s="26" t="n"/>
      <c r="DD87" s="26" t="n"/>
      <c r="DE87" s="26" t="n"/>
      <c r="DF87" s="26" t="n"/>
      <c r="DG87" s="26" t="n"/>
      <c r="DH87" s="27" t="n"/>
      <c r="DJ87" s="211" t="inlineStr">
        <is>
          <t>订单表中未找到</t>
        </is>
      </c>
      <c r="DK87" t="inlineStr">
        <is>
          <t>—</t>
        </is>
      </c>
      <c r="DL87" t="inlineStr">
        <is>
          <t>—</t>
        </is>
      </c>
    </row>
    <row r="88" ht="15.75" customHeight="1" s="187">
      <c r="A88" s="84" t="n">
        <v>45731</v>
      </c>
      <c r="B88" s="206" t="inlineStr">
        <is>
          <t>已收货</t>
        </is>
      </c>
      <c r="C88" s="86" t="inlineStr">
        <is>
          <t>2498412612251020886</t>
        </is>
      </c>
      <c r="D88" s="87" t="inlineStr">
        <is>
          <t>孙先生</t>
        </is>
      </c>
      <c r="E88" s="87" t="n"/>
      <c r="F88" s="87" t="n"/>
      <c r="G88" s="87" t="inlineStr">
        <is>
          <t>1.5榉木旋转柜：1.5米+1.2米单腿岩板餐桌</t>
        </is>
      </c>
      <c r="H88" s="87" t="inlineStr">
        <is>
          <t>旋转餐边柜</t>
        </is>
      </c>
      <c r="I88" s="89" t="n">
        <v>1500</v>
      </c>
      <c r="J88" s="87" t="inlineStr">
        <is>
          <t>已结算，茶色玻璃</t>
        </is>
      </c>
      <c r="K88" s="87" t="inlineStr">
        <is>
          <t>江西</t>
        </is>
      </c>
      <c r="L88" s="207">
        <f>4600+260+180+72+229+50+38+499+22*9+36+20+490</f>
        <v/>
      </c>
      <c r="M88" s="207">
        <f>4600</f>
        <v/>
      </c>
      <c r="N88" s="216" t="n"/>
      <c r="O88" s="216" t="n"/>
      <c r="P88" s="216" t="n"/>
      <c r="Q88" s="216" t="n"/>
      <c r="R88" s="207" t="n"/>
      <c r="S88" s="207" t="n">
        <v>50</v>
      </c>
      <c r="T88" s="207" t="n">
        <v>38</v>
      </c>
      <c r="U88" s="207" t="n"/>
      <c r="V88" s="207" t="n"/>
      <c r="W88" s="207" t="n">
        <v>499</v>
      </c>
      <c r="X88" s="207">
        <f>22*9</f>
        <v/>
      </c>
      <c r="Y88" s="207" t="n">
        <v>36</v>
      </c>
      <c r="Z88" s="207" t="n"/>
      <c r="AA88" s="207" t="n"/>
      <c r="AB88" s="207" t="n"/>
      <c r="AC88" s="207" t="n"/>
      <c r="AD88" s="207" t="n">
        <v>490</v>
      </c>
      <c r="AE88" s="207" t="n">
        <v>20</v>
      </c>
      <c r="AF88" s="207" t="n"/>
      <c r="AG88" s="207" t="n"/>
      <c r="AH88" s="207" t="n"/>
      <c r="AI88" s="207" t="n"/>
      <c r="AJ88" s="207" t="n"/>
      <c r="AK88" s="207" t="n"/>
      <c r="AL88" s="207" t="n"/>
      <c r="AM88" s="207" t="n">
        <v>490</v>
      </c>
      <c r="AN88" s="207" t="n"/>
      <c r="AO88" s="207" t="n"/>
      <c r="AP88" s="207" t="n">
        <v>399</v>
      </c>
      <c r="AQ88" s="207" t="n">
        <v>90</v>
      </c>
      <c r="AR88" s="207" t="n">
        <v>158</v>
      </c>
      <c r="AS88" s="207" t="n">
        <v>0</v>
      </c>
      <c r="AT88" s="207" t="n">
        <v>0</v>
      </c>
      <c r="AU88" s="207" t="n">
        <v>0</v>
      </c>
      <c r="AV88" s="207" t="n">
        <v>0</v>
      </c>
      <c r="AW88" s="207" t="n">
        <v>0</v>
      </c>
      <c r="AX88" s="208" t="n">
        <v>1</v>
      </c>
      <c r="AY88" s="209">
        <f>L88*AX88+AP88+AQ88+AR88+AV88+AW88+AS88+AT88+AU88</f>
        <v/>
      </c>
      <c r="AZ88" s="207" t="n">
        <v>8500</v>
      </c>
      <c r="BA88" s="207" t="n">
        <v>0</v>
      </c>
      <c r="BB88" s="207">
        <f>AZ88*0.006</f>
        <v/>
      </c>
      <c r="BC88" s="209">
        <f>AZ88+BA88-BB88</f>
        <v/>
      </c>
      <c r="BD88" s="207" t="n">
        <v>0</v>
      </c>
      <c r="BE88" s="207" t="n">
        <v>0</v>
      </c>
      <c r="BF88" s="209">
        <f>BD88+BE88</f>
        <v/>
      </c>
      <c r="BG88" s="209">
        <f>BC88-AY88+BF88</f>
        <v/>
      </c>
      <c r="BH88" s="87" t="inlineStr">
        <is>
          <t>孙先生</t>
        </is>
      </c>
      <c r="BI88" s="210" t="inlineStr">
        <is>
          <t>上海 上海市 闵行区 七宝镇紫琅路 188号 天安1号 C区 5号楼 302室</t>
        </is>
      </c>
      <c r="BJ88" s="86" t="inlineStr">
        <is>
          <t>18466655154-6826</t>
        </is>
      </c>
      <c r="BK88" s="86" t="n"/>
      <c r="BL88" s="210">
        <f>BC88</f>
        <v/>
      </c>
      <c r="BM88" s="95" t="n"/>
      <c r="BN88" s="94" t="n"/>
      <c r="BO88" s="95" t="inlineStr">
        <is>
          <t>黑色岩板</t>
        </is>
      </c>
      <c r="BP88" s="86" t="inlineStr">
        <is>
          <t>黑色岩板</t>
        </is>
      </c>
      <c r="BQ88" s="96" t="n"/>
      <c r="BR88" s="96" t="n"/>
      <c r="BS88" s="97" t="n"/>
      <c r="BT88" s="96" t="n"/>
      <c r="BU88" s="97" t="n"/>
      <c r="BV88" s="96" t="n"/>
      <c r="BW88" s="97" t="n"/>
      <c r="BX88" s="97" t="n"/>
      <c r="BY88" s="97" t="n"/>
      <c r="BZ88" s="97" t="n"/>
      <c r="CA88" s="98" t="n"/>
      <c r="CH88" s="2" t="n"/>
      <c r="CI88" s="26" t="n"/>
      <c r="CJ88" s="26" t="n"/>
      <c r="CK88" s="26" t="n"/>
      <c r="CL88" s="26" t="n"/>
      <c r="CM88" s="26" t="n"/>
      <c r="CN88" s="26" t="n"/>
      <c r="CO88" s="26" t="n"/>
      <c r="CP88" s="26" t="n"/>
      <c r="CQ88" s="26" t="n"/>
      <c r="CR88" s="26" t="n"/>
      <c r="CS88" s="26" t="n"/>
      <c r="CT88" s="26" t="n"/>
      <c r="CU88" s="26" t="n"/>
      <c r="CV88" s="26" t="n"/>
      <c r="CW88" s="26" t="n"/>
      <c r="CX88" s="26" t="n"/>
      <c r="CY88" s="26" t="n"/>
      <c r="DA88" s="25" t="n"/>
      <c r="DC88" s="26" t="n"/>
      <c r="DD88" s="26" t="n"/>
      <c r="DE88" s="26" t="n"/>
      <c r="DF88" s="26" t="n"/>
      <c r="DG88" s="26" t="n"/>
      <c r="DH88" s="27" t="n"/>
      <c r="DJ88" s="211" t="inlineStr">
        <is>
          <t>订单表中未找到</t>
        </is>
      </c>
      <c r="DK88" t="inlineStr">
        <is>
          <t>—</t>
        </is>
      </c>
      <c r="DL88" t="inlineStr">
        <is>
          <t>—</t>
        </is>
      </c>
    </row>
    <row r="89" ht="15.75" customHeight="1" s="187">
      <c r="A89" s="84" t="n">
        <v>45732</v>
      </c>
      <c r="B89" s="206" t="inlineStr">
        <is>
          <t>已收货</t>
        </is>
      </c>
      <c r="C89" s="86" t="inlineStr">
        <is>
          <t>4266274177185591234</t>
        </is>
      </c>
      <c r="D89" s="87" t="inlineStr">
        <is>
          <t>夏两</t>
        </is>
      </c>
      <c r="E89" s="87" t="n"/>
      <c r="F89" s="87" t="n"/>
      <c r="G89" s="87" t="inlineStr">
        <is>
          <t xml:space="preserve">1.34米洞石整柜 </t>
        </is>
      </c>
      <c r="H89" s="87" t="inlineStr">
        <is>
          <t>洞石餐边柜</t>
        </is>
      </c>
      <c r="I89" s="89" t="n">
        <v>1340</v>
      </c>
      <c r="J89" s="87" t="inlineStr">
        <is>
          <t>已结算，灰色玻璃</t>
        </is>
      </c>
      <c r="K89" s="87" t="inlineStr">
        <is>
          <t>江西</t>
        </is>
      </c>
      <c r="L89" s="207">
        <f>5450+460+320+22*9+84+14+7+459.48+52*2+14+340+280+60</f>
        <v/>
      </c>
      <c r="M89" s="207">
        <f>5450</f>
        <v/>
      </c>
      <c r="N89" s="216" t="n">
        <v>460</v>
      </c>
      <c r="O89" s="216" t="n">
        <v>320</v>
      </c>
      <c r="P89" s="216" t="inlineStr">
        <is>
          <t>22*9</t>
        </is>
      </c>
      <c r="Q89" s="216" t="n"/>
      <c r="R89" s="207" t="n">
        <v>84</v>
      </c>
      <c r="S89" s="207" t="n">
        <v>14</v>
      </c>
      <c r="T89" s="207" t="n">
        <v>7</v>
      </c>
      <c r="U89" s="207" t="n"/>
      <c r="V89" s="207" t="n"/>
      <c r="W89" s="207" t="n">
        <v>459.48</v>
      </c>
      <c r="X89" s="207" t="inlineStr">
        <is>
          <t>52*2</t>
        </is>
      </c>
      <c r="Y89" s="207" t="n">
        <v>14</v>
      </c>
      <c r="Z89" s="207" t="n"/>
      <c r="AA89" s="207" t="n"/>
      <c r="AB89" s="207" t="n"/>
      <c r="AC89" s="207" t="n"/>
      <c r="AD89" s="207" t="n">
        <v>280</v>
      </c>
      <c r="AE89" s="207" t="n">
        <v>340</v>
      </c>
      <c r="AF89" s="207" t="n">
        <v>60</v>
      </c>
      <c r="AG89" s="207" t="n"/>
      <c r="AH89" s="207" t="n"/>
      <c r="AI89" s="207" t="n"/>
      <c r="AJ89" s="207" t="n"/>
      <c r="AK89" s="207" t="n"/>
      <c r="AL89" s="207" t="n"/>
      <c r="AM89" s="207">
        <f>280+60</f>
        <v/>
      </c>
      <c r="AN89" s="207" t="n"/>
      <c r="AO89" s="207" t="n"/>
      <c r="AP89" s="207" t="n">
        <v>611</v>
      </c>
      <c r="AQ89" s="207" t="n">
        <v>88</v>
      </c>
      <c r="AR89" s="207" t="n">
        <v>136</v>
      </c>
      <c r="AS89" s="207" t="n">
        <v>0</v>
      </c>
      <c r="AT89" s="207" t="n">
        <v>0</v>
      </c>
      <c r="AU89" s="207" t="n">
        <v>0</v>
      </c>
      <c r="AV89" s="207" t="n">
        <v>100</v>
      </c>
      <c r="AW89" s="207" t="n">
        <v>0</v>
      </c>
      <c r="AX89" s="208" t="n">
        <v>1</v>
      </c>
      <c r="AY89" s="209">
        <f>L89*AX89+AP89+AQ89+AR89+AV89+AW89+AS89+AT89+AU89</f>
        <v/>
      </c>
      <c r="AZ89" s="207" t="n">
        <v>10480</v>
      </c>
      <c r="BA89" s="207" t="n">
        <v>0</v>
      </c>
      <c r="BB89" s="207">
        <f>AZ89*0.006</f>
        <v/>
      </c>
      <c r="BC89" s="209">
        <f>AZ89+BA89-BB89</f>
        <v/>
      </c>
      <c r="BD89" s="207" t="n">
        <v>0</v>
      </c>
      <c r="BE89" s="207" t="n">
        <v>0</v>
      </c>
      <c r="BF89" s="209">
        <f>BD89+BE89</f>
        <v/>
      </c>
      <c r="BG89" s="209">
        <f>BC89-AY89+BF89</f>
        <v/>
      </c>
      <c r="BH89" s="87" t="inlineStr">
        <is>
          <t>夏两</t>
        </is>
      </c>
      <c r="BI89" s="210" t="inlineStr">
        <is>
          <t>北京 北京市 海淀区 上地街道朱房路上地南路6号院小区 2号楼10单元602</t>
        </is>
      </c>
      <c r="BJ89" s="86" t="inlineStr">
        <is>
          <t>18400847404-3162</t>
        </is>
      </c>
      <c r="BK89" s="86" t="n"/>
      <c r="BL89" s="210">
        <f>BC89</f>
        <v/>
      </c>
      <c r="BM89" s="93" t="n"/>
      <c r="BN89" s="94" t="n"/>
      <c r="BO89" s="93" t="inlineStr">
        <is>
          <t>黑色岩板</t>
        </is>
      </c>
      <c r="BP89" s="86" t="n"/>
      <c r="BQ89" s="96" t="n"/>
      <c r="BR89" s="96" t="n"/>
      <c r="BS89" s="97" t="n"/>
      <c r="BT89" s="96" t="n"/>
      <c r="BU89" s="97" t="n"/>
      <c r="BV89" s="96" t="n"/>
      <c r="BW89" s="97" t="n"/>
      <c r="BX89" s="97" t="n"/>
      <c r="BY89" s="97" t="n"/>
      <c r="BZ89" s="97" t="n"/>
      <c r="CA89" s="98" t="n"/>
      <c r="CH89" s="2" t="n"/>
      <c r="CI89" s="26" t="n"/>
      <c r="CJ89" s="26" t="n"/>
      <c r="CK89" s="26" t="n"/>
      <c r="CL89" s="26" t="n"/>
      <c r="CM89" s="26" t="n"/>
      <c r="CN89" s="26" t="n"/>
      <c r="CO89" s="26" t="n"/>
      <c r="CP89" s="26" t="n"/>
      <c r="CQ89" s="26" t="n"/>
      <c r="CR89" s="26" t="n"/>
      <c r="CS89" s="26" t="n"/>
      <c r="CT89" s="26" t="n"/>
      <c r="CU89" s="26" t="n"/>
      <c r="CV89" s="26" t="n"/>
      <c r="CW89" s="26" t="n"/>
      <c r="CX89" s="26" t="n"/>
      <c r="CY89" s="26" t="n"/>
      <c r="DA89" s="25" t="n"/>
      <c r="DC89" s="26" t="n"/>
      <c r="DD89" s="26" t="n"/>
      <c r="DE89" s="26" t="n"/>
      <c r="DF89" s="26" t="n"/>
      <c r="DG89" s="26" t="n"/>
      <c r="DH89" s="27" t="n"/>
      <c r="DJ89" s="211" t="inlineStr">
        <is>
          <t>订单表中未找到</t>
        </is>
      </c>
      <c r="DK89" t="inlineStr">
        <is>
          <t>—</t>
        </is>
      </c>
      <c r="DL89" t="inlineStr">
        <is>
          <t>—</t>
        </is>
      </c>
    </row>
    <row r="90" ht="15.75" customHeight="1" s="187">
      <c r="A90" s="84" t="n">
        <v>45732</v>
      </c>
      <c r="B90" s="206" t="inlineStr">
        <is>
          <t>已收货</t>
        </is>
      </c>
      <c r="C90" s="86" t="inlineStr">
        <is>
          <t>4267294310334579044</t>
        </is>
      </c>
      <c r="D90" s="87" t="inlineStr">
        <is>
          <t>李媛媛</t>
        </is>
      </c>
      <c r="E90" s="116" t="inlineStr">
        <is>
          <t>已发  7.8是赠送的木蜡油</t>
        </is>
      </c>
      <c r="F90" s="87" t="n"/>
      <c r="G90" s="87" t="inlineStr">
        <is>
          <t>樱桃木黑色岩板餐桌</t>
        </is>
      </c>
      <c r="H90" s="207" t="inlineStr">
        <is>
          <t>樱桃木岩板餐桌2024</t>
        </is>
      </c>
      <c r="I90" s="218" t="inlineStr">
        <is>
          <t>180cm*85cm</t>
        </is>
      </c>
      <c r="J90" s="87" t="inlineStr">
        <is>
          <t>已结算</t>
        </is>
      </c>
      <c r="K90" s="87" t="inlineStr">
        <is>
          <t>江西</t>
        </is>
      </c>
      <c r="L90" s="207">
        <f>1000+224.02+7.8+2.5+180</f>
        <v/>
      </c>
      <c r="M90" s="207">
        <f>1000</f>
        <v/>
      </c>
      <c r="N90" s="216" t="n"/>
      <c r="O90" s="216" t="n"/>
      <c r="P90" s="216" t="n"/>
      <c r="Q90" s="216" t="n"/>
      <c r="R90" s="216" t="n">
        <v>224.02</v>
      </c>
      <c r="S90" s="207" t="n"/>
      <c r="T90" s="207" t="n"/>
      <c r="U90" s="207" t="n"/>
      <c r="V90" s="207" t="n"/>
      <c r="W90" s="207" t="n"/>
      <c r="X90" s="207" t="n"/>
      <c r="Y90" s="207" t="n"/>
      <c r="Z90" s="207" t="n"/>
      <c r="AA90" s="207" t="n"/>
      <c r="AB90" s="207" t="n"/>
      <c r="AC90" s="207" t="n"/>
      <c r="AD90" s="207" t="n">
        <v>2.5</v>
      </c>
      <c r="AE90" s="207" t="n"/>
      <c r="AF90" s="207" t="n"/>
      <c r="AG90" s="207" t="n"/>
      <c r="AH90" s="207" t="n"/>
      <c r="AI90" s="207" t="n"/>
      <c r="AJ90" s="207" t="n">
        <v>7.8</v>
      </c>
      <c r="AK90" s="207" t="n"/>
      <c r="AL90" s="207" t="n"/>
      <c r="AM90" s="207" t="n">
        <v>180</v>
      </c>
      <c r="AN90" s="207" t="n"/>
      <c r="AO90" s="207" t="n"/>
      <c r="AP90" s="207" t="n">
        <v>105</v>
      </c>
      <c r="AQ90" s="207" t="n">
        <v>0</v>
      </c>
      <c r="AR90" s="207" t="n">
        <v>75</v>
      </c>
      <c r="AS90" s="207" t="n">
        <v>0</v>
      </c>
      <c r="AT90" s="207" t="n">
        <v>0</v>
      </c>
      <c r="AU90" s="207" t="n">
        <v>0</v>
      </c>
      <c r="AV90" s="207" t="n">
        <v>0</v>
      </c>
      <c r="AW90" s="207" t="n">
        <v>495</v>
      </c>
      <c r="AX90" s="208" t="n">
        <v>1</v>
      </c>
      <c r="AY90" s="209">
        <f>L90*AX90+AP90+AQ90+AR90+AV90+AW90+AS90+AT90+AU90</f>
        <v/>
      </c>
      <c r="AZ90" s="207" t="n">
        <v>2478.5</v>
      </c>
      <c r="BA90" s="207" t="n">
        <v>0</v>
      </c>
      <c r="BB90" s="207">
        <f>AZ90*0.006</f>
        <v/>
      </c>
      <c r="BC90" s="209">
        <f>AZ90+BA90-BB90</f>
        <v/>
      </c>
      <c r="BD90" s="207" t="n">
        <v>0</v>
      </c>
      <c r="BE90" s="207" t="n">
        <v>0</v>
      </c>
      <c r="BF90" s="209">
        <f>BD90+BE90</f>
        <v/>
      </c>
      <c r="BG90" s="209">
        <f>BC90-AY90+BF90</f>
        <v/>
      </c>
      <c r="BH90" s="87" t="inlineStr">
        <is>
          <t>李媛媛</t>
        </is>
      </c>
      <c r="BI90" s="210" t="inlineStr">
        <is>
          <t>贵州省 贵阳市 观山湖区 长岭街道阅山湖越麓E组团7栋2单元25层4号房</t>
        </is>
      </c>
      <c r="BJ90" s="86" t="inlineStr">
        <is>
          <t>18400306338-829</t>
        </is>
      </c>
      <c r="BK90" s="86" t="n"/>
      <c r="BL90" s="210">
        <f>BC90</f>
        <v/>
      </c>
      <c r="BM90" s="93" t="n"/>
      <c r="BN90" s="94" t="n"/>
      <c r="BO90" s="93" t="inlineStr">
        <is>
          <t>黑色岩板</t>
        </is>
      </c>
      <c r="BP90" s="86" t="n"/>
      <c r="BQ90" s="96" t="n"/>
      <c r="BR90" s="96" t="n"/>
      <c r="BS90" s="97" t="n"/>
      <c r="BT90" s="96" t="n"/>
      <c r="BU90" s="97" t="n"/>
      <c r="BV90" s="96" t="n"/>
      <c r="BW90" s="97" t="n"/>
      <c r="BX90" s="97" t="n"/>
      <c r="BY90" s="97" t="n"/>
      <c r="BZ90" s="97" t="n"/>
      <c r="CA90" s="98" t="n"/>
      <c r="CH90" s="2" t="n"/>
      <c r="CI90" s="26" t="n"/>
      <c r="CJ90" s="26" t="n"/>
      <c r="CK90" s="26" t="n"/>
      <c r="CL90" s="26" t="n"/>
      <c r="CM90" s="26" t="n"/>
      <c r="CN90" s="26" t="n"/>
      <c r="CO90" s="26" t="n"/>
      <c r="CP90" s="26" t="n"/>
      <c r="CQ90" s="26" t="n"/>
      <c r="CR90" s="26" t="n"/>
      <c r="CS90" s="26" t="n"/>
      <c r="CT90" s="26" t="n"/>
      <c r="CU90" s="26" t="n"/>
      <c r="CV90" s="26" t="n"/>
      <c r="CW90" s="26" t="n"/>
      <c r="CX90" s="26" t="n"/>
      <c r="CY90" s="26" t="n"/>
      <c r="DA90" s="25" t="n"/>
      <c r="DC90" s="26" t="n"/>
      <c r="DD90" s="26" t="n"/>
      <c r="DE90" s="26" t="n"/>
      <c r="DF90" s="26" t="n"/>
      <c r="DG90" s="26" t="n"/>
      <c r="DH90" s="27" t="n"/>
      <c r="DJ90" s="211" t="inlineStr">
        <is>
          <t>订单表中未找到</t>
        </is>
      </c>
      <c r="DK90" t="inlineStr">
        <is>
          <t>—</t>
        </is>
      </c>
      <c r="DL90" t="inlineStr">
        <is>
          <t>—</t>
        </is>
      </c>
    </row>
    <row r="91" ht="15.75" customHeight="1" s="187">
      <c r="A91" s="84" t="n">
        <v>45734</v>
      </c>
      <c r="B91" s="206" t="inlineStr">
        <is>
          <t>已收货</t>
        </is>
      </c>
      <c r="C91" s="86" t="inlineStr">
        <is>
          <t>4267108009842534503</t>
        </is>
      </c>
      <c r="D91" s="87" t="inlineStr">
        <is>
          <t>卓子越</t>
        </is>
      </c>
      <c r="E91" s="87" t="n"/>
      <c r="F91" s="87" t="n"/>
      <c r="G91" s="87" t="inlineStr">
        <is>
          <t>旋转柜右旋：1.8米+1.4米单腿餐桌，樱桃木，黑色洞洞板，黑色岩板台面</t>
        </is>
      </c>
      <c r="H91" s="87" t="inlineStr">
        <is>
          <t>旋转餐边柜</t>
        </is>
      </c>
      <c r="I91" s="89" t="n">
        <v>1800</v>
      </c>
      <c r="J91" s="87" t="inlineStr">
        <is>
          <t>已结算，茶色玻璃</t>
        </is>
      </c>
      <c r="K91" s="87" t="inlineStr">
        <is>
          <t>江西</t>
        </is>
      </c>
      <c r="L91" s="207">
        <f>5700+460+300+566+52+22+42.5+22*9+229+36+52+400</f>
        <v/>
      </c>
      <c r="M91" s="207">
        <f>5700</f>
        <v/>
      </c>
      <c r="N91" s="216" t="n"/>
      <c r="O91" s="216" t="n"/>
      <c r="P91" s="216" t="n"/>
      <c r="Q91" s="216" t="n"/>
      <c r="R91" s="207" t="n"/>
      <c r="S91" s="207" t="n">
        <v>22</v>
      </c>
      <c r="T91" s="207" t="n">
        <v>42.5</v>
      </c>
      <c r="U91" s="207" t="n"/>
      <c r="V91" s="207" t="n"/>
      <c r="W91" s="207" t="n">
        <v>229</v>
      </c>
      <c r="X91" s="207">
        <f>22*9</f>
        <v/>
      </c>
      <c r="Y91" s="207" t="n">
        <v>36</v>
      </c>
      <c r="Z91" s="207" t="n"/>
      <c r="AA91" s="207" t="n"/>
      <c r="AB91" s="207" t="n"/>
      <c r="AC91" s="207" t="n"/>
      <c r="AD91" s="207" t="n">
        <v>400</v>
      </c>
      <c r="AE91" s="207" t="n">
        <v>52</v>
      </c>
      <c r="AF91" s="207" t="n"/>
      <c r="AG91" s="207" t="n"/>
      <c r="AH91" s="207" t="n"/>
      <c r="AI91" s="207" t="n"/>
      <c r="AJ91" s="207" t="n"/>
      <c r="AK91" s="207" t="n"/>
      <c r="AL91" s="207" t="n"/>
      <c r="AM91" s="207" t="n">
        <v>400</v>
      </c>
      <c r="AN91" s="87" t="n"/>
      <c r="AO91" s="87" t="n"/>
      <c r="AP91" s="207" t="n">
        <v>537</v>
      </c>
      <c r="AQ91" s="207" t="n">
        <v>100</v>
      </c>
      <c r="AR91" s="207" t="n">
        <v>128</v>
      </c>
      <c r="AS91" s="207" t="n">
        <v>0</v>
      </c>
      <c r="AT91" s="207" t="n">
        <v>0</v>
      </c>
      <c r="AU91" s="207" t="n">
        <v>0</v>
      </c>
      <c r="AV91" s="207">
        <f>290+197.7</f>
        <v/>
      </c>
      <c r="AW91" s="207" t="n">
        <v>0</v>
      </c>
      <c r="AX91" s="208" t="n">
        <v>1</v>
      </c>
      <c r="AY91" s="209">
        <f>L91*AX91+AP91+AQ91+AR91+AV91+AW91+AS91+AT91+AU91</f>
        <v/>
      </c>
      <c r="AZ91" s="207" t="n">
        <v>11265.46</v>
      </c>
      <c r="BA91" s="207" t="n">
        <v>0</v>
      </c>
      <c r="BB91" s="207">
        <f>AZ91*0.006</f>
        <v/>
      </c>
      <c r="BC91" s="209">
        <f>AZ91+BA91-BB91</f>
        <v/>
      </c>
      <c r="BD91" s="207" t="n">
        <v>0</v>
      </c>
      <c r="BE91" s="207" t="n">
        <v>0</v>
      </c>
      <c r="BF91" s="209">
        <f>BD91+BE91</f>
        <v/>
      </c>
      <c r="BG91" s="209">
        <f>BC91-AY91+BF91</f>
        <v/>
      </c>
      <c r="BH91" s="87" t="inlineStr">
        <is>
          <t>卓子越</t>
        </is>
      </c>
      <c r="BI91" s="210" t="inlineStr">
        <is>
          <t>广东省 广州市 增城区 中新镇御溪世家二期24栋1505室(已交楼 送上门)</t>
        </is>
      </c>
      <c r="BJ91" s="86" t="inlineStr">
        <is>
          <t>15821368355</t>
        </is>
      </c>
      <c r="BK91" s="86" t="n"/>
      <c r="BL91" s="210">
        <f>BC91</f>
        <v/>
      </c>
      <c r="BM91" s="93" t="n"/>
      <c r="BN91" s="94" t="n"/>
      <c r="BO91" s="93" t="inlineStr">
        <is>
          <t>黑色岩板</t>
        </is>
      </c>
      <c r="BP91" s="86" t="n"/>
      <c r="BQ91" s="96" t="n"/>
      <c r="BR91" s="96" t="n"/>
      <c r="BS91" s="97" t="n"/>
      <c r="BT91" s="96" t="n"/>
      <c r="BU91" s="97" t="n"/>
      <c r="BV91" s="96" t="n"/>
      <c r="BW91" s="97" t="n"/>
      <c r="BX91" s="97" t="n"/>
      <c r="BY91" s="97" t="n"/>
      <c r="BZ91" s="97" t="n"/>
      <c r="CA91" s="98" t="n"/>
      <c r="CH91" s="2" t="n"/>
      <c r="CI91" s="26" t="n"/>
      <c r="CJ91" s="26" t="n"/>
      <c r="CK91" s="26" t="n"/>
      <c r="CL91" s="26" t="n"/>
      <c r="CM91" s="26" t="n"/>
      <c r="CN91" s="26" t="n"/>
      <c r="CO91" s="26" t="n"/>
      <c r="CP91" s="26" t="n"/>
      <c r="CQ91" s="26" t="n"/>
      <c r="CR91" s="26" t="n"/>
      <c r="CS91" s="26" t="n"/>
      <c r="CT91" s="26" t="n"/>
      <c r="CU91" s="26" t="n"/>
      <c r="CV91" s="26" t="n"/>
      <c r="CW91" s="26" t="n"/>
      <c r="CX91" s="26" t="n"/>
      <c r="CY91" s="26" t="n"/>
      <c r="DA91" s="25" t="n"/>
      <c r="DC91" s="26" t="n"/>
      <c r="DD91" s="26" t="n"/>
      <c r="DE91" s="26" t="n"/>
      <c r="DF91" s="26" t="n"/>
      <c r="DG91" s="26" t="n"/>
      <c r="DH91" s="27" t="n"/>
      <c r="DJ91" s="211" t="inlineStr">
        <is>
          <t>订单表中未找到</t>
        </is>
      </c>
      <c r="DK91" t="inlineStr">
        <is>
          <t>—</t>
        </is>
      </c>
      <c r="DL91" t="inlineStr">
        <is>
          <t>—</t>
        </is>
      </c>
    </row>
    <row r="92" ht="15.75" customHeight="1" s="187">
      <c r="A92" s="84" t="n">
        <v>45734</v>
      </c>
      <c r="B92" s="206" t="inlineStr">
        <is>
          <t>已收货</t>
        </is>
      </c>
      <c r="C92" s="86" t="inlineStr">
        <is>
          <t>2501645484948556694</t>
        </is>
      </c>
      <c r="D92" s="87" t="inlineStr">
        <is>
          <t>07569海外客户</t>
        </is>
      </c>
      <c r="E92" s="87" t="n"/>
      <c r="F92" s="87" t="n"/>
      <c r="G92" s="87" t="inlineStr">
        <is>
          <t>旋转柜左旋：欧标电源+2国际通用插座，1.6 洞洞板餐边柜+1.2单腿餐桌，樱桃木</t>
        </is>
      </c>
      <c r="H92" s="87" t="inlineStr">
        <is>
          <t>旋转餐边柜</t>
        </is>
      </c>
      <c r="I92" s="89" t="n">
        <v>1600</v>
      </c>
      <c r="J92" s="87" t="inlineStr">
        <is>
          <t>已结算，茶色玻璃</t>
        </is>
      </c>
      <c r="K92" s="87" t="inlineStr">
        <is>
          <t>江西</t>
        </is>
      </c>
      <c r="L92" s="207">
        <f>5600+229+300+525+22*9+24.86+630+22+52+45</f>
        <v/>
      </c>
      <c r="M92" s="207">
        <f>5600</f>
        <v/>
      </c>
      <c r="N92" s="216" t="n"/>
      <c r="O92" s="216" t="n"/>
      <c r="P92" s="216" t="n"/>
      <c r="Q92" s="216" t="n"/>
      <c r="R92" s="207" t="n"/>
      <c r="S92" s="207" t="n">
        <v>24.86</v>
      </c>
      <c r="T92" s="207" t="n">
        <v>630</v>
      </c>
      <c r="U92" s="207" t="n"/>
      <c r="V92" s="207" t="n"/>
      <c r="W92" s="207" t="n">
        <v>22</v>
      </c>
      <c r="X92" s="207">
        <f>22*9</f>
        <v/>
      </c>
      <c r="Y92" s="207" t="n">
        <v>45</v>
      </c>
      <c r="Z92" s="207" t="n"/>
      <c r="AA92" s="207" t="n"/>
      <c r="AB92" s="207" t="n"/>
      <c r="AC92" s="207" t="n"/>
      <c r="AD92" s="207" t="n"/>
      <c r="AE92" s="207" t="n"/>
      <c r="AF92" s="207" t="n"/>
      <c r="AG92" s="207" t="n"/>
      <c r="AH92" s="207" t="n"/>
      <c r="AI92" s="207" t="n"/>
      <c r="AJ92" s="207" t="n"/>
      <c r="AK92" s="207" t="n"/>
      <c r="AL92" s="207" t="n"/>
      <c r="AM92" s="207">
        <f>450+180</f>
        <v/>
      </c>
      <c r="AN92" s="87" t="n"/>
      <c r="AO92" s="87" t="n"/>
      <c r="AP92" s="207" t="n">
        <v>405</v>
      </c>
      <c r="AQ92" s="207" t="n">
        <v>100</v>
      </c>
      <c r="AR92" s="207" t="n">
        <v>0</v>
      </c>
      <c r="AS92" s="207" t="n">
        <v>0</v>
      </c>
      <c r="AT92" s="207" t="n">
        <v>0</v>
      </c>
      <c r="AU92" s="207" t="n">
        <v>0</v>
      </c>
      <c r="AV92" s="207" t="n">
        <v>118</v>
      </c>
      <c r="AW92" s="207" t="n">
        <v>0</v>
      </c>
      <c r="AX92" s="208" t="n">
        <v>1</v>
      </c>
      <c r="AY92" s="209">
        <f>L92*AX92+AP92+AQ92+AR92+AV92+AW92+AS92+AT92+AU92</f>
        <v/>
      </c>
      <c r="AZ92" s="207" t="n">
        <v>10388</v>
      </c>
      <c r="BA92" s="207" t="n">
        <v>0</v>
      </c>
      <c r="BB92" s="207">
        <f>AZ92*0.006</f>
        <v/>
      </c>
      <c r="BC92" s="209">
        <f>AZ92+BA92-BB92</f>
        <v/>
      </c>
      <c r="BD92" s="207" t="n">
        <v>0</v>
      </c>
      <c r="BE92" s="207" t="n">
        <v>0</v>
      </c>
      <c r="BF92" s="209">
        <f>BD92+BE92</f>
        <v/>
      </c>
      <c r="BG92" s="209">
        <f>BC92-AY92+BF92</f>
        <v/>
      </c>
      <c r="BH92" s="87" t="inlineStr">
        <is>
          <t>07569海外客户</t>
        </is>
      </c>
      <c r="BI92" s="210" t="inlineStr">
        <is>
          <t>广东省 深圳市 宝安区 福海街道安讯海通电商产业园9号楼D单元403（07569）</t>
        </is>
      </c>
      <c r="BJ92" s="86" t="inlineStr">
        <is>
          <t>15794934808-7446</t>
        </is>
      </c>
      <c r="BK92" s="86" t="n"/>
      <c r="BL92" s="210">
        <f>BC92</f>
        <v/>
      </c>
      <c r="BM92" s="93" t="n"/>
      <c r="BN92" s="94" t="n"/>
      <c r="BO92" s="93" t="inlineStr">
        <is>
          <t>黑色岩板，黑色洞洞板，欧标轨道+2国际插座</t>
        </is>
      </c>
      <c r="BP92" s="86" t="n"/>
      <c r="BQ92" s="96" t="n"/>
      <c r="BR92" s="96" t="n"/>
      <c r="BS92" s="97" t="n"/>
      <c r="BT92" s="96" t="n"/>
      <c r="BU92" s="97" t="n"/>
      <c r="BV92" s="96" t="n"/>
      <c r="BW92" s="97" t="n"/>
      <c r="BX92" s="97" t="n"/>
      <c r="BY92" s="97" t="n"/>
      <c r="BZ92" s="97" t="n"/>
      <c r="CA92" s="98" t="n"/>
      <c r="CH92" s="2" t="n"/>
      <c r="CI92" s="26" t="n"/>
      <c r="CJ92" s="26" t="n"/>
      <c r="CK92" s="26" t="n"/>
      <c r="CL92" s="26" t="n"/>
      <c r="CM92" s="26" t="n"/>
      <c r="CN92" s="26" t="n"/>
      <c r="CO92" s="26" t="n"/>
      <c r="CP92" s="26" t="n"/>
      <c r="CQ92" s="26" t="n"/>
      <c r="CR92" s="26" t="n"/>
      <c r="CS92" s="26" t="n"/>
      <c r="CT92" s="26" t="n"/>
      <c r="CU92" s="26" t="n"/>
      <c r="CV92" s="26" t="n"/>
      <c r="CW92" s="26" t="n"/>
      <c r="CX92" s="26" t="n"/>
      <c r="CY92" s="26" t="n"/>
      <c r="DA92" s="25" t="n"/>
      <c r="DC92" s="26" t="n"/>
      <c r="DD92" s="26" t="n"/>
      <c r="DE92" s="26" t="n"/>
      <c r="DF92" s="26" t="n"/>
      <c r="DG92" s="26" t="n"/>
      <c r="DH92" s="27" t="n"/>
      <c r="DJ92" s="211" t="inlineStr">
        <is>
          <t>订单表中未找到</t>
        </is>
      </c>
      <c r="DK92" t="inlineStr">
        <is>
          <t>—</t>
        </is>
      </c>
      <c r="DL92" t="inlineStr">
        <is>
          <t>—</t>
        </is>
      </c>
    </row>
    <row r="93" ht="15.75" customHeight="1" s="187">
      <c r="A93" s="84" t="n">
        <v>45734</v>
      </c>
      <c r="B93" s="206" t="inlineStr">
        <is>
          <t>已收货</t>
        </is>
      </c>
      <c r="C93" s="86" t="inlineStr">
        <is>
          <t>2501750678269683659</t>
        </is>
      </c>
      <c r="D93" s="87" t="inlineStr">
        <is>
          <t>李</t>
        </is>
      </c>
      <c r="E93" s="87" t="n"/>
      <c r="F93" s="87" t="n"/>
      <c r="G93" s="87" t="inlineStr">
        <is>
          <t>旋转柜左旋：3个插座，1.6 洞石背板餐边柜+1.2洞石岩板餐桌（9mm薄板），樱桃木</t>
        </is>
      </c>
      <c r="H93" s="87" t="inlineStr">
        <is>
          <t>旋转餐边柜</t>
        </is>
      </c>
      <c r="I93" s="89" t="n">
        <v>1600</v>
      </c>
      <c r="J93" s="87" t="inlineStr">
        <is>
          <t>已结算，茶色玻璃</t>
        </is>
      </c>
      <c r="K93" s="87" t="inlineStr">
        <is>
          <t>江西</t>
        </is>
      </c>
      <c r="L93" s="207">
        <f>5700+582.08+320+84+14+50*2+22*9+36+360+270+410</f>
        <v/>
      </c>
      <c r="M93" s="207">
        <f>5700</f>
        <v/>
      </c>
      <c r="N93" s="216" t="n"/>
      <c r="O93" s="216" t="n"/>
      <c r="P93" s="216" t="n"/>
      <c r="Q93" s="216" t="n"/>
      <c r="R93" s="207" t="n"/>
      <c r="S93" s="207" t="inlineStr">
        <is>
          <t>50*2</t>
        </is>
      </c>
      <c r="T93" s="207" t="n"/>
      <c r="U93" s="207" t="n"/>
      <c r="V93" s="207" t="n"/>
      <c r="W93" s="207" t="n">
        <v>36</v>
      </c>
      <c r="X93" s="207">
        <f>22*9</f>
        <v/>
      </c>
      <c r="Y93" s="207" t="n">
        <v>270</v>
      </c>
      <c r="Z93" s="207" t="n"/>
      <c r="AA93" s="207" t="n"/>
      <c r="AB93" s="207" t="n"/>
      <c r="AC93" s="207" t="n"/>
      <c r="AD93" s="207" t="n">
        <v>360</v>
      </c>
      <c r="AE93" s="207" t="n">
        <v>410</v>
      </c>
      <c r="AF93" s="207" t="n"/>
      <c r="AG93" s="207" t="n"/>
      <c r="AH93" s="207" t="n"/>
      <c r="AI93" s="207" t="n"/>
      <c r="AJ93" s="207" t="n"/>
      <c r="AK93" s="207" t="n"/>
      <c r="AL93" s="207" t="n"/>
      <c r="AM93" s="207" t="n">
        <v>410</v>
      </c>
      <c r="AN93" s="87" t="n"/>
      <c r="AO93" s="87" t="n"/>
      <c r="AP93" s="207" t="n">
        <v>649</v>
      </c>
      <c r="AQ93" s="207" t="n">
        <v>96</v>
      </c>
      <c r="AR93" s="207" t="n">
        <v>128</v>
      </c>
      <c r="AS93" s="207" t="n">
        <v>0</v>
      </c>
      <c r="AT93" s="207" t="n">
        <v>0</v>
      </c>
      <c r="AU93" s="207" t="n">
        <v>0</v>
      </c>
      <c r="AV93" s="207" t="n">
        <v>0</v>
      </c>
      <c r="AW93" s="207" t="n">
        <v>0</v>
      </c>
      <c r="AX93" s="208" t="n">
        <v>1</v>
      </c>
      <c r="AY93" s="209">
        <f>L93*AX93+AP93+AQ93+AR93+AV93+AW93+AS93+AT93+AU93</f>
        <v/>
      </c>
      <c r="AZ93" s="207" t="n">
        <v>11450</v>
      </c>
      <c r="BA93" s="207" t="n">
        <v>0</v>
      </c>
      <c r="BB93" s="207">
        <f>AZ93*0.006</f>
        <v/>
      </c>
      <c r="BC93" s="209">
        <f>AZ93+BA93-BB93</f>
        <v/>
      </c>
      <c r="BD93" s="207" t="n">
        <v>0</v>
      </c>
      <c r="BE93" s="207" t="n">
        <v>0</v>
      </c>
      <c r="BF93" s="209">
        <f>BD93+BE93</f>
        <v/>
      </c>
      <c r="BG93" s="209">
        <f>BC93-AY93+BF93</f>
        <v/>
      </c>
      <c r="BH93" s="87" t="inlineStr">
        <is>
          <t>李</t>
        </is>
      </c>
      <c r="BI93" s="210" t="inlineStr">
        <is>
          <t>北京 北京市 昌平区 东小口镇建材城东路奥海明月南区B6号楼3单元902室</t>
        </is>
      </c>
      <c r="BJ93" s="86" t="inlineStr">
        <is>
          <t>13164247864-9866</t>
        </is>
      </c>
      <c r="BK93" s="86" t="n"/>
      <c r="BL93" s="210">
        <f>BC93</f>
        <v/>
      </c>
      <c r="BM93" s="93" t="n"/>
      <c r="BN93" s="94" t="n"/>
      <c r="BO93" s="93" t="n"/>
      <c r="BP93" s="86" t="n"/>
      <c r="BQ93" s="96" t="n"/>
      <c r="BR93" s="96" t="n"/>
      <c r="BS93" s="97" t="n"/>
      <c r="BT93" s="96" t="n"/>
      <c r="BU93" s="97" t="n"/>
      <c r="BV93" s="96" t="n"/>
      <c r="BW93" s="97" t="n"/>
      <c r="BX93" s="97" t="n"/>
      <c r="BY93" s="97" t="n"/>
      <c r="BZ93" s="97" t="n"/>
      <c r="CA93" s="98" t="n"/>
      <c r="CH93" s="2" t="n"/>
      <c r="CI93" s="26" t="n"/>
      <c r="CJ93" s="26" t="n"/>
      <c r="CK93" s="26" t="n"/>
      <c r="CL93" s="26" t="n"/>
      <c r="CM93" s="26" t="n"/>
      <c r="CN93" s="26" t="n"/>
      <c r="CO93" s="26" t="n"/>
      <c r="CP93" s="26" t="n"/>
      <c r="CQ93" s="26" t="n"/>
      <c r="CR93" s="26" t="n"/>
      <c r="CS93" s="26" t="n"/>
      <c r="CT93" s="26" t="n"/>
      <c r="CU93" s="26" t="n"/>
      <c r="CV93" s="26" t="n"/>
      <c r="CW93" s="26" t="n"/>
      <c r="CX93" s="26" t="n"/>
      <c r="CY93" s="26" t="n"/>
      <c r="DA93" s="25" t="n"/>
      <c r="DC93" s="26" t="n"/>
      <c r="DD93" s="26" t="n"/>
      <c r="DE93" s="26" t="n"/>
      <c r="DF93" s="26" t="n"/>
      <c r="DG93" s="26" t="n"/>
      <c r="DH93" s="27" t="n"/>
      <c r="DJ93" s="211" t="inlineStr">
        <is>
          <t>订单表中未找到</t>
        </is>
      </c>
      <c r="DK93" t="inlineStr">
        <is>
          <t>—</t>
        </is>
      </c>
      <c r="DL93" t="inlineStr">
        <is>
          <t>—</t>
        </is>
      </c>
    </row>
    <row r="94" ht="15.75" customHeight="1" s="187">
      <c r="A94" s="84" t="n">
        <v>45735</v>
      </c>
      <c r="B94" s="206" t="inlineStr">
        <is>
          <t>已收货</t>
        </is>
      </c>
      <c r="C94" s="86" t="inlineStr">
        <is>
          <t>2502828337751731567</t>
        </is>
      </c>
      <c r="D94" s="87" t="inlineStr">
        <is>
          <t>好傢裝46337</t>
        </is>
      </c>
      <c r="E94" s="87" t="n"/>
      <c r="F94" s="87" t="n"/>
      <c r="G94" s="87" t="inlineStr">
        <is>
          <t>1.2榉木白色岩板餐边柜+62cm白色岩板鞋柜</t>
        </is>
      </c>
      <c r="H94" s="87" t="inlineStr">
        <is>
          <t>榉木餐边柜</t>
        </is>
      </c>
      <c r="I94" s="89" t="n"/>
      <c r="J94" s="87" t="inlineStr">
        <is>
          <t>已结算，茶色玻璃</t>
        </is>
      </c>
      <c r="K94" s="87" t="inlineStr">
        <is>
          <t>江西</t>
        </is>
      </c>
      <c r="L94" s="207">
        <f>4750+140+60+300+421+60*2+330+140+59+22*7</f>
        <v/>
      </c>
      <c r="M94" s="207">
        <f>4750</f>
        <v/>
      </c>
      <c r="N94" s="216" t="n">
        <v>140</v>
      </c>
      <c r="O94" s="216" t="n">
        <v>60</v>
      </c>
      <c r="P94" s="216" t="n">
        <v>300</v>
      </c>
      <c r="Q94" s="216" t="n"/>
      <c r="R94" s="207" t="n">
        <v>421</v>
      </c>
      <c r="S94" s="207" t="inlineStr">
        <is>
          <t>60*2</t>
        </is>
      </c>
      <c r="T94" s="207" t="n">
        <v>330</v>
      </c>
      <c r="U94" s="207" t="n"/>
      <c r="V94" s="207" t="n"/>
      <c r="W94" s="207" t="n">
        <v>140</v>
      </c>
      <c r="X94" s="207" t="n">
        <v>59</v>
      </c>
      <c r="Y94" s="207" t="inlineStr">
        <is>
          <t>22*7</t>
        </is>
      </c>
      <c r="Z94" s="207" t="n"/>
      <c r="AA94" s="207" t="n"/>
      <c r="AB94" s="207" t="n"/>
      <c r="AC94" s="207" t="n"/>
      <c r="AD94" s="207" t="n"/>
      <c r="AE94" s="207" t="n"/>
      <c r="AF94" s="207" t="n"/>
      <c r="AG94" s="207" t="n"/>
      <c r="AH94" s="207" t="n"/>
      <c r="AI94" s="207" t="n"/>
      <c r="AJ94" s="207" t="n"/>
      <c r="AK94" s="207" t="n"/>
      <c r="AL94" s="207" t="n"/>
      <c r="AM94" s="207">
        <f>330+140</f>
        <v/>
      </c>
      <c r="AN94" s="87" t="n"/>
      <c r="AO94" s="87" t="n"/>
      <c r="AP94" s="207" t="n">
        <v>299</v>
      </c>
      <c r="AQ94" s="207" t="n">
        <v>92</v>
      </c>
      <c r="AR94" s="207" t="n">
        <v>0</v>
      </c>
      <c r="AS94" s="207" t="n">
        <v>0</v>
      </c>
      <c r="AT94" s="207" t="n">
        <v>0</v>
      </c>
      <c r="AU94" s="207" t="n">
        <v>0</v>
      </c>
      <c r="AV94" s="207" t="n">
        <v>0</v>
      </c>
      <c r="AW94" s="207" t="n">
        <v>0</v>
      </c>
      <c r="AX94" s="208" t="n">
        <v>1</v>
      </c>
      <c r="AY94" s="209">
        <f>L94*AX94+AP94+AQ94+AR94+AV94+AW94+AS94+AT94+AU94</f>
        <v/>
      </c>
      <c r="AZ94" s="207" t="n">
        <v>11350</v>
      </c>
      <c r="BA94" s="207" t="n">
        <v>0</v>
      </c>
      <c r="BB94" s="207">
        <f>AZ94*0.006</f>
        <v/>
      </c>
      <c r="BC94" s="209">
        <f>AZ94+BA94-BB94</f>
        <v/>
      </c>
      <c r="BD94" s="207" t="n">
        <v>0</v>
      </c>
      <c r="BE94" s="207" t="n">
        <v>0</v>
      </c>
      <c r="BF94" s="209">
        <f>BD94+BE94</f>
        <v/>
      </c>
      <c r="BG94" s="209">
        <f>BC94-AY94+BF94</f>
        <v/>
      </c>
      <c r="BH94" s="87" t="inlineStr">
        <is>
          <t>好傢裝46337</t>
        </is>
      </c>
      <c r="BI94" s="210" t="inlineStr">
        <is>
          <t>广东省深圳市龙岗区布吉街道金运路储巷138号云储大厦好家装集运+#     46337(須提供包裝圖、件數、子單號(如有)及在包裝上寫好傢裝#46337)</t>
        </is>
      </c>
      <c r="BJ94" s="86" t="inlineStr">
        <is>
          <t>13823547788</t>
        </is>
      </c>
      <c r="BK94" s="86" t="n"/>
      <c r="BL94" s="210">
        <f>BC94</f>
        <v/>
      </c>
      <c r="BM94" s="93" t="n"/>
      <c r="BN94" s="94" t="n"/>
      <c r="BO94" s="93" t="inlineStr">
        <is>
          <t>纯白岩板：119.8*39.8 右侧打孔
纯白岩板：57.3*39  不打孔</t>
        </is>
      </c>
      <c r="BP94" s="86" t="n"/>
      <c r="BQ94" s="96" t="n"/>
      <c r="BR94" s="96" t="n"/>
      <c r="BS94" s="97" t="n"/>
      <c r="BT94" s="96" t="n"/>
      <c r="BU94" s="97" t="n"/>
      <c r="BV94" s="96" t="n"/>
      <c r="BW94" s="97" t="n"/>
      <c r="BX94" s="97" t="n"/>
      <c r="BY94" s="97" t="n"/>
      <c r="BZ94" s="97" t="n"/>
      <c r="CA94" s="98" t="n"/>
      <c r="CH94" s="2" t="n"/>
      <c r="CI94" s="26" t="n"/>
      <c r="CJ94" s="26" t="n"/>
      <c r="CK94" s="26" t="n"/>
      <c r="CL94" s="26" t="n"/>
      <c r="CM94" s="26" t="n"/>
      <c r="CN94" s="26" t="n"/>
      <c r="CO94" s="26" t="n"/>
      <c r="CP94" s="26" t="n"/>
      <c r="CQ94" s="26" t="n"/>
      <c r="CR94" s="26" t="n"/>
      <c r="CS94" s="26" t="n"/>
      <c r="CT94" s="26" t="n"/>
      <c r="CU94" s="26" t="n"/>
      <c r="CV94" s="26" t="n"/>
      <c r="CW94" s="26" t="n"/>
      <c r="CX94" s="26" t="n"/>
      <c r="CY94" s="26" t="n"/>
      <c r="DA94" s="25" t="n"/>
      <c r="DC94" s="26" t="n"/>
      <c r="DD94" s="26" t="n"/>
      <c r="DE94" s="26" t="n"/>
      <c r="DF94" s="26" t="n"/>
      <c r="DG94" s="26" t="n"/>
      <c r="DH94" s="27" t="n"/>
      <c r="DJ94" s="211" t="inlineStr">
        <is>
          <t>订单表中未找到</t>
        </is>
      </c>
      <c r="DK94" t="inlineStr">
        <is>
          <t>—</t>
        </is>
      </c>
      <c r="DL94" t="inlineStr">
        <is>
          <t>—</t>
        </is>
      </c>
    </row>
    <row r="95" ht="15.75" customHeight="1" s="187">
      <c r="A95" s="84" t="n">
        <v>45735</v>
      </c>
      <c r="B95" s="206" t="inlineStr">
        <is>
          <t>已收货</t>
        </is>
      </c>
      <c r="C95" s="86" t="inlineStr">
        <is>
          <t>4270703076089677809</t>
        </is>
      </c>
      <c r="D95" s="87" t="inlineStr">
        <is>
          <t>梁先生</t>
        </is>
      </c>
      <c r="E95" s="119" t="inlineStr">
        <is>
          <t>材料费2200已经抵扣，打包费用没出</t>
        </is>
      </c>
      <c r="F95" s="119" t="n"/>
      <c r="G95" s="87" t="inlineStr">
        <is>
          <t>樱桃木，5行3列加厚书柜</t>
        </is>
      </c>
      <c r="H95" s="87" t="inlineStr">
        <is>
          <t>定制书柜</t>
        </is>
      </c>
      <c r="I95" s="89" t="n"/>
      <c r="J95" s="87" t="inlineStr">
        <is>
          <t>已结算</t>
        </is>
      </c>
      <c r="K95" s="87" t="inlineStr">
        <is>
          <t>江西</t>
        </is>
      </c>
      <c r="L95" s="120">
        <f>5000+178.2+30+300+2200</f>
        <v/>
      </c>
      <c r="M95" s="120">
        <f>5000</f>
        <v/>
      </c>
      <c r="N95" s="216" t="n">
        <v>178.2</v>
      </c>
      <c r="O95" s="216" t="n">
        <v>30</v>
      </c>
      <c r="P95" s="216" t="n">
        <v>300</v>
      </c>
      <c r="Q95" s="216" t="n"/>
      <c r="R95" s="216" t="n">
        <v>2200</v>
      </c>
      <c r="S95" s="216" t="n"/>
      <c r="T95" s="216" t="n"/>
      <c r="U95" s="216" t="n"/>
      <c r="V95" s="216" t="n"/>
      <c r="W95" s="216" t="n"/>
      <c r="X95" s="216" t="n"/>
      <c r="Y95" s="216" t="n"/>
      <c r="Z95" s="216" t="n"/>
      <c r="AA95" s="216" t="n"/>
      <c r="AB95" s="216" t="n"/>
      <c r="AC95" s="216" t="n"/>
      <c r="AD95" s="216" t="n"/>
      <c r="AE95" s="216" t="n"/>
      <c r="AF95" s="216" t="n"/>
      <c r="AG95" s="216" t="n"/>
      <c r="AH95" s="216" t="n"/>
      <c r="AI95" s="216" t="n"/>
      <c r="AJ95" s="216" t="n"/>
      <c r="AK95" s="216" t="n"/>
      <c r="AL95" s="216" t="n"/>
      <c r="AM95" s="121" t="n">
        <v>110</v>
      </c>
      <c r="AN95" s="87" t="n"/>
      <c r="AO95" s="87" t="n"/>
      <c r="AP95" s="207" t="n">
        <v>323</v>
      </c>
      <c r="AQ95" s="207" t="n">
        <v>92</v>
      </c>
      <c r="AR95" s="207" t="n">
        <v>328</v>
      </c>
      <c r="AS95" s="207" t="n">
        <v>0</v>
      </c>
      <c r="AT95" s="207" t="n">
        <v>0</v>
      </c>
      <c r="AU95" s="207" t="n">
        <v>0</v>
      </c>
      <c r="AV95" s="207" t="n">
        <v>20</v>
      </c>
      <c r="AW95" s="207" t="n">
        <v>0</v>
      </c>
      <c r="AX95" s="208" t="n">
        <v>1</v>
      </c>
      <c r="AY95" s="209">
        <f>L95*AX95+AP95+AQ95+AR95+AV95+AW95+AS95+AT95+AU95</f>
        <v/>
      </c>
      <c r="AZ95" s="207" t="n">
        <v>18400</v>
      </c>
      <c r="BA95" s="207" t="n">
        <v>0</v>
      </c>
      <c r="BB95" s="207">
        <f>AZ95*0.006</f>
        <v/>
      </c>
      <c r="BC95" s="209">
        <f>AZ95+BA95-BB95</f>
        <v/>
      </c>
      <c r="BD95" s="207" t="n">
        <v>60</v>
      </c>
      <c r="BE95" s="207" t="n">
        <v>0</v>
      </c>
      <c r="BF95" s="209">
        <f>BD95+BE95</f>
        <v/>
      </c>
      <c r="BG95" s="209">
        <f>BC95-AY95+BF95</f>
        <v/>
      </c>
      <c r="BH95" s="87" t="inlineStr">
        <is>
          <t>梁先生</t>
        </is>
      </c>
      <c r="BI95" s="210" t="inlineStr">
        <is>
          <t xml:space="preserve">山东省 济宁市 任城区许庄街道济宁大道与火炬南路交汇处青建·白鹭洲 C8-3 </t>
        </is>
      </c>
      <c r="BJ95" s="86" t="inlineStr">
        <is>
          <t>17895472356-2776</t>
        </is>
      </c>
      <c r="BK95" s="86" t="n"/>
      <c r="BL95" s="210">
        <f>BC95</f>
        <v/>
      </c>
      <c r="BM95" s="93" t="n"/>
      <c r="BN95" s="94" t="n"/>
      <c r="BO95" s="93" t="n"/>
      <c r="BP95" s="86" t="n"/>
      <c r="BQ95" s="96" t="n"/>
      <c r="BR95" s="96" t="n"/>
      <c r="BS95" s="97" t="n"/>
      <c r="BT95" s="96" t="n"/>
      <c r="BU95" s="97" t="n"/>
      <c r="BV95" s="96" t="n"/>
      <c r="BW95" s="97" t="n"/>
      <c r="BX95" s="97" t="n"/>
      <c r="BY95" s="97" t="n"/>
      <c r="BZ95" s="97" t="n"/>
      <c r="CA95" s="98" t="n"/>
      <c r="CH95" s="2" t="n"/>
      <c r="CI95" s="26" t="n"/>
      <c r="CJ95" s="26" t="n"/>
      <c r="CK95" s="26" t="n"/>
      <c r="CL95" s="26" t="n"/>
      <c r="CM95" s="26" t="n"/>
      <c r="CN95" s="26" t="n"/>
      <c r="CO95" s="26" t="n"/>
      <c r="CP95" s="26" t="n"/>
      <c r="CQ95" s="26" t="n"/>
      <c r="CR95" s="26" t="n"/>
      <c r="CS95" s="26" t="n"/>
      <c r="CT95" s="26" t="n"/>
      <c r="CU95" s="26" t="n"/>
      <c r="CV95" s="26" t="n"/>
      <c r="CW95" s="26" t="n"/>
      <c r="CX95" s="26" t="n"/>
      <c r="CY95" s="26" t="n"/>
      <c r="DA95" s="25" t="n"/>
      <c r="DC95" s="26" t="n"/>
      <c r="DD95" s="26" t="n"/>
      <c r="DE95" s="26" t="n"/>
      <c r="DF95" s="26" t="n"/>
      <c r="DG95" s="26" t="n"/>
      <c r="DH95" s="27" t="n"/>
      <c r="DJ95" s="211" t="inlineStr">
        <is>
          <t>订单表中未找到</t>
        </is>
      </c>
      <c r="DK95" t="inlineStr">
        <is>
          <t>—</t>
        </is>
      </c>
      <c r="DL95" t="inlineStr">
        <is>
          <t>—</t>
        </is>
      </c>
    </row>
    <row r="96" ht="15.6" customHeight="1" s="187">
      <c r="A96" s="84" t="n">
        <v>45735</v>
      </c>
      <c r="B96" s="206" t="inlineStr">
        <is>
          <t>已收货</t>
        </is>
      </c>
      <c r="C96" s="86" t="inlineStr">
        <is>
          <t>4270703076089677809</t>
        </is>
      </c>
      <c r="D96" s="87" t="inlineStr">
        <is>
          <t>梁先生</t>
        </is>
      </c>
      <c r="E96" s="119" t="inlineStr">
        <is>
          <t>已发，发新桌面，手控，打包费用没出</t>
        </is>
      </c>
      <c r="F96" s="119" t="n"/>
      <c r="G96" s="87" t="inlineStr">
        <is>
          <t>升降桌：樱桃木，1.9带高台版</t>
        </is>
      </c>
      <c r="H96" s="87" t="inlineStr">
        <is>
          <t>升降桌-2024款</t>
        </is>
      </c>
      <c r="I96" s="89" t="n">
        <v>1900</v>
      </c>
      <c r="J96" s="87" t="inlineStr">
        <is>
          <t>已结算</t>
        </is>
      </c>
      <c r="K96" s="87" t="inlineStr">
        <is>
          <t>江西</t>
        </is>
      </c>
      <c r="L96" s="120">
        <f>1900+90+68.6+32+990+110+66.9+79.9+10+300</f>
        <v/>
      </c>
      <c r="M96" s="120">
        <f>1900</f>
        <v/>
      </c>
      <c r="N96" s="216" t="n">
        <v>90</v>
      </c>
      <c r="O96" s="216" t="n">
        <v>68.59999999999999</v>
      </c>
      <c r="P96" s="216" t="n">
        <v>32</v>
      </c>
      <c r="Q96" s="216" t="n"/>
      <c r="R96" s="216" t="n">
        <v>990</v>
      </c>
      <c r="S96" s="216" t="n">
        <v>110</v>
      </c>
      <c r="T96" s="216" t="n">
        <v>66.90000000000001</v>
      </c>
      <c r="U96" s="216" t="n"/>
      <c r="V96" s="216" t="n"/>
      <c r="W96" s="216" t="n">
        <v>79.90000000000001</v>
      </c>
      <c r="X96" s="216" t="n">
        <v>10</v>
      </c>
      <c r="Y96" s="216" t="n">
        <v>300</v>
      </c>
      <c r="Z96" s="216" t="n"/>
      <c r="AA96" s="216" t="n"/>
      <c r="AB96" s="216" t="n"/>
      <c r="AC96" s="216" t="n"/>
      <c r="AD96" s="216" t="n"/>
      <c r="AE96" s="216" t="n"/>
      <c r="AF96" s="216" t="n"/>
      <c r="AG96" s="216" t="n"/>
      <c r="AH96" s="207">
        <f>63+89</f>
        <v/>
      </c>
      <c r="AI96" s="216" t="n"/>
      <c r="AJ96" s="216" t="n"/>
      <c r="AK96" s="216" t="n"/>
      <c r="AL96" s="216" t="n"/>
      <c r="AM96" s="121" t="n">
        <v>30</v>
      </c>
      <c r="AN96" s="87" t="n"/>
      <c r="AO96" s="87" t="n"/>
      <c r="AP96" s="207" t="n">
        <v>0</v>
      </c>
      <c r="AQ96" s="207" t="n">
        <v>0</v>
      </c>
      <c r="AR96" s="207" t="n">
        <v>0</v>
      </c>
      <c r="AS96" s="207" t="n">
        <v>0</v>
      </c>
      <c r="AT96" s="207" t="n">
        <v>0</v>
      </c>
      <c r="AU96" s="207" t="n">
        <v>0</v>
      </c>
      <c r="AV96" s="207">
        <f>41.9+20</f>
        <v/>
      </c>
      <c r="AW96" s="207" t="n">
        <v>0</v>
      </c>
      <c r="AX96" s="208" t="n">
        <v>1</v>
      </c>
      <c r="AY96" s="209">
        <f>L96*AX96+AP96+AQ96+AR96+AV96+AW96+AS96+AT96+AU96</f>
        <v/>
      </c>
      <c r="AZ96" s="207" t="n">
        <v>0</v>
      </c>
      <c r="BA96" s="207" t="n">
        <v>0</v>
      </c>
      <c r="BB96" s="207">
        <f>AZ96*0.006</f>
        <v/>
      </c>
      <c r="BC96" s="209">
        <f>AZ96+BA96-BB96</f>
        <v/>
      </c>
      <c r="BD96" s="207" t="n">
        <v>0</v>
      </c>
      <c r="BE96" s="207" t="n">
        <v>0</v>
      </c>
      <c r="BF96" s="209">
        <f>BD96+BE96</f>
        <v/>
      </c>
      <c r="BG96" s="209">
        <f>BC96-AY96+BF96</f>
        <v/>
      </c>
      <c r="BH96" s="87" t="inlineStr">
        <is>
          <t>梁先生</t>
        </is>
      </c>
      <c r="BI96" s="210" t="inlineStr">
        <is>
          <t xml:space="preserve">山东省 济宁市 任城区许庄街道济宁大道与火炬南路交汇处青建·白鹭洲 C8-3 </t>
        </is>
      </c>
      <c r="BJ96" s="86" t="inlineStr">
        <is>
          <t>17895472356-2776</t>
        </is>
      </c>
      <c r="BK96" s="86" t="n"/>
      <c r="BL96" s="210">
        <f>BC96</f>
        <v/>
      </c>
      <c r="BM96" s="93" t="n"/>
      <c r="BN96" s="94" t="n"/>
      <c r="BO96" s="93" t="n"/>
      <c r="BP96" s="86" t="n"/>
      <c r="BQ96" s="96" t="n"/>
      <c r="BR96" s="96" t="n"/>
      <c r="BS96" s="97" t="n"/>
      <c r="BT96" s="96" t="n"/>
      <c r="BU96" s="97" t="n"/>
      <c r="BV96" s="96" t="n"/>
      <c r="BW96" s="97" t="n"/>
      <c r="BX96" s="97" t="n"/>
      <c r="BY96" s="97" t="n"/>
      <c r="BZ96" s="97" t="n"/>
      <c r="CA96" s="98" t="n"/>
      <c r="CH96" s="2" t="n"/>
      <c r="CI96" s="14">
        <f>CJ96&amp;CK96</f>
        <v/>
      </c>
      <c r="CY96" s="25" t="n"/>
      <c r="DA96" s="25" t="n"/>
      <c r="DC96" s="26" t="n"/>
      <c r="DD96" s="26" t="n"/>
      <c r="DE96" s="26" t="n"/>
      <c r="DF96" s="26" t="n"/>
      <c r="DG96" s="26" t="n"/>
      <c r="DH96" s="27" t="n"/>
      <c r="DJ96" s="211" t="inlineStr">
        <is>
          <t>订单表中未找到</t>
        </is>
      </c>
      <c r="DK96" t="inlineStr">
        <is>
          <t>—</t>
        </is>
      </c>
      <c r="DL96" t="inlineStr">
        <is>
          <t>—</t>
        </is>
      </c>
    </row>
    <row r="97" ht="15.75" customHeight="1" s="187">
      <c r="A97" s="84" t="n">
        <v>45735</v>
      </c>
      <c r="B97" s="206" t="inlineStr">
        <is>
          <t>已收货</t>
        </is>
      </c>
      <c r="C97" s="86" t="inlineStr">
        <is>
          <t>4272738159694403130</t>
        </is>
      </c>
      <c r="D97" s="87" t="inlineStr">
        <is>
          <t>田先生</t>
        </is>
      </c>
      <c r="E97" s="87" t="n"/>
      <c r="F97" s="87" t="n"/>
      <c r="G97" s="87" t="inlineStr">
        <is>
          <t>旋转柜左旋，1.55 洞石背板上柜+1.35双腿白色岩板餐桌</t>
        </is>
      </c>
      <c r="H97" s="87" t="inlineStr">
        <is>
          <t>旋转餐边柜</t>
        </is>
      </c>
      <c r="I97" s="89" t="n">
        <v>1550</v>
      </c>
      <c r="J97" s="87" t="inlineStr">
        <is>
          <t>已结算，灰色玻璃</t>
        </is>
      </c>
      <c r="K97" s="87" t="inlineStr">
        <is>
          <t>江西</t>
        </is>
      </c>
      <c r="L97" s="207">
        <f>6150+320+480+22*6+84+14+8.5+7+569.08+52*2+14+490+42</f>
        <v/>
      </c>
      <c r="M97" s="207">
        <f>6150</f>
        <v/>
      </c>
      <c r="N97" s="207" t="n"/>
      <c r="O97" s="207" t="n"/>
      <c r="P97" s="207" t="n"/>
      <c r="Q97" s="207" t="n"/>
      <c r="R97" s="207" t="n"/>
      <c r="S97" s="207" t="n">
        <v>14</v>
      </c>
      <c r="T97" s="207" t="n">
        <v>8.5</v>
      </c>
      <c r="U97" s="207" t="n"/>
      <c r="V97" s="207" t="n"/>
      <c r="W97" s="207" t="n">
        <v>7</v>
      </c>
      <c r="X97" s="207">
        <f>22*6</f>
        <v/>
      </c>
      <c r="Y97" s="207" t="inlineStr">
        <is>
          <t>52*2</t>
        </is>
      </c>
      <c r="Z97" s="207" t="n"/>
      <c r="AA97" s="207" t="n"/>
      <c r="AB97" s="207" t="n"/>
      <c r="AC97" s="207" t="n"/>
      <c r="AD97" s="207" t="n">
        <v>490</v>
      </c>
      <c r="AE97" s="207" t="n">
        <v>14</v>
      </c>
      <c r="AF97" s="207" t="n">
        <v>42</v>
      </c>
      <c r="AG97" s="207" t="n"/>
      <c r="AH97" s="207" t="n"/>
      <c r="AI97" s="207" t="n"/>
      <c r="AJ97" s="207" t="n"/>
      <c r="AK97" s="207" t="n"/>
      <c r="AL97" s="207" t="n"/>
      <c r="AM97" s="207" t="n">
        <v>490</v>
      </c>
      <c r="AN97" s="87" t="n"/>
      <c r="AO97" s="87" t="n"/>
      <c r="AP97" s="207" t="n">
        <v>478</v>
      </c>
      <c r="AQ97" s="207" t="n">
        <v>152</v>
      </c>
      <c r="AR97" s="207">
        <f>139+99</f>
        <v/>
      </c>
      <c r="AS97" s="207" t="n">
        <v>0</v>
      </c>
      <c r="AT97" s="207" t="n">
        <v>0</v>
      </c>
      <c r="AU97" s="207" t="n">
        <v>0</v>
      </c>
      <c r="AV97" s="207" t="n">
        <v>100</v>
      </c>
      <c r="AW97" s="207" t="n">
        <v>0</v>
      </c>
      <c r="AX97" s="208" t="n">
        <v>1</v>
      </c>
      <c r="AY97" s="209">
        <f>L97*AX97+AP97+AQ97+AR97+AV97+AW97+AS97+AT97+AU97</f>
        <v/>
      </c>
      <c r="AZ97" s="207" t="n">
        <v>12000</v>
      </c>
      <c r="BA97" s="207" t="n">
        <v>0</v>
      </c>
      <c r="BB97" s="207">
        <f>AZ97*0.006</f>
        <v/>
      </c>
      <c r="BC97" s="209">
        <f>AZ97+BA97-BB97</f>
        <v/>
      </c>
      <c r="BD97" s="207" t="n">
        <v>0</v>
      </c>
      <c r="BE97" s="207" t="n">
        <v>0</v>
      </c>
      <c r="BF97" s="209">
        <f>BD97+BE97</f>
        <v/>
      </c>
      <c r="BG97" s="209">
        <f>BC97-AY97+BF97</f>
        <v/>
      </c>
      <c r="BH97" s="87" t="inlineStr">
        <is>
          <t>田先生</t>
        </is>
      </c>
      <c r="BI97" s="210" t="inlineStr">
        <is>
          <t>广东省 珠海市 香洲区 湾仔街道琴澳新城6期3栋703</t>
        </is>
      </c>
      <c r="BJ97" s="86" t="inlineStr">
        <is>
          <t>18466384163-8432</t>
        </is>
      </c>
      <c r="BK97" s="86" t="n"/>
      <c r="BL97" s="210">
        <f>BC97</f>
        <v/>
      </c>
      <c r="BM97" s="93" t="n"/>
      <c r="BN97" s="94" t="n"/>
      <c r="BO97" s="93" t="inlineStr">
        <is>
          <t>白色岩板154.8*54.8  白色岩板135*75</t>
        </is>
      </c>
      <c r="BP97" s="86" t="n"/>
      <c r="BQ97" s="96" t="n"/>
      <c r="BR97" s="96" t="n"/>
      <c r="BS97" s="97" t="n"/>
      <c r="BT97" s="96" t="n"/>
      <c r="BU97" s="97" t="n"/>
      <c r="BV97" s="96" t="n"/>
      <c r="BW97" s="97" t="n"/>
      <c r="BX97" s="97" t="n"/>
      <c r="BY97" s="97" t="n"/>
      <c r="BZ97" s="97" t="n"/>
      <c r="CA97" s="98" t="n"/>
      <c r="CH97" s="2" t="n"/>
      <c r="CI97" s="14">
        <f>CJ97&amp;CK97</f>
        <v/>
      </c>
      <c r="CY97" s="25" t="n"/>
      <c r="DA97" s="25" t="n"/>
      <c r="DC97" s="26" t="n"/>
      <c r="DD97" s="26" t="n"/>
      <c r="DE97" s="26" t="n"/>
      <c r="DF97" s="26" t="n"/>
      <c r="DG97" s="26" t="n"/>
      <c r="DH97" s="27" t="n"/>
      <c r="DJ97" s="211" t="inlineStr">
        <is>
          <t>订单表中未找到</t>
        </is>
      </c>
      <c r="DK97" t="inlineStr">
        <is>
          <t>—</t>
        </is>
      </c>
      <c r="DL97" t="inlineStr">
        <is>
          <t>—</t>
        </is>
      </c>
    </row>
    <row r="98" ht="15.75" customHeight="1" s="187">
      <c r="A98" s="99" t="n">
        <v>45738</v>
      </c>
      <c r="B98" s="100" t="inlineStr">
        <is>
          <t>退单</t>
        </is>
      </c>
      <c r="C98" s="101" t="inlineStr">
        <is>
          <t>2507040841116417481</t>
        </is>
      </c>
      <c r="D98" s="100" t="inlineStr">
        <is>
          <t>陈柳</t>
        </is>
      </c>
      <c r="E98" s="100" t="n"/>
      <c r="F98" s="100" t="n"/>
      <c r="G98" s="100" t="inlineStr">
        <is>
          <t>黑色岩板榉木餐桌：180*85</t>
        </is>
      </c>
      <c r="H98" s="100" t="n"/>
      <c r="I98" s="102" t="inlineStr">
        <is>
          <t>180cm*85cm</t>
        </is>
      </c>
      <c r="J98" s="100" t="n"/>
      <c r="K98" s="100" t="inlineStr">
        <is>
          <t>江西</t>
        </is>
      </c>
      <c r="L98" s="212" t="n">
        <v>0</v>
      </c>
      <c r="M98" s="212" t="n">
        <v>0</v>
      </c>
      <c r="N98" s="212" t="n"/>
      <c r="O98" s="212" t="n"/>
      <c r="P98" s="212" t="n"/>
      <c r="Q98" s="212" t="n"/>
      <c r="R98" s="212" t="n"/>
      <c r="S98" s="212" t="n"/>
      <c r="T98" s="212" t="n"/>
      <c r="U98" s="212" t="n"/>
      <c r="V98" s="212" t="n"/>
      <c r="W98" s="212" t="n"/>
      <c r="X98" s="212" t="n"/>
      <c r="Y98" s="212" t="n"/>
      <c r="Z98" s="212" t="n"/>
      <c r="AA98" s="212" t="n"/>
      <c r="AB98" s="212" t="n"/>
      <c r="AC98" s="212" t="n"/>
      <c r="AD98" s="212" t="n"/>
      <c r="AE98" s="212" t="n"/>
      <c r="AF98" s="212" t="n"/>
      <c r="AG98" s="212" t="n"/>
      <c r="AH98" s="212" t="n"/>
      <c r="AI98" s="212" t="n"/>
      <c r="AJ98" s="212" t="n"/>
      <c r="AK98" s="212" t="n"/>
      <c r="AL98" s="212" t="n"/>
      <c r="AM98" s="213" t="n"/>
      <c r="AN98" s="213" t="n"/>
      <c r="AO98" s="213" t="n"/>
      <c r="AP98" s="213" t="n"/>
      <c r="AQ98" s="213" t="n"/>
      <c r="AR98" s="213" t="n"/>
      <c r="AS98" s="213" t="n">
        <v>0</v>
      </c>
      <c r="AT98" s="213" t="n">
        <v>0</v>
      </c>
      <c r="AU98" s="213" t="n">
        <v>0</v>
      </c>
      <c r="AV98" s="213" t="n">
        <v>0</v>
      </c>
      <c r="AW98" s="213" t="n">
        <v>0</v>
      </c>
      <c r="AX98" s="214" t="n">
        <v>1</v>
      </c>
      <c r="AY98" s="213">
        <f>L98*AX98+AP98+AQ98+AR98+AV98+AW98+AS98+AT98+AU98</f>
        <v/>
      </c>
      <c r="AZ98" s="213" t="n">
        <v>0</v>
      </c>
      <c r="BA98" s="213" t="n">
        <v>0</v>
      </c>
      <c r="BB98" s="213" t="n">
        <v>0</v>
      </c>
      <c r="BC98" s="213">
        <f>AZ98+BA98-BB98</f>
        <v/>
      </c>
      <c r="BD98" s="213" t="n">
        <v>0</v>
      </c>
      <c r="BE98" s="213" t="n">
        <v>0</v>
      </c>
      <c r="BF98" s="213">
        <f>BD98+BE98</f>
        <v/>
      </c>
      <c r="BG98" s="213">
        <f>BC98-AY98+BF98</f>
        <v/>
      </c>
      <c r="BH98" s="100" t="inlineStr">
        <is>
          <t>陈柳</t>
        </is>
      </c>
      <c r="BI98" s="219" t="inlineStr">
        <is>
          <t>浙江省 湖州市 德清县 新市镇新市振兴路120号</t>
        </is>
      </c>
      <c r="BJ98" s="101" t="inlineStr">
        <is>
          <t>15785482755-1425</t>
        </is>
      </c>
      <c r="BK98" s="101" t="n"/>
      <c r="BL98" s="219" t="n"/>
      <c r="BM98" s="123" t="n"/>
      <c r="BN98" s="108" t="n"/>
      <c r="BO98" s="123" t="inlineStr">
        <is>
          <t>黑色岩板 180*85  问下江西价格</t>
        </is>
      </c>
      <c r="BP98" s="101" t="n"/>
      <c r="BQ98" s="109" t="n"/>
      <c r="BR98" s="109" t="n"/>
      <c r="BS98" s="100" t="n"/>
      <c r="BT98" s="109" t="n"/>
      <c r="BU98" s="100" t="n"/>
      <c r="BV98" s="109" t="n"/>
      <c r="BW98" s="100" t="n"/>
      <c r="BX98" s="100" t="n"/>
      <c r="BY98" s="100" t="n"/>
      <c r="BZ98" s="100" t="n"/>
      <c r="CA98" s="98" t="n"/>
      <c r="CH98" s="2" t="n"/>
      <c r="CI98" s="14">
        <f>CJ98&amp;CK98</f>
        <v/>
      </c>
      <c r="CY98" s="25" t="n"/>
      <c r="DA98" s="25" t="n"/>
      <c r="DC98" s="26" t="n"/>
      <c r="DD98" s="26" t="n"/>
      <c r="DE98" s="26" t="n"/>
      <c r="DF98" s="26" t="n"/>
      <c r="DG98" s="26" t="n"/>
      <c r="DH98" s="27" t="n"/>
      <c r="DJ98" s="211" t="inlineStr">
        <is>
          <t>订单表中未找到</t>
        </is>
      </c>
      <c r="DK98" t="inlineStr">
        <is>
          <t>—</t>
        </is>
      </c>
      <c r="DL98" t="inlineStr">
        <is>
          <t>—</t>
        </is>
      </c>
    </row>
    <row r="99" ht="15.75" customHeight="1" s="187">
      <c r="A99" s="84" t="n">
        <v>45739</v>
      </c>
      <c r="B99" s="206" t="inlineStr">
        <is>
          <t>已收货</t>
        </is>
      </c>
      <c r="C99" s="86" t="inlineStr">
        <is>
          <t>2507920933320711398</t>
        </is>
      </c>
      <c r="D99" s="87" t="inlineStr">
        <is>
          <t>小王</t>
        </is>
      </c>
      <c r="E99" s="87" t="n"/>
      <c r="F99" s="87" t="n"/>
      <c r="G99" s="87" t="inlineStr">
        <is>
          <t>1.5榉木餐边柜</t>
        </is>
      </c>
      <c r="H99" s="87" t="inlineStr">
        <is>
          <t>榉木餐边柜</t>
        </is>
      </c>
      <c r="I99" s="89" t="n">
        <v>1500</v>
      </c>
      <c r="J99" s="87" t="inlineStr">
        <is>
          <t>已结算</t>
        </is>
      </c>
      <c r="K99" s="87" t="inlineStr">
        <is>
          <t>江西</t>
        </is>
      </c>
      <c r="L99" s="207">
        <f>3900+229+907+50+370+15+8.5+22*5+280</f>
        <v/>
      </c>
      <c r="M99" s="207">
        <f>3900</f>
        <v/>
      </c>
      <c r="N99" s="207" t="n">
        <v>229</v>
      </c>
      <c r="O99" s="207" t="n">
        <v>907</v>
      </c>
      <c r="P99" s="207" t="n">
        <v>50</v>
      </c>
      <c r="Q99" s="207" t="n"/>
      <c r="R99" s="207" t="n">
        <v>370</v>
      </c>
      <c r="S99" s="207" t="n">
        <v>15</v>
      </c>
      <c r="T99" s="207" t="n">
        <v>8.5</v>
      </c>
      <c r="U99" s="207" t="n"/>
      <c r="V99" s="207" t="n"/>
      <c r="W99" s="207" t="inlineStr">
        <is>
          <t>22*5</t>
        </is>
      </c>
      <c r="X99" s="207" t="n">
        <v>280</v>
      </c>
      <c r="Y99" s="207" t="n"/>
      <c r="Z99" s="207" t="n"/>
      <c r="AA99" s="207" t="n"/>
      <c r="AB99" s="207" t="n"/>
      <c r="AC99" s="207" t="n"/>
      <c r="AD99" s="207" t="n"/>
      <c r="AE99" s="207" t="n"/>
      <c r="AF99" s="207" t="n"/>
      <c r="AG99" s="207" t="n"/>
      <c r="AH99" s="207" t="n"/>
      <c r="AI99" s="207" t="n"/>
      <c r="AJ99" s="207" t="n"/>
      <c r="AK99" s="207" t="n"/>
      <c r="AL99" s="207" t="n"/>
      <c r="AM99" s="207" t="n">
        <v>280</v>
      </c>
      <c r="AN99" s="87" t="n"/>
      <c r="AO99" s="87" t="n"/>
      <c r="AP99" s="207" t="n">
        <v>521</v>
      </c>
      <c r="AQ99" s="207">
        <f>71</f>
        <v/>
      </c>
      <c r="AR99" s="207" t="n">
        <v>128</v>
      </c>
      <c r="AS99" s="207" t="n">
        <v>0</v>
      </c>
      <c r="AT99" s="207" t="n">
        <v>240</v>
      </c>
      <c r="AU99" s="207" t="n">
        <v>0</v>
      </c>
      <c r="AV99" s="207" t="n">
        <v>8.33</v>
      </c>
      <c r="AW99" s="207" t="n">
        <v>215</v>
      </c>
      <c r="AX99" s="208" t="n">
        <v>1</v>
      </c>
      <c r="AY99" s="209">
        <f>L99*AX99+AP99+AQ99+AR99+AV99+AW99+AS99+AT99+AU99</f>
        <v/>
      </c>
      <c r="AZ99" s="207" t="n">
        <v>7443.97</v>
      </c>
      <c r="BA99" s="207" t="n">
        <v>0</v>
      </c>
      <c r="BB99" s="207">
        <f>AZ99*0.006</f>
        <v/>
      </c>
      <c r="BC99" s="209">
        <f>AZ99+BA99-BB99</f>
        <v/>
      </c>
      <c r="BD99" s="207" t="n">
        <v>0</v>
      </c>
      <c r="BE99" s="207" t="n">
        <v>100</v>
      </c>
      <c r="BF99" s="209">
        <f>BD99+BE99</f>
        <v/>
      </c>
      <c r="BG99" s="209">
        <f>BC99-AY99+BF99</f>
        <v/>
      </c>
      <c r="BH99" s="87" t="inlineStr">
        <is>
          <t>小王</t>
        </is>
      </c>
      <c r="BI99" s="210" t="inlineStr">
        <is>
          <t>吉林省 长春市 南关区 幸福乡国信中央新城峯境1期3-1-701</t>
        </is>
      </c>
      <c r="BJ99" s="86" t="inlineStr">
        <is>
          <t>17896111870-2708</t>
        </is>
      </c>
      <c r="BK99" s="86" t="n"/>
      <c r="BL99" s="210">
        <f>BC99</f>
        <v/>
      </c>
      <c r="BM99" s="93" t="n"/>
      <c r="BN99" s="94" t="n"/>
      <c r="BO99" s="93" t="inlineStr">
        <is>
          <t>黑色岩板 180*85  问下江西价格</t>
        </is>
      </c>
      <c r="BP99" s="86" t="n"/>
      <c r="BQ99" s="96" t="n"/>
      <c r="BR99" s="96" t="n"/>
      <c r="BS99" s="97" t="n"/>
      <c r="BT99" s="96" t="n"/>
      <c r="BU99" s="97" t="n"/>
      <c r="BV99" s="96" t="n"/>
      <c r="BW99" s="97" t="n"/>
      <c r="BX99" s="97" t="n"/>
      <c r="BY99" s="97" t="n"/>
      <c r="BZ99" s="97" t="n"/>
      <c r="CA99" s="98" t="n"/>
      <c r="CH99" s="2" t="n"/>
      <c r="CI99" s="14">
        <f>CJ99&amp;CK99</f>
        <v/>
      </c>
      <c r="CY99" s="25" t="n"/>
      <c r="DA99" s="25" t="n"/>
      <c r="DC99" s="26" t="n"/>
      <c r="DD99" s="26" t="n"/>
      <c r="DE99" s="26" t="n"/>
      <c r="DF99" s="26" t="n"/>
      <c r="DG99" s="26" t="n"/>
      <c r="DH99" s="27" t="n"/>
      <c r="DJ99" s="211" t="inlineStr">
        <is>
          <t>订单表中未找到</t>
        </is>
      </c>
      <c r="DK99" t="inlineStr">
        <is>
          <t>—</t>
        </is>
      </c>
      <c r="DL99" t="inlineStr">
        <is>
          <t>—</t>
        </is>
      </c>
    </row>
    <row r="100" ht="15.75" customHeight="1" s="187">
      <c r="A100" s="84" t="n">
        <v>45739</v>
      </c>
      <c r="B100" s="206" t="inlineStr">
        <is>
          <t>已收货</t>
        </is>
      </c>
      <c r="C100" s="86" t="inlineStr">
        <is>
          <t>2507242332351111585</t>
        </is>
      </c>
      <c r="D100" s="87" t="inlineStr">
        <is>
          <t>王晴宇</t>
        </is>
      </c>
      <c r="E100" s="119" t="n"/>
      <c r="F100" s="119" t="n"/>
      <c r="G100" s="87" t="inlineStr">
        <is>
          <t>榉木洞石下柜：2100*500*880</t>
        </is>
      </c>
      <c r="H100" s="87" t="inlineStr">
        <is>
          <t>洞石餐边柜</t>
        </is>
      </c>
      <c r="I100" s="89" t="n">
        <v>2100</v>
      </c>
      <c r="J100" s="87" t="inlineStr">
        <is>
          <t>已结算，灰色玻璃</t>
        </is>
      </c>
      <c r="K100" s="87" t="inlineStr">
        <is>
          <t>江西</t>
        </is>
      </c>
      <c r="L100" s="207">
        <f>3800+22*7+8.5+665.4+427+79/2+250+90+20</f>
        <v/>
      </c>
      <c r="M100" s="207">
        <f>3800</f>
        <v/>
      </c>
      <c r="N100" s="207" t="inlineStr">
        <is>
          <t>22*7</t>
        </is>
      </c>
      <c r="O100" s="207" t="n">
        <v>8.5</v>
      </c>
      <c r="P100" s="207" t="n">
        <v>665.4</v>
      </c>
      <c r="Q100" s="207" t="n"/>
      <c r="R100" s="207" t="n">
        <v>427</v>
      </c>
      <c r="S100" s="207" t="n"/>
      <c r="T100" s="207" t="n">
        <v>250</v>
      </c>
      <c r="U100" s="207" t="n"/>
      <c r="V100" s="207" t="n"/>
      <c r="W100" s="207" t="n">
        <v>90</v>
      </c>
      <c r="X100" s="207" t="n">
        <v>20</v>
      </c>
      <c r="Y100" s="207" t="n"/>
      <c r="Z100" s="207" t="n"/>
      <c r="AA100" s="207" t="n"/>
      <c r="AB100" s="207" t="n"/>
      <c r="AC100" s="207" t="n"/>
      <c r="AD100" s="207" t="n"/>
      <c r="AE100" s="207" t="n"/>
      <c r="AF100" s="207" t="n"/>
      <c r="AG100" s="207" t="n"/>
      <c r="AH100" s="207" t="n"/>
      <c r="AI100" s="207" t="n"/>
      <c r="AJ100" s="207" t="n"/>
      <c r="AK100" s="207" t="n"/>
      <c r="AL100" s="207" t="n"/>
      <c r="AM100" s="207" t="n">
        <v>250</v>
      </c>
      <c r="AN100" s="87" t="n"/>
      <c r="AO100" s="87" t="n"/>
      <c r="AP100" s="207" t="n">
        <v>664</v>
      </c>
      <c r="AQ100" s="207" t="n">
        <v>0</v>
      </c>
      <c r="AR100" s="207" t="n">
        <v>268</v>
      </c>
      <c r="AS100" s="207" t="n">
        <v>0</v>
      </c>
      <c r="AT100" s="207" t="n">
        <v>0</v>
      </c>
      <c r="AU100" s="207" t="n">
        <v>0</v>
      </c>
      <c r="AV100" s="207">
        <f>6.38+5.68+100</f>
        <v/>
      </c>
      <c r="AW100" s="207" t="n">
        <v>0</v>
      </c>
      <c r="AX100" s="208" t="n">
        <v>1</v>
      </c>
      <c r="AY100" s="209">
        <f>L100*AX100+AP100+AQ100+AR100+AV100+AW100+AS100+AT100+AU100</f>
        <v/>
      </c>
      <c r="AZ100" s="207" t="n">
        <v>8689</v>
      </c>
      <c r="BA100" s="207" t="n">
        <v>0</v>
      </c>
      <c r="BB100" s="207">
        <f>AZ100*0.006</f>
        <v/>
      </c>
      <c r="BC100" s="209">
        <f>AZ100+BA100-BB100</f>
        <v/>
      </c>
      <c r="BD100" s="207" t="n">
        <v>0</v>
      </c>
      <c r="BE100" s="207" t="n">
        <v>0</v>
      </c>
      <c r="BF100" s="209">
        <f>BD100+BE100</f>
        <v/>
      </c>
      <c r="BG100" s="209">
        <f>BC100-AY100+BF100</f>
        <v/>
      </c>
      <c r="BH100" s="87" t="inlineStr">
        <is>
          <t>王晴宇</t>
        </is>
      </c>
      <c r="BI100" s="210" t="inlineStr">
        <is>
          <t>北京 北京市 昌平区 龙泽园街道科星西路90号院国风美唐二期19号楼13层3单元1303</t>
        </is>
      </c>
      <c r="BJ100" s="86" t="inlineStr">
        <is>
          <t>18400985984-6930</t>
        </is>
      </c>
      <c r="BK100" s="86" t="n"/>
      <c r="BL100" s="210">
        <f>BC100</f>
        <v/>
      </c>
      <c r="BM100" s="93" t="n"/>
      <c r="BN100" s="94" t="n"/>
      <c r="BO100" s="93" t="inlineStr">
        <is>
          <t>黑色岩板 180*85  问下江西价格</t>
        </is>
      </c>
      <c r="BP100" s="86" t="n"/>
      <c r="BQ100" s="96" t="n"/>
      <c r="BR100" s="96" t="n"/>
      <c r="BS100" s="97" t="n"/>
      <c r="BT100" s="96" t="n"/>
      <c r="BU100" s="97" t="n"/>
      <c r="BV100" s="96" t="n"/>
      <c r="BW100" s="97" t="n"/>
      <c r="BX100" s="97" t="n"/>
      <c r="BY100" s="97" t="n"/>
      <c r="BZ100" s="97" t="n"/>
      <c r="CA100" s="98" t="n"/>
      <c r="CH100" s="2" t="n"/>
      <c r="CI100" s="14">
        <f>CJ100&amp;CK100</f>
        <v/>
      </c>
      <c r="CY100" s="25" t="n"/>
      <c r="DA100" s="25" t="n"/>
      <c r="DC100" s="26" t="n"/>
      <c r="DD100" s="26" t="n"/>
      <c r="DE100" s="26" t="n"/>
      <c r="DF100" s="26" t="n"/>
      <c r="DG100" s="26" t="n"/>
      <c r="DH100" s="27" t="n"/>
      <c r="DJ100" s="211" t="inlineStr">
        <is>
          <t>订单表中未找到</t>
        </is>
      </c>
      <c r="DK100" t="inlineStr">
        <is>
          <t>—</t>
        </is>
      </c>
      <c r="DL100" t="inlineStr">
        <is>
          <t>—</t>
        </is>
      </c>
    </row>
    <row r="101" ht="15.75" customHeight="1" s="187">
      <c r="A101" s="84" t="n">
        <v>45739</v>
      </c>
      <c r="B101" s="206" t="inlineStr">
        <is>
          <t>已收货</t>
        </is>
      </c>
      <c r="C101" s="86" t="inlineStr">
        <is>
          <t>2507463876424111585</t>
        </is>
      </c>
      <c r="D101" s="87" t="inlineStr">
        <is>
          <t>王晴宇</t>
        </is>
      </c>
      <c r="E101" s="116" t="inlineStr">
        <is>
          <t>已发，189磕碰需要抵扣给物流</t>
        </is>
      </c>
      <c r="F101" s="116" t="n"/>
      <c r="G101" s="87" t="inlineStr">
        <is>
          <t>砂白色2.0米岩板餐桌</t>
        </is>
      </c>
      <c r="H101" s="87" t="inlineStr">
        <is>
          <t>榉木餐桌</t>
        </is>
      </c>
      <c r="I101" s="89" t="inlineStr">
        <is>
          <t>200cm*85cm</t>
        </is>
      </c>
      <c r="J101" s="87" t="inlineStr">
        <is>
          <t>已结算</t>
        </is>
      </c>
      <c r="K101" s="87" t="inlineStr">
        <is>
          <t>江西</t>
        </is>
      </c>
      <c r="L101" s="207">
        <f>SUM(M101:AO101)</f>
        <v/>
      </c>
      <c r="M101" s="207">
        <f>1630</f>
        <v/>
      </c>
      <c r="N101" s="207" t="n"/>
      <c r="O101" s="207" t="n"/>
      <c r="P101" s="207" t="n"/>
      <c r="Q101" s="207" t="n"/>
      <c r="R101" s="207" t="n">
        <v>510</v>
      </c>
      <c r="S101" s="207" t="n"/>
      <c r="T101" s="207" t="n"/>
      <c r="U101" s="207" t="n"/>
      <c r="V101" s="207" t="n"/>
      <c r="W101" s="207" t="n"/>
      <c r="X101" s="207" t="n"/>
      <c r="Y101" s="207" t="n"/>
      <c r="Z101" s="207" t="n"/>
      <c r="AA101" s="207" t="n"/>
      <c r="AB101" s="207" t="n"/>
      <c r="AC101" s="207" t="n"/>
      <c r="AD101" s="207" t="n">
        <v>2.5</v>
      </c>
      <c r="AE101" s="207" t="n"/>
      <c r="AF101" s="207" t="n"/>
      <c r="AG101" s="207" t="n"/>
      <c r="AH101" s="207" t="n"/>
      <c r="AI101" s="207" t="n"/>
      <c r="AJ101" s="207" t="n"/>
      <c r="AK101" s="207" t="n"/>
      <c r="AL101" s="207" t="n"/>
      <c r="AM101" s="207" t="n">
        <v>130</v>
      </c>
      <c r="AN101" s="87" t="n"/>
      <c r="AO101" s="87" t="n"/>
      <c r="AP101" s="207" t="n">
        <v>250</v>
      </c>
      <c r="AQ101" s="207" t="n">
        <v>50</v>
      </c>
      <c r="AR101" s="207" t="n">
        <v>0</v>
      </c>
      <c r="AS101" s="207" t="n">
        <v>0</v>
      </c>
      <c r="AT101" s="207" t="n">
        <v>189</v>
      </c>
      <c r="AU101" s="207" t="n">
        <v>0</v>
      </c>
      <c r="AV101" s="207" t="n">
        <v>0</v>
      </c>
      <c r="AW101" s="207" t="n">
        <v>0</v>
      </c>
      <c r="AX101" s="208" t="n">
        <v>1</v>
      </c>
      <c r="AY101" s="209">
        <f>L101*AX101+AP101+AQ101+AR101+AV101+AW101+AS101+AT101+AU101</f>
        <v/>
      </c>
      <c r="AZ101" s="207" t="n">
        <v>3688.92</v>
      </c>
      <c r="BA101" s="207" t="n">
        <v>0</v>
      </c>
      <c r="BB101" s="207">
        <f>AZ101*0.006</f>
        <v/>
      </c>
      <c r="BC101" s="209">
        <f>AZ101+BA101-BB101</f>
        <v/>
      </c>
      <c r="BD101" s="207" t="n">
        <v>0</v>
      </c>
      <c r="BE101" s="207" t="n">
        <v>0</v>
      </c>
      <c r="BF101" s="209">
        <f>BD101+BE101</f>
        <v/>
      </c>
      <c r="BG101" s="209">
        <f>BC101-AY101+BF101</f>
        <v/>
      </c>
      <c r="BH101" s="87" t="inlineStr">
        <is>
          <t>王晴宇</t>
        </is>
      </c>
      <c r="BI101" s="210" t="inlineStr">
        <is>
          <t>北京 北京市 昌平区 龙泽园街道科星西路90号院国风美唐二期19号楼13层3单元1303</t>
        </is>
      </c>
      <c r="BJ101" s="86" t="inlineStr">
        <is>
          <t>18400985984-6930</t>
        </is>
      </c>
      <c r="BK101" s="86" t="n"/>
      <c r="BL101" s="210">
        <f>BC101</f>
        <v/>
      </c>
      <c r="BM101" s="93" t="n"/>
      <c r="BN101" s="94" t="n"/>
      <c r="BO101" s="93" t="inlineStr">
        <is>
          <t>黑色岩板 180*85  问下江西价格</t>
        </is>
      </c>
      <c r="BP101" s="86" t="n"/>
      <c r="BQ101" s="96" t="n"/>
      <c r="BR101" s="96" t="n"/>
      <c r="BS101" s="97" t="n"/>
      <c r="BT101" s="96" t="n"/>
      <c r="BU101" s="97" t="n"/>
      <c r="BV101" s="96" t="n"/>
      <c r="BW101" s="97" t="n"/>
      <c r="BX101" s="97" t="n"/>
      <c r="BY101" s="97" t="n"/>
      <c r="BZ101" s="97" t="n"/>
      <c r="CA101" s="98" t="n"/>
      <c r="CH101" s="2" t="n"/>
      <c r="CI101" s="14">
        <f>CJ101&amp;CK101</f>
        <v/>
      </c>
      <c r="CY101" s="25" t="n"/>
      <c r="DA101" s="25" t="n"/>
      <c r="DC101" s="26" t="n"/>
      <c r="DD101" s="26" t="n"/>
      <c r="DE101" s="26" t="n"/>
      <c r="DF101" s="26" t="n"/>
      <c r="DG101" s="26" t="n"/>
      <c r="DH101" s="27" t="n"/>
      <c r="DJ101" s="211" t="inlineStr">
        <is>
          <t>订单表中未找到</t>
        </is>
      </c>
      <c r="DK101" t="inlineStr">
        <is>
          <t>—</t>
        </is>
      </c>
      <c r="DL101" t="inlineStr">
        <is>
          <t>—</t>
        </is>
      </c>
    </row>
    <row r="102" ht="15.75" customHeight="1" s="187">
      <c r="A102" s="99" t="n">
        <v>45740</v>
      </c>
      <c r="B102" s="100" t="inlineStr">
        <is>
          <t>退单</t>
        </is>
      </c>
      <c r="C102" s="101" t="inlineStr">
        <is>
          <t>4275888336746434127</t>
        </is>
      </c>
      <c r="D102" s="100" t="inlineStr">
        <is>
          <t>杨女士</t>
        </is>
      </c>
      <c r="E102" s="100" t="n"/>
      <c r="F102" s="100" t="n"/>
      <c r="G102" s="100" t="inlineStr">
        <is>
          <t>樱桃木实木餐桌：120cm*85cm*75cm</t>
        </is>
      </c>
      <c r="H102" s="100" t="inlineStr">
        <is>
          <t>樱桃木餐桌2024</t>
        </is>
      </c>
      <c r="I102" s="102" t="inlineStr">
        <is>
          <t>120cm*85cm</t>
        </is>
      </c>
      <c r="J102" s="100" t="inlineStr">
        <is>
          <t>已结算</t>
        </is>
      </c>
      <c r="K102" s="100" t="inlineStr">
        <is>
          <t>江西</t>
        </is>
      </c>
      <c r="L102" s="212" t="n">
        <v>0</v>
      </c>
      <c r="M102" s="212" t="n">
        <v>0</v>
      </c>
      <c r="N102" s="212" t="n"/>
      <c r="O102" s="212" t="n"/>
      <c r="P102" s="212" t="n"/>
      <c r="Q102" s="212" t="n"/>
      <c r="R102" s="212" t="n"/>
      <c r="S102" s="212" t="n"/>
      <c r="T102" s="212" t="n"/>
      <c r="U102" s="212" t="n"/>
      <c r="V102" s="212" t="n"/>
      <c r="W102" s="212" t="n"/>
      <c r="X102" s="212" t="n"/>
      <c r="Y102" s="212" t="n"/>
      <c r="Z102" s="212" t="n"/>
      <c r="AA102" s="212" t="n"/>
      <c r="AB102" s="212" t="n"/>
      <c r="AC102" s="212" t="n"/>
      <c r="AD102" s="212" t="n"/>
      <c r="AE102" s="212" t="n"/>
      <c r="AF102" s="212" t="n"/>
      <c r="AG102" s="212" t="n"/>
      <c r="AH102" s="212" t="n"/>
      <c r="AI102" s="212" t="n"/>
      <c r="AJ102" s="212" t="n"/>
      <c r="AK102" s="212" t="n"/>
      <c r="AL102" s="212" t="n"/>
      <c r="AM102" s="213" t="n"/>
      <c r="AN102" s="213" t="n"/>
      <c r="AO102" s="213" t="n"/>
      <c r="AP102" s="213" t="n"/>
      <c r="AQ102" s="213" t="n"/>
      <c r="AR102" s="213" t="n"/>
      <c r="AS102" s="213" t="n"/>
      <c r="AT102" s="213" t="n"/>
      <c r="AU102" s="213" t="n"/>
      <c r="AV102" s="213" t="n"/>
      <c r="AW102" s="213" t="n"/>
      <c r="AX102" s="214" t="n">
        <v>1</v>
      </c>
      <c r="AY102" s="213">
        <f>L102*AX102+AP102+AQ102+AR102+AV102+AW102+AS102+AT102+AU102</f>
        <v/>
      </c>
      <c r="AZ102" s="213" t="n"/>
      <c r="BA102" s="213" t="n">
        <v>0</v>
      </c>
      <c r="BB102" s="213">
        <f>AZ102*0.006</f>
        <v/>
      </c>
      <c r="BC102" s="213">
        <f>AZ102+BA102-BB102</f>
        <v/>
      </c>
      <c r="BD102" s="213" t="n">
        <v>0</v>
      </c>
      <c r="BE102" s="213" t="n">
        <v>0</v>
      </c>
      <c r="BF102" s="213">
        <f>BD102+BE102</f>
        <v/>
      </c>
      <c r="BG102" s="213" t="n"/>
      <c r="BH102" s="100" t="inlineStr">
        <is>
          <t>杨女士</t>
        </is>
      </c>
      <c r="BI102" s="100" t="inlineStr">
        <is>
          <t>上海 上海市 闵行区 莘庄镇景和茗苑1号301室</t>
        </is>
      </c>
      <c r="BJ102" s="100" t="inlineStr">
        <is>
          <t>18466705746-2776</t>
        </is>
      </c>
      <c r="BK102" s="101" t="n"/>
      <c r="BL102" s="215" t="n"/>
      <c r="BM102" s="107" t="n"/>
      <c r="BN102" s="94" t="n"/>
      <c r="BO102" s="107" t="inlineStr">
        <is>
          <t>黑色岩板 180*85  问下江西价格</t>
        </is>
      </c>
      <c r="BP102" s="101" t="n"/>
      <c r="BQ102" s="109" t="n"/>
      <c r="BR102" s="109" t="n"/>
      <c r="BS102" s="100" t="n"/>
      <c r="BT102" s="109" t="n"/>
      <c r="BU102" s="100" t="n"/>
      <c r="BV102" s="109" t="n"/>
      <c r="BW102" s="100" t="n"/>
      <c r="BX102" s="100" t="n"/>
      <c r="BY102" s="100" t="n"/>
      <c r="BZ102" s="100" t="n"/>
      <c r="CA102" s="98" t="n"/>
      <c r="CH102" s="2" t="n"/>
      <c r="CI102" s="14">
        <f>CJ102&amp;CK102</f>
        <v/>
      </c>
      <c r="CY102" s="25" t="n"/>
      <c r="DA102" s="25" t="n"/>
      <c r="DC102" s="26" t="n"/>
      <c r="DD102" s="26" t="n"/>
      <c r="DE102" s="26" t="n"/>
      <c r="DF102" s="26" t="n"/>
      <c r="DG102" s="26" t="n"/>
      <c r="DH102" s="27" t="n"/>
      <c r="DJ102" s="211" t="inlineStr">
        <is>
          <t>订单表中未找到</t>
        </is>
      </c>
      <c r="DK102" t="inlineStr">
        <is>
          <t>—</t>
        </is>
      </c>
      <c r="DL102" t="inlineStr">
        <is>
          <t>—</t>
        </is>
      </c>
    </row>
    <row r="103" ht="15.75" customHeight="1" s="187">
      <c r="A103" s="84" t="n">
        <v>45741</v>
      </c>
      <c r="B103" s="206" t="inlineStr">
        <is>
          <t>已收货</t>
        </is>
      </c>
      <c r="C103" s="86" t="inlineStr">
        <is>
          <t>4277572347353875902</t>
        </is>
      </c>
      <c r="D103" s="87" t="inlineStr">
        <is>
          <t>歐陽泳逸</t>
        </is>
      </c>
      <c r="E103" s="87" t="n"/>
      <c r="F103" s="87" t="n"/>
      <c r="G103" s="87" t="inlineStr">
        <is>
          <t>樱桃木旋转柜：洞洞板1.6 黑色岩板台面整柜+1.1单腿白色岩板餐桌</t>
        </is>
      </c>
      <c r="H103" s="87" t="inlineStr">
        <is>
          <t>旋转餐边柜</t>
        </is>
      </c>
      <c r="I103" s="89" t="n">
        <v>1600</v>
      </c>
      <c r="J103" s="87" t="inlineStr">
        <is>
          <t>已结算，茶色玻璃</t>
        </is>
      </c>
      <c r="K103" s="86" t="inlineStr">
        <is>
          <t>江西</t>
        </is>
      </c>
      <c r="L103" s="207">
        <f>5600+450+580+42+22*6+229+160+22+52+280</f>
        <v/>
      </c>
      <c r="M103" s="207">
        <f>5600</f>
        <v/>
      </c>
      <c r="N103" s="207" t="n"/>
      <c r="O103" s="207" t="n"/>
      <c r="P103" s="207" t="n"/>
      <c r="Q103" s="207" t="n"/>
      <c r="R103" s="207" t="n"/>
      <c r="S103" s="207" t="n">
        <v>229</v>
      </c>
      <c r="T103" s="207" t="n">
        <v>160</v>
      </c>
      <c r="U103" s="207" t="n"/>
      <c r="V103" s="207" t="n"/>
      <c r="W103" s="207" t="n">
        <v>22</v>
      </c>
      <c r="X103" s="207">
        <f>22*6</f>
        <v/>
      </c>
      <c r="Y103" s="207" t="n">
        <v>280</v>
      </c>
      <c r="Z103" s="207" t="n"/>
      <c r="AA103" s="207" t="n"/>
      <c r="AB103" s="207" t="n"/>
      <c r="AC103" s="207" t="n"/>
      <c r="AD103" s="207" t="n"/>
      <c r="AE103" s="207" t="n">
        <v>52</v>
      </c>
      <c r="AF103" s="207" t="n"/>
      <c r="AG103" s="207" t="n"/>
      <c r="AH103" s="207" t="n"/>
      <c r="AI103" s="207" t="n"/>
      <c r="AJ103" s="207" t="n"/>
      <c r="AK103" s="207" t="n"/>
      <c r="AL103" s="207" t="n"/>
      <c r="AM103" s="207" t="n">
        <v>450</v>
      </c>
      <c r="AN103" s="207" t="n"/>
      <c r="AO103" s="207" t="n"/>
      <c r="AP103" s="207" t="n">
        <v>370</v>
      </c>
      <c r="AQ103" s="207" t="n">
        <v>0</v>
      </c>
      <c r="AR103" s="207" t="n">
        <v>139</v>
      </c>
      <c r="AS103" s="207" t="n">
        <v>0</v>
      </c>
      <c r="AT103" s="207" t="n">
        <v>0</v>
      </c>
      <c r="AU103" s="207" t="n">
        <v>0</v>
      </c>
      <c r="AV103" s="207" t="n">
        <v>0</v>
      </c>
      <c r="AW103" s="207" t="n">
        <v>0</v>
      </c>
      <c r="AX103" s="208" t="n">
        <v>1</v>
      </c>
      <c r="AY103" s="209">
        <f>L103*AX103+AP103+AQ103+AR103+AV103+AW103+AS103+AT103+AU103</f>
        <v/>
      </c>
      <c r="AZ103" s="207" t="n">
        <v>10707.05</v>
      </c>
      <c r="BA103" s="207" t="n">
        <v>0</v>
      </c>
      <c r="BB103" s="207">
        <f>AZ103*0.006</f>
        <v/>
      </c>
      <c r="BC103" s="209">
        <f>AZ103+BA103-BB103</f>
        <v/>
      </c>
      <c r="BD103" s="207" t="n">
        <v>0</v>
      </c>
      <c r="BE103" s="207" t="n">
        <v>0</v>
      </c>
      <c r="BF103" s="209">
        <f>BD103+BE103</f>
        <v/>
      </c>
      <c r="BG103" s="209">
        <f>BC103-AY103+BF103</f>
        <v/>
      </c>
      <c r="BH103" s="87" t="inlineStr">
        <is>
          <t>歐陽泳逸</t>
        </is>
      </c>
      <c r="BI103" s="87" t="inlineStr">
        <is>
          <t>广东省 深圳市 龙岗区 宝龙街道龍新社區大圍二區13號和興公司</t>
        </is>
      </c>
      <c r="BJ103" s="86" t="inlineStr">
        <is>
          <t>13143970527</t>
        </is>
      </c>
      <c r="BK103" s="86" t="n"/>
      <c r="BL103" s="210">
        <f>BC103</f>
        <v/>
      </c>
      <c r="BM103" s="93" t="n"/>
      <c r="BN103" s="94" t="n"/>
      <c r="BO103" s="93" t="n"/>
      <c r="BP103" s="86" t="n"/>
      <c r="BQ103" s="96" t="n"/>
      <c r="BR103" s="96" t="n"/>
      <c r="BS103" s="97" t="n"/>
      <c r="BT103" s="96" t="n"/>
      <c r="BU103" s="97" t="n"/>
      <c r="BV103" s="96" t="n"/>
      <c r="BW103" s="97" t="n"/>
      <c r="BX103" s="97" t="n"/>
      <c r="BY103" s="97" t="n"/>
      <c r="BZ103" s="97" t="n"/>
      <c r="CA103" s="98" t="n"/>
      <c r="CH103" s="2" t="n"/>
      <c r="CI103" s="14">
        <f>CJ103&amp;CK103</f>
        <v/>
      </c>
      <c r="CY103" s="25" t="n"/>
      <c r="DA103" s="25" t="n"/>
      <c r="DC103" s="26" t="n"/>
      <c r="DD103" s="26" t="n"/>
      <c r="DE103" s="26" t="n"/>
      <c r="DF103" s="26" t="n"/>
      <c r="DG103" s="26" t="n"/>
      <c r="DH103" s="27" t="n"/>
      <c r="DJ103" s="211" t="inlineStr">
        <is>
          <t>订单表中未找到</t>
        </is>
      </c>
      <c r="DK103" t="inlineStr">
        <is>
          <t>—</t>
        </is>
      </c>
      <c r="DL103" t="inlineStr">
        <is>
          <t>—</t>
        </is>
      </c>
    </row>
    <row r="104" ht="15.75" customHeight="1" s="187">
      <c r="A104" s="84" t="n">
        <v>45742</v>
      </c>
      <c r="B104" s="206" t="inlineStr">
        <is>
          <t>已收货</t>
        </is>
      </c>
      <c r="C104" s="86" t="inlineStr">
        <is>
          <t>4278801566206989926</t>
        </is>
      </c>
      <c r="D104" s="87" t="inlineStr">
        <is>
          <t>陈宇星</t>
        </is>
      </c>
      <c r="E104" s="87" t="n"/>
      <c r="F104" s="87" t="n"/>
      <c r="G104" s="87" t="inlineStr">
        <is>
          <t>樱桃木旋转柜：洞洞板1.8 白色岩板台面整柜+1.5单腿白色岩板餐桌</t>
        </is>
      </c>
      <c r="H104" s="87" t="inlineStr">
        <is>
          <t>旋转餐边柜</t>
        </is>
      </c>
      <c r="I104" s="89" t="n">
        <v>1800</v>
      </c>
      <c r="J104" s="87" t="inlineStr">
        <is>
          <t>已结算，茶色玻璃</t>
        </is>
      </c>
      <c r="K104" s="86" t="inlineStr">
        <is>
          <t>江西</t>
        </is>
      </c>
      <c r="L104" s="207">
        <f>5800+410+687+42+22*9+229+229+52+300+22</f>
        <v/>
      </c>
      <c r="M104" s="207">
        <f>5800</f>
        <v/>
      </c>
      <c r="N104" s="207" t="n"/>
      <c r="O104" s="207" t="n"/>
      <c r="P104" s="207" t="n"/>
      <c r="Q104" s="207" t="n"/>
      <c r="R104" s="207" t="n"/>
      <c r="S104" s="207" t="n">
        <v>229</v>
      </c>
      <c r="T104" s="207" t="n">
        <v>229</v>
      </c>
      <c r="U104" s="207" t="n"/>
      <c r="V104" s="207" t="n"/>
      <c r="W104" s="207" t="n">
        <v>52</v>
      </c>
      <c r="X104" s="207">
        <f>22*9</f>
        <v/>
      </c>
      <c r="Y104" s="207" t="n">
        <v>22</v>
      </c>
      <c r="Z104" s="207" t="n"/>
      <c r="AA104" s="207" t="n"/>
      <c r="AB104" s="207" t="n"/>
      <c r="AC104" s="207" t="n"/>
      <c r="AD104" s="207" t="n"/>
      <c r="AE104" s="207" t="n">
        <v>300</v>
      </c>
      <c r="AF104" s="207" t="n"/>
      <c r="AG104" s="207" t="n"/>
      <c r="AH104" s="207" t="n"/>
      <c r="AI104" s="207" t="n"/>
      <c r="AJ104" s="207" t="n"/>
      <c r="AK104" s="207" t="n"/>
      <c r="AL104" s="207" t="n"/>
      <c r="AM104" s="207" t="n">
        <v>410</v>
      </c>
      <c r="AN104" s="207" t="n"/>
      <c r="AO104" s="207" t="n"/>
      <c r="AP104" s="207" t="n">
        <v>613</v>
      </c>
      <c r="AQ104" s="207" t="n">
        <v>100</v>
      </c>
      <c r="AR104" s="207" t="n">
        <v>179</v>
      </c>
      <c r="AS104" s="207" t="n">
        <v>0</v>
      </c>
      <c r="AT104" s="207" t="n">
        <v>0</v>
      </c>
      <c r="AU104" s="207" t="n">
        <v>0</v>
      </c>
      <c r="AV104" s="207" t="n">
        <v>0</v>
      </c>
      <c r="AW104" s="207" t="n">
        <v>0</v>
      </c>
      <c r="AX104" s="208" t="n">
        <v>1</v>
      </c>
      <c r="AY104" s="209">
        <f>L104*AX104+AP104+AQ104+AR104+AV104+AW104+AS104+AT104+AU104</f>
        <v/>
      </c>
      <c r="AZ104" s="207" t="n">
        <v>11905</v>
      </c>
      <c r="BA104" s="207" t="n">
        <v>0</v>
      </c>
      <c r="BB104" s="207">
        <f>AZ104*0.006</f>
        <v/>
      </c>
      <c r="BC104" s="209">
        <f>AZ104+BA104-BB104</f>
        <v/>
      </c>
      <c r="BD104" s="207" t="n">
        <v>0</v>
      </c>
      <c r="BE104" s="207" t="n">
        <v>0</v>
      </c>
      <c r="BF104" s="209">
        <f>BD104+BE104</f>
        <v/>
      </c>
      <c r="BG104" s="209">
        <f>BC104-AY104+BF104</f>
        <v/>
      </c>
      <c r="BH104" s="87" t="inlineStr">
        <is>
          <t>陈宇星</t>
        </is>
      </c>
      <c r="BI104" s="87" t="inlineStr">
        <is>
          <t>河北省 石家庄市 长安区 跃进街道安馨佳苑(建设中)5-2-2603</t>
        </is>
      </c>
      <c r="BJ104" s="86" t="inlineStr">
        <is>
          <t>15511683474-8547</t>
        </is>
      </c>
      <c r="BK104" s="86" t="n"/>
      <c r="BL104" s="210">
        <f>BC104</f>
        <v/>
      </c>
      <c r="BM104" s="93" t="n"/>
      <c r="BN104" s="94" t="n"/>
      <c r="BO104" s="93" t="n"/>
      <c r="BP104" s="86" t="n"/>
      <c r="BQ104" s="96" t="n"/>
      <c r="BR104" s="96" t="n"/>
      <c r="BS104" s="97" t="n"/>
      <c r="BT104" s="96" t="n"/>
      <c r="BU104" s="97" t="n"/>
      <c r="BV104" s="96" t="n"/>
      <c r="BW104" s="97" t="n"/>
      <c r="BX104" s="97" t="n"/>
      <c r="BY104" s="97" t="n"/>
      <c r="BZ104" s="97" t="n"/>
      <c r="CA104" s="98" t="n"/>
      <c r="CH104" s="2" t="n"/>
      <c r="CI104" s="14">
        <f>CJ104&amp;CK104</f>
        <v/>
      </c>
      <c r="CY104" s="25" t="n"/>
      <c r="DA104" s="25" t="n"/>
      <c r="DC104" s="26" t="n"/>
      <c r="DD104" s="26" t="n"/>
      <c r="DE104" s="26" t="n"/>
      <c r="DF104" s="26" t="n"/>
      <c r="DG104" s="26" t="n"/>
      <c r="DH104" s="27" t="n"/>
      <c r="DJ104" s="211" t="inlineStr">
        <is>
          <t>订单表中未找到</t>
        </is>
      </c>
      <c r="DK104" t="inlineStr">
        <is>
          <t>—</t>
        </is>
      </c>
      <c r="DL104" t="inlineStr">
        <is>
          <t>—</t>
        </is>
      </c>
    </row>
    <row r="105" ht="15.75" customHeight="1" s="187">
      <c r="A105" s="84" t="n">
        <v>45742</v>
      </c>
      <c r="B105" s="206" t="inlineStr">
        <is>
          <t>已收货</t>
        </is>
      </c>
      <c r="C105" s="86" t="inlineStr">
        <is>
          <t>4279235833499286423</t>
        </is>
      </c>
      <c r="D105" s="87" t="inlineStr">
        <is>
          <t>马妍</t>
        </is>
      </c>
      <c r="E105" s="87" t="n"/>
      <c r="F105" s="87" t="n"/>
      <c r="G105" s="87" t="inlineStr">
        <is>
          <t>洞石色1.8米岩板餐桌，蜜蜡色</t>
        </is>
      </c>
      <c r="H105" s="87" t="inlineStr">
        <is>
          <t>榉木餐桌</t>
        </is>
      </c>
      <c r="I105" s="89" t="n"/>
      <c r="J105" s="87" t="inlineStr">
        <is>
          <t>已结算</t>
        </is>
      </c>
      <c r="K105" s="86" t="inlineStr">
        <is>
          <t>江西</t>
        </is>
      </c>
      <c r="L105" s="207">
        <f>SUM(M105:AO105)</f>
        <v/>
      </c>
      <c r="M105" s="207">
        <f>1580</f>
        <v/>
      </c>
      <c r="N105" s="207" t="n"/>
      <c r="O105" s="207" t="n"/>
      <c r="P105" s="207" t="n"/>
      <c r="Q105" s="207" t="n"/>
      <c r="R105" s="207">
        <f>382.5+77</f>
        <v/>
      </c>
      <c r="S105" s="207" t="n"/>
      <c r="T105" s="207" t="n"/>
      <c r="U105" s="207" t="n"/>
      <c r="V105" s="207" t="n"/>
      <c r="W105" s="207" t="n"/>
      <c r="X105" s="207" t="n"/>
      <c r="Y105" s="207" t="n"/>
      <c r="Z105" s="207" t="n"/>
      <c r="AA105" s="207" t="n"/>
      <c r="AB105" s="207" t="n"/>
      <c r="AC105" s="207" t="n"/>
      <c r="AD105" s="207" t="n">
        <v>2.5</v>
      </c>
      <c r="AE105" s="207" t="n"/>
      <c r="AF105" s="207" t="n"/>
      <c r="AG105" s="207" t="n"/>
      <c r="AH105" s="207" t="n"/>
      <c r="AI105" s="207" t="n"/>
      <c r="AJ105" s="207" t="n"/>
      <c r="AK105" s="207" t="n"/>
      <c r="AL105" s="207" t="n"/>
      <c r="AM105" s="207" t="n">
        <v>130</v>
      </c>
      <c r="AN105" s="207" t="n"/>
      <c r="AO105" s="207" t="n"/>
      <c r="AP105" s="207" t="n">
        <v>106</v>
      </c>
      <c r="AQ105" s="207" t="n">
        <v>56</v>
      </c>
      <c r="AR105" s="207" t="n">
        <v>60</v>
      </c>
      <c r="AS105" s="207" t="n">
        <v>0</v>
      </c>
      <c r="AT105" s="207" t="n">
        <v>0</v>
      </c>
      <c r="AU105" s="207" t="n">
        <v>0</v>
      </c>
      <c r="AV105" s="207" t="n">
        <v>0</v>
      </c>
      <c r="AW105" s="207" t="n">
        <v>0</v>
      </c>
      <c r="AX105" s="208" t="n">
        <v>1</v>
      </c>
      <c r="AY105" s="209">
        <f>L105*AX105+AP105+AQ105+AR105+AV105+AW105+AS105+AT105+AU105</f>
        <v/>
      </c>
      <c r="AZ105" s="207" t="n">
        <v>3110.79</v>
      </c>
      <c r="BA105" s="207" t="n">
        <v>0</v>
      </c>
      <c r="BB105" s="207">
        <f>AZ105*0.006</f>
        <v/>
      </c>
      <c r="BC105" s="209">
        <f>AZ105+BA105-BB105</f>
        <v/>
      </c>
      <c r="BD105" s="207" t="n">
        <v>0</v>
      </c>
      <c r="BE105" s="207" t="n">
        <v>0</v>
      </c>
      <c r="BF105" s="209">
        <f>BD105+BE105</f>
        <v/>
      </c>
      <c r="BG105" s="209">
        <f>BC105-AY105+BF105</f>
        <v/>
      </c>
      <c r="BH105" s="87" t="inlineStr">
        <is>
          <t>马妍</t>
        </is>
      </c>
      <c r="BI105" s="87" t="inlineStr">
        <is>
          <t>江苏省 镇江市 句容市 华阳街道高骊山路旭辉宸品1-401</t>
        </is>
      </c>
      <c r="BJ105" s="86" t="inlineStr">
        <is>
          <t>18466821279-6194</t>
        </is>
      </c>
      <c r="BK105" s="86" t="n"/>
      <c r="BL105" s="210">
        <f>BC105</f>
        <v/>
      </c>
      <c r="BM105" s="93" t="n"/>
      <c r="BN105" s="94" t="n"/>
      <c r="BO105" s="93" t="n"/>
      <c r="BP105" s="86" t="n"/>
      <c r="BQ105" s="96" t="n"/>
      <c r="BR105" s="96" t="n"/>
      <c r="BS105" s="97" t="n"/>
      <c r="BT105" s="96" t="n"/>
      <c r="BU105" s="97" t="n"/>
      <c r="BV105" s="96" t="n"/>
      <c r="BW105" s="97" t="n"/>
      <c r="BX105" s="97" t="n"/>
      <c r="BY105" s="97" t="n"/>
      <c r="BZ105" s="97" t="n"/>
      <c r="CA105" s="98" t="n"/>
      <c r="CH105" s="2" t="n"/>
      <c r="CI105" s="14">
        <f>CJ105&amp;CK105</f>
        <v/>
      </c>
      <c r="CY105" s="25" t="n"/>
      <c r="DA105" s="25" t="n"/>
      <c r="DC105" s="26" t="n"/>
      <c r="DD105" s="26" t="n"/>
      <c r="DE105" s="26" t="n"/>
      <c r="DF105" s="26" t="n"/>
      <c r="DG105" s="26" t="n"/>
      <c r="DH105" s="27" t="n"/>
      <c r="DJ105" s="211" t="inlineStr">
        <is>
          <t>订单表中未找到</t>
        </is>
      </c>
      <c r="DK105" t="inlineStr">
        <is>
          <t>—</t>
        </is>
      </c>
      <c r="DL105" t="inlineStr">
        <is>
          <t>—</t>
        </is>
      </c>
    </row>
    <row r="106" ht="15.75" customHeight="1" s="187">
      <c r="A106" s="84" t="n">
        <v>45742</v>
      </c>
      <c r="B106" s="206" t="inlineStr">
        <is>
          <t>已收货</t>
        </is>
      </c>
      <c r="C106" s="86" t="inlineStr">
        <is>
          <t>4279515048968286423</t>
        </is>
      </c>
      <c r="D106" s="87" t="inlineStr">
        <is>
          <t>马妍</t>
        </is>
      </c>
      <c r="E106" s="87" t="n"/>
      <c r="F106" s="87" t="n"/>
      <c r="G106" s="87" t="inlineStr">
        <is>
          <t>蜜蜡色样块</t>
        </is>
      </c>
      <c r="H106" s="207" t="inlineStr">
        <is>
          <t>样块</t>
        </is>
      </c>
      <c r="I106" s="89" t="n"/>
      <c r="J106" s="87" t="inlineStr">
        <is>
          <t>已结算</t>
        </is>
      </c>
      <c r="K106" s="87" t="inlineStr">
        <is>
          <t>杭州</t>
        </is>
      </c>
      <c r="L106" s="207">
        <f>SUM(M106:AO106)</f>
        <v/>
      </c>
      <c r="M106" s="207" t="n">
        <v>5</v>
      </c>
      <c r="N106" s="207" t="n"/>
      <c r="O106" s="207" t="n"/>
      <c r="P106" s="207" t="n"/>
      <c r="Q106" s="207" t="n"/>
      <c r="R106" s="207" t="n"/>
      <c r="S106" s="207" t="n"/>
      <c r="T106" s="207" t="n"/>
      <c r="U106" s="207" t="n"/>
      <c r="V106" s="207" t="n"/>
      <c r="W106" s="207" t="n"/>
      <c r="X106" s="207" t="n"/>
      <c r="Y106" s="207" t="n"/>
      <c r="Z106" s="207" t="n"/>
      <c r="AA106" s="207" t="n"/>
      <c r="AB106" s="207" t="n"/>
      <c r="AC106" s="207" t="n"/>
      <c r="AD106" s="207" t="n"/>
      <c r="AE106" s="207" t="n"/>
      <c r="AF106" s="207" t="n"/>
      <c r="AG106" s="207" t="n"/>
      <c r="AH106" s="207" t="n"/>
      <c r="AI106" s="207" t="n"/>
      <c r="AJ106" s="207" t="n"/>
      <c r="AK106" s="207" t="n"/>
      <c r="AL106" s="207" t="n"/>
      <c r="AM106" s="207" t="n">
        <v>2</v>
      </c>
      <c r="AN106" s="207" t="n"/>
      <c r="AO106" s="207" t="n"/>
      <c r="AP106" s="207" t="n">
        <v>5</v>
      </c>
      <c r="AQ106" s="207" t="n">
        <v>0</v>
      </c>
      <c r="AR106" s="207" t="n">
        <v>0</v>
      </c>
      <c r="AS106" s="207" t="n">
        <v>0</v>
      </c>
      <c r="AT106" s="207" t="n">
        <v>0</v>
      </c>
      <c r="AU106" s="207" t="n">
        <v>0</v>
      </c>
      <c r="AV106" s="207" t="n">
        <v>0</v>
      </c>
      <c r="AW106" s="207" t="n">
        <v>0</v>
      </c>
      <c r="AX106" s="208" t="n">
        <v>1</v>
      </c>
      <c r="AY106" s="209">
        <f>L106*AX106+AP106+AQ106+AR106+AV106+AW106+AS106+AT106+AU106</f>
        <v/>
      </c>
      <c r="AZ106" s="207" t="n">
        <v>25</v>
      </c>
      <c r="BA106" s="207" t="n">
        <v>0</v>
      </c>
      <c r="BB106" s="207">
        <f>AZ106*0.006</f>
        <v/>
      </c>
      <c r="BC106" s="209">
        <f>AZ106+BA106-BB106</f>
        <v/>
      </c>
      <c r="BD106" s="207" t="n">
        <v>0</v>
      </c>
      <c r="BE106" s="207" t="n">
        <v>0</v>
      </c>
      <c r="BF106" s="209">
        <f>BD106+BE106</f>
        <v/>
      </c>
      <c r="BG106" s="209">
        <f>BC106-AY106+BF106</f>
        <v/>
      </c>
      <c r="BH106" s="87" t="inlineStr">
        <is>
          <t>马妍</t>
        </is>
      </c>
      <c r="BI106" s="210" t="inlineStr">
        <is>
          <t>江苏省 镇江市 句容市 华阳街道高骊山路旭辉宸品1-401</t>
        </is>
      </c>
      <c r="BJ106" s="86" t="inlineStr">
        <is>
          <t>18466821279-6194</t>
        </is>
      </c>
      <c r="BK106" s="86" t="n"/>
      <c r="BL106" s="210">
        <f>BC106</f>
        <v/>
      </c>
      <c r="BM106" s="93" t="n"/>
      <c r="BN106" s="94" t="n"/>
      <c r="BO106" s="93" t="n"/>
      <c r="BP106" s="86" t="n"/>
      <c r="BQ106" s="96" t="n"/>
      <c r="BR106" s="96" t="n"/>
      <c r="BS106" s="97" t="n"/>
      <c r="BT106" s="96" t="n"/>
      <c r="BU106" s="97" t="n"/>
      <c r="BV106" s="96" t="n"/>
      <c r="BW106" s="97" t="n"/>
      <c r="BX106" s="97" t="n"/>
      <c r="BY106" s="97" t="n"/>
      <c r="BZ106" s="97" t="n"/>
      <c r="CA106" s="98" t="n"/>
      <c r="CH106" s="2" t="n"/>
      <c r="CI106" s="14">
        <f>CJ106&amp;CK106</f>
        <v/>
      </c>
      <c r="CY106" s="25" t="n"/>
      <c r="DA106" s="25" t="n"/>
      <c r="DC106" s="26" t="n"/>
      <c r="DD106" s="26" t="n"/>
      <c r="DE106" s="26" t="n"/>
      <c r="DF106" s="26" t="n"/>
      <c r="DG106" s="26" t="n"/>
      <c r="DH106" s="27" t="n"/>
      <c r="DJ106" s="211" t="inlineStr">
        <is>
          <t>订单表中未找到</t>
        </is>
      </c>
      <c r="DK106" t="inlineStr">
        <is>
          <t>—</t>
        </is>
      </c>
      <c r="DL106" t="inlineStr">
        <is>
          <t>—</t>
        </is>
      </c>
    </row>
    <row r="107" ht="15.75" customHeight="1" s="187">
      <c r="A107" s="84" t="n">
        <v>45743</v>
      </c>
      <c r="B107" s="206" t="inlineStr">
        <is>
          <t>已收货</t>
        </is>
      </c>
      <c r="C107" s="86" t="inlineStr">
        <is>
          <t>4279402837029500549</t>
        </is>
      </c>
      <c r="D107" s="87" t="inlineStr">
        <is>
          <t xml:space="preserve"> Jenny Li</t>
        </is>
      </c>
      <c r="E107" s="87" t="n"/>
      <c r="F107" s="87" t="n"/>
      <c r="G107" s="87" t="inlineStr">
        <is>
          <t>樱桃木样块</t>
        </is>
      </c>
      <c r="H107" s="207" t="inlineStr">
        <is>
          <t>样块</t>
        </is>
      </c>
      <c r="I107" s="89" t="n"/>
      <c r="J107" s="87" t="inlineStr">
        <is>
          <t>已结算</t>
        </is>
      </c>
      <c r="K107" s="87" t="inlineStr">
        <is>
          <t>杭州</t>
        </is>
      </c>
      <c r="L107" s="207">
        <f>SUM(M107:AO107)</f>
        <v/>
      </c>
      <c r="M107" s="207" t="n">
        <v>5</v>
      </c>
      <c r="N107" s="207" t="n"/>
      <c r="O107" s="207" t="n"/>
      <c r="P107" s="207" t="n"/>
      <c r="Q107" s="207" t="n"/>
      <c r="R107" s="207" t="n"/>
      <c r="S107" s="207" t="n"/>
      <c r="T107" s="207" t="n"/>
      <c r="U107" s="207" t="n"/>
      <c r="V107" s="207" t="n"/>
      <c r="W107" s="207" t="n"/>
      <c r="X107" s="207" t="n"/>
      <c r="Y107" s="207" t="n"/>
      <c r="Z107" s="207" t="n"/>
      <c r="AA107" s="207" t="n"/>
      <c r="AB107" s="207" t="n"/>
      <c r="AC107" s="207" t="n"/>
      <c r="AD107" s="207" t="n"/>
      <c r="AE107" s="207" t="n"/>
      <c r="AF107" s="207" t="n"/>
      <c r="AG107" s="207" t="n"/>
      <c r="AH107" s="207" t="n"/>
      <c r="AI107" s="207" t="n"/>
      <c r="AJ107" s="207" t="n"/>
      <c r="AK107" s="207" t="n"/>
      <c r="AL107" s="207" t="n"/>
      <c r="AM107" s="207" t="n">
        <v>2</v>
      </c>
      <c r="AN107" s="207" t="n"/>
      <c r="AO107" s="207" t="n"/>
      <c r="AP107" s="207" t="n">
        <v>5</v>
      </c>
      <c r="AQ107" s="207" t="n">
        <v>0</v>
      </c>
      <c r="AR107" s="207" t="n">
        <v>0</v>
      </c>
      <c r="AS107" s="207" t="n">
        <v>0</v>
      </c>
      <c r="AT107" s="207" t="n">
        <v>0</v>
      </c>
      <c r="AU107" s="207" t="n">
        <v>0</v>
      </c>
      <c r="AV107" s="207" t="n">
        <v>0</v>
      </c>
      <c r="AW107" s="207" t="n">
        <v>0</v>
      </c>
      <c r="AX107" s="208" t="n">
        <v>1</v>
      </c>
      <c r="AY107" s="209">
        <f>L107*AX107+AP107+AQ107+AR107+AV107+AW107+AS107+AT107+AU107</f>
        <v/>
      </c>
      <c r="AZ107" s="207" t="n">
        <v>25</v>
      </c>
      <c r="BA107" s="207" t="n">
        <v>0</v>
      </c>
      <c r="BB107" s="207">
        <f>AZ107*0.006</f>
        <v/>
      </c>
      <c r="BC107" s="209">
        <f>AZ107+BA107-BB107</f>
        <v/>
      </c>
      <c r="BD107" s="207" t="n">
        <v>0</v>
      </c>
      <c r="BE107" s="207" t="n">
        <v>0</v>
      </c>
      <c r="BF107" s="209">
        <f>BD107+BE107</f>
        <v/>
      </c>
      <c r="BG107" s="209">
        <f>BC107-AY107+BF107</f>
        <v/>
      </c>
      <c r="BH107" s="87" t="inlineStr">
        <is>
          <t xml:space="preserve"> Jenny Li</t>
        </is>
      </c>
      <c r="BI107" s="210" t="inlineStr">
        <is>
          <t>江苏省苏州市昆山市花桥镇悦城b座103菜鸟驿站</t>
        </is>
      </c>
      <c r="BJ107" s="86" t="inlineStr">
        <is>
          <t>17895040260-2562</t>
        </is>
      </c>
      <c r="BK107" s="86" t="n"/>
      <c r="BL107" s="210">
        <f>BC107</f>
        <v/>
      </c>
      <c r="BM107" s="93" t="n"/>
      <c r="BN107" s="94" t="n"/>
      <c r="BO107" s="93" t="n"/>
      <c r="BP107" s="86" t="n"/>
      <c r="BQ107" s="96" t="n"/>
      <c r="BR107" s="96" t="n"/>
      <c r="BS107" s="97" t="n"/>
      <c r="BT107" s="96" t="n"/>
      <c r="BU107" s="97" t="n"/>
      <c r="BV107" s="96" t="n"/>
      <c r="BW107" s="97" t="n"/>
      <c r="BX107" s="97" t="n"/>
      <c r="BY107" s="97" t="n"/>
      <c r="BZ107" s="97" t="n"/>
      <c r="CA107" s="98" t="n"/>
      <c r="CH107" s="2" t="n"/>
      <c r="CI107" s="14">
        <f>CJ107&amp;CK107</f>
        <v/>
      </c>
      <c r="CY107" s="25" t="n"/>
      <c r="DA107" s="25" t="n"/>
      <c r="DC107" s="26" t="n"/>
      <c r="DD107" s="26" t="n"/>
      <c r="DE107" s="26" t="n"/>
      <c r="DF107" s="26" t="n"/>
      <c r="DG107" s="26" t="n"/>
      <c r="DH107" s="27" t="n"/>
      <c r="DJ107" s="211" t="inlineStr">
        <is>
          <t>订单表中未找到</t>
        </is>
      </c>
      <c r="DK107" t="inlineStr">
        <is>
          <t>—</t>
        </is>
      </c>
      <c r="DL107" t="inlineStr">
        <is>
          <t>—</t>
        </is>
      </c>
    </row>
    <row r="108" ht="15.75" customHeight="1" s="187">
      <c r="A108" s="84" t="n">
        <v>45743</v>
      </c>
      <c r="B108" s="206" t="inlineStr">
        <is>
          <t>已收货</t>
        </is>
      </c>
      <c r="C108" s="86" t="inlineStr">
        <is>
          <t>2511883848333357899</t>
        </is>
      </c>
      <c r="D108" s="87" t="inlineStr">
        <is>
          <t>张s</t>
        </is>
      </c>
      <c r="E108" s="116" t="inlineStr">
        <is>
          <t>已发，岩板破损补发240</t>
        </is>
      </c>
      <c r="F108" s="116" t="n"/>
      <c r="G108" s="87" t="inlineStr">
        <is>
          <t>砂白色1.6米岩板餐桌</t>
        </is>
      </c>
      <c r="H108" s="87" t="inlineStr">
        <is>
          <t>榉木餐桌</t>
        </is>
      </c>
      <c r="I108" s="89" t="inlineStr">
        <is>
          <t>160cm*85cm</t>
        </is>
      </c>
      <c r="J108" s="87" t="inlineStr">
        <is>
          <t>已结算</t>
        </is>
      </c>
      <c r="K108" s="87" t="inlineStr">
        <is>
          <t>江西</t>
        </is>
      </c>
      <c r="L108" s="207">
        <f>SUM(M108:AO108)</f>
        <v/>
      </c>
      <c r="M108" s="207">
        <f>1520</f>
        <v/>
      </c>
      <c r="N108" s="207" t="n"/>
      <c r="O108" s="207" t="n"/>
      <c r="P108" s="207" t="n"/>
      <c r="Q108" s="207" t="n"/>
      <c r="R108" s="207">
        <f>240+240</f>
        <v/>
      </c>
      <c r="S108" s="207" t="n"/>
      <c r="T108" s="207" t="n"/>
      <c r="U108" s="207" t="n"/>
      <c r="V108" s="207" t="n"/>
      <c r="W108" s="207" t="n"/>
      <c r="X108" s="207" t="n"/>
      <c r="Y108" s="207" t="n"/>
      <c r="Z108" s="207" t="n"/>
      <c r="AA108" s="207" t="n"/>
      <c r="AB108" s="207" t="n"/>
      <c r="AC108" s="207" t="n"/>
      <c r="AD108" s="207" t="n">
        <v>2.5</v>
      </c>
      <c r="AE108" s="207" t="n"/>
      <c r="AF108" s="207" t="n"/>
      <c r="AG108" s="207" t="n"/>
      <c r="AH108" s="207" t="n"/>
      <c r="AI108" s="207" t="n"/>
      <c r="AJ108" s="207" t="n"/>
      <c r="AK108" s="207" t="n"/>
      <c r="AL108" s="207" t="n"/>
      <c r="AM108" s="207" t="n">
        <v>180</v>
      </c>
      <c r="AN108" s="207" t="n"/>
      <c r="AO108" s="207" t="n"/>
      <c r="AP108" s="207" t="n">
        <v>138</v>
      </c>
      <c r="AQ108" s="207" t="n">
        <v>61</v>
      </c>
      <c r="AR108" s="207" t="n">
        <v>96</v>
      </c>
      <c r="AS108" s="207" t="n">
        <v>0</v>
      </c>
      <c r="AT108" s="207" t="n">
        <v>0</v>
      </c>
      <c r="AU108" s="207" t="n">
        <v>0</v>
      </c>
      <c r="AV108" s="207" t="n">
        <v>0</v>
      </c>
      <c r="AW108" s="207" t="n">
        <v>163</v>
      </c>
      <c r="AX108" s="208" t="n">
        <v>1</v>
      </c>
      <c r="AY108" s="209">
        <f>L108*AX108+AP108+AQ108+AR108+AV108+AW108+AS108+AT108+AU108</f>
        <v/>
      </c>
      <c r="AZ108" s="207" t="n">
        <v>2940</v>
      </c>
      <c r="BA108" s="207" t="n">
        <v>0</v>
      </c>
      <c r="BB108" s="207">
        <f>AZ108*0.006</f>
        <v/>
      </c>
      <c r="BC108" s="209">
        <f>AZ108+BA108-BB108</f>
        <v/>
      </c>
      <c r="BD108" s="207" t="n">
        <v>0</v>
      </c>
      <c r="BE108" s="207" t="n">
        <v>0</v>
      </c>
      <c r="BF108" s="209">
        <f>BD108+BE108</f>
        <v/>
      </c>
      <c r="BG108" s="209">
        <f>BC108-AY108+BF108</f>
        <v/>
      </c>
      <c r="BH108" s="87" t="inlineStr">
        <is>
          <t>张s</t>
        </is>
      </c>
      <c r="BI108" s="87" t="inlineStr">
        <is>
          <t>江苏省 苏州市 虎丘区 狮山街道君地风华1幢801</t>
        </is>
      </c>
      <c r="BJ108" s="86" t="inlineStr">
        <is>
          <t>17851499129-1856</t>
        </is>
      </c>
      <c r="BK108" s="86" t="n"/>
      <c r="BL108" s="210">
        <f>BC108</f>
        <v/>
      </c>
      <c r="BM108" s="93" t="n"/>
      <c r="BN108" s="94" t="n"/>
      <c r="BO108" s="93" t="n"/>
      <c r="BP108" s="86" t="n"/>
      <c r="BQ108" s="96" t="n"/>
      <c r="BR108" s="96" t="n"/>
      <c r="BS108" s="97" t="n"/>
      <c r="BT108" s="96" t="n"/>
      <c r="BU108" s="97" t="n"/>
      <c r="BV108" s="96" t="n"/>
      <c r="BW108" s="97" t="n"/>
      <c r="BX108" s="97" t="n"/>
      <c r="BY108" s="97" t="n"/>
      <c r="BZ108" s="97" t="n"/>
      <c r="CA108" s="98" t="n"/>
      <c r="CH108" s="2" t="n"/>
      <c r="CI108" s="14">
        <f>CJ108&amp;CK108</f>
        <v/>
      </c>
      <c r="CY108" s="25" t="n"/>
      <c r="DA108" s="25" t="n"/>
      <c r="DC108" s="26" t="n"/>
      <c r="DD108" s="26" t="n"/>
      <c r="DE108" s="26" t="n"/>
      <c r="DF108" s="26" t="n"/>
      <c r="DG108" s="26" t="n"/>
      <c r="DH108" s="27" t="n"/>
      <c r="DJ108" s="211" t="inlineStr">
        <is>
          <t>订单表中未找到</t>
        </is>
      </c>
      <c r="DK108" t="inlineStr">
        <is>
          <t>—</t>
        </is>
      </c>
      <c r="DL108" t="inlineStr">
        <is>
          <t>—</t>
        </is>
      </c>
    </row>
    <row r="109" ht="15.75" customHeight="1" s="187">
      <c r="A109" s="84" t="n">
        <v>45743</v>
      </c>
      <c r="B109" s="206" t="inlineStr">
        <is>
          <t>已收货</t>
        </is>
      </c>
      <c r="C109" s="86" t="inlineStr">
        <is>
          <t>2512708861489474265</t>
        </is>
      </c>
      <c r="D109" s="87" t="inlineStr">
        <is>
          <t>刘斌</t>
        </is>
      </c>
      <c r="E109" s="87" t="inlineStr">
        <is>
          <t>已发，搬运125</t>
        </is>
      </c>
      <c r="F109" s="87" t="n"/>
      <c r="G109" s="87" t="inlineStr">
        <is>
          <t>2.1米整柜不带桌?2插座</t>
        </is>
      </c>
      <c r="H109" s="87" t="inlineStr">
        <is>
          <t>旋转餐边柜</t>
        </is>
      </c>
      <c r="I109" s="89" t="n">
        <v>2100</v>
      </c>
      <c r="J109" s="87" t="inlineStr">
        <is>
          <t>已结算</t>
        </is>
      </c>
      <c r="K109" s="87" t="inlineStr">
        <is>
          <t>江西</t>
        </is>
      </c>
      <c r="L109" s="207">
        <f>5600+480+350+765+22*9+22+52+300+42+440</f>
        <v/>
      </c>
      <c r="M109" s="207">
        <f>5600</f>
        <v/>
      </c>
      <c r="N109" s="207" t="n"/>
      <c r="O109" s="207" t="n"/>
      <c r="P109" s="207" t="n"/>
      <c r="Q109" s="207" t="n"/>
      <c r="R109" s="207" t="n"/>
      <c r="S109" s="207" t="n">
        <v>22</v>
      </c>
      <c r="T109" s="207" t="n">
        <v>52</v>
      </c>
      <c r="U109" s="207" t="n"/>
      <c r="V109" s="207" t="n"/>
      <c r="W109" s="207" t="n">
        <v>300</v>
      </c>
      <c r="X109" s="207">
        <f>22*9</f>
        <v/>
      </c>
      <c r="Y109" s="207" t="n">
        <v>440</v>
      </c>
      <c r="Z109" s="207" t="n"/>
      <c r="AA109" s="207" t="n"/>
      <c r="AB109" s="207" t="n"/>
      <c r="AC109" s="207" t="n"/>
      <c r="AD109" s="207" t="n"/>
      <c r="AE109" s="207" t="n">
        <v>42</v>
      </c>
      <c r="AF109" s="207" t="n"/>
      <c r="AG109" s="207" t="n"/>
      <c r="AH109" s="207" t="n"/>
      <c r="AI109" s="207" t="n"/>
      <c r="AJ109" s="207" t="n"/>
      <c r="AK109" s="207" t="n"/>
      <c r="AL109" s="207" t="n"/>
      <c r="AM109" s="207">
        <f>140+300</f>
        <v/>
      </c>
      <c r="AN109" s="207" t="n"/>
      <c r="AO109" s="207" t="n"/>
      <c r="AP109" s="207" t="n">
        <v>389</v>
      </c>
      <c r="AQ109" s="207" t="n">
        <v>225</v>
      </c>
      <c r="AR109" s="207" t="n">
        <v>258</v>
      </c>
      <c r="AS109" s="207" t="n">
        <v>0</v>
      </c>
      <c r="AT109" s="207" t="n">
        <v>0</v>
      </c>
      <c r="AU109" s="207" t="n">
        <v>0</v>
      </c>
      <c r="AV109" s="207" t="n">
        <v>0</v>
      </c>
      <c r="AW109" s="207" t="n">
        <v>0</v>
      </c>
      <c r="AX109" s="208" t="n">
        <v>1</v>
      </c>
      <c r="AY109" s="209">
        <f>L109*AX109+AP109+AQ109+AR109+AV109+AW109+AS109+AT109+AU109</f>
        <v/>
      </c>
      <c r="AZ109" s="207" t="n">
        <v>11195</v>
      </c>
      <c r="BA109" s="207" t="n">
        <v>0</v>
      </c>
      <c r="BB109" s="207">
        <f>AZ109*0.006</f>
        <v/>
      </c>
      <c r="BC109" s="209">
        <f>AZ109+BA109-BB109</f>
        <v/>
      </c>
      <c r="BD109" s="207" t="n">
        <v>0</v>
      </c>
      <c r="BE109" s="207" t="n">
        <v>0</v>
      </c>
      <c r="BF109" s="209">
        <f>BD109+BE109</f>
        <v/>
      </c>
      <c r="BG109" s="209">
        <f>BC109-AY109+BF109</f>
        <v/>
      </c>
      <c r="BH109" s="87" t="inlineStr">
        <is>
          <t>刘斌</t>
        </is>
      </c>
      <c r="BI109" s="87" t="inlineStr">
        <is>
          <t>浙江省 湖州市 安吉县 孝丰镇 苕源路88号五峰山运动村松月半岛31-2</t>
        </is>
      </c>
      <c r="BJ109" s="86" t="inlineStr">
        <is>
          <t>15785477594-8634</t>
        </is>
      </c>
      <c r="BK109" s="86" t="n"/>
      <c r="BL109" s="210">
        <f>BC109</f>
        <v/>
      </c>
      <c r="BM109" s="93" t="n"/>
      <c r="BN109" s="94" t="n"/>
      <c r="BO109" s="93" t="n"/>
      <c r="BP109" s="86" t="n"/>
      <c r="BQ109" s="96" t="n"/>
      <c r="BR109" s="96" t="n"/>
      <c r="BS109" s="97" t="n"/>
      <c r="BT109" s="96" t="n"/>
      <c r="BU109" s="97" t="n"/>
      <c r="BV109" s="96" t="n"/>
      <c r="BW109" s="97" t="n"/>
      <c r="BX109" s="97" t="n"/>
      <c r="BY109" s="97" t="n"/>
      <c r="BZ109" s="97" t="n"/>
      <c r="CA109" s="98" t="n"/>
      <c r="CH109" s="2" t="n"/>
      <c r="CI109" s="14">
        <f>CJ109&amp;CK109</f>
        <v/>
      </c>
      <c r="CY109" s="25" t="n"/>
      <c r="DA109" s="25" t="n"/>
      <c r="DC109" s="26" t="n"/>
      <c r="DD109" s="26" t="n"/>
      <c r="DE109" s="26" t="n"/>
      <c r="DF109" s="26" t="n"/>
      <c r="DG109" s="26" t="n"/>
      <c r="DH109" s="27" t="n"/>
      <c r="DJ109" s="211" t="inlineStr">
        <is>
          <t>订单表中未找到</t>
        </is>
      </c>
      <c r="DK109" t="inlineStr">
        <is>
          <t>—</t>
        </is>
      </c>
      <c r="DL109" t="inlineStr">
        <is>
          <t>—</t>
        </is>
      </c>
    </row>
    <row r="110" ht="15.75" customHeight="1" s="187">
      <c r="A110" s="84" t="n">
        <v>45744</v>
      </c>
      <c r="B110" s="206" t="inlineStr">
        <is>
          <t>已收货</t>
        </is>
      </c>
      <c r="C110" s="86" t="inlineStr">
        <is>
          <t>2513235325476258466</t>
        </is>
      </c>
      <c r="D110" s="87" t="inlineStr">
        <is>
          <t>张悦</t>
        </is>
      </c>
      <c r="E110" s="87" t="n"/>
      <c r="F110" s="87" t="n"/>
      <c r="G110" s="87" t="inlineStr">
        <is>
          <t>洞石色1.4米岩板餐桌</t>
        </is>
      </c>
      <c r="H110" s="87" t="inlineStr">
        <is>
          <t>榉木餐桌</t>
        </is>
      </c>
      <c r="I110" s="89" t="inlineStr">
        <is>
          <t>140cm*85cm</t>
        </is>
      </c>
      <c r="J110" s="87" t="inlineStr">
        <is>
          <t>已结算</t>
        </is>
      </c>
      <c r="K110" s="87" t="inlineStr">
        <is>
          <t>江西</t>
        </is>
      </c>
      <c r="L110" s="207">
        <f>SUM(M110:AO110)</f>
        <v/>
      </c>
      <c r="M110" s="207">
        <f>1480</f>
        <v/>
      </c>
      <c r="N110" s="207" t="n"/>
      <c r="O110" s="207" t="n"/>
      <c r="P110" s="207" t="n"/>
      <c r="Q110" s="207" t="n"/>
      <c r="R110" s="207" t="n">
        <v>460</v>
      </c>
      <c r="S110" s="207" t="n"/>
      <c r="T110" s="207" t="n"/>
      <c r="U110" s="207" t="n"/>
      <c r="V110" s="207" t="n"/>
      <c r="W110" s="207" t="n"/>
      <c r="X110" s="207" t="n"/>
      <c r="Y110" s="207" t="n"/>
      <c r="Z110" s="207" t="n"/>
      <c r="AA110" s="207" t="n"/>
      <c r="AB110" s="207" t="n"/>
      <c r="AC110" s="207" t="n"/>
      <c r="AD110" s="207" t="n">
        <v>2.5</v>
      </c>
      <c r="AE110" s="207" t="n"/>
      <c r="AF110" s="207" t="n"/>
      <c r="AG110" s="207" t="n"/>
      <c r="AH110" s="207" t="n"/>
      <c r="AI110" s="207" t="n"/>
      <c r="AJ110" s="207" t="n"/>
      <c r="AK110" s="207" t="n"/>
      <c r="AL110" s="207" t="n"/>
      <c r="AM110" s="207" t="n">
        <v>170</v>
      </c>
      <c r="AN110" s="207" t="n"/>
      <c r="AO110" s="207" t="n"/>
      <c r="AP110" s="207" t="n">
        <v>86</v>
      </c>
      <c r="AQ110" s="207" t="n">
        <v>72</v>
      </c>
      <c r="AR110" s="207" t="n">
        <v>78</v>
      </c>
      <c r="AS110" s="207" t="n">
        <v>0</v>
      </c>
      <c r="AT110" s="207" t="n">
        <v>0</v>
      </c>
      <c r="AU110" s="207" t="n">
        <v>0</v>
      </c>
      <c r="AV110" s="207" t="n">
        <v>0</v>
      </c>
      <c r="AW110" s="207" t="n">
        <v>0</v>
      </c>
      <c r="AX110" s="208" t="n">
        <v>1</v>
      </c>
      <c r="AY110" s="209">
        <f>L110*AX110+AP110+AQ110+AR110+AV110+AW110+AS110+AT110+AU110</f>
        <v/>
      </c>
      <c r="AZ110" s="207" t="n">
        <v>2775</v>
      </c>
      <c r="BA110" s="207" t="n">
        <v>0</v>
      </c>
      <c r="BB110" s="207">
        <f>AZ110*0.006</f>
        <v/>
      </c>
      <c r="BC110" s="209">
        <f>AZ110+BA110-BB110</f>
        <v/>
      </c>
      <c r="BD110" s="207" t="n">
        <v>0</v>
      </c>
      <c r="BE110" s="207" t="n">
        <v>0</v>
      </c>
      <c r="BF110" s="209">
        <f>BD110+BE110</f>
        <v/>
      </c>
      <c r="BG110" s="209">
        <f>BC110-AY110+BF110</f>
        <v/>
      </c>
      <c r="BH110" s="87" t="inlineStr">
        <is>
          <t>张悦</t>
        </is>
      </c>
      <c r="BI110" s="87" t="inlineStr">
        <is>
          <t>上海上海市 静安区 彭浦镇大华阳城花园22号楼401室</t>
        </is>
      </c>
      <c r="BJ110" s="86" t="inlineStr">
        <is>
          <t>18466652930-9645</t>
        </is>
      </c>
      <c r="BK110" s="86" t="n"/>
      <c r="BL110" s="210">
        <f>BC110</f>
        <v/>
      </c>
      <c r="BM110" s="93" t="n"/>
      <c r="BN110" s="94" t="n"/>
      <c r="BO110" s="93" t="n"/>
      <c r="BP110" s="86" t="n"/>
      <c r="BQ110" s="96" t="n"/>
      <c r="BR110" s="96" t="n"/>
      <c r="BS110" s="97" t="n"/>
      <c r="BT110" s="96" t="n"/>
      <c r="BU110" s="97" t="n"/>
      <c r="BV110" s="96" t="n"/>
      <c r="BW110" s="97" t="n"/>
      <c r="BX110" s="97" t="n"/>
      <c r="BY110" s="97" t="n"/>
      <c r="BZ110" s="97" t="n"/>
      <c r="CA110" s="98" t="n"/>
      <c r="CH110" s="2" t="n"/>
      <c r="CI110" s="14">
        <f>CJ110&amp;CK110</f>
        <v/>
      </c>
      <c r="CY110" s="25" t="n"/>
      <c r="DA110" s="25" t="n"/>
      <c r="DC110" s="26" t="n"/>
      <c r="DD110" s="26" t="n"/>
      <c r="DE110" s="26" t="n"/>
      <c r="DF110" s="26" t="n"/>
      <c r="DG110" s="26" t="n"/>
      <c r="DH110" s="27" t="n"/>
      <c r="DJ110" s="211" t="inlineStr">
        <is>
          <t>订单表中未找到</t>
        </is>
      </c>
      <c r="DK110" t="inlineStr">
        <is>
          <t>—</t>
        </is>
      </c>
      <c r="DL110" t="inlineStr">
        <is>
          <t>—</t>
        </is>
      </c>
    </row>
    <row r="111" ht="15.75" customHeight="1" s="187">
      <c r="A111" s="84" t="n">
        <v>45746</v>
      </c>
      <c r="B111" s="206" t="inlineStr">
        <is>
          <t>已收货</t>
        </is>
      </c>
      <c r="C111" s="86" t="inlineStr">
        <is>
          <t>2515408356519648755</t>
        </is>
      </c>
      <c r="D111" s="87" t="inlineStr">
        <is>
          <t>大陈</t>
        </is>
      </c>
      <c r="E111" s="87" t="n"/>
      <c r="F111" s="87" t="n"/>
      <c r="G111" s="87" t="inlineStr">
        <is>
          <t>樱桃木样块</t>
        </is>
      </c>
      <c r="H111" s="207" t="inlineStr">
        <is>
          <t>样块</t>
        </is>
      </c>
      <c r="I111" s="89" t="n"/>
      <c r="J111" s="87" t="inlineStr">
        <is>
          <t>已结算</t>
        </is>
      </c>
      <c r="K111" s="87" t="inlineStr">
        <is>
          <t>杭州</t>
        </is>
      </c>
      <c r="L111" s="207">
        <f>SUM(M111:AO111)</f>
        <v/>
      </c>
      <c r="M111" s="207" t="n">
        <v>5</v>
      </c>
      <c r="N111" s="207" t="n"/>
      <c r="O111" s="207" t="n"/>
      <c r="P111" s="207" t="n"/>
      <c r="Q111" s="207" t="n"/>
      <c r="R111" s="207" t="n"/>
      <c r="S111" s="207" t="n"/>
      <c r="T111" s="207" t="n"/>
      <c r="U111" s="207" t="n"/>
      <c r="V111" s="207" t="n"/>
      <c r="W111" s="207" t="n"/>
      <c r="X111" s="207" t="n"/>
      <c r="Y111" s="207" t="n"/>
      <c r="Z111" s="207" t="n"/>
      <c r="AA111" s="207" t="n"/>
      <c r="AB111" s="207" t="n"/>
      <c r="AC111" s="207" t="n"/>
      <c r="AD111" s="207" t="n"/>
      <c r="AE111" s="207" t="n"/>
      <c r="AF111" s="207" t="n"/>
      <c r="AG111" s="207" t="n"/>
      <c r="AH111" s="207" t="n"/>
      <c r="AI111" s="207" t="n"/>
      <c r="AJ111" s="207" t="n"/>
      <c r="AK111" s="207" t="n"/>
      <c r="AL111" s="207" t="n"/>
      <c r="AM111" s="207" t="n">
        <v>2</v>
      </c>
      <c r="AN111" s="207" t="n"/>
      <c r="AO111" s="207" t="n"/>
      <c r="AP111" s="207" t="n">
        <v>5</v>
      </c>
      <c r="AQ111" s="207" t="n">
        <v>0</v>
      </c>
      <c r="AR111" s="207" t="n">
        <v>0</v>
      </c>
      <c r="AS111" s="207" t="n">
        <v>0</v>
      </c>
      <c r="AT111" s="207" t="n">
        <v>0</v>
      </c>
      <c r="AU111" s="207" t="n">
        <v>0</v>
      </c>
      <c r="AV111" s="207" t="n">
        <v>0</v>
      </c>
      <c r="AW111" s="207" t="n">
        <v>0</v>
      </c>
      <c r="AX111" s="208" t="n">
        <v>1</v>
      </c>
      <c r="AY111" s="209">
        <f>L111*AX111+AP111+AQ111+AR111+AV111+AW111+AS111+AT111+AU111</f>
        <v/>
      </c>
      <c r="AZ111" s="207" t="n">
        <v>25</v>
      </c>
      <c r="BA111" s="207" t="n">
        <v>0</v>
      </c>
      <c r="BB111" s="207">
        <f>AZ111*0.006</f>
        <v/>
      </c>
      <c r="BC111" s="209">
        <f>AZ111+BA111-BB111</f>
        <v/>
      </c>
      <c r="BD111" s="207" t="n">
        <v>0</v>
      </c>
      <c r="BE111" s="207" t="n">
        <v>0</v>
      </c>
      <c r="BF111" s="209">
        <f>BD111+BE111</f>
        <v/>
      </c>
      <c r="BG111" s="209">
        <f>BC111-AY111+BF111</f>
        <v/>
      </c>
      <c r="BH111" s="87" t="inlineStr">
        <is>
          <t>大陈</t>
        </is>
      </c>
      <c r="BI111" s="210" t="inlineStr">
        <is>
          <t>湖南省 长沙市 长沙县 湘龙街道荣盛·锦绣学府3栋</t>
        </is>
      </c>
      <c r="BJ111" s="86" t="inlineStr">
        <is>
          <t>18448200100-2139</t>
        </is>
      </c>
      <c r="BK111" s="86" t="n"/>
      <c r="BL111" s="210">
        <f>BC111</f>
        <v/>
      </c>
      <c r="BM111" s="93" t="n"/>
      <c r="BN111" s="94" t="n"/>
      <c r="BO111" s="93" t="n"/>
      <c r="BP111" s="86" t="n"/>
      <c r="BQ111" s="96" t="n"/>
      <c r="BR111" s="96" t="n"/>
      <c r="BS111" s="97" t="n"/>
      <c r="BT111" s="96" t="n"/>
      <c r="BU111" s="97" t="n"/>
      <c r="BV111" s="96" t="n"/>
      <c r="BW111" s="97" t="n"/>
      <c r="BX111" s="97" t="n"/>
      <c r="BY111" s="97" t="n"/>
      <c r="BZ111" s="97" t="n"/>
      <c r="CA111" s="98" t="n"/>
      <c r="CH111" s="2" t="n"/>
      <c r="CI111" s="14">
        <f>CJ111&amp;CK111</f>
        <v/>
      </c>
      <c r="CY111" s="25" t="n"/>
      <c r="DA111" s="25" t="n"/>
      <c r="DC111" s="26" t="n"/>
      <c r="DD111" s="26" t="n"/>
      <c r="DE111" s="26" t="n"/>
      <c r="DF111" s="26" t="n"/>
      <c r="DG111" s="26" t="n"/>
      <c r="DH111" s="27" t="n"/>
      <c r="DJ111" s="211" t="inlineStr">
        <is>
          <t>订单表中未找到</t>
        </is>
      </c>
      <c r="DK111" t="inlineStr">
        <is>
          <t>—</t>
        </is>
      </c>
      <c r="DL111" t="inlineStr">
        <is>
          <t>—</t>
        </is>
      </c>
    </row>
    <row r="112" ht="15.75" customHeight="1" s="187">
      <c r="A112" s="84" t="n">
        <v>45748</v>
      </c>
      <c r="B112" s="206" t="inlineStr">
        <is>
          <t>已收货</t>
        </is>
      </c>
      <c r="C112" s="86" t="inlineStr">
        <is>
          <t>4285807167380220435</t>
        </is>
      </c>
      <c r="D112" s="87" t="inlineStr">
        <is>
          <t>陈先生</t>
        </is>
      </c>
      <c r="E112" s="87" t="inlineStr">
        <is>
          <t>已发，岩板黑色客户不满意换了新的，旧的后面可以用480</t>
        </is>
      </c>
      <c r="F112" s="87" t="n"/>
      <c r="G112" s="87" t="inlineStr">
        <is>
          <t>榉木旋转：210柜子+150餐桌，多层板隔板背板</t>
        </is>
      </c>
      <c r="H112" s="87" t="inlineStr">
        <is>
          <t>旋转餐边柜</t>
        </is>
      </c>
      <c r="I112" s="89" t="n">
        <v>2100</v>
      </c>
      <c r="J112" s="87" t="inlineStr">
        <is>
          <t>已结算</t>
        </is>
      </c>
      <c r="K112" s="87" t="inlineStr">
        <is>
          <t>江西</t>
        </is>
      </c>
      <c r="L112" s="207">
        <f>6080+320+34+20+480+52*2+84+14+52+480+755.08+55+42</f>
        <v/>
      </c>
      <c r="M112" s="207">
        <f>6080</f>
        <v/>
      </c>
      <c r="N112" s="207" t="n"/>
      <c r="O112" s="207" t="n"/>
      <c r="P112" s="207" t="n"/>
      <c r="Q112" s="207" t="n"/>
      <c r="R112" s="207" t="n"/>
      <c r="S112" s="207" t="inlineStr">
        <is>
          <t>52*2</t>
        </is>
      </c>
      <c r="T112" s="207" t="n">
        <v>84</v>
      </c>
      <c r="U112" s="207" t="n"/>
      <c r="V112" s="207" t="n"/>
      <c r="W112" s="207" t="n">
        <v>14</v>
      </c>
      <c r="X112" s="207" t="n">
        <v>52</v>
      </c>
      <c r="Y112" s="207" t="n">
        <v>480</v>
      </c>
      <c r="Z112" s="207" t="n"/>
      <c r="AA112" s="207" t="n"/>
      <c r="AB112" s="207" t="n"/>
      <c r="AC112" s="207" t="n"/>
      <c r="AD112" s="207" t="n">
        <v>55</v>
      </c>
      <c r="AE112" s="207" t="n">
        <v>755.08</v>
      </c>
      <c r="AF112" s="207" t="n">
        <v>42</v>
      </c>
      <c r="AG112" s="207" t="n"/>
      <c r="AH112" s="207" t="n"/>
      <c r="AI112" s="207" t="n"/>
      <c r="AJ112" s="207" t="n"/>
      <c r="AK112" s="207" t="n"/>
      <c r="AL112" s="207" t="n"/>
      <c r="AM112" s="207" t="n">
        <v>480</v>
      </c>
      <c r="AN112" s="207" t="n"/>
      <c r="AO112" s="207" t="n"/>
      <c r="AP112" s="207" t="n">
        <v>474</v>
      </c>
      <c r="AQ112" s="207" t="n">
        <v>0</v>
      </c>
      <c r="AR112" s="207" t="n">
        <v>288</v>
      </c>
      <c r="AS112" s="207" t="n">
        <v>0</v>
      </c>
      <c r="AT112" s="207" t="n">
        <v>0</v>
      </c>
      <c r="AU112" s="207" t="n">
        <v>0</v>
      </c>
      <c r="AV112" s="207" t="n">
        <v>100</v>
      </c>
      <c r="AW112" s="207" t="n">
        <v>21.75</v>
      </c>
      <c r="AX112" s="208" t="n">
        <v>1</v>
      </c>
      <c r="AY112" s="209">
        <f>L112*AX112+AP112+AQ112+AR112+AV112+AW112+AS112+AT112+AU112</f>
        <v/>
      </c>
      <c r="AZ112" s="207" t="n">
        <v>11452</v>
      </c>
      <c r="BA112" s="207" t="n">
        <v>0</v>
      </c>
      <c r="BB112" s="207">
        <f>AZ112*0.006</f>
        <v/>
      </c>
      <c r="BC112" s="209">
        <f>AZ112+BA112-BB112</f>
        <v/>
      </c>
      <c r="BD112" s="207" t="n">
        <v>0</v>
      </c>
      <c r="BE112" s="207" t="n">
        <v>0</v>
      </c>
      <c r="BF112" s="209">
        <f>BD112+BE112</f>
        <v/>
      </c>
      <c r="BG112" s="209">
        <f>BC112-AY112+BF112</f>
        <v/>
      </c>
      <c r="BH112" s="87" t="inlineStr">
        <is>
          <t>陈先生</t>
        </is>
      </c>
      <c r="BI112" s="210" t="inlineStr">
        <is>
          <t>广东省 深圳市 龙华区 观湖街道龙馨家园三单元3116</t>
        </is>
      </c>
      <c r="BJ112" s="86" t="inlineStr">
        <is>
          <t>18466249853-3919</t>
        </is>
      </c>
      <c r="BK112" s="86" t="n"/>
      <c r="BL112" s="210">
        <f>BC112</f>
        <v/>
      </c>
      <c r="BM112" s="93" t="n"/>
      <c r="BN112" s="94" t="n"/>
      <c r="BO112" s="93" t="inlineStr">
        <is>
          <t>黑色滑轨，黑色塑料轨道，黑色岩板，T25黑色轨道+4插座+左旋，悬浮五金，追加灯带</t>
        </is>
      </c>
      <c r="BP112" s="86" t="n"/>
      <c r="BQ112" s="96" t="n"/>
      <c r="BR112" s="96" t="n"/>
      <c r="BS112" s="97" t="n"/>
      <c r="BT112" s="96" t="n"/>
      <c r="BU112" s="97" t="n"/>
      <c r="BV112" s="96" t="n"/>
      <c r="BW112" s="97" t="n"/>
      <c r="BX112" s="97" t="n"/>
      <c r="BY112" s="97" t="n"/>
      <c r="BZ112" s="97" t="n"/>
      <c r="CA112" s="98" t="n"/>
      <c r="CH112" s="2" t="n"/>
      <c r="CI112" s="14">
        <f>CJ112&amp;CK112</f>
        <v/>
      </c>
      <c r="CY112" s="25" t="n"/>
      <c r="DA112" s="25" t="n"/>
      <c r="DC112" s="26" t="n"/>
      <c r="DD112" s="26" t="n"/>
      <c r="DE112" s="26" t="n"/>
      <c r="DF112" s="26" t="n"/>
      <c r="DG112" s="26" t="n"/>
      <c r="DH112" s="27" t="n"/>
      <c r="DJ112" s="211" t="inlineStr">
        <is>
          <t>订单表中未找到</t>
        </is>
      </c>
      <c r="DK112" t="inlineStr">
        <is>
          <t>—</t>
        </is>
      </c>
      <c r="DL112" t="inlineStr">
        <is>
          <t>—</t>
        </is>
      </c>
    </row>
    <row r="113" ht="15.75" customHeight="1" s="187">
      <c r="A113" s="84" t="n">
        <v>45750</v>
      </c>
      <c r="B113" s="206" t="inlineStr">
        <is>
          <t>已收货</t>
        </is>
      </c>
      <c r="C113" s="86" t="inlineStr">
        <is>
          <t>4288529522838077625</t>
        </is>
      </c>
      <c r="D113" s="87" t="inlineStr">
        <is>
          <t>王婷</t>
        </is>
      </c>
      <c r="E113" s="87" t="n"/>
      <c r="F113" s="87" t="n"/>
      <c r="G113" s="87" t="inlineStr">
        <is>
          <t>榉木餐边柜：1450（长）*350（宽）*1560（高），下柜高度900</t>
        </is>
      </c>
      <c r="H113" s="87" t="inlineStr">
        <is>
          <t>榉木餐边柜</t>
        </is>
      </c>
      <c r="I113" s="89" t="n">
        <v>1450</v>
      </c>
      <c r="J113" s="87" t="inlineStr">
        <is>
          <t>已结算</t>
        </is>
      </c>
      <c r="K113" s="87" t="inlineStr">
        <is>
          <t>江西</t>
        </is>
      </c>
      <c r="L113" s="207">
        <f>2850+130+337+79/2+22*2+52+330</f>
        <v/>
      </c>
      <c r="M113" s="207">
        <f>2850</f>
        <v/>
      </c>
      <c r="N113" s="207" t="n">
        <v>130</v>
      </c>
      <c r="O113" s="207" t="n">
        <v>337</v>
      </c>
      <c r="P113" s="207" t="n">
        <v>28887</v>
      </c>
      <c r="Q113" s="207" t="n"/>
      <c r="R113" s="207" t="inlineStr">
        <is>
          <t>22*2</t>
        </is>
      </c>
      <c r="S113" s="207" t="n">
        <v>52</v>
      </c>
      <c r="T113" s="207" t="n">
        <v>330</v>
      </c>
      <c r="U113" s="207" t="n"/>
      <c r="V113" s="207" t="n"/>
      <c r="W113" s="207" t="n"/>
      <c r="X113" s="207" t="n"/>
      <c r="Y113" s="207" t="n"/>
      <c r="Z113" s="207" t="n"/>
      <c r="AA113" s="207" t="n"/>
      <c r="AB113" s="207" t="n"/>
      <c r="AC113" s="207" t="n"/>
      <c r="AD113" s="207" t="n"/>
      <c r="AE113" s="207" t="n"/>
      <c r="AF113" s="207" t="n"/>
      <c r="AG113" s="207" t="n"/>
      <c r="AH113" s="207" t="n"/>
      <c r="AI113" s="207" t="n"/>
      <c r="AJ113" s="207" t="n"/>
      <c r="AK113" s="207" t="n"/>
      <c r="AL113" s="207" t="n"/>
      <c r="AM113" s="207" t="n">
        <v>330</v>
      </c>
      <c r="AN113" s="207" t="n"/>
      <c r="AO113" s="207" t="n"/>
      <c r="AP113" s="207" t="n">
        <v>292</v>
      </c>
      <c r="AQ113" s="207" t="n">
        <v>71</v>
      </c>
      <c r="AR113" s="207" t="n">
        <v>65</v>
      </c>
      <c r="AS113" s="207" t="n">
        <v>0</v>
      </c>
      <c r="AT113" s="207" t="n">
        <v>0</v>
      </c>
      <c r="AU113" s="207" t="n">
        <v>0</v>
      </c>
      <c r="AV113" s="207" t="n">
        <v>80</v>
      </c>
      <c r="AW113" s="207" t="n">
        <v>0</v>
      </c>
      <c r="AX113" s="208" t="n">
        <v>1</v>
      </c>
      <c r="AY113" s="209">
        <f>L113*AX113+AP113+AQ113+AR113+AV113+AW113+AS113+AT113+AU113</f>
        <v/>
      </c>
      <c r="AZ113" s="207" t="n">
        <v>5888</v>
      </c>
      <c r="BA113" s="207" t="n">
        <v>0</v>
      </c>
      <c r="BB113" s="207">
        <f>AZ113*0.006</f>
        <v/>
      </c>
      <c r="BC113" s="209">
        <f>AZ113+BA113-BB113</f>
        <v/>
      </c>
      <c r="BD113" s="207" t="n">
        <v>0</v>
      </c>
      <c r="BE113" s="207" t="n">
        <v>0</v>
      </c>
      <c r="BF113" s="209">
        <f>BD113+BE113</f>
        <v/>
      </c>
      <c r="BG113" s="209">
        <f>BC113-AY113+BF113</f>
        <v/>
      </c>
      <c r="BH113" s="87" t="inlineStr">
        <is>
          <t>王婷</t>
        </is>
      </c>
      <c r="BI113" s="210" t="inlineStr">
        <is>
          <t>四川省 成都市 龙泉驿区 龙泉街道北泉路1068号艺锦湾</t>
        </is>
      </c>
      <c r="BJ113" s="86" t="inlineStr">
        <is>
          <t>18418974196-9478</t>
        </is>
      </c>
      <c r="BK113" s="86" t="n"/>
      <c r="BL113" s="210">
        <f>BC113</f>
        <v/>
      </c>
      <c r="BM113" s="93" t="n"/>
      <c r="BN113" s="94" t="n"/>
      <c r="BO113" s="93" t="inlineStr">
        <is>
          <t>白色岩板，森尔电力轨道</t>
        </is>
      </c>
      <c r="BP113" s="86" t="n"/>
      <c r="BQ113" s="96" t="n"/>
      <c r="BR113" s="96" t="n"/>
      <c r="BS113" s="97" t="n"/>
      <c r="BT113" s="96" t="n"/>
      <c r="BU113" s="97" t="n"/>
      <c r="BV113" s="96" t="n"/>
      <c r="BW113" s="97" t="n"/>
      <c r="BX113" s="97" t="n"/>
      <c r="BY113" s="97" t="n"/>
      <c r="BZ113" s="97" t="n"/>
      <c r="CA113" s="98" t="n"/>
      <c r="CH113" s="2" t="n"/>
      <c r="CI113" s="14">
        <f>CJ113&amp;CK113</f>
        <v/>
      </c>
      <c r="CY113" s="25" t="n"/>
      <c r="DA113" s="25" t="n"/>
      <c r="DC113" s="26" t="n"/>
      <c r="DD113" s="26" t="n"/>
      <c r="DE113" s="26" t="n"/>
      <c r="DF113" s="26" t="n"/>
      <c r="DG113" s="26" t="n"/>
      <c r="DH113" s="27" t="n"/>
      <c r="DJ113" s="211" t="inlineStr">
        <is>
          <t>订单表中未找到</t>
        </is>
      </c>
      <c r="DK113" t="inlineStr">
        <is>
          <t>—</t>
        </is>
      </c>
      <c r="DL113" t="inlineStr">
        <is>
          <t>—</t>
        </is>
      </c>
    </row>
    <row r="114" ht="15.75" customHeight="1" s="187">
      <c r="A114" s="84" t="n">
        <v>45751</v>
      </c>
      <c r="B114" s="206" t="inlineStr">
        <is>
          <t>已收货</t>
        </is>
      </c>
      <c r="C114" s="86" t="inlineStr">
        <is>
          <t>4288839625202367737</t>
        </is>
      </c>
      <c r="D114" s="87" t="inlineStr">
        <is>
          <t>呼先生</t>
        </is>
      </c>
      <c r="E114" s="87" t="n"/>
      <c r="F114" s="87" t="n"/>
      <c r="G114" s="87" t="inlineStr">
        <is>
          <t>旋转柜：左旋樱桃木茶色玻璃常规1.6柜+1.2单腿餐桌</t>
        </is>
      </c>
      <c r="H114" s="87" t="inlineStr">
        <is>
          <t>旋转餐边柜</t>
        </is>
      </c>
      <c r="I114" s="89" t="n">
        <v>1600</v>
      </c>
      <c r="J114" s="87" t="inlineStr">
        <is>
          <t>已结算</t>
        </is>
      </c>
      <c r="K114" s="87" t="inlineStr">
        <is>
          <t>江西</t>
        </is>
      </c>
      <c r="L114" s="207">
        <f>5600+240+525+280+42+22*9+52+22+370</f>
        <v/>
      </c>
      <c r="M114" s="207">
        <f>5600</f>
        <v/>
      </c>
      <c r="N114" s="207" t="n"/>
      <c r="O114" s="207" t="n"/>
      <c r="P114" s="207" t="n"/>
      <c r="Q114" s="207" t="n"/>
      <c r="R114" s="207" t="n"/>
      <c r="S114" s="207" t="n"/>
      <c r="T114" s="207" t="n">
        <v>52</v>
      </c>
      <c r="U114" s="207" t="n"/>
      <c r="V114" s="207" t="n"/>
      <c r="W114" s="207" t="n">
        <v>22</v>
      </c>
      <c r="X114" s="207">
        <f>22*9</f>
        <v/>
      </c>
      <c r="Y114" s="207" t="n"/>
      <c r="Z114" s="207" t="n"/>
      <c r="AA114" s="207" t="n"/>
      <c r="AB114" s="207" t="n"/>
      <c r="AC114" s="207" t="n"/>
      <c r="AD114" s="207" t="n"/>
      <c r="AE114" s="207" t="n"/>
      <c r="AF114" s="207" t="n"/>
      <c r="AG114" s="207" t="n"/>
      <c r="AH114" s="207" t="n"/>
      <c r="AI114" s="207" t="n"/>
      <c r="AJ114" s="207" t="n"/>
      <c r="AK114" s="207" t="n"/>
      <c r="AL114" s="207" t="n"/>
      <c r="AM114" s="207" t="n">
        <v>370</v>
      </c>
      <c r="AN114" s="207" t="n"/>
      <c r="AO114" s="207" t="n"/>
      <c r="AP114" s="207" t="n">
        <v>631</v>
      </c>
      <c r="AQ114" s="207" t="n">
        <v>86</v>
      </c>
      <c r="AR114" s="207" t="n">
        <v>200</v>
      </c>
      <c r="AS114" s="207" t="n">
        <v>0</v>
      </c>
      <c r="AT114" s="207" t="n">
        <v>0</v>
      </c>
      <c r="AU114" s="207" t="n">
        <v>0</v>
      </c>
      <c r="AV114" s="207" t="n">
        <v>0</v>
      </c>
      <c r="AW114" s="207" t="n">
        <v>219.64</v>
      </c>
      <c r="AX114" s="208" t="n">
        <v>1</v>
      </c>
      <c r="AY114" s="209">
        <f>L114*AX114+AP114+AQ114+AR114+AV114+AW114+AS114+AT114+AU114</f>
        <v/>
      </c>
      <c r="AZ114" s="207" t="n">
        <v>10386.52</v>
      </c>
      <c r="BA114" s="207" t="n">
        <v>0</v>
      </c>
      <c r="BB114" s="207">
        <f>AZ114*0.006</f>
        <v/>
      </c>
      <c r="BC114" s="209">
        <f>AZ114+BA114-BB114</f>
        <v/>
      </c>
      <c r="BD114" s="207" t="n">
        <v>0</v>
      </c>
      <c r="BE114" s="207" t="n">
        <v>0</v>
      </c>
      <c r="BF114" s="209">
        <f>BD114+BE114</f>
        <v/>
      </c>
      <c r="BG114" s="209">
        <f>BC114-AY114+BF114</f>
        <v/>
      </c>
      <c r="BH114" s="87" t="inlineStr">
        <is>
          <t>呼先生</t>
        </is>
      </c>
      <c r="BI114" s="210" t="inlineStr">
        <is>
          <t>北京 北京市 丰台区 看丹街道富丰园东路1号院泽信公馆北门1号楼2单元1304</t>
        </is>
      </c>
      <c r="BJ114" s="86" t="inlineStr">
        <is>
          <t>18401165286-4966</t>
        </is>
      </c>
      <c r="BK114" s="86" t="n"/>
      <c r="BL114" s="210">
        <f>BC114</f>
        <v/>
      </c>
      <c r="BM114" s="93" t="n"/>
      <c r="BN114" s="94" t="n"/>
      <c r="BO114" s="93" t="inlineStr">
        <is>
          <t>U80+2插座左出线；洞洞板；洞洞板配件挂篮；已采樱桃木把手；悬浮五金</t>
        </is>
      </c>
      <c r="BP114" s="86" t="n"/>
      <c r="BQ114" s="96" t="n"/>
      <c r="BR114" s="96" t="n"/>
      <c r="BS114" s="97" t="n"/>
      <c r="BT114" s="96" t="n"/>
      <c r="BU114" s="97" t="n"/>
      <c r="BV114" s="96" t="n"/>
      <c r="BW114" s="97" t="n"/>
      <c r="BX114" s="97" t="n"/>
      <c r="BY114" s="97" t="n"/>
      <c r="BZ114" s="97" t="n"/>
      <c r="CA114" s="98" t="n"/>
      <c r="CH114" s="2" t="n"/>
      <c r="CI114" s="14">
        <f>CJ114&amp;CK114</f>
        <v/>
      </c>
      <c r="CY114" s="25" t="n"/>
      <c r="DA114" s="25" t="n"/>
      <c r="DC114" s="26" t="n"/>
      <c r="DD114" s="26" t="n"/>
      <c r="DE114" s="26" t="n"/>
      <c r="DF114" s="26" t="n"/>
      <c r="DG114" s="26" t="n"/>
      <c r="DH114" s="27" t="n"/>
      <c r="DJ114" s="211" t="inlineStr">
        <is>
          <t>订单表中未找到</t>
        </is>
      </c>
      <c r="DK114" t="inlineStr">
        <is>
          <t>—</t>
        </is>
      </c>
      <c r="DL114" t="inlineStr">
        <is>
          <t>—</t>
        </is>
      </c>
    </row>
    <row r="115" ht="15.75" customHeight="1" s="187">
      <c r="A115" s="84" t="n">
        <v>45753</v>
      </c>
      <c r="B115" s="206" t="inlineStr">
        <is>
          <t>已收货</t>
        </is>
      </c>
      <c r="C115" s="86" t="inlineStr">
        <is>
          <t>4290836292118972631</t>
        </is>
      </c>
      <c r="D115" s="87" t="inlineStr">
        <is>
          <t>李晓云</t>
        </is>
      </c>
      <c r="E115" s="87" t="n"/>
      <c r="F115" s="87" t="n"/>
      <c r="G115" s="87" t="inlineStr">
        <is>
          <t>洞石餐边柜：樱桃木1.6 +1.2洞石岩板餐桌+4个插座</t>
        </is>
      </c>
      <c r="H115" s="87" t="inlineStr">
        <is>
          <t>洞石餐边柜</t>
        </is>
      </c>
      <c r="I115" s="89" t="n">
        <v>1600</v>
      </c>
      <c r="J115" s="87" t="inlineStr">
        <is>
          <t>已结算</t>
        </is>
      </c>
      <c r="K115" s="87" t="inlineStr">
        <is>
          <t>江西</t>
        </is>
      </c>
      <c r="L115" s="207">
        <f>5800+50+22*9+52*2+84+14+625.08+450+350+360+320</f>
        <v/>
      </c>
      <c r="M115" s="207">
        <f>5800</f>
        <v/>
      </c>
      <c r="N115" s="207" t="n">
        <v>50</v>
      </c>
      <c r="O115" s="207" t="inlineStr">
        <is>
          <t>22*9</t>
        </is>
      </c>
      <c r="P115" s="207" t="inlineStr">
        <is>
          <t>52*2</t>
        </is>
      </c>
      <c r="Q115" s="207" t="n"/>
      <c r="R115" s="207" t="n">
        <v>84</v>
      </c>
      <c r="S115" s="207" t="n">
        <v>14</v>
      </c>
      <c r="T115" s="207" t="n">
        <v>625.08</v>
      </c>
      <c r="U115" s="207" t="n"/>
      <c r="V115" s="207" t="n"/>
      <c r="W115" s="207" t="n">
        <v>450</v>
      </c>
      <c r="X115" s="207" t="n">
        <v>350</v>
      </c>
      <c r="Y115" s="207" t="n">
        <v>360</v>
      </c>
      <c r="Z115" s="207" t="n"/>
      <c r="AA115" s="207" t="n"/>
      <c r="AB115" s="207" t="n"/>
      <c r="AC115" s="207" t="n"/>
      <c r="AD115" s="207" t="n"/>
      <c r="AE115" s="207" t="n">
        <v>320</v>
      </c>
      <c r="AF115" s="207" t="n"/>
      <c r="AG115" s="207" t="n"/>
      <c r="AH115" s="207" t="n"/>
      <c r="AI115" s="207" t="n"/>
      <c r="AJ115" s="207" t="n"/>
      <c r="AK115" s="207" t="n"/>
      <c r="AL115" s="207" t="n"/>
      <c r="AM115" s="207" t="n">
        <v>450</v>
      </c>
      <c r="AN115" s="207" t="n"/>
      <c r="AO115" s="207" t="n"/>
      <c r="AP115" s="207" t="n">
        <v>642</v>
      </c>
      <c r="AQ115" s="207" t="n">
        <v>110</v>
      </c>
      <c r="AR115" s="207" t="n">
        <v>150</v>
      </c>
      <c r="AS115" s="207" t="n">
        <v>0</v>
      </c>
      <c r="AT115" s="207" t="n">
        <v>0</v>
      </c>
      <c r="AU115" s="207" t="n">
        <v>0</v>
      </c>
      <c r="AV115" s="207" t="n">
        <v>100</v>
      </c>
      <c r="AW115" s="207" t="n">
        <v>0</v>
      </c>
      <c r="AX115" s="208" t="n">
        <v>1</v>
      </c>
      <c r="AY115" s="209">
        <f>L115*AX115+AP115+AQ115+AR115+AV115+AW115+AS115+AT115+AU115</f>
        <v/>
      </c>
      <c r="AZ115" s="207" t="n">
        <v>12678</v>
      </c>
      <c r="BA115" s="207" t="n">
        <v>0</v>
      </c>
      <c r="BB115" s="207">
        <f>AZ115*0.006</f>
        <v/>
      </c>
      <c r="BC115" s="209">
        <f>AZ115+BA115-BB115</f>
        <v/>
      </c>
      <c r="BD115" s="207" t="n">
        <v>0</v>
      </c>
      <c r="BE115" s="207" t="n">
        <v>0</v>
      </c>
      <c r="BF115" s="209">
        <f>BD115+BE115</f>
        <v/>
      </c>
      <c r="BG115" s="209">
        <f>BC115-AY115+BF115</f>
        <v/>
      </c>
      <c r="BH115" s="87" t="inlineStr">
        <is>
          <t>李晓云</t>
        </is>
      </c>
      <c r="BI115" s="210" t="inlineStr">
        <is>
          <t>辽宁省 大连市 甘井子区 凌水街道 清恬园6号楼四单元302</t>
        </is>
      </c>
      <c r="BJ115" s="86" t="inlineStr">
        <is>
          <t>13074167454-5578</t>
        </is>
      </c>
      <c r="BK115" s="86" t="n"/>
      <c r="BL115" s="210">
        <f>BC115</f>
        <v/>
      </c>
      <c r="BM115" s="93" t="n"/>
      <c r="BN115" s="94" t="n"/>
      <c r="BO115" s="93" t="inlineStr">
        <is>
          <t>已采樱桃木把手，T25轨道+4插座，洞石背板，洞石岩板，悬浮五金，银色轨道</t>
        </is>
      </c>
      <c r="BP115" s="86" t="n"/>
      <c r="BQ115" s="96" t="n"/>
      <c r="BR115" s="96" t="n"/>
      <c r="BS115" s="97" t="n"/>
      <c r="BT115" s="96" t="n"/>
      <c r="BU115" s="97" t="n"/>
      <c r="BV115" s="96" t="n"/>
      <c r="BW115" s="97" t="n"/>
      <c r="BX115" s="97" t="n"/>
      <c r="BY115" s="97" t="n"/>
      <c r="BZ115" s="97" t="n"/>
      <c r="CA115" s="98" t="n"/>
      <c r="CH115" s="2" t="n"/>
      <c r="CI115" s="14">
        <f>CJ115&amp;CK115</f>
        <v/>
      </c>
      <c r="CY115" s="25" t="n"/>
      <c r="DA115" s="25" t="n"/>
      <c r="DC115" s="26" t="n"/>
      <c r="DD115" s="26" t="n"/>
      <c r="DE115" s="26" t="n"/>
      <c r="DF115" s="26" t="n"/>
      <c r="DG115" s="26" t="n"/>
      <c r="DH115" s="27" t="n"/>
      <c r="DJ115" s="211" t="inlineStr">
        <is>
          <t>订单表中未找到</t>
        </is>
      </c>
      <c r="DK115" t="inlineStr">
        <is>
          <t>—</t>
        </is>
      </c>
      <c r="DL115" t="inlineStr">
        <is>
          <t>—</t>
        </is>
      </c>
    </row>
    <row r="116" ht="15.75" customHeight="1" s="187">
      <c r="A116" s="84" t="n">
        <v>45753</v>
      </c>
      <c r="B116" s="206" t="inlineStr">
        <is>
          <t>已收货</t>
        </is>
      </c>
      <c r="C116" s="86" t="inlineStr">
        <is>
          <t>2522287489024393797</t>
        </is>
      </c>
      <c r="D116" s="87" t="inlineStr">
        <is>
          <t>张先生</t>
        </is>
      </c>
      <c r="E116" s="87" t="n"/>
      <c r="F116" s="87" t="n"/>
      <c r="G116" s="87" t="inlineStr">
        <is>
          <t>2.1旋转柜：黑胡桃材质，右，2.1洞洞板餐边柜+1.6单腿餐桌</t>
        </is>
      </c>
      <c r="H116" s="87" t="inlineStr">
        <is>
          <t>旋转餐边柜</t>
        </is>
      </c>
      <c r="I116" s="89" t="n">
        <v>2100</v>
      </c>
      <c r="J116" s="87" t="inlineStr">
        <is>
          <t>已结算</t>
        </is>
      </c>
      <c r="K116" s="87" t="inlineStr">
        <is>
          <t>江西</t>
        </is>
      </c>
      <c r="L116" s="207">
        <f>10300+4.93+22*9+22+52+340+42+655+480</f>
        <v/>
      </c>
      <c r="M116" s="207">
        <f>10300</f>
        <v/>
      </c>
      <c r="N116" s="207" t="n"/>
      <c r="O116" s="207" t="n"/>
      <c r="P116" s="207" t="n"/>
      <c r="Q116" s="207" t="n"/>
      <c r="R116" s="207" t="n"/>
      <c r="S116" s="207" t="n">
        <v>340</v>
      </c>
      <c r="T116" s="207" t="n">
        <v>42</v>
      </c>
      <c r="U116" s="207" t="n"/>
      <c r="V116" s="207" t="n"/>
      <c r="W116" s="207" t="n">
        <v>655</v>
      </c>
      <c r="X116" s="207">
        <f>22*9</f>
        <v/>
      </c>
      <c r="Y116" s="207" t="n"/>
      <c r="Z116" s="207" t="n"/>
      <c r="AA116" s="207" t="n"/>
      <c r="AB116" s="207" t="n"/>
      <c r="AC116" s="207" t="n"/>
      <c r="AD116" s="207" t="n"/>
      <c r="AE116" s="207" t="n"/>
      <c r="AF116" s="207" t="n"/>
      <c r="AG116" s="207" t="n"/>
      <c r="AH116" s="207" t="n"/>
      <c r="AI116" s="207" t="n"/>
      <c r="AJ116" s="207" t="n"/>
      <c r="AK116" s="207" t="n"/>
      <c r="AL116" s="207" t="n"/>
      <c r="AM116" s="207" t="n">
        <v>480</v>
      </c>
      <c r="AN116" s="207" t="n"/>
      <c r="AO116" s="207" t="n"/>
      <c r="AP116" s="207" t="n">
        <v>461</v>
      </c>
      <c r="AQ116" s="207" t="n">
        <v>80</v>
      </c>
      <c r="AR116" s="207" t="n">
        <v>389</v>
      </c>
      <c r="AS116" s="207" t="n">
        <v>0</v>
      </c>
      <c r="AT116" s="207" t="n">
        <v>0</v>
      </c>
      <c r="AU116" s="207" t="n">
        <v>0</v>
      </c>
      <c r="AV116" s="207" t="n">
        <v>163</v>
      </c>
      <c r="AW116" s="207" t="n">
        <v>0</v>
      </c>
      <c r="AX116" s="208" t="n">
        <v>1</v>
      </c>
      <c r="AY116" s="209">
        <f>L116*AX116+AP116+AQ116+AR116+AV116+AW116+AS116+AT116+AU116</f>
        <v/>
      </c>
      <c r="AZ116" s="207" t="n">
        <v>17150</v>
      </c>
      <c r="BA116" s="207" t="n">
        <v>0</v>
      </c>
      <c r="BB116" s="207">
        <f>AZ116*0.006</f>
        <v/>
      </c>
      <c r="BC116" s="209">
        <f>AZ116+BA116-BB116</f>
        <v/>
      </c>
      <c r="BD116" s="207" t="n">
        <v>0</v>
      </c>
      <c r="BE116" s="207" t="n">
        <v>0</v>
      </c>
      <c r="BF116" s="209">
        <f>BD116+BE116</f>
        <v/>
      </c>
      <c r="BG116" s="209">
        <f>BC116-AY116+BF116</f>
        <v/>
      </c>
      <c r="BH116" s="87" t="inlineStr">
        <is>
          <t>张先生</t>
        </is>
      </c>
      <c r="BI116" s="210" t="inlineStr">
        <is>
          <t>江苏省 苏州市 吴江区 松陵街道松陵大道188号朗诗太湖绿郡15栋604</t>
        </is>
      </c>
      <c r="BJ116" s="86" t="inlineStr">
        <is>
          <t>18468588334-8172</t>
        </is>
      </c>
      <c r="BK116" s="86" t="n"/>
      <c r="BL116" s="210">
        <f>BC116</f>
        <v/>
      </c>
      <c r="BM116" s="93" t="n"/>
      <c r="BN116" s="94" t="n"/>
      <c r="BO116" s="93" t="inlineStr">
        <is>
          <t>U80+2插座右出线；洞洞板；黑胡桃把手；悬浮五金</t>
        </is>
      </c>
      <c r="BP116" s="86" t="n"/>
      <c r="BQ116" s="96" t="n"/>
      <c r="BR116" s="96" t="n"/>
      <c r="BS116" s="97" t="n"/>
      <c r="BT116" s="96" t="n"/>
      <c r="BU116" s="97" t="n"/>
      <c r="BV116" s="96" t="n"/>
      <c r="BW116" s="97" t="n"/>
      <c r="BX116" s="97" t="n"/>
      <c r="BY116" s="97" t="n"/>
      <c r="BZ116" s="97" t="n"/>
      <c r="CA116" s="98" t="n"/>
      <c r="CH116" s="2" t="n"/>
      <c r="CI116" s="14" t="n"/>
      <c r="CJ116" s="26" t="n"/>
      <c r="CK116" s="26" t="n"/>
      <c r="CL116" s="26" t="n"/>
      <c r="CO116" s="25" t="n"/>
      <c r="CP116" s="26" t="n"/>
      <c r="CQ116" s="26" t="n"/>
      <c r="CR116" s="25" t="n"/>
      <c r="CS116" s="25" t="n"/>
      <c r="CT116" s="25" t="n"/>
      <c r="CU116" s="25" t="n"/>
      <c r="CV116" s="25" t="n"/>
      <c r="CW116" s="25" t="n"/>
      <c r="CX116" s="25" t="n"/>
      <c r="CY116" s="25" t="n"/>
      <c r="CZ116" s="25" t="n"/>
      <c r="DA116" s="25" t="n"/>
      <c r="DC116" s="26" t="n"/>
      <c r="DD116" s="26" t="n"/>
      <c r="DE116" s="26" t="n"/>
      <c r="DF116" s="26" t="n"/>
      <c r="DG116" s="26" t="n"/>
      <c r="DH116" s="27" t="n"/>
      <c r="DJ116" s="211" t="inlineStr">
        <is>
          <t>订单表中未找到</t>
        </is>
      </c>
      <c r="DK116" t="inlineStr">
        <is>
          <t>—</t>
        </is>
      </c>
      <c r="DL116" t="inlineStr">
        <is>
          <t>—</t>
        </is>
      </c>
    </row>
    <row r="117" ht="15.75" customHeight="1" s="187">
      <c r="A117" s="84" t="n">
        <v>45754</v>
      </c>
      <c r="B117" s="206" t="inlineStr">
        <is>
          <t>已收货</t>
        </is>
      </c>
      <c r="C117" s="86" t="inlineStr">
        <is>
          <t>4292639571283541410</t>
        </is>
      </c>
      <c r="D117" s="87" t="inlineStr">
        <is>
          <t>倪先生</t>
        </is>
      </c>
      <c r="E117" s="87" t="n"/>
      <c r="F117" s="87" t="n"/>
      <c r="G117" s="87" t="inlineStr">
        <is>
          <t>原木色1.8米餐桌</t>
        </is>
      </c>
      <c r="H117" s="87" t="inlineStr">
        <is>
          <t>榉木餐桌</t>
        </is>
      </c>
      <c r="I117" s="89" t="inlineStr">
        <is>
          <t>180cm*85cm</t>
        </is>
      </c>
      <c r="J117" s="87" t="inlineStr">
        <is>
          <t>已结算</t>
        </is>
      </c>
      <c r="K117" s="87" t="inlineStr">
        <is>
          <t>江西</t>
        </is>
      </c>
      <c r="L117" s="207">
        <f>SUM(M117:AO117)</f>
        <v/>
      </c>
      <c r="M117" s="207">
        <f>1540</f>
        <v/>
      </c>
      <c r="N117" s="207" t="n"/>
      <c r="O117" s="207" t="n"/>
      <c r="P117" s="207" t="n"/>
      <c r="Q117" s="207" t="n"/>
      <c r="R117" s="207" t="n">
        <v>380</v>
      </c>
      <c r="S117" s="207" t="n"/>
      <c r="T117" s="207" t="n"/>
      <c r="U117" s="207" t="n"/>
      <c r="V117" s="207" t="n"/>
      <c r="W117" s="207" t="n"/>
      <c r="X117" s="207" t="n"/>
      <c r="Y117" s="207" t="n"/>
      <c r="Z117" s="207" t="n"/>
      <c r="AA117" s="207" t="n"/>
      <c r="AB117" s="207" t="n"/>
      <c r="AC117" s="207" t="n"/>
      <c r="AD117" s="207" t="n">
        <v>2.5</v>
      </c>
      <c r="AE117" s="207" t="n"/>
      <c r="AF117" s="207" t="n"/>
      <c r="AG117" s="207" t="n"/>
      <c r="AH117" s="207" t="n"/>
      <c r="AI117" s="207" t="n"/>
      <c r="AJ117" s="207" t="n"/>
      <c r="AK117" s="207" t="n"/>
      <c r="AL117" s="207" t="n"/>
      <c r="AM117" s="207" t="n">
        <v>130</v>
      </c>
      <c r="AN117" s="207" t="n"/>
      <c r="AO117" s="207" t="n"/>
      <c r="AP117" s="207" t="n">
        <v>93</v>
      </c>
      <c r="AQ117" s="207" t="n">
        <v>51</v>
      </c>
      <c r="AR117" s="207" t="n">
        <v>69</v>
      </c>
      <c r="AS117" s="207" t="n">
        <v>0</v>
      </c>
      <c r="AT117" s="207" t="n">
        <v>0</v>
      </c>
      <c r="AU117" s="207" t="n">
        <v>0</v>
      </c>
      <c r="AV117" s="207" t="n">
        <v>20</v>
      </c>
      <c r="AW117" s="207" t="n">
        <v>0</v>
      </c>
      <c r="AX117" s="208" t="n">
        <v>1</v>
      </c>
      <c r="AY117" s="209">
        <f>L117*AX117+AP117+AQ117+AR117+AV117+AW117+AS117+AT117+AU117</f>
        <v/>
      </c>
      <c r="AZ117" s="207" t="n">
        <v>3145.25</v>
      </c>
      <c r="BA117" s="207" t="n">
        <v>0</v>
      </c>
      <c r="BB117" s="207">
        <f>AZ117*0.006</f>
        <v/>
      </c>
      <c r="BC117" s="209">
        <f>AZ117+BA117-BB117</f>
        <v/>
      </c>
      <c r="BD117" s="207" t="n">
        <v>0</v>
      </c>
      <c r="BE117" s="207" t="n">
        <v>0</v>
      </c>
      <c r="BF117" s="209">
        <f>BD117+BE117</f>
        <v/>
      </c>
      <c r="BG117" s="209">
        <f>BC117-AY117+BF117</f>
        <v/>
      </c>
      <c r="BH117" s="87" t="inlineStr">
        <is>
          <t>倪先生</t>
        </is>
      </c>
      <c r="BI117" s="210" t="inlineStr">
        <is>
          <t>江苏省 苏州市 昆山市 锦溪镇同周公路99号尚滨花园10-403</t>
        </is>
      </c>
      <c r="BJ117" s="86" t="inlineStr">
        <is>
          <t>18468587701-5445</t>
        </is>
      </c>
      <c r="BK117" s="86" t="n"/>
      <c r="BL117" s="210">
        <f>BC117</f>
        <v/>
      </c>
      <c r="BM117" s="93" t="n"/>
      <c r="BN117" s="94" t="n"/>
      <c r="BO117" s="93" t="inlineStr">
        <is>
          <t>180*85cm纯白岩板</t>
        </is>
      </c>
      <c r="BP117" s="86" t="n"/>
      <c r="BQ117" s="96" t="n"/>
      <c r="BR117" s="96" t="n"/>
      <c r="BS117" s="97" t="n"/>
      <c r="BT117" s="96" t="n"/>
      <c r="BU117" s="97" t="n"/>
      <c r="BV117" s="96" t="n"/>
      <c r="BW117" s="97" t="n"/>
      <c r="BX117" s="97" t="n"/>
      <c r="BY117" s="97" t="n"/>
      <c r="BZ117" s="97" t="n"/>
      <c r="CA117" s="98" t="n"/>
      <c r="CH117" s="2" t="n"/>
      <c r="CI117" s="14">
        <f>CJ117&amp;CK117</f>
        <v/>
      </c>
      <c r="CY117" s="25" t="n"/>
      <c r="DA117" s="25" t="n"/>
      <c r="DC117" s="26" t="n"/>
      <c r="DD117" s="26" t="n"/>
      <c r="DE117" s="26" t="n"/>
      <c r="DF117" s="26" t="n"/>
      <c r="DG117" s="26" t="n"/>
      <c r="DH117" s="27" t="n"/>
      <c r="DJ117" s="211" t="inlineStr">
        <is>
          <t>订单表中未找到</t>
        </is>
      </c>
      <c r="DK117" t="inlineStr">
        <is>
          <t>—</t>
        </is>
      </c>
      <c r="DL117" t="inlineStr">
        <is>
          <t>—</t>
        </is>
      </c>
    </row>
    <row r="118" ht="15.75" customHeight="1" s="187">
      <c r="A118" s="84" t="n">
        <v>45753</v>
      </c>
      <c r="B118" s="206" t="inlineStr">
        <is>
          <t>已收货</t>
        </is>
      </c>
      <c r="C118" s="86" t="inlineStr">
        <is>
          <t>4292124842052179613</t>
        </is>
      </c>
      <c r="D118" s="87" t="inlineStr">
        <is>
          <t>李娜</t>
        </is>
      </c>
      <c r="E118" s="87" t="n"/>
      <c r="F118" s="87" t="n"/>
      <c r="G118" s="87" t="inlineStr">
        <is>
          <t>连柜书桌-定制（榉木，长度1100*深度650*高度1700）</t>
        </is>
      </c>
      <c r="H118" s="87" t="inlineStr">
        <is>
          <t>连柜书桌</t>
        </is>
      </c>
      <c r="I118" s="89" t="n">
        <v>1100</v>
      </c>
      <c r="J118" s="87" t="inlineStr">
        <is>
          <t>已结算</t>
        </is>
      </c>
      <c r="K118" s="87" t="inlineStr">
        <is>
          <t>江西</t>
        </is>
      </c>
      <c r="L118" s="207">
        <f>SUM(M118:AO118)</f>
        <v/>
      </c>
      <c r="M118" s="207">
        <f>2600</f>
        <v/>
      </c>
      <c r="N118" s="207" t="n"/>
      <c r="O118" s="207" t="n"/>
      <c r="P118" s="207" t="n"/>
      <c r="Q118" s="207" t="n"/>
      <c r="R118" s="207" t="n"/>
      <c r="S118" s="207" t="n"/>
      <c r="T118" s="207" t="n">
        <v>52</v>
      </c>
      <c r="U118" s="207" t="n"/>
      <c r="V118" s="207" t="n"/>
      <c r="W118" s="207" t="n"/>
      <c r="X118" s="207">
        <f>22*2</f>
        <v/>
      </c>
      <c r="Y118" s="207" t="n"/>
      <c r="Z118" s="207" t="n"/>
      <c r="AA118" s="207" t="n"/>
      <c r="AB118" s="207" t="n"/>
      <c r="AC118" s="207" t="n"/>
      <c r="AD118" s="207" t="n"/>
      <c r="AE118" s="207" t="n"/>
      <c r="AF118" s="207" t="n"/>
      <c r="AG118" s="207" t="n"/>
      <c r="AH118" s="207" t="n"/>
      <c r="AI118" s="207" t="n"/>
      <c r="AJ118" s="207" t="n"/>
      <c r="AK118" s="207" t="n"/>
      <c r="AL118" s="207" t="n"/>
      <c r="AM118" s="207" t="n">
        <v>240</v>
      </c>
      <c r="AN118" s="207" t="n"/>
      <c r="AO118" s="207" t="n"/>
      <c r="AP118" s="207" t="n">
        <v>124</v>
      </c>
      <c r="AQ118" s="207" t="n">
        <v>61</v>
      </c>
      <c r="AR118" s="207" t="n">
        <v>69</v>
      </c>
      <c r="AS118" s="207" t="n">
        <v>0</v>
      </c>
      <c r="AT118" s="207" t="n">
        <v>0</v>
      </c>
      <c r="AU118" s="207" t="n">
        <v>0</v>
      </c>
      <c r="AV118" s="207" t="n">
        <v>100</v>
      </c>
      <c r="AW118" s="207" t="n">
        <v>0</v>
      </c>
      <c r="AX118" s="208" t="n">
        <v>1</v>
      </c>
      <c r="AY118" s="209">
        <f>L118*AX118+AP118+AQ118+AR118+AV118+AW118+AS118+AT118+AU118</f>
        <v/>
      </c>
      <c r="AZ118" s="207" t="n">
        <v>3475</v>
      </c>
      <c r="BA118" s="207" t="n">
        <v>0</v>
      </c>
      <c r="BB118" s="207">
        <f>AZ118*0.006</f>
        <v/>
      </c>
      <c r="BC118" s="209">
        <f>AZ118+BA118-BB118</f>
        <v/>
      </c>
      <c r="BD118" s="207" t="n">
        <v>0</v>
      </c>
      <c r="BE118" s="207" t="n">
        <v>0</v>
      </c>
      <c r="BF118" s="209">
        <f>BD118+BE118</f>
        <v/>
      </c>
      <c r="BG118" s="209">
        <f>BC118-AY118+BF118</f>
        <v/>
      </c>
      <c r="BH118" s="87" t="inlineStr">
        <is>
          <t>李娜</t>
        </is>
      </c>
      <c r="BI118" s="210" t="inlineStr">
        <is>
          <t>江苏省 南京市 江宁区 秣陵街道 日新路8号百家臻园1栋2单元404</t>
        </is>
      </c>
      <c r="BJ118" s="86" t="inlineStr">
        <is>
          <t>15784255126-6277</t>
        </is>
      </c>
      <c r="BK118" s="86" t="n"/>
      <c r="BL118" s="210">
        <f>BC118</f>
        <v/>
      </c>
      <c r="BM118" s="93" t="n"/>
      <c r="BN118" s="94" t="n"/>
      <c r="BO118" s="93" t="inlineStr">
        <is>
          <t>嵌入式插座</t>
        </is>
      </c>
      <c r="BP118" s="86" t="n"/>
      <c r="BQ118" s="96" t="n"/>
      <c r="BR118" s="96" t="n"/>
      <c r="BS118" s="97" t="n"/>
      <c r="BT118" s="96" t="n"/>
      <c r="BU118" s="97" t="n"/>
      <c r="BV118" s="96" t="n"/>
      <c r="BW118" s="97" t="n"/>
      <c r="BX118" s="97" t="n"/>
      <c r="BY118" s="97" t="n"/>
      <c r="BZ118" s="97" t="n"/>
      <c r="CA118" s="98" t="n"/>
      <c r="CH118" s="2" t="n"/>
      <c r="CI118" s="14">
        <f>CJ118&amp;CK118</f>
        <v/>
      </c>
      <c r="CY118" s="25" t="n"/>
      <c r="DA118" s="25" t="n"/>
      <c r="DC118" s="26" t="n"/>
      <c r="DD118" s="26" t="n"/>
      <c r="DE118" s="26" t="n"/>
      <c r="DF118" s="26" t="n"/>
      <c r="DG118" s="26" t="n"/>
      <c r="DH118" s="27" t="n"/>
      <c r="DJ118" s="211" t="inlineStr">
        <is>
          <t>订单表中未找到</t>
        </is>
      </c>
      <c r="DK118" t="inlineStr">
        <is>
          <t>—</t>
        </is>
      </c>
      <c r="DL118" t="inlineStr">
        <is>
          <t>—</t>
        </is>
      </c>
    </row>
    <row r="119" ht="15.75" customHeight="1" s="187">
      <c r="A119" s="84" t="n">
        <v>45756</v>
      </c>
      <c r="B119" s="206" t="inlineStr">
        <is>
          <t>已收货</t>
        </is>
      </c>
      <c r="C119" s="86" t="inlineStr">
        <is>
          <t>4294317096636955039</t>
        </is>
      </c>
      <c r="D119" s="87" t="inlineStr">
        <is>
          <t>顾立锋</t>
        </is>
      </c>
      <c r="E119" s="87" t="n"/>
      <c r="F119" s="87" t="n"/>
      <c r="G119" s="87" t="inlineStr">
        <is>
          <t>樱桃木材质，6个组合柜+2个木脚</t>
        </is>
      </c>
      <c r="H119" s="87" t="inlineStr">
        <is>
          <t>组合柜</t>
        </is>
      </c>
      <c r="I119" s="89" t="n"/>
      <c r="J119" s="87" t="inlineStr">
        <is>
          <t>已结算</t>
        </is>
      </c>
      <c r="K119" s="87" t="inlineStr">
        <is>
          <t>江西</t>
        </is>
      </c>
      <c r="L119" s="207">
        <f>5600+6.97/20*6+22*4+18/20*4+240</f>
        <v/>
      </c>
      <c r="M119" s="207">
        <f>5600</f>
        <v/>
      </c>
      <c r="N119" s="207" t="inlineStr">
        <is>
          <t>6.97/20*6</t>
        </is>
      </c>
      <c r="O119" s="207" t="inlineStr">
        <is>
          <t>22*4</t>
        </is>
      </c>
      <c r="P119" s="207" t="inlineStr">
        <is>
          <t>18/20*4</t>
        </is>
      </c>
      <c r="Q119" s="207" t="n"/>
      <c r="R119" s="207" t="n">
        <v>240</v>
      </c>
      <c r="S119" s="207" t="n"/>
      <c r="T119" s="207" t="n"/>
      <c r="U119" s="207" t="n"/>
      <c r="V119" s="207" t="n"/>
      <c r="W119" s="207" t="n"/>
      <c r="X119" s="207" t="n"/>
      <c r="Y119" s="207" t="n"/>
      <c r="Z119" s="207" t="n"/>
      <c r="AA119" s="207" t="n"/>
      <c r="AB119" s="207" t="n"/>
      <c r="AC119" s="207" t="n"/>
      <c r="AD119" s="207" t="n"/>
      <c r="AE119" s="207" t="n"/>
      <c r="AF119" s="207" t="n"/>
      <c r="AG119" s="207" t="n"/>
      <c r="AH119" s="207" t="n"/>
      <c r="AI119" s="207" t="n"/>
      <c r="AJ119" s="207" t="n"/>
      <c r="AK119" s="207" t="n"/>
      <c r="AL119" s="207" t="n"/>
      <c r="AM119" s="207" t="n">
        <v>240</v>
      </c>
      <c r="AN119" s="207" t="n"/>
      <c r="AO119" s="207" t="n"/>
      <c r="AP119" s="207" t="n">
        <v>152</v>
      </c>
      <c r="AQ119" s="207" t="n">
        <v>115</v>
      </c>
      <c r="AR119" s="207" t="n">
        <v>178</v>
      </c>
      <c r="AS119" s="207" t="n">
        <v>0</v>
      </c>
      <c r="AT119" s="207" t="n">
        <v>0</v>
      </c>
      <c r="AU119" s="207" t="n">
        <v>0</v>
      </c>
      <c r="AV119" s="207" t="n">
        <v>100</v>
      </c>
      <c r="AW119" s="207" t="n">
        <v>0</v>
      </c>
      <c r="AX119" s="208" t="n">
        <v>1</v>
      </c>
      <c r="AY119" s="209">
        <f>L119*AX119+AP119+AQ119+AR119+AV119+AW119+AS119+AT119+AU119</f>
        <v/>
      </c>
      <c r="AZ119" s="207" t="n">
        <v>8132</v>
      </c>
      <c r="BA119" s="207" t="n">
        <v>0</v>
      </c>
      <c r="BB119" s="207">
        <f>AZ119*0.006</f>
        <v/>
      </c>
      <c r="BC119" s="209">
        <f>AZ119+BA119-BB119</f>
        <v/>
      </c>
      <c r="BD119" s="207" t="n">
        <v>0</v>
      </c>
      <c r="BE119" s="207" t="n">
        <v>0</v>
      </c>
      <c r="BF119" s="209">
        <f>BD119+BE119</f>
        <v/>
      </c>
      <c r="BG119" s="209">
        <f>BC119-AY119+BF119</f>
        <v/>
      </c>
      <c r="BH119" s="87" t="inlineStr">
        <is>
          <t>顾立锋</t>
        </is>
      </c>
      <c r="BI119" s="210" t="inlineStr">
        <is>
          <t>江苏省 无锡市 锡山区 安镇街道无锡市锡山区安镇街道豪景东苑62幢502</t>
        </is>
      </c>
      <c r="BJ119" s="86" t="inlineStr">
        <is>
          <t>18468321452-2048</t>
        </is>
      </c>
      <c r="BK119" s="86" t="n"/>
      <c r="BL119" s="210">
        <f>BC119</f>
        <v/>
      </c>
      <c r="BM119" s="93" t="n"/>
      <c r="BN119" s="94" t="n"/>
      <c r="BO119" s="93" t="inlineStr">
        <is>
          <t>问下师傅灵感柜的抽屉定制五金有没有了</t>
        </is>
      </c>
      <c r="BP119" s="86" t="n"/>
      <c r="BQ119" s="96" t="n"/>
      <c r="BR119" s="96" t="n"/>
      <c r="BS119" s="97" t="n"/>
      <c r="BT119" s="96" t="n"/>
      <c r="BU119" s="97" t="n"/>
      <c r="BV119" s="96" t="n"/>
      <c r="BW119" s="97" t="n"/>
      <c r="BX119" s="97" t="n"/>
      <c r="BY119" s="97" t="n"/>
      <c r="BZ119" s="97" t="n"/>
      <c r="CA119" s="98" t="n"/>
      <c r="CH119" s="2" t="n"/>
      <c r="CI119" s="14">
        <f>CJ119&amp;CK119</f>
        <v/>
      </c>
      <c r="CY119" s="25" t="n"/>
      <c r="DA119" s="25" t="n"/>
      <c r="DC119" s="26" t="n"/>
      <c r="DD119" s="26" t="n"/>
      <c r="DE119" s="26" t="n"/>
      <c r="DF119" s="26" t="n"/>
      <c r="DG119" s="26" t="n"/>
      <c r="DH119" s="27" t="n"/>
      <c r="DJ119" s="211" t="inlineStr">
        <is>
          <t>订单表中未找到</t>
        </is>
      </c>
      <c r="DK119" t="inlineStr">
        <is>
          <t>—</t>
        </is>
      </c>
      <c r="DL119" t="inlineStr">
        <is>
          <t>—</t>
        </is>
      </c>
    </row>
    <row r="120" ht="15.75" customHeight="1" s="187">
      <c r="A120" s="84" t="n">
        <v>45756</v>
      </c>
      <c r="B120" s="206" t="inlineStr">
        <is>
          <t>已收货</t>
        </is>
      </c>
      <c r="C120" s="86" t="inlineStr">
        <is>
          <t>4294602252278156045</t>
        </is>
      </c>
      <c r="D120" s="87" t="inlineStr">
        <is>
          <t>胡月月</t>
        </is>
      </c>
      <c r="E120" s="87" t="n"/>
      <c r="F120" s="87" t="n"/>
      <c r="G120" s="87" t="inlineStr">
        <is>
          <t>1.8洞石岩板柜</t>
        </is>
      </c>
      <c r="H120" s="87" t="inlineStr">
        <is>
          <t>洞石餐边柜</t>
        </is>
      </c>
      <c r="I120" s="89" t="n">
        <v>1800</v>
      </c>
      <c r="J120" s="87" t="inlineStr">
        <is>
          <t>已结算，灰色玻璃</t>
        </is>
      </c>
      <c r="K120" s="87" t="inlineStr">
        <is>
          <t>江西</t>
        </is>
      </c>
      <c r="L120" s="207">
        <f>6080+22*9+52*2+84+14+20+14+14+320+320+580+567.08+71</f>
        <v/>
      </c>
      <c r="M120" s="207">
        <f>6080</f>
        <v/>
      </c>
      <c r="N120" s="207" t="inlineStr">
        <is>
          <t>22*9</t>
        </is>
      </c>
      <c r="O120" s="207" t="inlineStr">
        <is>
          <t>52*2</t>
        </is>
      </c>
      <c r="P120" s="207" t="n">
        <v>84</v>
      </c>
      <c r="Q120" s="207" t="n"/>
      <c r="R120" s="207" t="n">
        <v>14</v>
      </c>
      <c r="S120" s="207" t="n">
        <v>20</v>
      </c>
      <c r="T120" s="207" t="n">
        <v>14</v>
      </c>
      <c r="U120" s="207" t="n"/>
      <c r="V120" s="207" t="n"/>
      <c r="W120" s="207" t="n">
        <v>14</v>
      </c>
      <c r="X120" s="207" t="n">
        <v>320</v>
      </c>
      <c r="Y120" s="207" t="n">
        <v>320</v>
      </c>
      <c r="Z120" s="207" t="n"/>
      <c r="AA120" s="207" t="n"/>
      <c r="AB120" s="207" t="n"/>
      <c r="AC120" s="207" t="n"/>
      <c r="AD120" s="207" t="n">
        <v>567.08</v>
      </c>
      <c r="AE120" s="207" t="n">
        <v>580</v>
      </c>
      <c r="AF120" s="207" t="n">
        <v>71</v>
      </c>
      <c r="AG120" s="207" t="n"/>
      <c r="AH120" s="207" t="n"/>
      <c r="AI120" s="207" t="n"/>
      <c r="AJ120" s="207" t="n"/>
      <c r="AK120" s="207" t="n"/>
      <c r="AL120" s="207" t="n"/>
      <c r="AM120" s="207">
        <f>20+300</f>
        <v/>
      </c>
      <c r="AN120" s="207" t="n"/>
      <c r="AO120" s="207" t="n"/>
      <c r="AP120" s="207" t="n">
        <v>430</v>
      </c>
      <c r="AQ120" s="207" t="n">
        <v>360</v>
      </c>
      <c r="AR120" s="207" t="n">
        <v>258</v>
      </c>
      <c r="AS120" s="207" t="n">
        <v>0</v>
      </c>
      <c r="AT120" s="207" t="n">
        <v>0</v>
      </c>
      <c r="AU120" s="207" t="n">
        <v>0</v>
      </c>
      <c r="AV120" s="207" t="n">
        <v>180</v>
      </c>
      <c r="AW120" s="207" t="n">
        <v>0</v>
      </c>
      <c r="AX120" s="208" t="n">
        <v>1</v>
      </c>
      <c r="AY120" s="209">
        <f>L120*AX120+AP120+AQ120+AR120+AV120+AW120+AS120+AT120+AU120</f>
        <v/>
      </c>
      <c r="AZ120" s="207" t="n">
        <v>12000</v>
      </c>
      <c r="BA120" s="207" t="n">
        <v>0</v>
      </c>
      <c r="BB120" s="207">
        <f>AZ120*0.006</f>
        <v/>
      </c>
      <c r="BC120" s="209">
        <f>AZ120+BA120-BB120</f>
        <v/>
      </c>
      <c r="BD120" s="207" t="n">
        <v>0</v>
      </c>
      <c r="BE120" s="207" t="n">
        <v>0</v>
      </c>
      <c r="BF120" s="209">
        <f>BD120+BE120</f>
        <v/>
      </c>
      <c r="BG120" s="209">
        <f>BC120-AY120+BF120</f>
        <v/>
      </c>
      <c r="BH120" s="87" t="inlineStr">
        <is>
          <t>胡月月</t>
        </is>
      </c>
      <c r="BI120" s="210" t="inlineStr">
        <is>
          <t>浙江省 台州市 椒江区 洪家街道 海城路荣安棠樾5幢1501 室</t>
        </is>
      </c>
      <c r="BJ120" s="86" t="inlineStr">
        <is>
          <t>15786479215-6378</t>
        </is>
      </c>
      <c r="BK120" s="86" t="n"/>
      <c r="BL120" s="210">
        <f>BC120</f>
        <v/>
      </c>
      <c r="BM120" s="93" t="n"/>
      <c r="BN120" s="94" t="n"/>
      <c r="BO120" s="93" t="inlineStr">
        <is>
          <t>T25 银色轨道+2插座，mini拉手，塑料轨道，银色轨道</t>
        </is>
      </c>
      <c r="BP120" s="86" t="n"/>
      <c r="BQ120" s="96" t="n"/>
      <c r="BR120" s="96" t="n"/>
      <c r="BS120" s="97" t="n"/>
      <c r="BT120" s="96" t="n"/>
      <c r="BU120" s="97" t="n"/>
      <c r="BV120" s="96" t="n"/>
      <c r="BW120" s="97" t="n"/>
      <c r="BX120" s="97" t="n"/>
      <c r="BY120" s="97" t="n"/>
      <c r="BZ120" s="97" t="n"/>
      <c r="CA120" s="98" t="n"/>
      <c r="CH120" s="2" t="n"/>
      <c r="CI120" s="14">
        <f>CJ120&amp;CK120</f>
        <v/>
      </c>
      <c r="CY120" s="25" t="n"/>
      <c r="DA120" s="25" t="n"/>
      <c r="DC120" s="26" t="n"/>
      <c r="DD120" s="26" t="n"/>
      <c r="DE120" s="26" t="n"/>
      <c r="DF120" s="26" t="n"/>
      <c r="DG120" s="26" t="n"/>
      <c r="DH120" s="27" t="n"/>
      <c r="DJ120" s="211" t="inlineStr">
        <is>
          <t>订单表中未找到</t>
        </is>
      </c>
      <c r="DK120" t="inlineStr">
        <is>
          <t>—</t>
        </is>
      </c>
      <c r="DL120" t="inlineStr">
        <is>
          <t>—</t>
        </is>
      </c>
    </row>
    <row r="121" ht="15.75" customHeight="1" s="187">
      <c r="A121" s="84" t="n">
        <v>45761</v>
      </c>
      <c r="B121" s="206" t="inlineStr">
        <is>
          <t>已收货</t>
        </is>
      </c>
      <c r="C121" s="86" t="inlineStr">
        <is>
          <t>4301246162128646345</t>
        </is>
      </c>
      <c r="D121" s="87" t="inlineStr">
        <is>
          <t>陈生</t>
        </is>
      </c>
      <c r="E121" s="87" t="n"/>
      <c r="F121" s="87" t="n"/>
      <c r="G121" s="87" t="inlineStr">
        <is>
          <t>砂白色1.6米岩板餐桌</t>
        </is>
      </c>
      <c r="H121" s="87" t="inlineStr">
        <is>
          <t>榉木餐桌</t>
        </is>
      </c>
      <c r="I121" s="89" t="inlineStr">
        <is>
          <t>160cm*85cm</t>
        </is>
      </c>
      <c r="J121" s="87" t="inlineStr">
        <is>
          <t>已结算</t>
        </is>
      </c>
      <c r="K121" s="87" t="inlineStr">
        <is>
          <t>江西</t>
        </is>
      </c>
      <c r="L121" s="207">
        <f>SUM(M121:AO121)</f>
        <v/>
      </c>
      <c r="M121" s="207">
        <f>1540</f>
        <v/>
      </c>
      <c r="N121" s="207" t="n"/>
      <c r="O121" s="207" t="n"/>
      <c r="P121" s="207" t="n"/>
      <c r="Q121" s="207" t="n"/>
      <c r="R121" s="207" t="n">
        <v>240</v>
      </c>
      <c r="S121" s="207" t="n"/>
      <c r="T121" s="207" t="n"/>
      <c r="U121" s="207" t="n"/>
      <c r="V121" s="207" t="n"/>
      <c r="W121" s="207" t="n"/>
      <c r="X121" s="207" t="n"/>
      <c r="Y121" s="207" t="n"/>
      <c r="Z121" s="207" t="n"/>
      <c r="AA121" s="207" t="n"/>
      <c r="AB121" s="207" t="n"/>
      <c r="AC121" s="207" t="n"/>
      <c r="AD121" s="207" t="n">
        <v>2.5</v>
      </c>
      <c r="AE121" s="207" t="n"/>
      <c r="AF121" s="207" t="n"/>
      <c r="AG121" s="207" t="n"/>
      <c r="AH121" s="207" t="n"/>
      <c r="AI121" s="207" t="n"/>
      <c r="AJ121" s="207" t="n"/>
      <c r="AK121" s="207" t="n"/>
      <c r="AL121" s="207" t="n"/>
      <c r="AM121" s="207" t="n">
        <v>130</v>
      </c>
      <c r="AN121" s="207" t="n"/>
      <c r="AO121" s="207" t="n"/>
      <c r="AP121" s="207" t="n">
        <v>95</v>
      </c>
      <c r="AQ121" s="207" t="n">
        <v>51</v>
      </c>
      <c r="AR121" s="207" t="n">
        <v>85</v>
      </c>
      <c r="AS121" s="207" t="n">
        <v>0</v>
      </c>
      <c r="AT121" s="207" t="n">
        <v>0</v>
      </c>
      <c r="AU121" s="207" t="n">
        <v>0</v>
      </c>
      <c r="AV121" s="207" t="n">
        <v>20</v>
      </c>
      <c r="AW121" s="207" t="n">
        <v>191.67</v>
      </c>
      <c r="AX121" s="208" t="n">
        <v>1</v>
      </c>
      <c r="AY121" s="209">
        <f>L121*AX121+AP121+AQ121+AR121+AV121+AW121+AS121+AT121+AU121</f>
        <v/>
      </c>
      <c r="AZ121" s="207" t="n">
        <v>2944.04</v>
      </c>
      <c r="BA121" s="207" t="n">
        <v>0</v>
      </c>
      <c r="BB121" s="207">
        <f>AZ121*0.006</f>
        <v/>
      </c>
      <c r="BC121" s="209">
        <f>AZ121+BA121-BB121</f>
        <v/>
      </c>
      <c r="BD121" s="207" t="n">
        <v>0</v>
      </c>
      <c r="BE121" s="207" t="n">
        <v>0</v>
      </c>
      <c r="BF121" s="209">
        <f>BD121+BE121</f>
        <v/>
      </c>
      <c r="BG121" s="209">
        <f>BC121-AY121+BF121</f>
        <v/>
      </c>
      <c r="BH121" s="87" t="inlineStr">
        <is>
          <t>陈生</t>
        </is>
      </c>
      <c r="BI121" s="210" t="inlineStr">
        <is>
          <t>广东省 佛山市 禅城区 祖庙街道福贤路81号(猫咖左边)</t>
        </is>
      </c>
      <c r="BJ121" s="86" t="inlineStr">
        <is>
          <t>18466322929-6711</t>
        </is>
      </c>
      <c r="BK121" s="86" t="n"/>
      <c r="BL121" s="210">
        <f>BC121</f>
        <v/>
      </c>
      <c r="BM121" s="93" t="n"/>
      <c r="BN121" s="94" t="n"/>
      <c r="BO121" s="93" t="n"/>
      <c r="BP121" s="86" t="n"/>
      <c r="BQ121" s="96" t="n"/>
      <c r="BR121" s="96" t="n"/>
      <c r="BS121" s="97" t="n"/>
      <c r="BT121" s="96" t="n"/>
      <c r="BU121" s="97" t="n"/>
      <c r="BV121" s="96" t="n"/>
      <c r="BW121" s="97" t="n"/>
      <c r="BX121" s="97" t="n"/>
      <c r="BY121" s="97" t="n"/>
      <c r="BZ121" s="97" t="n"/>
      <c r="CA121" s="98" t="n"/>
      <c r="CH121" s="2" t="n"/>
      <c r="CI121" s="14">
        <f>CJ121&amp;CK121</f>
        <v/>
      </c>
      <c r="CY121" s="25" t="n"/>
      <c r="DA121" s="25" t="n"/>
      <c r="DC121" s="26" t="n"/>
      <c r="DD121" s="26" t="n"/>
      <c r="DE121" s="26" t="n"/>
      <c r="DF121" s="26" t="n"/>
      <c r="DG121" s="26" t="n"/>
      <c r="DH121" s="27" t="n"/>
      <c r="DJ121" s="211" t="inlineStr">
        <is>
          <t>订单表中未找到</t>
        </is>
      </c>
      <c r="DK121" t="inlineStr">
        <is>
          <t>—</t>
        </is>
      </c>
      <c r="DL121" t="inlineStr">
        <is>
          <t>—</t>
        </is>
      </c>
    </row>
    <row r="122" ht="15.75" customHeight="1" s="187">
      <c r="A122" s="84" t="n">
        <v>45762</v>
      </c>
      <c r="B122" s="206" t="inlineStr">
        <is>
          <t>已收货</t>
        </is>
      </c>
      <c r="C122" s="86" t="inlineStr">
        <is>
          <t>2531508170164940173</t>
        </is>
      </c>
      <c r="D122" s="87" t="inlineStr">
        <is>
          <t>Poppy</t>
        </is>
      </c>
      <c r="E122" s="87" t="n"/>
      <c r="F122" s="87" t="n"/>
      <c r="G122" s="87" t="inlineStr">
        <is>
          <t>砂白色2.4米岩板餐桌，定制+6把椅子</t>
        </is>
      </c>
      <c r="H122" s="87" t="inlineStr">
        <is>
          <t>榉木餐桌</t>
        </is>
      </c>
      <c r="I122" s="89" t="inlineStr">
        <is>
          <t>240cm*85cm</t>
        </is>
      </c>
      <c r="J122" s="87" t="inlineStr">
        <is>
          <t>已结算</t>
        </is>
      </c>
      <c r="K122" s="87" t="inlineStr">
        <is>
          <t>江西</t>
        </is>
      </c>
      <c r="L122" s="207">
        <f>SUM(M122:AO122)</f>
        <v/>
      </c>
      <c r="M122" s="207">
        <f>1720</f>
        <v/>
      </c>
      <c r="N122" s="207" t="n"/>
      <c r="O122" s="207" t="n"/>
      <c r="P122" s="207" t="n"/>
      <c r="Q122" s="207" t="n"/>
      <c r="R122" s="207" t="n">
        <v>775</v>
      </c>
      <c r="S122" s="207" t="n"/>
      <c r="T122" s="207" t="n"/>
      <c r="U122" s="207" t="n"/>
      <c r="V122" s="207" t="n"/>
      <c r="W122" s="207" t="n"/>
      <c r="X122" s="207" t="n"/>
      <c r="Y122" s="207" t="n"/>
      <c r="Z122" s="207" t="n"/>
      <c r="AA122" s="207" t="n"/>
      <c r="AB122" s="207" t="n"/>
      <c r="AC122" s="207" t="n"/>
      <c r="AD122" s="207" t="n">
        <v>2.5</v>
      </c>
      <c r="AE122" s="207" t="n"/>
      <c r="AF122" s="207" t="n">
        <v>763.5599999999999</v>
      </c>
      <c r="AG122" s="207" t="n"/>
      <c r="AH122" s="207" t="n"/>
      <c r="AI122" s="207" t="n"/>
      <c r="AJ122" s="207" t="n"/>
      <c r="AK122" s="207" t="n"/>
      <c r="AL122" s="207" t="n"/>
      <c r="AM122" s="207" t="n">
        <v>140</v>
      </c>
      <c r="AN122" s="207" t="n"/>
      <c r="AO122" s="207" t="n"/>
      <c r="AP122" s="207" t="n">
        <v>94</v>
      </c>
      <c r="AQ122" s="207" t="n">
        <v>51</v>
      </c>
      <c r="AR122" s="207" t="n">
        <v>0</v>
      </c>
      <c r="AS122" s="207" t="n">
        <v>0</v>
      </c>
      <c r="AT122" s="207" t="n">
        <v>0</v>
      </c>
      <c r="AU122" s="207" t="n">
        <v>0</v>
      </c>
      <c r="AV122" s="207" t="n">
        <v>50</v>
      </c>
      <c r="AW122" s="207" t="n">
        <v>0</v>
      </c>
      <c r="AX122" s="208" t="n">
        <v>1</v>
      </c>
      <c r="AY122" s="209">
        <f>L122*AX122+AP122+AQ122+AR122+AV122+AW122+AS122+AT122+AU122</f>
        <v/>
      </c>
      <c r="AZ122" s="207" t="n">
        <v>6559</v>
      </c>
      <c r="BA122" s="207" t="n">
        <v>0</v>
      </c>
      <c r="BB122" s="207">
        <f>AZ122*0.006</f>
        <v/>
      </c>
      <c r="BC122" s="209">
        <f>AZ122+BA122-BB122</f>
        <v/>
      </c>
      <c r="BD122" s="207" t="n">
        <v>0</v>
      </c>
      <c r="BE122" s="207" t="n">
        <v>0</v>
      </c>
      <c r="BF122" s="209">
        <f>BD122+BE122</f>
        <v/>
      </c>
      <c r="BG122" s="209">
        <f>BC122-AY122+BF122</f>
        <v/>
      </c>
      <c r="BH122" s="87" t="inlineStr">
        <is>
          <t>Poppy</t>
        </is>
      </c>
      <c r="BI122" s="210" t="inlineStr">
        <is>
          <t>浙江省 杭州市 上城区 九堡街道 宣田巷1号得力中心E幢11楼杭州丁于服饰有限公司</t>
        </is>
      </c>
      <c r="BJ122" s="86" t="inlineStr">
        <is>
          <t>18413213042-3083</t>
        </is>
      </c>
      <c r="BK122" s="86" t="n"/>
      <c r="BL122" s="210">
        <f>BC122</f>
        <v/>
      </c>
      <c r="BM122" s="93" t="n"/>
      <c r="BN122" s="94" t="n"/>
      <c r="BO122" s="93" t="inlineStr">
        <is>
          <t>T25 银色轨道+2插座，mini拉手，塑料轨道，银色轨道</t>
        </is>
      </c>
      <c r="BP122" s="86" t="n"/>
      <c r="BQ122" s="96" t="n"/>
      <c r="BR122" s="96" t="n"/>
      <c r="BS122" s="97" t="n"/>
      <c r="BT122" s="96" t="n"/>
      <c r="BU122" s="97" t="n"/>
      <c r="BV122" s="96" t="n"/>
      <c r="BW122" s="97" t="n"/>
      <c r="BX122" s="97" t="n"/>
      <c r="BY122" s="97" t="n"/>
      <c r="BZ122" s="97" t="n"/>
      <c r="CA122" s="98" t="n"/>
      <c r="CH122" s="2" t="n"/>
      <c r="CI122" s="14">
        <f>CJ122&amp;CK122</f>
        <v/>
      </c>
      <c r="CY122" s="25" t="n"/>
      <c r="DA122" s="25" t="n"/>
      <c r="DC122" s="26" t="n"/>
      <c r="DD122" s="26" t="n"/>
      <c r="DE122" s="26" t="n"/>
      <c r="DF122" s="26" t="n"/>
      <c r="DG122" s="26" t="n"/>
      <c r="DH122" s="27" t="n"/>
      <c r="DJ122" s="211" t="inlineStr">
        <is>
          <t>订单表中未找到</t>
        </is>
      </c>
      <c r="DK122" t="inlineStr">
        <is>
          <t>—</t>
        </is>
      </c>
      <c r="DL122" t="inlineStr">
        <is>
          <t>—</t>
        </is>
      </c>
    </row>
    <row r="123" ht="15.75" customHeight="1" s="187">
      <c r="A123" s="84" t="n">
        <v>45762</v>
      </c>
      <c r="B123" s="206" t="inlineStr">
        <is>
          <t>已收货</t>
        </is>
      </c>
      <c r="C123" s="86" t="inlineStr">
        <is>
          <t>2531029731479940173</t>
        </is>
      </c>
      <c r="D123" s="87" t="inlineStr">
        <is>
          <t>Poppy</t>
        </is>
      </c>
      <c r="E123" s="87" t="n"/>
      <c r="F123" s="87" t="n"/>
      <c r="G123" s="87" t="inlineStr">
        <is>
          <t>6把椅子</t>
        </is>
      </c>
      <c r="H123" s="87" t="inlineStr">
        <is>
          <t>椅子</t>
        </is>
      </c>
      <c r="I123" s="89" t="n"/>
      <c r="J123" s="87" t="inlineStr">
        <is>
          <t>已结算</t>
        </is>
      </c>
      <c r="K123" s="87" t="inlineStr">
        <is>
          <t>其他</t>
        </is>
      </c>
      <c r="L123" s="207" t="n">
        <v>763.5599999999999</v>
      </c>
      <c r="M123" s="207" t="n">
        <v>764.5599999999999</v>
      </c>
      <c r="N123" s="207" t="n"/>
      <c r="O123" s="207" t="n"/>
      <c r="P123" s="207" t="n"/>
      <c r="Q123" s="207" t="n"/>
      <c r="R123" s="207" t="n"/>
      <c r="S123" s="207" t="n"/>
      <c r="T123" s="207" t="n"/>
      <c r="U123" s="207" t="n"/>
      <c r="V123" s="207" t="n"/>
      <c r="W123" s="207" t="n"/>
      <c r="X123" s="207" t="n"/>
      <c r="Y123" s="207" t="n"/>
      <c r="Z123" s="207" t="n"/>
      <c r="AA123" s="207" t="n"/>
      <c r="AB123" s="207" t="n"/>
      <c r="AC123" s="207" t="n"/>
      <c r="AD123" s="207" t="n"/>
      <c r="AE123" s="207" t="n"/>
      <c r="AF123" s="207" t="n"/>
      <c r="AG123" s="207" t="n"/>
      <c r="AH123" s="207" t="n"/>
      <c r="AI123" s="207" t="n"/>
      <c r="AJ123" s="207" t="n"/>
      <c r="AK123" s="207" t="n"/>
      <c r="AL123" s="207" t="n"/>
      <c r="AM123" s="207" t="n"/>
      <c r="AN123" s="207" t="n"/>
      <c r="AO123" s="207" t="n"/>
      <c r="AP123" s="207" t="n">
        <v>0</v>
      </c>
      <c r="AQ123" s="207" t="n">
        <v>0</v>
      </c>
      <c r="AR123" s="207" t="n">
        <v>0</v>
      </c>
      <c r="AS123" s="207" t="n">
        <v>0</v>
      </c>
      <c r="AT123" s="207" t="n">
        <v>0</v>
      </c>
      <c r="AU123" s="207" t="n">
        <v>0</v>
      </c>
      <c r="AV123" s="207" t="n">
        <v>0</v>
      </c>
      <c r="AW123" s="207" t="n">
        <v>0</v>
      </c>
      <c r="AX123" s="208" t="n">
        <v>1</v>
      </c>
      <c r="AY123" s="209">
        <f>L123*AX123+AP123+AQ123+AR123+AV123+AW123+AS123+AT123+AU123</f>
        <v/>
      </c>
      <c r="AZ123" s="207">
        <f>1083.5</f>
        <v/>
      </c>
      <c r="BA123" s="207" t="n">
        <v>0</v>
      </c>
      <c r="BB123" s="207">
        <f>AZ123*0.006</f>
        <v/>
      </c>
      <c r="BC123" s="209">
        <f>AZ123+BA123-BB123</f>
        <v/>
      </c>
      <c r="BD123" s="207" t="n">
        <v>0</v>
      </c>
      <c r="BE123" s="207" t="n">
        <v>0</v>
      </c>
      <c r="BF123" s="209">
        <f>BD123+BE123</f>
        <v/>
      </c>
      <c r="BG123" s="209">
        <f>BC123-AY123+BF123</f>
        <v/>
      </c>
      <c r="BH123" s="87" t="inlineStr">
        <is>
          <t>Poppy</t>
        </is>
      </c>
      <c r="BI123" s="210" t="inlineStr">
        <is>
          <t>浙江省 杭州市 上城区 九堡街道 宣田巷1号得力中心E幢11楼杭州丁于服饰有限公司</t>
        </is>
      </c>
      <c r="BJ123" s="86" t="inlineStr">
        <is>
          <t>18413213042-3083</t>
        </is>
      </c>
      <c r="BK123" s="86" t="n"/>
      <c r="BL123" s="210">
        <f>BC123</f>
        <v/>
      </c>
      <c r="BM123" s="93" t="n"/>
      <c r="BN123" s="94" t="n"/>
      <c r="BO123" s="93" t="n"/>
      <c r="BP123" s="86" t="n"/>
      <c r="BQ123" s="96" t="n"/>
      <c r="BR123" s="96" t="n"/>
      <c r="BS123" s="97" t="n"/>
      <c r="BT123" s="96" t="n"/>
      <c r="BU123" s="97" t="n"/>
      <c r="BV123" s="96" t="n"/>
      <c r="BW123" s="97" t="n"/>
      <c r="BX123" s="97" t="n"/>
      <c r="BY123" s="97" t="n"/>
      <c r="BZ123" s="97" t="n"/>
      <c r="CA123" s="98" t="n"/>
      <c r="CH123" s="2" t="n"/>
      <c r="CI123" s="14" t="n"/>
      <c r="CY123" s="25" t="n"/>
      <c r="DA123" s="25" t="n"/>
      <c r="DC123" s="26" t="n"/>
      <c r="DD123" s="26" t="n"/>
      <c r="DE123" s="26" t="n"/>
      <c r="DF123" s="26" t="n"/>
      <c r="DG123" s="26" t="n"/>
      <c r="DH123" s="27" t="n"/>
      <c r="DJ123" s="211" t="inlineStr">
        <is>
          <t>订单表中未找到</t>
        </is>
      </c>
      <c r="DK123" t="inlineStr">
        <is>
          <t>—</t>
        </is>
      </c>
      <c r="DL123" t="inlineStr">
        <is>
          <t>—</t>
        </is>
      </c>
    </row>
    <row r="124" ht="15.75" customHeight="1" s="187">
      <c r="A124" s="84" t="n">
        <v>45763</v>
      </c>
      <c r="B124" s="206" t="inlineStr">
        <is>
          <t>已收货</t>
        </is>
      </c>
      <c r="C124" s="86" t="inlineStr">
        <is>
          <t>4304030007248935911</t>
        </is>
      </c>
      <c r="D124" s="87" t="inlineStr">
        <is>
          <t>吴徐安</t>
        </is>
      </c>
      <c r="E124" s="87" t="inlineStr">
        <is>
          <t>已发，板子不好赔偿</t>
        </is>
      </c>
      <c r="F124" s="87" t="n"/>
      <c r="G124" s="87" t="inlineStr">
        <is>
          <t>组合柜带五金地脚：双移门+竖隔板</t>
        </is>
      </c>
      <c r="H124" s="87" t="inlineStr">
        <is>
          <t>组合柜</t>
        </is>
      </c>
      <c r="I124" s="89" t="n"/>
      <c r="J124" s="87" t="inlineStr">
        <is>
          <t>已结算</t>
        </is>
      </c>
      <c r="K124" s="87" t="inlineStr">
        <is>
          <t>江西</t>
        </is>
      </c>
      <c r="L124" s="207">
        <f>1780+260/2+80+121+201</f>
        <v/>
      </c>
      <c r="M124" s="207">
        <f>1780</f>
        <v/>
      </c>
      <c r="N124" s="207" t="inlineStr">
        <is>
          <t>260/2</t>
        </is>
      </c>
      <c r="O124" s="207" t="n">
        <v>80</v>
      </c>
      <c r="P124" s="207" t="n">
        <v>121</v>
      </c>
      <c r="Q124" s="207" t="n"/>
      <c r="R124" s="207" t="n">
        <v>201</v>
      </c>
      <c r="S124" s="207" t="n"/>
      <c r="T124" s="207" t="n"/>
      <c r="U124" s="207" t="n"/>
      <c r="V124" s="207" t="n"/>
      <c r="W124" s="207" t="n"/>
      <c r="X124" s="207" t="n"/>
      <c r="Y124" s="207" t="n"/>
      <c r="Z124" s="207" t="n"/>
      <c r="AA124" s="207" t="n"/>
      <c r="AB124" s="207" t="n"/>
      <c r="AC124" s="207" t="n"/>
      <c r="AD124" s="207" t="n"/>
      <c r="AE124" s="207" t="n"/>
      <c r="AF124" s="207" t="n"/>
      <c r="AG124" s="207" t="n"/>
      <c r="AH124" s="207" t="n"/>
      <c r="AI124" s="207" t="n"/>
      <c r="AJ124" s="207" t="n"/>
      <c r="AK124" s="207" t="n"/>
      <c r="AL124" s="207" t="n"/>
      <c r="AM124" s="207">
        <f>121+80</f>
        <v/>
      </c>
      <c r="AN124" s="207" t="n"/>
      <c r="AO124" s="207" t="n"/>
      <c r="AP124" s="207" t="n">
        <v>151</v>
      </c>
      <c r="AQ124" s="207" t="n">
        <v>50</v>
      </c>
      <c r="AR124" s="207" t="n">
        <v>0</v>
      </c>
      <c r="AS124" s="207" t="n">
        <v>0</v>
      </c>
      <c r="AT124" s="207" t="n">
        <v>0</v>
      </c>
      <c r="AU124" s="207" t="n">
        <v>0</v>
      </c>
      <c r="AV124" s="207" t="n">
        <v>0</v>
      </c>
      <c r="AW124" s="207" t="n">
        <v>120.99</v>
      </c>
      <c r="AX124" s="208" t="n">
        <v>1</v>
      </c>
      <c r="AY124" s="209">
        <f>L124*AX124+AP124+AQ124+AR124+AV124+AW124+AS124+AT124+AU124</f>
        <v/>
      </c>
      <c r="AZ124" s="207">
        <f>1606.5</f>
        <v/>
      </c>
      <c r="BA124" s="207" t="n">
        <v>0</v>
      </c>
      <c r="BB124" s="207">
        <f>AZ124*0.006</f>
        <v/>
      </c>
      <c r="BC124" s="209">
        <f>AZ124+BA124-BB124</f>
        <v/>
      </c>
      <c r="BD124" s="207" t="n">
        <v>0</v>
      </c>
      <c r="BE124" s="207" t="n">
        <v>0</v>
      </c>
      <c r="BF124" s="209">
        <f>BD124+BE124</f>
        <v/>
      </c>
      <c r="BG124" s="209">
        <f>BC124-AY124+BF124</f>
        <v/>
      </c>
      <c r="BH124" s="87" t="inlineStr">
        <is>
          <t>吴徐安</t>
        </is>
      </c>
      <c r="BI124" s="210" t="inlineStr">
        <is>
          <t>四川省 成都市 武侯区 石羊街道南城都汇四期9幢702（放门口）</t>
        </is>
      </c>
      <c r="BJ124" s="86" t="inlineStr">
        <is>
          <t>17882967480-4027</t>
        </is>
      </c>
      <c r="BK124" s="86" t="n"/>
      <c r="BL124" s="210">
        <f>BC124</f>
        <v/>
      </c>
      <c r="BM124" s="93" t="n"/>
      <c r="BN124" s="94" t="n"/>
      <c r="BO124" s="93" t="inlineStr">
        <is>
          <t>金属脚（厂里）</t>
        </is>
      </c>
      <c r="BP124" s="86" t="n"/>
      <c r="BQ124" s="96" t="n"/>
      <c r="BR124" s="96" t="n"/>
      <c r="BS124" s="97" t="n"/>
      <c r="BT124" s="96" t="n"/>
      <c r="BU124" s="97" t="n"/>
      <c r="BV124" s="96" t="n"/>
      <c r="BW124" s="97" t="n"/>
      <c r="BX124" s="97" t="n"/>
      <c r="BY124" s="97" t="n"/>
      <c r="BZ124" s="97" t="n"/>
      <c r="CA124" s="98" t="n"/>
      <c r="CH124" s="2" t="n"/>
      <c r="CI124" s="14">
        <f>CJ124&amp;CK124</f>
        <v/>
      </c>
      <c r="CY124" s="25" t="n"/>
      <c r="DA124" s="25" t="n"/>
      <c r="DC124" s="26" t="n"/>
      <c r="DD124" s="26" t="n"/>
      <c r="DE124" s="26" t="n"/>
      <c r="DF124" s="26" t="n"/>
      <c r="DG124" s="26" t="n"/>
      <c r="DH124" s="27" t="n"/>
      <c r="DJ124" s="211" t="inlineStr">
        <is>
          <t>订单表中未找到</t>
        </is>
      </c>
      <c r="DK124" t="inlineStr">
        <is>
          <t>—</t>
        </is>
      </c>
      <c r="DL124" t="inlineStr">
        <is>
          <t>—</t>
        </is>
      </c>
    </row>
    <row r="125" ht="15.75" customHeight="1" s="187">
      <c r="A125" s="84" t="n">
        <v>45763</v>
      </c>
      <c r="B125" s="206" t="inlineStr">
        <is>
          <t>已收货</t>
        </is>
      </c>
      <c r="C125" s="86" t="inlineStr">
        <is>
          <t>4304276388107230730</t>
        </is>
      </c>
      <c r="D125" s="87" t="inlineStr">
        <is>
          <t>孔翎</t>
        </is>
      </c>
      <c r="E125" s="87" t="n"/>
      <c r="F125" s="87" t="n"/>
      <c r="G125" s="87" t="inlineStr">
        <is>
          <t>1.5洞石餐边柜：复古色，1.5洞石岩板柜，茶色玻璃</t>
        </is>
      </c>
      <c r="H125" s="87" t="inlineStr">
        <is>
          <t>洞石餐边柜</t>
        </is>
      </c>
      <c r="I125" s="89" t="n">
        <v>1500</v>
      </c>
      <c r="J125" s="87" t="inlineStr">
        <is>
          <t>已结算</t>
        </is>
      </c>
      <c r="K125" s="87" t="inlineStr">
        <is>
          <t>江西</t>
        </is>
      </c>
      <c r="L125" s="207">
        <f>5200+489.05+320+240+42+52+22+300+22*9+320</f>
        <v/>
      </c>
      <c r="M125" s="207">
        <f>5200</f>
        <v/>
      </c>
      <c r="N125" s="207">
        <f>1.458*260+2*55</f>
        <v/>
      </c>
      <c r="O125" s="207" t="n">
        <v>320</v>
      </c>
      <c r="P125" s="207" t="n">
        <v>240</v>
      </c>
      <c r="Q125" s="207" t="n"/>
      <c r="R125" s="207" t="n">
        <v>42</v>
      </c>
      <c r="S125" s="207" t="n">
        <v>52</v>
      </c>
      <c r="T125" s="207" t="n">
        <v>22</v>
      </c>
      <c r="U125" s="207" t="n"/>
      <c r="V125" s="207" t="n"/>
      <c r="W125" s="207" t="n">
        <v>300</v>
      </c>
      <c r="X125" s="207">
        <f>22*9</f>
        <v/>
      </c>
      <c r="Y125" s="207" t="n"/>
      <c r="Z125" s="207">
        <f>3.5+14</f>
        <v/>
      </c>
      <c r="AA125" s="207" t="n"/>
      <c r="AB125" s="207" t="n"/>
      <c r="AC125" s="207" t="n">
        <v>7</v>
      </c>
      <c r="AD125" s="207" t="n"/>
      <c r="AE125" s="207" t="n"/>
      <c r="AF125" s="207" t="n"/>
      <c r="AG125" s="207" t="n"/>
      <c r="AH125" s="207" t="n"/>
      <c r="AI125" s="207" t="n"/>
      <c r="AJ125" s="207" t="n"/>
      <c r="AK125" s="207" t="n"/>
      <c r="AL125" s="207" t="n"/>
      <c r="AM125" s="207" t="n">
        <v>320</v>
      </c>
      <c r="AN125" s="207" t="n"/>
      <c r="AO125" s="207" t="n"/>
      <c r="AP125" s="207">
        <f>499-AQ125</f>
        <v/>
      </c>
      <c r="AQ125" s="207" t="n">
        <v>119</v>
      </c>
      <c r="AR125" s="207" t="n">
        <v>85</v>
      </c>
      <c r="AS125" s="207" t="n">
        <v>0</v>
      </c>
      <c r="AT125" s="207" t="n">
        <v>0</v>
      </c>
      <c r="AU125" s="207" t="n">
        <v>0</v>
      </c>
      <c r="AV125" s="207" t="n">
        <v>80</v>
      </c>
      <c r="AW125" s="207" t="n">
        <v>0</v>
      </c>
      <c r="AX125" s="208" t="n">
        <v>1</v>
      </c>
      <c r="AY125" s="209">
        <f>L125*AX125+AP125+AQ125+AR125+AV125+AW125+AS125+AT125+AU125</f>
        <v/>
      </c>
      <c r="AZ125" s="207" t="n">
        <v>10750</v>
      </c>
      <c r="BA125" s="207" t="n">
        <v>0</v>
      </c>
      <c r="BB125" s="207">
        <f>AZ125*0.006</f>
        <v/>
      </c>
      <c r="BC125" s="209">
        <f>AZ125+BA125-BB125</f>
        <v/>
      </c>
      <c r="BD125" s="207" t="n">
        <v>0</v>
      </c>
      <c r="BE125" s="207" t="n">
        <v>0</v>
      </c>
      <c r="BF125" s="209">
        <f>BD125+BE125</f>
        <v/>
      </c>
      <c r="BG125" s="209">
        <f>BC125-AY125+BF125</f>
        <v/>
      </c>
      <c r="BH125" s="87" t="inlineStr">
        <is>
          <t>孔翎</t>
        </is>
      </c>
      <c r="BI125" s="210" t="inlineStr">
        <is>
          <t>江苏省 南京市 江宁区 东山街道天柱座2幢2单元301</t>
        </is>
      </c>
      <c r="BJ125" s="86" t="inlineStr">
        <is>
          <t>15784015894-3237</t>
        </is>
      </c>
      <c r="BK125" s="86" t="n"/>
      <c r="BL125" s="210">
        <f>BC125</f>
        <v/>
      </c>
      <c r="BM125" s="93" t="n"/>
      <c r="BN125" s="94" t="n"/>
      <c r="BO125" s="93" t="inlineStr">
        <is>
          <t>T25 银色轨道+2插座，mini拉手，塑料轨道，银色轨道</t>
        </is>
      </c>
      <c r="BP125" s="86" t="n"/>
      <c r="BQ125" s="96" t="n"/>
      <c r="BR125" s="96" t="n"/>
      <c r="BS125" s="97" t="n"/>
      <c r="BT125" s="96" t="n"/>
      <c r="BU125" s="97" t="n"/>
      <c r="BV125" s="96" t="n"/>
      <c r="BW125" s="97" t="n"/>
      <c r="BX125" s="97" t="n"/>
      <c r="BY125" s="97" t="n"/>
      <c r="BZ125" s="97" t="n"/>
      <c r="CA125" s="98" t="n"/>
      <c r="CH125" s="2" t="n"/>
      <c r="CI125" s="14">
        <f>CJ125&amp;CK125</f>
        <v/>
      </c>
      <c r="CY125" s="25" t="n"/>
      <c r="DA125" s="25" t="n"/>
      <c r="DC125" s="26" t="n"/>
      <c r="DD125" s="26" t="n"/>
      <c r="DE125" s="26" t="n"/>
      <c r="DF125" s="26" t="n"/>
      <c r="DG125" s="26" t="n"/>
      <c r="DH125" s="27" t="n"/>
      <c r="DJ125" s="211" t="inlineStr">
        <is>
          <t>订单表中未找到</t>
        </is>
      </c>
      <c r="DK125" t="inlineStr">
        <is>
          <t>—</t>
        </is>
      </c>
      <c r="DL125" t="inlineStr">
        <is>
          <t>—</t>
        </is>
      </c>
    </row>
    <row r="126" ht="15.75" customHeight="1" s="187">
      <c r="A126" s="84" t="n">
        <v>45764</v>
      </c>
      <c r="B126" s="206" t="inlineStr">
        <is>
          <t>已收货</t>
        </is>
      </c>
      <c r="C126" s="86" t="inlineStr">
        <is>
          <t>4304393712669935911</t>
        </is>
      </c>
      <c r="D126" s="87" t="inlineStr">
        <is>
          <t>吴徐安</t>
        </is>
      </c>
      <c r="E126" s="87" t="inlineStr">
        <is>
          <t>已发，板子不好赔偿</t>
        </is>
      </c>
      <c r="F126" s="87" t="n"/>
      <c r="G126" s="87" t="inlineStr">
        <is>
          <t>组合柜带五金地脚：双移门+竖隔板</t>
        </is>
      </c>
      <c r="H126" s="87" t="inlineStr">
        <is>
          <t>组合柜</t>
        </is>
      </c>
      <c r="I126" s="89" t="n"/>
      <c r="J126" s="87" t="inlineStr">
        <is>
          <t>已结算</t>
        </is>
      </c>
      <c r="K126" s="87" t="inlineStr">
        <is>
          <t>江西</t>
        </is>
      </c>
      <c r="L126" s="207" t="n">
        <v>0</v>
      </c>
      <c r="M126" s="207" t="n">
        <v>1</v>
      </c>
      <c r="N126" s="207" t="n"/>
      <c r="O126" s="207" t="n"/>
      <c r="P126" s="207" t="n"/>
      <c r="Q126" s="207" t="n"/>
      <c r="R126" s="207" t="n"/>
      <c r="S126" s="207" t="n"/>
      <c r="T126" s="207" t="n"/>
      <c r="U126" s="207" t="n"/>
      <c r="V126" s="207" t="n"/>
      <c r="W126" s="207" t="n"/>
      <c r="X126" s="207" t="n"/>
      <c r="Y126" s="207" t="n"/>
      <c r="Z126" s="207" t="n"/>
      <c r="AA126" s="207" t="n"/>
      <c r="AB126" s="207" t="n"/>
      <c r="AC126" s="207" t="n"/>
      <c r="AD126" s="207" t="n"/>
      <c r="AE126" s="207" t="n"/>
      <c r="AF126" s="207" t="n"/>
      <c r="AG126" s="207" t="n"/>
      <c r="AH126" s="207" t="n"/>
      <c r="AI126" s="207" t="n"/>
      <c r="AJ126" s="207" t="n"/>
      <c r="AK126" s="207" t="n"/>
      <c r="AL126" s="207" t="n"/>
      <c r="AM126" s="207" t="n"/>
      <c r="AN126" s="207" t="n"/>
      <c r="AO126" s="207" t="n"/>
      <c r="AP126" s="207" t="n">
        <v>0</v>
      </c>
      <c r="AQ126" s="207" t="n">
        <v>0</v>
      </c>
      <c r="AR126" s="207" t="n">
        <v>0</v>
      </c>
      <c r="AS126" s="207" t="n">
        <v>0</v>
      </c>
      <c r="AT126" s="207" t="n">
        <v>0</v>
      </c>
      <c r="AU126" s="207" t="n">
        <v>0</v>
      </c>
      <c r="AV126" s="207" t="n">
        <v>0</v>
      </c>
      <c r="AW126" s="207" t="n">
        <v>0</v>
      </c>
      <c r="AX126" s="208" t="n">
        <v>1</v>
      </c>
      <c r="AY126" s="209">
        <f>L126*AX126+AP126+AQ126+AR126+AV126+AW126+AS126+AT126+AU126</f>
        <v/>
      </c>
      <c r="AZ126" s="207" t="n">
        <v>1218.25</v>
      </c>
      <c r="BA126" s="207" t="n">
        <v>0</v>
      </c>
      <c r="BB126" s="207">
        <f>AZ126*0.006</f>
        <v/>
      </c>
      <c r="BC126" s="209">
        <f>AZ126+BA126-BB126</f>
        <v/>
      </c>
      <c r="BD126" s="207" t="n">
        <v>0</v>
      </c>
      <c r="BE126" s="207" t="n">
        <v>0</v>
      </c>
      <c r="BF126" s="209">
        <f>BD126+BE126</f>
        <v/>
      </c>
      <c r="BG126" s="209">
        <f>BC126-AY126+BF126</f>
        <v/>
      </c>
      <c r="BH126" s="87" t="inlineStr">
        <is>
          <t>吴徐安</t>
        </is>
      </c>
      <c r="BI126" s="210" t="inlineStr">
        <is>
          <t>四川省 成都市 武侯区 石羊街道南城都汇四期9幢702（放门口）</t>
        </is>
      </c>
      <c r="BJ126" s="86" t="inlineStr">
        <is>
          <t>17882967480-4027</t>
        </is>
      </c>
      <c r="BK126" s="86" t="n"/>
      <c r="BL126" s="210">
        <f>BC126</f>
        <v/>
      </c>
      <c r="BM126" s="93" t="n"/>
      <c r="BN126" s="94" t="n"/>
      <c r="BO126" s="93" t="n"/>
      <c r="BP126" s="86" t="n"/>
      <c r="BQ126" s="96" t="n"/>
      <c r="BR126" s="96" t="n"/>
      <c r="BS126" s="97" t="n"/>
      <c r="BT126" s="96" t="n"/>
      <c r="BU126" s="97" t="n"/>
      <c r="BV126" s="96" t="n"/>
      <c r="BW126" s="97" t="n"/>
      <c r="BX126" s="97" t="n"/>
      <c r="BY126" s="97" t="n"/>
      <c r="BZ126" s="97" t="n"/>
      <c r="CA126" s="98" t="n"/>
      <c r="CH126" s="2" t="n"/>
      <c r="CI126" s="14" t="n"/>
      <c r="CY126" s="25" t="n"/>
      <c r="DA126" s="25" t="n"/>
      <c r="DC126" s="26" t="n"/>
      <c r="DD126" s="26" t="n"/>
      <c r="DE126" s="26" t="n"/>
      <c r="DF126" s="26" t="n"/>
      <c r="DG126" s="26" t="n"/>
      <c r="DH126" s="27" t="n"/>
      <c r="DJ126" s="211" t="inlineStr">
        <is>
          <t>订单表中未找到</t>
        </is>
      </c>
      <c r="DK126" t="inlineStr">
        <is>
          <t>—</t>
        </is>
      </c>
      <c r="DL126" t="inlineStr">
        <is>
          <t>—</t>
        </is>
      </c>
    </row>
    <row r="127" ht="15.75" customHeight="1" s="187">
      <c r="A127" s="84" t="n">
        <v>45766</v>
      </c>
      <c r="B127" s="206" t="inlineStr">
        <is>
          <t>已收货</t>
        </is>
      </c>
      <c r="C127" s="86" t="inlineStr">
        <is>
          <t>4307999222573347608</t>
        </is>
      </c>
      <c r="D127" s="87" t="inlineStr">
        <is>
          <t>蜥蜴</t>
        </is>
      </c>
      <c r="E127" s="87" t="n"/>
      <c r="F127" s="87" t="n"/>
      <c r="G127" s="87" t="inlineStr">
        <is>
          <t>1.4榉木餐边柜：上柜1400*312*1040   下柜1400*450*880</t>
        </is>
      </c>
      <c r="H127" s="87" t="inlineStr">
        <is>
          <t>榉木餐边柜</t>
        </is>
      </c>
      <c r="I127" s="89" t="n">
        <v>1400</v>
      </c>
      <c r="J127" s="87" t="inlineStr">
        <is>
          <t>已结算，灰色玻璃</t>
        </is>
      </c>
      <c r="K127" s="87" t="inlineStr">
        <is>
          <t>江西</t>
        </is>
      </c>
      <c r="L127" s="207">
        <f>3800+240+350+392+22*5+52+260</f>
        <v/>
      </c>
      <c r="M127" s="207">
        <f>3800</f>
        <v/>
      </c>
      <c r="N127" s="207" t="n">
        <v>240</v>
      </c>
      <c r="O127" s="207" t="n">
        <v>350</v>
      </c>
      <c r="P127" s="207" t="n">
        <v>392</v>
      </c>
      <c r="Q127" s="207" t="n"/>
      <c r="R127" s="207" t="inlineStr">
        <is>
          <t>22*5</t>
        </is>
      </c>
      <c r="S127" s="207" t="n">
        <v>52</v>
      </c>
      <c r="T127" s="207" t="n">
        <v>260</v>
      </c>
      <c r="U127" s="207" t="n"/>
      <c r="V127" s="207" t="n"/>
      <c r="W127" s="207" t="n"/>
      <c r="X127" s="207" t="n"/>
      <c r="Y127" s="207" t="n"/>
      <c r="Z127" s="207" t="n"/>
      <c r="AA127" s="207" t="n"/>
      <c r="AB127" s="207" t="n"/>
      <c r="AC127" s="207" t="n"/>
      <c r="AD127" s="207" t="n"/>
      <c r="AE127" s="207" t="n"/>
      <c r="AF127" s="207" t="n"/>
      <c r="AG127" s="207" t="n"/>
      <c r="AH127" s="207" t="n"/>
      <c r="AI127" s="207" t="n"/>
      <c r="AJ127" s="207" t="n"/>
      <c r="AK127" s="207" t="n"/>
      <c r="AL127" s="207" t="n"/>
      <c r="AM127" s="207" t="n">
        <v>350</v>
      </c>
      <c r="AN127" s="207" t="n"/>
      <c r="AO127" s="207" t="n"/>
      <c r="AP127" s="207" t="n">
        <v>355</v>
      </c>
      <c r="AQ127" s="207" t="n">
        <v>81</v>
      </c>
      <c r="AR127" s="207" t="n">
        <v>83</v>
      </c>
      <c r="AS127" s="207" t="n">
        <v>0</v>
      </c>
      <c r="AT127" s="207" t="n">
        <v>0</v>
      </c>
      <c r="AU127" s="207" t="n">
        <v>0</v>
      </c>
      <c r="AV127" s="207" t="n">
        <v>180</v>
      </c>
      <c r="AW127" s="207" t="n">
        <v>0</v>
      </c>
      <c r="AX127" s="208" t="n">
        <v>1</v>
      </c>
      <c r="AY127" s="209">
        <f>L127*AX127+AP127+AQ127+AR127+AV127+AW127+AS127+AT127+AU127</f>
        <v/>
      </c>
      <c r="AZ127" s="207" t="n">
        <v>6650</v>
      </c>
      <c r="BA127" s="207" t="n">
        <v>0</v>
      </c>
      <c r="BB127" s="207">
        <f>AZ127*0.006</f>
        <v/>
      </c>
      <c r="BC127" s="209">
        <f>AZ127+BA127-BB127</f>
        <v/>
      </c>
      <c r="BD127" s="207" t="n">
        <v>0</v>
      </c>
      <c r="BE127" s="207" t="n">
        <v>0</v>
      </c>
      <c r="BF127" s="209">
        <f>BD127+BE127</f>
        <v/>
      </c>
      <c r="BG127" s="209">
        <f>BC127-AY127+BF127</f>
        <v/>
      </c>
      <c r="BH127" s="87" t="inlineStr">
        <is>
          <t>蜥蜴</t>
        </is>
      </c>
      <c r="BI127" s="210" t="inlineStr">
        <is>
          <t>山东省 东营市 东营区 东城街道东三路69号安和南区46-2-101</t>
        </is>
      </c>
      <c r="BJ127" s="86" t="inlineStr">
        <is>
          <t>15784503685-6057</t>
        </is>
      </c>
      <c r="BK127" s="86" t="n"/>
      <c r="BL127" s="210">
        <f>BC127</f>
        <v/>
      </c>
      <c r="BM127" s="93" t="n"/>
      <c r="BN127" s="94" t="n"/>
      <c r="BO127" s="93" t="inlineStr">
        <is>
          <t>森尔轨道1.35，黑色塑料轨道，白色岩板，左右开孔走线，洞洞板</t>
        </is>
      </c>
      <c r="BP127" s="86" t="n"/>
      <c r="BQ127" s="96" t="n"/>
      <c r="BR127" s="96" t="n"/>
      <c r="BS127" s="97" t="n"/>
      <c r="BT127" s="96" t="n"/>
      <c r="BU127" s="97" t="n"/>
      <c r="BV127" s="96" t="n"/>
      <c r="BW127" s="97" t="n"/>
      <c r="BX127" s="97" t="n"/>
      <c r="BY127" s="97" t="n"/>
      <c r="BZ127" s="97" t="n"/>
      <c r="CA127" s="98" t="n"/>
      <c r="CH127" s="2" t="n"/>
      <c r="CI127" s="14">
        <f>CJ127&amp;CK127</f>
        <v/>
      </c>
      <c r="CY127" s="25" t="n"/>
      <c r="DA127" s="25" t="n"/>
      <c r="DC127" s="26" t="n"/>
      <c r="DD127" s="26" t="n"/>
      <c r="DE127" s="26" t="n"/>
      <c r="DF127" s="26" t="n"/>
      <c r="DG127" s="26" t="n"/>
      <c r="DH127" s="27" t="n"/>
      <c r="DJ127" s="211" t="inlineStr">
        <is>
          <t>订单表中未找到</t>
        </is>
      </c>
      <c r="DK127" t="inlineStr">
        <is>
          <t>—</t>
        </is>
      </c>
      <c r="DL127" t="inlineStr">
        <is>
          <t>—</t>
        </is>
      </c>
    </row>
    <row r="128" ht="15.75" customHeight="1" s="187">
      <c r="A128" s="84" t="n">
        <v>45768</v>
      </c>
      <c r="B128" s="206" t="inlineStr">
        <is>
          <t>已收货</t>
        </is>
      </c>
      <c r="C128" s="86" t="inlineStr">
        <is>
          <t>2538036051332427289</t>
        </is>
      </c>
      <c r="D128" s="87" t="inlineStr">
        <is>
          <t>朱珂瑶</t>
        </is>
      </c>
      <c r="E128" s="87" t="inlineStr">
        <is>
          <t>已发，物流磕碰承担100</t>
        </is>
      </c>
      <c r="F128" s="87" t="n"/>
      <c r="G128" s="87" t="inlineStr">
        <is>
          <t>组合柜：3个柜+2个脚</t>
        </is>
      </c>
      <c r="H128" s="87" t="inlineStr">
        <is>
          <t>组合柜</t>
        </is>
      </c>
      <c r="I128" s="89" t="n"/>
      <c r="J128" s="87" t="inlineStr">
        <is>
          <t>已结算</t>
        </is>
      </c>
      <c r="K128" s="87" t="inlineStr">
        <is>
          <t>江西</t>
        </is>
      </c>
      <c r="L128" s="207">
        <f>2830+22*2+18/20*6+120</f>
        <v/>
      </c>
      <c r="M128" s="207">
        <f>2830</f>
        <v/>
      </c>
      <c r="N128" s="207" t="inlineStr">
        <is>
          <t>22*2</t>
        </is>
      </c>
      <c r="O128" s="207" t="inlineStr">
        <is>
          <t>18/20*6</t>
        </is>
      </c>
      <c r="P128" s="207" t="n">
        <v>120</v>
      </c>
      <c r="Q128" s="207" t="n"/>
      <c r="R128" s="207" t="n"/>
      <c r="S128" s="207" t="n"/>
      <c r="T128" s="207" t="n"/>
      <c r="U128" s="207" t="n"/>
      <c r="V128" s="207" t="n"/>
      <c r="W128" s="207" t="n"/>
      <c r="X128" s="207" t="n"/>
      <c r="Y128" s="207" t="n"/>
      <c r="Z128" s="207" t="n"/>
      <c r="AA128" s="207" t="n"/>
      <c r="AB128" s="207" t="n"/>
      <c r="AC128" s="207" t="n"/>
      <c r="AD128" s="207" t="n"/>
      <c r="AE128" s="207" t="n"/>
      <c r="AF128" s="207" t="n"/>
      <c r="AG128" s="207" t="n"/>
      <c r="AH128" s="207" t="n"/>
      <c r="AI128" s="207" t="n"/>
      <c r="AJ128" s="207" t="n"/>
      <c r="AK128" s="207" t="n"/>
      <c r="AL128" s="207" t="n"/>
      <c r="AM128" s="207" t="n">
        <v>120</v>
      </c>
      <c r="AN128" s="207" t="n"/>
      <c r="AO128" s="207" t="n"/>
      <c r="AP128" s="207" t="n">
        <v>78</v>
      </c>
      <c r="AQ128" s="207" t="n">
        <v>87</v>
      </c>
      <c r="AR128" s="207" t="n">
        <v>0</v>
      </c>
      <c r="AS128" s="207" t="n">
        <v>0</v>
      </c>
      <c r="AT128" s="207" t="n">
        <v>263</v>
      </c>
      <c r="AU128" s="207" t="n">
        <v>0</v>
      </c>
      <c r="AV128" s="207" t="n">
        <v>0</v>
      </c>
      <c r="AW128" s="207" t="n">
        <v>100</v>
      </c>
      <c r="AX128" s="208" t="n">
        <v>1</v>
      </c>
      <c r="AY128" s="209">
        <f>L128*AX128+AP128+AQ128+AR128+AV128+AW128+AS128+AT128+AU128</f>
        <v/>
      </c>
      <c r="AZ128" s="207" t="n">
        <v>3900</v>
      </c>
      <c r="BA128" s="207" t="n">
        <v>0</v>
      </c>
      <c r="BB128" s="207">
        <f>AZ128*0.006</f>
        <v/>
      </c>
      <c r="BC128" s="209">
        <f>AZ128+BA128-BB128</f>
        <v/>
      </c>
      <c r="BD128" s="207" t="n">
        <v>0</v>
      </c>
      <c r="BE128" s="207" t="n">
        <v>100</v>
      </c>
      <c r="BF128" s="209">
        <f>BD128+BE128</f>
        <v/>
      </c>
      <c r="BG128" s="209">
        <f>BC128-AY128+BF128</f>
        <v/>
      </c>
      <c r="BH128" s="87" t="inlineStr">
        <is>
          <t>朱珂瑶</t>
        </is>
      </c>
      <c r="BI128" s="210" t="inlineStr">
        <is>
          <t>浙江省 杭州市 临平区 临平街道临平区金都夏宫排屋3-1</t>
        </is>
      </c>
      <c r="BJ128" s="86" t="inlineStr">
        <is>
          <t>18413283892-2854</t>
        </is>
      </c>
      <c r="BK128" s="86" t="n"/>
      <c r="BL128" s="210">
        <f>BC128</f>
        <v/>
      </c>
      <c r="BM128" s="93" t="n"/>
      <c r="BN128" s="94" t="n"/>
      <c r="BO128" s="93" t="n"/>
      <c r="BP128" s="86" t="n"/>
      <c r="BQ128" s="96" t="n"/>
      <c r="BR128" s="96" t="n"/>
      <c r="BS128" s="97" t="n"/>
      <c r="BT128" s="96" t="n"/>
      <c r="BU128" s="97" t="n"/>
      <c r="BV128" s="96" t="n"/>
      <c r="BW128" s="97" t="n"/>
      <c r="BX128" s="97" t="n"/>
      <c r="BY128" s="97" t="n"/>
      <c r="BZ128" s="97" t="n"/>
      <c r="CA128" s="98" t="n"/>
      <c r="CH128" s="2" t="n"/>
      <c r="CI128" s="14">
        <f>CJ128&amp;CK128</f>
        <v/>
      </c>
      <c r="CY128" s="25" t="n"/>
      <c r="DA128" s="25" t="n"/>
      <c r="DC128" s="26" t="n"/>
      <c r="DD128" s="26" t="n"/>
      <c r="DE128" s="26" t="n"/>
      <c r="DF128" s="26" t="n"/>
      <c r="DG128" s="26" t="n"/>
      <c r="DH128" s="27" t="n"/>
      <c r="DJ128" s="211" t="inlineStr">
        <is>
          <t>订单表中未找到</t>
        </is>
      </c>
      <c r="DK128" t="inlineStr">
        <is>
          <t>—</t>
        </is>
      </c>
      <c r="DL128" t="inlineStr">
        <is>
          <t>—</t>
        </is>
      </c>
    </row>
    <row r="129" ht="15.75" customHeight="1" s="187">
      <c r="A129" s="84" t="n">
        <v>45780</v>
      </c>
      <c r="B129" s="206" t="inlineStr">
        <is>
          <t>已收货</t>
        </is>
      </c>
      <c r="C129" s="86" t="inlineStr">
        <is>
          <t>2549048773128116570</t>
        </is>
      </c>
      <c r="D129" s="87" t="inlineStr">
        <is>
          <t>大民</t>
        </is>
      </c>
      <c r="E129" s="87" t="n"/>
      <c r="F129" s="87" t="n"/>
      <c r="G129" s="87" t="inlineStr">
        <is>
          <t>榉木旋转柜：1.8米+1.4米双腿餐桌,4个插座左旋</t>
        </is>
      </c>
      <c r="H129" s="87" t="inlineStr">
        <is>
          <t>旋转餐边柜</t>
        </is>
      </c>
      <c r="I129" s="89" t="n">
        <v>1800</v>
      </c>
      <c r="J129" s="87" t="inlineStr">
        <is>
          <t>已结算，茶色玻璃</t>
        </is>
      </c>
      <c r="K129" s="87" t="inlineStr">
        <is>
          <t>江西</t>
        </is>
      </c>
      <c r="L129" s="207">
        <f>5000+22*9+22+52+42+260+300+577</f>
        <v/>
      </c>
      <c r="M129" s="207">
        <f>5000</f>
        <v/>
      </c>
      <c r="N129" s="207" t="n"/>
      <c r="O129" s="207" t="n"/>
      <c r="P129" s="207" t="n"/>
      <c r="Q129" s="207" t="n"/>
      <c r="R129" s="207" t="n"/>
      <c r="S129" s="207" t="n">
        <v>260</v>
      </c>
      <c r="T129" s="207" t="n">
        <v>300</v>
      </c>
      <c r="U129" s="207" t="n"/>
      <c r="V129" s="207" t="n"/>
      <c r="W129" s="207" t="n">
        <v>577</v>
      </c>
      <c r="X129" s="207">
        <f>22*9</f>
        <v/>
      </c>
      <c r="Y129" s="207" t="n"/>
      <c r="Z129" s="207" t="n"/>
      <c r="AA129" s="207" t="n"/>
      <c r="AB129" s="207" t="n"/>
      <c r="AC129" s="207" t="n"/>
      <c r="AD129" s="207" t="n"/>
      <c r="AE129" s="207" t="n"/>
      <c r="AF129" s="207" t="n"/>
      <c r="AG129" s="207" t="n"/>
      <c r="AH129" s="207" t="n"/>
      <c r="AI129" s="207" t="n"/>
      <c r="AJ129" s="207" t="n"/>
      <c r="AK129" s="207" t="n"/>
      <c r="AL129" s="207" t="n"/>
      <c r="AM129" s="207" t="n"/>
      <c r="AN129" s="207" t="n"/>
      <c r="AO129" s="207" t="n"/>
      <c r="AP129" s="207" t="n">
        <v>657</v>
      </c>
      <c r="AQ129" s="207" t="n">
        <v>274</v>
      </c>
      <c r="AR129" s="207" t="n">
        <v>160</v>
      </c>
      <c r="AS129" s="207" t="n">
        <v>0</v>
      </c>
      <c r="AT129" s="207" t="n">
        <v>0</v>
      </c>
      <c r="AU129" s="207" t="n">
        <v>0</v>
      </c>
      <c r="AV129" s="207" t="n">
        <v>100</v>
      </c>
      <c r="AW129" s="207" t="n">
        <v>0</v>
      </c>
      <c r="AX129" s="208" t="n">
        <v>1</v>
      </c>
      <c r="AY129" s="209">
        <f>L129*AX129+AP129+AQ129+AR129+AV129+AW129+AS129+AT129+AU129</f>
        <v/>
      </c>
      <c r="AZ129" s="207" t="n">
        <v>9716</v>
      </c>
      <c r="BA129" s="207" t="n">
        <v>0</v>
      </c>
      <c r="BB129" s="207">
        <f>AZ129*0.006</f>
        <v/>
      </c>
      <c r="BC129" s="209">
        <f>AZ129+BA129-BB129</f>
        <v/>
      </c>
      <c r="BD129" s="207" t="n">
        <v>0</v>
      </c>
      <c r="BE129" s="207" t="n">
        <v>0</v>
      </c>
      <c r="BF129" s="209">
        <f>BD129+BE129</f>
        <v/>
      </c>
      <c r="BG129" s="209">
        <f>BC129-AY129+BF129</f>
        <v/>
      </c>
      <c r="BH129" s="87" t="inlineStr">
        <is>
          <t>大民</t>
        </is>
      </c>
      <c r="BI129" s="210" t="inlineStr">
        <is>
          <t>北京 北京市 朝阳区 管庄乡塔营东路城志畅悦园5-1-501</t>
        </is>
      </c>
      <c r="BJ129" s="86" t="inlineStr">
        <is>
          <t>18400738127-4051</t>
        </is>
      </c>
      <c r="BK129" s="86" t="n"/>
      <c r="BL129" s="210">
        <f>BC129</f>
        <v/>
      </c>
      <c r="BM129" s="93" t="n"/>
      <c r="BN129" s="94" t="n"/>
      <c r="BO129" s="93" t="inlineStr">
        <is>
          <t>洞洞板，电力轨道，黑色岩板</t>
        </is>
      </c>
      <c r="BP129" s="86" t="n"/>
      <c r="BQ129" s="96" t="n"/>
      <c r="BR129" s="96" t="n"/>
      <c r="BS129" s="97" t="n"/>
      <c r="BT129" s="96" t="n"/>
      <c r="BU129" s="97" t="n"/>
      <c r="BV129" s="96" t="n"/>
      <c r="BW129" s="97" t="n"/>
      <c r="BX129" s="97" t="n"/>
      <c r="BY129" s="97" t="n"/>
      <c r="BZ129" s="97" t="n"/>
      <c r="CA129" s="98" t="n"/>
      <c r="CH129" s="2" t="n"/>
      <c r="CI129" s="14">
        <f>CJ129&amp;CK129</f>
        <v/>
      </c>
      <c r="CY129" s="25" t="n"/>
      <c r="DA129" s="25" t="n"/>
      <c r="DC129" s="26" t="n"/>
      <c r="DD129" s="26" t="n"/>
      <c r="DE129" s="26" t="n"/>
      <c r="DF129" s="26" t="n"/>
      <c r="DG129" s="26" t="n"/>
      <c r="DH129" s="27" t="n"/>
      <c r="DJ129" s="211" t="inlineStr">
        <is>
          <t>订单表中未找到</t>
        </is>
      </c>
      <c r="DK129" t="inlineStr">
        <is>
          <t>—</t>
        </is>
      </c>
      <c r="DL129" t="inlineStr">
        <is>
          <t>—</t>
        </is>
      </c>
    </row>
    <row r="130" ht="15.75" customHeight="1" s="187">
      <c r="A130" s="84" t="n">
        <v>45778</v>
      </c>
      <c r="B130" s="206" t="inlineStr">
        <is>
          <t>已收货</t>
        </is>
      </c>
      <c r="C130" s="86" t="inlineStr">
        <is>
          <t>4321637065842596637</t>
        </is>
      </c>
      <c r="D130" s="87" t="inlineStr">
        <is>
          <t>荣夏</t>
        </is>
      </c>
      <c r="E130" s="87" t="n"/>
      <c r="F130" s="87" t="n"/>
      <c r="G130" s="87" t="inlineStr">
        <is>
          <t>砂白色1.4米岩板餐桌，r20圆角</t>
        </is>
      </c>
      <c r="H130" s="87" t="inlineStr">
        <is>
          <t>榉木餐桌</t>
        </is>
      </c>
      <c r="I130" s="89" t="inlineStr">
        <is>
          <t>140cm*85cm</t>
        </is>
      </c>
      <c r="J130" s="87" t="inlineStr">
        <is>
          <t>已结算</t>
        </is>
      </c>
      <c r="K130" s="87" t="inlineStr">
        <is>
          <t>江西</t>
        </is>
      </c>
      <c r="L130" s="207">
        <f>SUM(M130:AO130)</f>
        <v/>
      </c>
      <c r="M130" s="207">
        <f>1480</f>
        <v/>
      </c>
      <c r="N130" s="207" t="n"/>
      <c r="O130" s="207" t="n"/>
      <c r="P130" s="207" t="n"/>
      <c r="Q130" s="207" t="n"/>
      <c r="R130" s="207" t="n">
        <v>240</v>
      </c>
      <c r="S130" s="207" t="n"/>
      <c r="T130" s="207" t="n"/>
      <c r="U130" s="207" t="n"/>
      <c r="V130" s="207" t="n"/>
      <c r="W130" s="207" t="n"/>
      <c r="X130" s="207" t="n"/>
      <c r="Y130" s="207" t="n"/>
      <c r="Z130" s="207" t="n"/>
      <c r="AA130" s="207" t="n"/>
      <c r="AB130" s="207" t="n"/>
      <c r="AC130" s="207" t="n"/>
      <c r="AD130" s="207" t="n">
        <v>2.5</v>
      </c>
      <c r="AE130" s="207" t="n"/>
      <c r="AF130" s="207" t="n"/>
      <c r="AG130" s="207" t="n"/>
      <c r="AH130" s="207" t="n"/>
      <c r="AI130" s="207" t="n"/>
      <c r="AJ130" s="207" t="n"/>
      <c r="AK130" s="207" t="n"/>
      <c r="AL130" s="207" t="n"/>
      <c r="AM130" s="207" t="n">
        <v>170</v>
      </c>
      <c r="AN130" s="207" t="n"/>
      <c r="AO130" s="207" t="n"/>
      <c r="AP130" s="207" t="n">
        <v>148</v>
      </c>
      <c r="AQ130" s="207" t="n">
        <v>51</v>
      </c>
      <c r="AR130" s="207" t="n">
        <v>68</v>
      </c>
      <c r="AS130" s="207" t="n">
        <v>0</v>
      </c>
      <c r="AT130" s="207" t="n">
        <v>0</v>
      </c>
      <c r="AU130" s="207" t="n">
        <v>0</v>
      </c>
      <c r="AV130" s="207" t="n">
        <v>0</v>
      </c>
      <c r="AW130" s="207" t="n">
        <v>0</v>
      </c>
      <c r="AX130" s="208" t="n">
        <v>1</v>
      </c>
      <c r="AY130" s="209">
        <f>L130*AX130+AP130+AQ130+AR130+AV130+AW130+AS130+AT130+AU130</f>
        <v/>
      </c>
      <c r="AZ130" s="207" t="n">
        <v>2750</v>
      </c>
      <c r="BA130" s="207" t="n">
        <v>0</v>
      </c>
      <c r="BB130" s="207">
        <f>AZ130*0.006</f>
        <v/>
      </c>
      <c r="BC130" s="209">
        <f>AZ130+BA130-BB130</f>
        <v/>
      </c>
      <c r="BD130" s="207" t="n">
        <v>0</v>
      </c>
      <c r="BE130" s="207" t="n">
        <v>0</v>
      </c>
      <c r="BF130" s="209">
        <f>BD130+BE130</f>
        <v/>
      </c>
      <c r="BG130" s="209">
        <f>BC130-AY130+BF130</f>
        <v/>
      </c>
      <c r="BH130" s="87" t="inlineStr">
        <is>
          <t>荣夏</t>
        </is>
      </c>
      <c r="BI130" s="210" t="inlineStr">
        <is>
          <t>四川省 眉山市 东坡区 大石桥街道双凤街锦绣滨江华府</t>
        </is>
      </c>
      <c r="BJ130" s="86" t="inlineStr">
        <is>
          <t>18418945135-3158</t>
        </is>
      </c>
      <c r="BK130" s="86" t="n"/>
      <c r="BL130" s="210">
        <f>BC130</f>
        <v/>
      </c>
      <c r="BM130" s="93" t="n"/>
      <c r="BN130" s="94" t="n"/>
      <c r="BO130" s="93" t="inlineStr">
        <is>
          <t>白色岩板</t>
        </is>
      </c>
      <c r="BP130" s="86" t="n"/>
      <c r="BQ130" s="96" t="n"/>
      <c r="BR130" s="96" t="n"/>
      <c r="BS130" s="97" t="n"/>
      <c r="BT130" s="96" t="n"/>
      <c r="BU130" s="97" t="n"/>
      <c r="BV130" s="96" t="n"/>
      <c r="BW130" s="97" t="n"/>
      <c r="BX130" s="97" t="n"/>
      <c r="BY130" s="97" t="n"/>
      <c r="BZ130" s="97" t="n"/>
      <c r="CA130" s="98" t="n"/>
      <c r="CH130" s="2" t="n"/>
      <c r="CI130" s="14">
        <f>CJ130&amp;CK130</f>
        <v/>
      </c>
      <c r="CY130" s="25" t="n"/>
      <c r="DA130" s="25" t="n"/>
      <c r="DC130" s="26" t="n"/>
      <c r="DD130" s="26" t="n"/>
      <c r="DE130" s="26" t="n"/>
      <c r="DF130" s="26" t="n"/>
      <c r="DG130" s="26" t="n"/>
      <c r="DH130" s="27" t="n"/>
      <c r="DJ130" s="211" t="inlineStr">
        <is>
          <t>订单表中未找到</t>
        </is>
      </c>
      <c r="DK130" t="inlineStr">
        <is>
          <t>—</t>
        </is>
      </c>
      <c r="DL130" t="inlineStr">
        <is>
          <t>—</t>
        </is>
      </c>
    </row>
    <row r="131" ht="15.75" customHeight="1" s="187">
      <c r="A131" s="84" t="n">
        <v>45784</v>
      </c>
      <c r="B131" s="206" t="inlineStr">
        <is>
          <t>已收货</t>
        </is>
      </c>
      <c r="C131" s="86" t="inlineStr">
        <is>
          <t>2555723821784972165</t>
        </is>
      </c>
      <c r="D131" s="87" t="inlineStr">
        <is>
          <t>王君良</t>
        </is>
      </c>
      <c r="E131" s="87" t="n"/>
      <c r="F131" s="87" t="n"/>
      <c r="G131" s="87" t="inlineStr">
        <is>
          <t>洞石色1.6米岩板餐桌</t>
        </is>
      </c>
      <c r="H131" s="87" t="inlineStr">
        <is>
          <t>榉木餐桌</t>
        </is>
      </c>
      <c r="I131" s="89" t="inlineStr">
        <is>
          <t>160cm*85cm</t>
        </is>
      </c>
      <c r="J131" s="87" t="inlineStr">
        <is>
          <t>已结算</t>
        </is>
      </c>
      <c r="K131" s="87" t="inlineStr">
        <is>
          <t>江西</t>
        </is>
      </c>
      <c r="L131" s="207">
        <f>SUM(M131:AO131)</f>
        <v/>
      </c>
      <c r="M131" s="207">
        <f>1520</f>
        <v/>
      </c>
      <c r="N131" s="207" t="n"/>
      <c r="O131" s="207" t="n"/>
      <c r="P131" s="207" t="n"/>
      <c r="Q131" s="207" t="n"/>
      <c r="R131" s="207" t="n">
        <v>520</v>
      </c>
      <c r="S131" s="207" t="n"/>
      <c r="T131" s="207" t="n"/>
      <c r="U131" s="207" t="n"/>
      <c r="V131" s="207" t="n"/>
      <c r="W131" s="207" t="n"/>
      <c r="X131" s="207" t="n"/>
      <c r="Y131" s="207" t="n"/>
      <c r="Z131" s="207" t="n"/>
      <c r="AA131" s="207" t="n"/>
      <c r="AB131" s="207" t="n"/>
      <c r="AC131" s="207" t="n"/>
      <c r="AD131" s="207" t="n">
        <v>2.5</v>
      </c>
      <c r="AE131" s="207" t="n"/>
      <c r="AF131" s="207" t="n"/>
      <c r="AG131" s="207" t="n"/>
      <c r="AH131" s="207" t="n"/>
      <c r="AI131" s="207" t="n"/>
      <c r="AJ131" s="207" t="n"/>
      <c r="AK131" s="207" t="n"/>
      <c r="AL131" s="207" t="n"/>
      <c r="AM131" s="207" t="n">
        <v>130</v>
      </c>
      <c r="AN131" s="207" t="n"/>
      <c r="AO131" s="207" t="n"/>
      <c r="AP131" s="207" t="n">
        <v>70</v>
      </c>
      <c r="AQ131" s="207" t="n">
        <v>46</v>
      </c>
      <c r="AR131" s="207" t="n">
        <v>95</v>
      </c>
      <c r="AS131" s="207" t="n">
        <v>0</v>
      </c>
      <c r="AT131" s="207" t="n">
        <v>0</v>
      </c>
      <c r="AU131" s="207" t="n">
        <v>0</v>
      </c>
      <c r="AV131" s="207" t="n">
        <v>20</v>
      </c>
      <c r="AW131" s="207" t="n">
        <v>0</v>
      </c>
      <c r="AX131" s="208" t="n">
        <v>1</v>
      </c>
      <c r="AY131" s="209">
        <f>L131*AX131+AP131+AQ131+AR131+AV131+AW131+AS131+AT131+AU131</f>
        <v/>
      </c>
      <c r="AZ131" s="207" t="n">
        <v>3105</v>
      </c>
      <c r="BA131" s="207" t="n">
        <v>0</v>
      </c>
      <c r="BB131" s="207">
        <f>AZ131*0.006</f>
        <v/>
      </c>
      <c r="BC131" s="209">
        <f>AZ131+BA131-BB131</f>
        <v/>
      </c>
      <c r="BD131" s="207" t="n">
        <v>0</v>
      </c>
      <c r="BE131" s="207" t="n">
        <v>0</v>
      </c>
      <c r="BF131" s="209">
        <f>BD131+BE131</f>
        <v/>
      </c>
      <c r="BG131" s="209">
        <f>BC131-AY131+BF131</f>
        <v/>
      </c>
      <c r="BH131" s="87" t="inlineStr">
        <is>
          <t>王君良</t>
        </is>
      </c>
      <c r="BI131" s="210" t="inlineStr">
        <is>
          <t>江苏省 苏州市 吴中区 苏州工业园区直属镇汀兰巷199号联创时代（凤里街门卫处）</t>
        </is>
      </c>
      <c r="BJ131" s="86" t="inlineStr">
        <is>
          <t>18468547492-2419</t>
        </is>
      </c>
      <c r="BK131" s="86" t="n"/>
      <c r="BL131" s="210">
        <f>BC131</f>
        <v/>
      </c>
      <c r="BM131" s="93" t="n"/>
      <c r="BN131" s="94" t="n"/>
      <c r="BO131" s="93" t="inlineStr">
        <is>
          <t>洞石岩板</t>
        </is>
      </c>
      <c r="BP131" s="86" t="n"/>
      <c r="BQ131" s="96" t="n"/>
      <c r="BR131" s="96" t="n"/>
      <c r="BS131" s="97" t="n"/>
      <c r="BT131" s="96" t="n"/>
      <c r="BU131" s="97" t="n"/>
      <c r="BV131" s="96" t="n"/>
      <c r="BW131" s="97" t="n"/>
      <c r="BX131" s="97" t="n"/>
      <c r="BY131" s="97" t="n"/>
      <c r="BZ131" s="97" t="n"/>
      <c r="CA131" s="98" t="n"/>
      <c r="CH131" s="2" t="n"/>
      <c r="CI131" s="14">
        <f>CJ131&amp;CK131</f>
        <v/>
      </c>
      <c r="CY131" s="25" t="n"/>
      <c r="DA131" s="25" t="n"/>
      <c r="DC131" s="26" t="n"/>
      <c r="DD131" s="26" t="n"/>
      <c r="DE131" s="26" t="n"/>
      <c r="DF131" s="26" t="n"/>
      <c r="DG131" s="26" t="n"/>
      <c r="DH131" s="27" t="n"/>
      <c r="DJ131" s="211" t="inlineStr">
        <is>
          <t>订单表中未找到</t>
        </is>
      </c>
      <c r="DK131" t="inlineStr">
        <is>
          <t>—</t>
        </is>
      </c>
      <c r="DL131" t="inlineStr">
        <is>
          <t>—</t>
        </is>
      </c>
    </row>
    <row r="132" ht="15.75" customHeight="1" s="187">
      <c r="A132" s="84" t="n">
        <v>45790</v>
      </c>
      <c r="B132" s="206" t="inlineStr">
        <is>
          <t>已收货</t>
        </is>
      </c>
      <c r="C132" s="86" t="inlineStr">
        <is>
          <t>4391748864422223405</t>
        </is>
      </c>
      <c r="D132" s="87" t="inlineStr">
        <is>
          <t>林叶</t>
        </is>
      </c>
      <c r="E132" s="87" t="n"/>
      <c r="F132" s="87" t="n"/>
      <c r="G132" s="87" t="inlineStr">
        <is>
          <t>1.5榉木餐边柜</t>
        </is>
      </c>
      <c r="H132" s="87" t="inlineStr">
        <is>
          <t>榉木餐边柜</t>
        </is>
      </c>
      <c r="I132" s="89" t="n">
        <v>1500</v>
      </c>
      <c r="J132" s="87" t="inlineStr">
        <is>
          <t>已结算，灰色玻璃</t>
        </is>
      </c>
      <c r="K132" s="87" t="inlineStr">
        <is>
          <t>江西</t>
        </is>
      </c>
      <c r="L132" s="207" t="n">
        <v>5226</v>
      </c>
      <c r="M132" s="207" t="n">
        <v>5226</v>
      </c>
      <c r="N132" s="207" t="n"/>
      <c r="O132" s="207" t="n"/>
      <c r="P132" s="207" t="n"/>
      <c r="Q132" s="207" t="n"/>
      <c r="R132" s="207" t="n"/>
      <c r="S132" s="207" t="n"/>
      <c r="T132" s="207" t="n"/>
      <c r="U132" s="207" t="n"/>
      <c r="V132" s="207" t="n"/>
      <c r="W132" s="207" t="n"/>
      <c r="X132" s="207" t="n"/>
      <c r="Y132" s="207" t="n"/>
      <c r="Z132" s="207" t="n"/>
      <c r="AA132" s="207" t="n"/>
      <c r="AB132" s="207" t="n"/>
      <c r="AC132" s="207" t="n"/>
      <c r="AD132" s="207" t="n"/>
      <c r="AE132" s="207" t="n"/>
      <c r="AF132" s="207" t="n"/>
      <c r="AG132" s="207" t="n"/>
      <c r="AH132" s="207" t="n"/>
      <c r="AI132" s="207" t="n"/>
      <c r="AJ132" s="207" t="n"/>
      <c r="AK132" s="207" t="n"/>
      <c r="AL132" s="207" t="n"/>
      <c r="AM132" s="207" t="n"/>
      <c r="AN132" s="207" t="n"/>
      <c r="AO132" s="207" t="n"/>
      <c r="AP132" s="207" t="n">
        <v>275</v>
      </c>
      <c r="AQ132" s="207" t="n">
        <v>86</v>
      </c>
      <c r="AR132" s="207" t="n">
        <v>168</v>
      </c>
      <c r="AS132" s="207" t="n">
        <v>0</v>
      </c>
      <c r="AT132" s="207" t="n">
        <v>0</v>
      </c>
      <c r="AU132" s="207" t="n">
        <v>0</v>
      </c>
      <c r="AV132" s="207" t="n">
        <v>180</v>
      </c>
      <c r="AW132" s="207" t="n">
        <v>0</v>
      </c>
      <c r="AX132" s="208" t="n">
        <v>1</v>
      </c>
      <c r="AY132" s="209">
        <f>L132*AX132+AP132+AQ132+AR132+AV132+AW132+AS132+AT132+AU132</f>
        <v/>
      </c>
      <c r="AZ132" s="207" t="n">
        <v>7208.69</v>
      </c>
      <c r="BA132" s="207" t="n">
        <v>0</v>
      </c>
      <c r="BB132" s="207">
        <f>AZ132*0.006</f>
        <v/>
      </c>
      <c r="BC132" s="209">
        <f>AZ132+BA132-BB132</f>
        <v/>
      </c>
      <c r="BD132" s="207" t="n">
        <v>0</v>
      </c>
      <c r="BE132" s="207" t="n">
        <v>0</v>
      </c>
      <c r="BF132" s="209">
        <f>BD132+BE132</f>
        <v/>
      </c>
      <c r="BG132" s="209">
        <f>BC132-AY132+BF132</f>
        <v/>
      </c>
      <c r="BH132" s="87" t="inlineStr">
        <is>
          <t>林叶</t>
        </is>
      </c>
      <c r="BI132" s="210" t="inlineStr">
        <is>
          <t>浙江省 杭州市 萧山区 新街街道 黎端路山澜桂语轩2幢1801室</t>
        </is>
      </c>
      <c r="BJ132" s="86" t="inlineStr">
        <is>
          <t>13063491894-4806</t>
        </is>
      </c>
      <c r="BK132" s="86" t="n"/>
      <c r="BL132" s="210">
        <f>BC132</f>
        <v/>
      </c>
      <c r="BM132" s="93" t="n"/>
      <c r="BN132" s="94" t="n"/>
      <c r="BO132" s="93" t="inlineStr">
        <is>
          <t>黑色岩板+k59</t>
        </is>
      </c>
      <c r="BP132" s="86" t="n"/>
      <c r="BQ132" s="96" t="n"/>
      <c r="BR132" s="96" t="n"/>
      <c r="BS132" s="97" t="n"/>
      <c r="BT132" s="96" t="n"/>
      <c r="BU132" s="97" t="n"/>
      <c r="BV132" s="96" t="n"/>
      <c r="BW132" s="97" t="n"/>
      <c r="BX132" s="97" t="n"/>
      <c r="BY132" s="97" t="n"/>
      <c r="BZ132" s="97" t="n"/>
      <c r="CA132" s="98" t="n"/>
      <c r="CH132" s="2" t="n"/>
      <c r="CI132" s="14">
        <f>CJ132&amp;CK132</f>
        <v/>
      </c>
      <c r="CY132" s="25" t="n"/>
      <c r="DA132" s="25" t="n"/>
      <c r="DC132" s="26" t="n"/>
      <c r="DD132" s="26" t="n"/>
      <c r="DE132" s="26" t="n"/>
      <c r="DF132" s="26" t="n"/>
      <c r="DG132" s="26" t="n"/>
      <c r="DH132" s="27" t="n"/>
      <c r="DJ132" s="211" t="inlineStr">
        <is>
          <t>订单表中未找到</t>
        </is>
      </c>
      <c r="DK132" t="inlineStr">
        <is>
          <t>—</t>
        </is>
      </c>
      <c r="DL132" t="inlineStr">
        <is>
          <t>—</t>
        </is>
      </c>
    </row>
    <row r="133" ht="15.75" customHeight="1" s="187">
      <c r="A133" s="84" t="n">
        <v>45793</v>
      </c>
      <c r="B133" s="206" t="inlineStr">
        <is>
          <t>已收货</t>
        </is>
      </c>
      <c r="C133" s="86" t="inlineStr">
        <is>
          <t>4340705076373951010</t>
        </is>
      </c>
      <c r="D133" s="87" t="inlineStr">
        <is>
          <t>郑先生</t>
        </is>
      </c>
      <c r="E133" s="87" t="inlineStr">
        <is>
          <t>已发，打包费没出，补发玻璃20</t>
        </is>
      </c>
      <c r="F133" s="87" t="n"/>
      <c r="G133" s="87" t="inlineStr">
        <is>
          <t>1.727米+1.4米单腿餐桌樱桃木，下柜45cm</t>
        </is>
      </c>
      <c r="H133" s="87" t="inlineStr">
        <is>
          <t>旋转餐边柜</t>
        </is>
      </c>
      <c r="I133" s="89" t="n">
        <v>1727</v>
      </c>
      <c r="J133" s="87" t="inlineStr">
        <is>
          <t>已结算，茶色玻璃</t>
        </is>
      </c>
      <c r="K133" s="87" t="inlineStr">
        <is>
          <t>江西</t>
        </is>
      </c>
      <c r="L133" s="207">
        <f>5700+240+300+20+22*9+52+42+22+470+551</f>
        <v/>
      </c>
      <c r="M133" s="207">
        <f>5700</f>
        <v/>
      </c>
      <c r="N133" s="207" t="n"/>
      <c r="O133" s="207" t="n"/>
      <c r="P133" s="207" t="n"/>
      <c r="Q133" s="207" t="n"/>
      <c r="R133" s="207" t="n"/>
      <c r="S133" s="207" t="n">
        <v>52</v>
      </c>
      <c r="T133" s="207" t="n">
        <v>42</v>
      </c>
      <c r="U133" s="207" t="n"/>
      <c r="V133" s="207" t="n"/>
      <c r="W133" s="207" t="n">
        <v>22</v>
      </c>
      <c r="X133" s="207" t="n">
        <v>470</v>
      </c>
      <c r="Y133" s="207" t="n">
        <v>551</v>
      </c>
      <c r="Z133" s="207" t="n"/>
      <c r="AA133" s="207" t="n"/>
      <c r="AB133" s="207" t="n"/>
      <c r="AC133" s="207" t="n"/>
      <c r="AD133" s="207" t="n"/>
      <c r="AE133" s="207" t="n"/>
      <c r="AF133" s="207" t="n"/>
      <c r="AG133" s="207" t="n"/>
      <c r="AH133" s="207" t="n"/>
      <c r="AI133" s="207" t="n"/>
      <c r="AJ133" s="207" t="n"/>
      <c r="AK133" s="207" t="n"/>
      <c r="AL133" s="207" t="n"/>
      <c r="AM133" s="207" t="n"/>
      <c r="AN133" s="207" t="n"/>
      <c r="AO133" s="207" t="n"/>
      <c r="AP133" s="207" t="n">
        <v>465</v>
      </c>
      <c r="AQ133" s="207" t="n">
        <v>111</v>
      </c>
      <c r="AR133" s="207" t="n">
        <v>158</v>
      </c>
      <c r="AS133" s="207" t="n">
        <v>0</v>
      </c>
      <c r="AT133" s="207" t="n">
        <v>0</v>
      </c>
      <c r="AU133" s="207" t="n">
        <v>0</v>
      </c>
      <c r="AV133" s="207" t="n">
        <v>100</v>
      </c>
      <c r="AW133" s="207" t="n">
        <v>0</v>
      </c>
      <c r="AX133" s="208" t="n">
        <v>1</v>
      </c>
      <c r="AY133" s="209">
        <f>L133*AX133+AP133+AQ133+AR133+AV133+AW133+AS133+AT133+AU133</f>
        <v/>
      </c>
      <c r="AZ133" s="207" t="n">
        <v>10800</v>
      </c>
      <c r="BA133" s="207" t="n">
        <v>0</v>
      </c>
      <c r="BB133" s="207">
        <f>AZ133*0.006</f>
        <v/>
      </c>
      <c r="BC133" s="209">
        <f>AZ133+BA133-BB133</f>
        <v/>
      </c>
      <c r="BD133" s="207" t="n">
        <v>0</v>
      </c>
      <c r="BE133" s="207" t="n">
        <v>0</v>
      </c>
      <c r="BF133" s="209">
        <f>BD133+BE133</f>
        <v/>
      </c>
      <c r="BG133" s="209">
        <f>BC133-AY133+BF133</f>
        <v/>
      </c>
      <c r="BH133" s="87" t="inlineStr">
        <is>
          <t>郑先生</t>
        </is>
      </c>
      <c r="BI133" s="210" t="inlineStr">
        <is>
          <t>福建省 厦门市 思明区 梧村街道厦禾路1120之二 1002</t>
        </is>
      </c>
      <c r="BJ133" s="86" t="inlineStr">
        <is>
          <t>13030847760-1482</t>
        </is>
      </c>
      <c r="BK133" s="86" t="n"/>
      <c r="BL133" s="210">
        <f>BC133</f>
        <v/>
      </c>
      <c r="BM133" s="93" t="n"/>
      <c r="BN133" s="94" t="n"/>
      <c r="BO133" s="93" t="inlineStr">
        <is>
          <t>黑色岩板，黑色洞洞板，u80</t>
        </is>
      </c>
      <c r="BP133" s="86" t="n"/>
      <c r="BQ133" s="96" t="n"/>
      <c r="BR133" s="96" t="n"/>
      <c r="BS133" s="97" t="n"/>
      <c r="BT133" s="96" t="n"/>
      <c r="BU133" s="97" t="n"/>
      <c r="BV133" s="96" t="n"/>
      <c r="BW133" s="97" t="n"/>
      <c r="BX133" s="97" t="n"/>
      <c r="BY133" s="97" t="n"/>
      <c r="BZ133" s="97" t="n"/>
      <c r="CA133" s="98" t="n"/>
      <c r="CH133" s="2" t="n"/>
      <c r="CI133" s="14">
        <f>CJ133&amp;CK133</f>
        <v/>
      </c>
      <c r="CY133" s="25" t="n"/>
      <c r="DA133" s="25" t="n"/>
      <c r="DC133" s="26" t="n"/>
      <c r="DD133" s="26" t="n"/>
      <c r="DE133" s="26" t="n"/>
      <c r="DF133" s="26" t="n"/>
      <c r="DG133" s="26" t="n"/>
      <c r="DH133" s="27" t="n"/>
      <c r="DJ133" s="211" t="inlineStr">
        <is>
          <t>订单表中未找到</t>
        </is>
      </c>
      <c r="DK133" t="inlineStr">
        <is>
          <t>—</t>
        </is>
      </c>
      <c r="DL133" t="inlineStr">
        <is>
          <t>—</t>
        </is>
      </c>
    </row>
    <row r="134" ht="15.75" customHeight="1" s="187">
      <c r="A134" s="99" t="n">
        <v>45793</v>
      </c>
      <c r="B134" s="100" t="inlineStr">
        <is>
          <t>退货退款</t>
        </is>
      </c>
      <c r="C134" s="101" t="inlineStr">
        <is>
          <t>2567708726466810854</t>
        </is>
      </c>
      <c r="D134" s="100" t="inlineStr">
        <is>
          <t>橙咬金</t>
        </is>
      </c>
      <c r="E134" s="100" t="inlineStr">
        <is>
          <t>修改安装换底脚，底脚打包60</t>
        </is>
      </c>
      <c r="F134" s="100" t="n"/>
      <c r="G134" s="100" t="inlineStr">
        <is>
          <t>组合柜：3个木底脚+单移门柜+双抽屉柜+横竖隔板柜</t>
        </is>
      </c>
      <c r="H134" s="100" t="n"/>
      <c r="I134" s="102" t="n"/>
      <c r="J134" s="100" t="n"/>
      <c r="K134" s="100" t="inlineStr">
        <is>
          <t>江西</t>
        </is>
      </c>
      <c r="L134" s="212" t="n">
        <v>60</v>
      </c>
      <c r="M134" s="212" t="n">
        <v>60</v>
      </c>
      <c r="N134" s="212" t="n"/>
      <c r="O134" s="212" t="n"/>
      <c r="P134" s="212" t="n"/>
      <c r="Q134" s="212" t="n"/>
      <c r="R134" s="212" t="n"/>
      <c r="S134" s="212" t="n"/>
      <c r="T134" s="212" t="n"/>
      <c r="U134" s="212" t="n"/>
      <c r="V134" s="212" t="n"/>
      <c r="W134" s="212" t="n"/>
      <c r="X134" s="212" t="n"/>
      <c r="Y134" s="212" t="n"/>
      <c r="Z134" s="212" t="n"/>
      <c r="AA134" s="212" t="n"/>
      <c r="AB134" s="212" t="n"/>
      <c r="AC134" s="212" t="n"/>
      <c r="AD134" s="212" t="n"/>
      <c r="AE134" s="212" t="n"/>
      <c r="AF134" s="212" t="n"/>
      <c r="AG134" s="212" t="n"/>
      <c r="AH134" s="212" t="n"/>
      <c r="AI134" s="212" t="n"/>
      <c r="AJ134" s="212" t="n"/>
      <c r="AK134" s="212" t="n"/>
      <c r="AL134" s="212" t="n"/>
      <c r="AM134" s="213" t="n">
        <v>60</v>
      </c>
      <c r="AN134" s="213" t="n"/>
      <c r="AO134" s="213" t="n"/>
      <c r="AP134" s="213" t="n">
        <v>123</v>
      </c>
      <c r="AQ134" s="213" t="n">
        <v>55</v>
      </c>
      <c r="AR134" s="213" t="n">
        <v>100</v>
      </c>
      <c r="AS134" s="213" t="n">
        <v>0</v>
      </c>
      <c r="AT134" s="213" t="n">
        <v>0</v>
      </c>
      <c r="AU134" s="213" t="n">
        <v>0</v>
      </c>
      <c r="AV134" s="213" t="n">
        <v>0</v>
      </c>
      <c r="AW134" s="213" t="n">
        <v>0</v>
      </c>
      <c r="AX134" s="214" t="n">
        <v>1</v>
      </c>
      <c r="AY134" s="213">
        <f>L134*AX134+AP134+AQ134+AR134+AV134+AW134+AS134+AT134+AU134</f>
        <v/>
      </c>
      <c r="AZ134" s="213" t="n"/>
      <c r="BA134" s="213" t="n"/>
      <c r="BB134" s="213" t="n"/>
      <c r="BC134" s="213">
        <f>AZ134+BA134-BB134</f>
        <v/>
      </c>
      <c r="BD134" s="213" t="n"/>
      <c r="BE134" s="213" t="n"/>
      <c r="BF134" s="213">
        <f>BD134+BE134</f>
        <v/>
      </c>
      <c r="BG134" s="213">
        <f>BC134-AY134+BF134</f>
        <v/>
      </c>
      <c r="BH134" s="100" t="inlineStr">
        <is>
          <t>橙咬金</t>
        </is>
      </c>
      <c r="BI134" s="100" t="inlineStr">
        <is>
          <t>江苏省 苏州市 吴江区 松陵街道悦欣华庭5号楼1101</t>
        </is>
      </c>
      <c r="BJ134" s="100" t="inlineStr">
        <is>
          <t>17895043562-7657</t>
        </is>
      </c>
      <c r="BK134" s="101" t="n"/>
      <c r="BL134" s="215" t="n"/>
      <c r="BM134" s="107" t="n"/>
      <c r="BN134" s="94" t="n"/>
      <c r="BO134" s="107" t="n"/>
      <c r="BP134" s="101" t="n"/>
      <c r="BQ134" s="109" t="n"/>
      <c r="BR134" s="109" t="n"/>
      <c r="BS134" s="100" t="n"/>
      <c r="BT134" s="109" t="n"/>
      <c r="BU134" s="100" t="n"/>
      <c r="BV134" s="109" t="n"/>
      <c r="BW134" s="100" t="n"/>
      <c r="BX134" s="100" t="n"/>
      <c r="BY134" s="100" t="n"/>
      <c r="BZ134" s="100" t="n"/>
      <c r="CA134" s="98" t="n"/>
      <c r="CH134" s="2" t="n"/>
      <c r="CI134" s="14">
        <f>CJ134&amp;CK134</f>
        <v/>
      </c>
      <c r="CY134" s="25" t="n"/>
      <c r="DA134" s="25" t="n"/>
      <c r="DC134" s="26" t="n"/>
      <c r="DD134" s="26" t="n"/>
      <c r="DE134" s="26" t="n"/>
      <c r="DF134" s="26" t="n"/>
      <c r="DG134" s="26" t="n"/>
      <c r="DH134" s="27" t="n"/>
      <c r="DJ134" s="211" t="inlineStr">
        <is>
          <t>订单表中未找到</t>
        </is>
      </c>
      <c r="DK134" t="inlineStr">
        <is>
          <t>—</t>
        </is>
      </c>
      <c r="DL134" t="inlineStr">
        <is>
          <t>—</t>
        </is>
      </c>
    </row>
    <row r="135" ht="15.75" customHeight="1" s="187">
      <c r="A135" s="84" t="n">
        <v>45793</v>
      </c>
      <c r="B135" s="206" t="inlineStr">
        <is>
          <t>已收货</t>
        </is>
      </c>
      <c r="C135" s="86" t="inlineStr">
        <is>
          <t>2568314533240134565</t>
        </is>
      </c>
      <c r="D135" s="87" t="inlineStr">
        <is>
          <t>徐婷婷</t>
        </is>
      </c>
      <c r="E135" s="87" t="n"/>
      <c r="F135" s="87" t="n"/>
      <c r="G135" s="87" t="inlineStr">
        <is>
          <t>藤编椅子：樱桃木色</t>
        </is>
      </c>
      <c r="H135" s="87" t="inlineStr">
        <is>
          <t>椅子</t>
        </is>
      </c>
      <c r="I135" s="89" t="n"/>
      <c r="J135" s="87" t="inlineStr">
        <is>
          <t>已结算</t>
        </is>
      </c>
      <c r="K135" s="86" t="inlineStr">
        <is>
          <t>其他</t>
        </is>
      </c>
      <c r="L135" s="207" t="n">
        <v>310</v>
      </c>
      <c r="M135" s="207" t="n">
        <v>310</v>
      </c>
      <c r="N135" s="207" t="n"/>
      <c r="O135" s="207" t="n"/>
      <c r="P135" s="207" t="n"/>
      <c r="Q135" s="207" t="n"/>
      <c r="R135" s="207" t="n"/>
      <c r="S135" s="207" t="n"/>
      <c r="T135" s="207" t="n"/>
      <c r="U135" s="207" t="n"/>
      <c r="V135" s="207" t="n"/>
      <c r="W135" s="207" t="n"/>
      <c r="X135" s="207" t="n"/>
      <c r="Y135" s="207" t="n"/>
      <c r="Z135" s="207" t="n"/>
      <c r="AA135" s="207" t="n"/>
      <c r="AB135" s="207" t="n"/>
      <c r="AC135" s="207" t="n"/>
      <c r="AD135" s="207" t="n"/>
      <c r="AE135" s="207" t="n"/>
      <c r="AF135" s="207" t="n"/>
      <c r="AG135" s="207" t="n"/>
      <c r="AH135" s="207" t="n"/>
      <c r="AI135" s="207" t="n"/>
      <c r="AJ135" s="207" t="n"/>
      <c r="AK135" s="207" t="n"/>
      <c r="AL135" s="207" t="n"/>
      <c r="AM135" s="207" t="n"/>
      <c r="AN135" s="207" t="n"/>
      <c r="AO135" s="207" t="n"/>
      <c r="AP135" s="207" t="n">
        <v>0</v>
      </c>
      <c r="AQ135" s="207" t="n">
        <v>0</v>
      </c>
      <c r="AR135" s="207" t="n">
        <v>0</v>
      </c>
      <c r="AS135" s="207" t="n">
        <v>0</v>
      </c>
      <c r="AT135" s="207" t="n">
        <v>0</v>
      </c>
      <c r="AU135" s="207" t="n">
        <v>0</v>
      </c>
      <c r="AV135" s="207" t="n">
        <v>0</v>
      </c>
      <c r="AW135" s="207" t="n">
        <v>0</v>
      </c>
      <c r="AX135" s="208" t="n">
        <v>1</v>
      </c>
      <c r="AY135" s="209">
        <f>L135*AX135+AP135+AQ135+AR135+AV135+AW135+AS135+AT135+AU135</f>
        <v/>
      </c>
      <c r="AZ135" s="207" t="n">
        <v>386.57</v>
      </c>
      <c r="BA135" s="207" t="n">
        <v>0</v>
      </c>
      <c r="BB135" s="207">
        <f>AZ135*0.006</f>
        <v/>
      </c>
      <c r="BC135" s="209">
        <f>AZ135+BA135-BB135</f>
        <v/>
      </c>
      <c r="BD135" s="207" t="n">
        <v>0</v>
      </c>
      <c r="BE135" s="207" t="n">
        <v>0</v>
      </c>
      <c r="BF135" s="209">
        <f>BD135+BE135</f>
        <v/>
      </c>
      <c r="BG135" s="209">
        <f>BC135-AY135+BF135</f>
        <v/>
      </c>
      <c r="BH135" s="87" t="inlineStr">
        <is>
          <t>徐婷婷</t>
        </is>
      </c>
      <c r="BI135" s="210" t="inlineStr">
        <is>
          <t xml:space="preserve">浙江省 金华市 金东区 多湖街道 阅云台2-1-1401 </t>
        </is>
      </c>
      <c r="BJ135" s="86" t="inlineStr">
        <is>
          <t>15787420103-1877</t>
        </is>
      </c>
      <c r="BK135" s="86" t="n"/>
      <c r="BL135" s="210">
        <f>BC135</f>
        <v/>
      </c>
      <c r="BM135" s="93" t="n"/>
      <c r="BN135" s="94" t="n"/>
      <c r="BO135" s="93" t="n"/>
      <c r="BP135" s="86" t="n"/>
      <c r="BQ135" s="96" t="n"/>
      <c r="BR135" s="96" t="n"/>
      <c r="BS135" s="97" t="n"/>
      <c r="BT135" s="96" t="n"/>
      <c r="BU135" s="97" t="n"/>
      <c r="BV135" s="96" t="n"/>
      <c r="BW135" s="97" t="n"/>
      <c r="BX135" s="97" t="n"/>
      <c r="BY135" s="97" t="n"/>
      <c r="BZ135" s="97" t="n"/>
      <c r="CA135" s="98" t="n"/>
      <c r="CH135" s="2" t="n"/>
      <c r="CI135" s="14">
        <f>CJ135&amp;CK135</f>
        <v/>
      </c>
      <c r="CY135" s="25" t="n"/>
      <c r="DA135" s="25" t="n"/>
      <c r="DC135" s="26" t="n"/>
      <c r="DD135" s="26" t="n"/>
      <c r="DE135" s="26" t="n"/>
      <c r="DF135" s="26" t="n"/>
      <c r="DG135" s="26" t="n"/>
      <c r="DH135" s="27" t="n"/>
      <c r="DJ135" s="211" t="inlineStr">
        <is>
          <t>订单表中未找到</t>
        </is>
      </c>
      <c r="DK135" t="inlineStr">
        <is>
          <t>—</t>
        </is>
      </c>
      <c r="DL135" t="inlineStr">
        <is>
          <t>—</t>
        </is>
      </c>
    </row>
    <row r="136" ht="15.75" customHeight="1" s="187">
      <c r="A136" s="84" t="n">
        <v>45793</v>
      </c>
      <c r="B136" s="206" t="inlineStr">
        <is>
          <t>已收货</t>
        </is>
      </c>
      <c r="C136" s="86" t="inlineStr">
        <is>
          <t>2567842574763215275</t>
        </is>
      </c>
      <c r="D136" s="87" t="inlineStr">
        <is>
          <t>清水镜</t>
        </is>
      </c>
      <c r="E136" s="87" t="n"/>
      <c r="F136" s="87" t="n"/>
      <c r="G136" s="87" t="inlineStr">
        <is>
          <t>1.8榉木白色岩板下柜+1.4岩板单腿餐桌，左旋</t>
        </is>
      </c>
      <c r="H136" s="87" t="inlineStr">
        <is>
          <t>旋转餐边柜</t>
        </is>
      </c>
      <c r="I136" s="89" t="n">
        <v>1800</v>
      </c>
      <c r="J136" s="87" t="inlineStr">
        <is>
          <t>已结算，茶色玻璃</t>
        </is>
      </c>
      <c r="K136" s="86" t="inlineStr">
        <is>
          <t>江西</t>
        </is>
      </c>
      <c r="L136" s="207">
        <f>3700+240+240+22*9+42+355+410</f>
        <v/>
      </c>
      <c r="M136" s="207">
        <f>3700</f>
        <v/>
      </c>
      <c r="N136" s="207" t="n"/>
      <c r="O136" s="207" t="n"/>
      <c r="P136" s="207" t="n"/>
      <c r="Q136" s="207" t="n"/>
      <c r="R136" s="207" t="n"/>
      <c r="S136" s="207" t="n">
        <v>355</v>
      </c>
      <c r="T136" s="207" t="n">
        <v>410</v>
      </c>
      <c r="U136" s="207" t="n"/>
      <c r="V136" s="207" t="n"/>
      <c r="W136" s="207" t="n"/>
      <c r="X136" s="207">
        <f>22*9</f>
        <v/>
      </c>
      <c r="Y136" s="207" t="n"/>
      <c r="Z136" s="207" t="n"/>
      <c r="AA136" s="207" t="n"/>
      <c r="AB136" s="207" t="n"/>
      <c r="AC136" s="207" t="n"/>
      <c r="AD136" s="207" t="n"/>
      <c r="AE136" s="207" t="n"/>
      <c r="AF136" s="207" t="n"/>
      <c r="AG136" s="207" t="n"/>
      <c r="AH136" s="207" t="n"/>
      <c r="AI136" s="207" t="n"/>
      <c r="AJ136" s="207" t="n"/>
      <c r="AK136" s="207" t="n"/>
      <c r="AL136" s="207" t="n"/>
      <c r="AM136" s="207" t="n">
        <v>410</v>
      </c>
      <c r="AN136" s="207" t="n"/>
      <c r="AO136" s="207" t="n"/>
      <c r="AP136" s="207" t="n">
        <v>537</v>
      </c>
      <c r="AQ136" s="207" t="n">
        <v>87</v>
      </c>
      <c r="AR136" s="207" t="n">
        <v>84</v>
      </c>
      <c r="AS136" s="207" t="n">
        <v>0</v>
      </c>
      <c r="AT136" s="207" t="n">
        <v>0</v>
      </c>
      <c r="AU136" s="207" t="n">
        <v>0</v>
      </c>
      <c r="AV136" s="207" t="n">
        <v>100</v>
      </c>
      <c r="AW136" s="207" t="n">
        <v>150</v>
      </c>
      <c r="AX136" s="208" t="n">
        <v>1</v>
      </c>
      <c r="AY136" s="209">
        <f>L136*AX136+AP136+AQ136+AR136+AV136+AW136+AS136+AT136+AU136</f>
        <v/>
      </c>
      <c r="AZ136" s="207" t="n">
        <v>6625</v>
      </c>
      <c r="BA136" s="207" t="n">
        <v>0</v>
      </c>
      <c r="BB136" s="207">
        <f>AZ136*0.006</f>
        <v/>
      </c>
      <c r="BC136" s="209">
        <f>AZ136+BA136-BB136</f>
        <v/>
      </c>
      <c r="BD136" s="207" t="n">
        <v>0</v>
      </c>
      <c r="BE136" s="207" t="n">
        <v>0</v>
      </c>
      <c r="BF136" s="209">
        <f>BD136+BE136</f>
        <v/>
      </c>
      <c r="BG136" s="209">
        <f>BC136-AY136+BF136</f>
        <v/>
      </c>
      <c r="BH136" s="87" t="inlineStr">
        <is>
          <t>清水镜</t>
        </is>
      </c>
      <c r="BI136" s="210" t="inlineStr">
        <is>
          <t>辽宁省 大连市 旅顺口区 龙王塘街道高新园区国宝星月湾2期</t>
        </is>
      </c>
      <c r="BJ136" s="86" t="inlineStr">
        <is>
          <t>13019130363-5313</t>
        </is>
      </c>
      <c r="BK136" s="86" t="n"/>
      <c r="BL136" s="210">
        <f>BC136</f>
        <v/>
      </c>
      <c r="BM136" s="93" t="n"/>
      <c r="BN136" s="94" t="n"/>
      <c r="BO136" s="93" t="n"/>
      <c r="BP136" s="86" t="n"/>
      <c r="BQ136" s="96" t="inlineStr">
        <is>
          <t>清水镜</t>
        </is>
      </c>
      <c r="BR136" s="96" t="inlineStr">
        <is>
          <t>12mm白色岩板179.8*54.8 ，左右两边进来8cm开2*1cm半圆孔
12mm白色岩板 140*75，不打孔</t>
        </is>
      </c>
      <c r="BS136" s="97" t="n"/>
      <c r="BT136" s="96" t="n"/>
      <c r="BU136" s="97" t="n"/>
      <c r="BV136" s="96" t="n"/>
      <c r="BW136" s="97" t="n"/>
      <c r="BX136" s="97" t="n"/>
      <c r="BY136" s="97" t="n"/>
      <c r="BZ136" s="97" t="n"/>
      <c r="CA136" s="98" t="n"/>
      <c r="CH136" s="2" t="n"/>
      <c r="CI136" s="14">
        <f>CJ136&amp;CK136</f>
        <v/>
      </c>
      <c r="CY136" s="25" t="n"/>
      <c r="DA136" s="25" t="n"/>
      <c r="DC136" s="26" t="n"/>
      <c r="DD136" s="26" t="n"/>
      <c r="DE136" s="26" t="n"/>
      <c r="DF136" s="26" t="n"/>
      <c r="DG136" s="26" t="n"/>
      <c r="DH136" s="27" t="n"/>
      <c r="DJ136" s="211" t="inlineStr">
        <is>
          <t>订单表中未找到</t>
        </is>
      </c>
      <c r="DK136" t="inlineStr">
        <is>
          <t>—</t>
        </is>
      </c>
      <c r="DL136" t="inlineStr">
        <is>
          <t>—</t>
        </is>
      </c>
    </row>
    <row r="137" ht="15.75" customHeight="1" s="187">
      <c r="A137" s="84" t="n">
        <v>45795</v>
      </c>
      <c r="B137" s="206" t="inlineStr">
        <is>
          <t>已收货</t>
        </is>
      </c>
      <c r="C137" s="86" t="inlineStr">
        <is>
          <t>2567938191344525077</t>
        </is>
      </c>
      <c r="D137" s="87" t="inlineStr">
        <is>
          <t>苗妈</t>
        </is>
      </c>
      <c r="E137" s="87" t="n"/>
      <c r="F137" s="87" t="n"/>
      <c r="G137" s="87" t="inlineStr">
        <is>
          <t>2.1樱桃木旋转柜：2.1米+1.6米双腿餐桌</t>
        </is>
      </c>
      <c r="H137" s="87" t="inlineStr">
        <is>
          <t>旋转餐边柜</t>
        </is>
      </c>
      <c r="I137" s="89" t="n">
        <v>2100</v>
      </c>
      <c r="J137" s="87" t="inlineStr">
        <is>
          <t>已结算，茶色玻璃</t>
        </is>
      </c>
      <c r="K137" s="86" t="inlineStr">
        <is>
          <t>江西</t>
        </is>
      </c>
      <c r="L137" s="207">
        <f>6200+220+360+350+655+42+22*9+52+22+42+220</f>
        <v/>
      </c>
      <c r="M137" s="207">
        <f>6200</f>
        <v/>
      </c>
      <c r="N137" s="207" t="n"/>
      <c r="O137" s="207" t="n"/>
      <c r="P137" s="207" t="n"/>
      <c r="Q137" s="207" t="n"/>
      <c r="R137" s="207" t="n"/>
      <c r="S137" s="207" t="n">
        <v>42</v>
      </c>
      <c r="T137" s="207" t="n"/>
      <c r="U137" s="207" t="n"/>
      <c r="V137" s="207" t="n"/>
      <c r="W137" s="207" t="n">
        <v>52</v>
      </c>
      <c r="X137" s="207">
        <f>22*9</f>
        <v/>
      </c>
      <c r="Y137" s="207" t="n">
        <v>42</v>
      </c>
      <c r="Z137" s="207" t="n"/>
      <c r="AA137" s="207" t="n"/>
      <c r="AB137" s="207" t="n"/>
      <c r="AC137" s="207" t="n"/>
      <c r="AD137" s="207" t="n"/>
      <c r="AE137" s="207" t="n">
        <v>22</v>
      </c>
      <c r="AF137" s="207" t="n"/>
      <c r="AG137" s="207" t="n"/>
      <c r="AH137" s="207" t="n"/>
      <c r="AI137" s="207" t="n"/>
      <c r="AJ137" s="207" t="n"/>
      <c r="AK137" s="207" t="n"/>
      <c r="AL137" s="207" t="n"/>
      <c r="AM137" s="207" t="n">
        <v>220</v>
      </c>
      <c r="AN137" s="207" t="n"/>
      <c r="AO137" s="207" t="n"/>
      <c r="AP137" s="207" t="n">
        <v>350</v>
      </c>
      <c r="AQ137" s="207" t="n">
        <v>0</v>
      </c>
      <c r="AR137" s="207" t="n">
        <v>400</v>
      </c>
      <c r="AS137" s="207" t="n">
        <v>0</v>
      </c>
      <c r="AT137" s="207" t="n">
        <v>0</v>
      </c>
      <c r="AU137" s="207" t="n">
        <v>0</v>
      </c>
      <c r="AV137" s="207" t="n">
        <v>100</v>
      </c>
      <c r="AW137" s="207" t="n">
        <v>0</v>
      </c>
      <c r="AX137" s="208" t="n">
        <v>1</v>
      </c>
      <c r="AY137" s="209">
        <f>L137*AX137+AP137+AQ137+AR137+AV137+AW137+AS137+AT137+AU137</f>
        <v/>
      </c>
      <c r="AZ137" s="207" t="n">
        <v>12849.78</v>
      </c>
      <c r="BA137" s="207" t="n">
        <v>0</v>
      </c>
      <c r="BB137" s="207">
        <f>AZ137*0.006</f>
        <v/>
      </c>
      <c r="BC137" s="209">
        <f>AZ137+BA137-BB137</f>
        <v/>
      </c>
      <c r="BD137" s="207" t="n">
        <v>0</v>
      </c>
      <c r="BE137" s="207" t="n">
        <v>0</v>
      </c>
      <c r="BF137" s="209">
        <f>BD137+BE137</f>
        <v/>
      </c>
      <c r="BG137" s="209">
        <f>BC137-AY137+BF137</f>
        <v/>
      </c>
      <c r="BH137" s="87" t="inlineStr">
        <is>
          <t>苗妈</t>
        </is>
      </c>
      <c r="BI137" s="210" t="inlineStr">
        <is>
          <t>上海 上海市 黄浦区 小东门街道中华路185号东业大厦科普楼1202室</t>
        </is>
      </c>
      <c r="BJ137" s="86" t="inlineStr">
        <is>
          <t>18466666238-7733</t>
        </is>
      </c>
      <c r="BK137" s="86" t="n"/>
      <c r="BL137" s="210">
        <f>BC137</f>
        <v/>
      </c>
      <c r="BM137" s="93" t="n"/>
      <c r="BN137" s="94" t="n"/>
      <c r="BO137" s="93" t="inlineStr">
        <is>
          <t>白色洞洞板+白色岩板+超透油砂玻璃</t>
        </is>
      </c>
      <c r="BP137" s="86" t="n"/>
      <c r="BQ137" s="96" t="inlineStr">
        <is>
          <t>苗妈</t>
        </is>
      </c>
      <c r="BR137" s="96" t="inlineStr">
        <is>
          <t>12mm白色岩板209.8*54.8 ，右侧打孔，待定</t>
        </is>
      </c>
      <c r="BS137" s="97" t="inlineStr">
        <is>
          <t>苗妈</t>
        </is>
      </c>
      <c r="BT137" s="96" t="inlineStr">
        <is>
          <t>白色洞洞板205.8*60.8，右打孔</t>
        </is>
      </c>
      <c r="BU137" s="97" t="inlineStr">
        <is>
          <t>苗妈</t>
        </is>
      </c>
      <c r="BV137" s="96" t="n"/>
      <c r="BW137" s="97" t="n"/>
      <c r="BX137" s="97" t="n"/>
      <c r="BY137" s="97" t="n"/>
      <c r="BZ137" s="97" t="n"/>
      <c r="CA137" s="98" t="n"/>
      <c r="CH137" s="2" t="n"/>
      <c r="CI137" s="14">
        <f>CJ137&amp;CK137</f>
        <v/>
      </c>
      <c r="CY137" s="25" t="n"/>
      <c r="DA137" s="25" t="n"/>
      <c r="DC137" s="26" t="n"/>
      <c r="DD137" s="26" t="n"/>
      <c r="DE137" s="26" t="n"/>
      <c r="DF137" s="26" t="n"/>
      <c r="DG137" s="26" t="n"/>
      <c r="DH137" s="27" t="n"/>
      <c r="DJ137" s="211" t="inlineStr">
        <is>
          <t>订单表中未找到</t>
        </is>
      </c>
      <c r="DK137" t="inlineStr">
        <is>
          <t>—</t>
        </is>
      </c>
      <c r="DL137" t="inlineStr">
        <is>
          <t>—</t>
        </is>
      </c>
    </row>
    <row r="138" ht="15.75" customHeight="1" s="187">
      <c r="A138" s="84" t="n">
        <v>45795</v>
      </c>
      <c r="B138" s="206" t="inlineStr">
        <is>
          <t>已收货</t>
        </is>
      </c>
      <c r="C138" s="86" t="inlineStr">
        <is>
          <t>2570695827681809986</t>
        </is>
      </c>
      <c r="D138" s="87" t="inlineStr">
        <is>
          <t>橙子</t>
        </is>
      </c>
      <c r="E138" s="87" t="n"/>
      <c r="F138" s="87" t="n"/>
      <c r="G138" s="87" t="inlineStr">
        <is>
          <t>砂白色1.4米岩板餐桌</t>
        </is>
      </c>
      <c r="H138" s="87" t="inlineStr">
        <is>
          <t>榉木餐桌</t>
        </is>
      </c>
      <c r="I138" s="89" t="inlineStr">
        <is>
          <t>140cm*85cm</t>
        </is>
      </c>
      <c r="J138" s="87" t="inlineStr">
        <is>
          <t>已结算</t>
        </is>
      </c>
      <c r="K138" s="86" t="inlineStr">
        <is>
          <t>江西</t>
        </is>
      </c>
      <c r="L138" s="207">
        <f>SUM(M138:AO138)</f>
        <v/>
      </c>
      <c r="M138" s="207">
        <f>1480</f>
        <v/>
      </c>
      <c r="N138" s="207" t="n"/>
      <c r="O138" s="207" t="n"/>
      <c r="P138" s="207" t="n"/>
      <c r="Q138" s="207" t="n"/>
      <c r="R138" s="207" t="n">
        <v>240</v>
      </c>
      <c r="S138" s="207" t="n"/>
      <c r="T138" s="207" t="n"/>
      <c r="U138" s="207" t="n"/>
      <c r="V138" s="207" t="n"/>
      <c r="W138" s="207" t="n"/>
      <c r="X138" s="207" t="n"/>
      <c r="Y138" s="207" t="n"/>
      <c r="Z138" s="207" t="n"/>
      <c r="AA138" s="207" t="n"/>
      <c r="AB138" s="207" t="n"/>
      <c r="AC138" s="207" t="n"/>
      <c r="AD138" s="207" t="n">
        <v>2.5</v>
      </c>
      <c r="AE138" s="207" t="n"/>
      <c r="AF138" s="207" t="n"/>
      <c r="AG138" s="207" t="n"/>
      <c r="AH138" s="207" t="n"/>
      <c r="AI138" s="207" t="n"/>
      <c r="AJ138" s="207" t="n"/>
      <c r="AK138" s="207" t="n"/>
      <c r="AL138" s="207" t="n"/>
      <c r="AM138" s="207" t="n">
        <v>180</v>
      </c>
      <c r="AN138" s="207" t="n"/>
      <c r="AO138" s="207" t="n"/>
      <c r="AP138" s="207" t="n">
        <v>143</v>
      </c>
      <c r="AQ138" s="207" t="n">
        <v>51</v>
      </c>
      <c r="AR138" s="207" t="n">
        <v>88</v>
      </c>
      <c r="AS138" s="207" t="n">
        <v>0</v>
      </c>
      <c r="AT138" s="207" t="n">
        <v>160</v>
      </c>
      <c r="AU138" s="207" t="n">
        <v>0</v>
      </c>
      <c r="AV138" s="207" t="n">
        <v>0</v>
      </c>
      <c r="AW138" s="207" t="n">
        <v>0</v>
      </c>
      <c r="AX138" s="208" t="n">
        <v>1</v>
      </c>
      <c r="AY138" s="209">
        <f>L138*AX138+AP138+AQ138+AR138+AV138+AW138+AS138+AT138+AU138</f>
        <v/>
      </c>
      <c r="AZ138" s="207" t="n">
        <v>2650</v>
      </c>
      <c r="BA138" s="207" t="n">
        <v>0</v>
      </c>
      <c r="BB138" s="207">
        <f>AZ138*0.006</f>
        <v/>
      </c>
      <c r="BC138" s="209">
        <f>AZ138+BA138-BB138</f>
        <v/>
      </c>
      <c r="BD138" s="207" t="n">
        <v>0</v>
      </c>
      <c r="BE138" s="207" t="n">
        <v>0</v>
      </c>
      <c r="BF138" s="209">
        <f>BD138+BE138</f>
        <v/>
      </c>
      <c r="BG138" s="209">
        <f>BC138-AY138+BF138</f>
        <v/>
      </c>
      <c r="BH138" s="87" t="inlineStr">
        <is>
          <t>橙子</t>
        </is>
      </c>
      <c r="BI138" s="210" t="inlineStr">
        <is>
          <t>四川省 成都市 双流区 怡心街道天府新区祥鹤一街299号川发·天府上城A区4栋1单元1407</t>
        </is>
      </c>
      <c r="BJ138" s="86" t="inlineStr">
        <is>
          <t>18425131458-9355</t>
        </is>
      </c>
      <c r="BK138" s="86" t="n"/>
      <c r="BL138" s="210">
        <f>BC138</f>
        <v/>
      </c>
      <c r="BM138" s="93" t="n"/>
      <c r="BN138" s="94" t="n"/>
      <c r="BO138" s="93" t="n"/>
      <c r="BP138" s="86" t="n"/>
      <c r="BQ138" s="96" t="inlineStr">
        <is>
          <t>橙子</t>
        </is>
      </c>
      <c r="BR138" s="96" t="inlineStr">
        <is>
          <t>12mm白色岩板 140*85，不打孔，安全角</t>
        </is>
      </c>
      <c r="BS138" s="97" t="n"/>
      <c r="BT138" s="96" t="n"/>
      <c r="BU138" s="97" t="n"/>
      <c r="BV138" s="96" t="n"/>
      <c r="BW138" s="97" t="n"/>
      <c r="BX138" s="97" t="n"/>
      <c r="BY138" s="97" t="n"/>
      <c r="BZ138" s="97" t="n"/>
      <c r="CA138" s="98" t="n"/>
      <c r="CH138" s="2" t="n"/>
      <c r="CI138" s="14">
        <f>CJ138&amp;CK138</f>
        <v/>
      </c>
      <c r="CY138" s="25" t="n"/>
      <c r="DA138" s="25" t="n"/>
      <c r="DC138" s="26" t="n"/>
      <c r="DD138" s="26" t="n"/>
      <c r="DE138" s="26" t="n"/>
      <c r="DF138" s="26" t="n"/>
      <c r="DG138" s="26" t="n"/>
      <c r="DH138" s="27" t="n"/>
      <c r="DJ138" s="211" t="inlineStr">
        <is>
          <t>订单表中未找到</t>
        </is>
      </c>
      <c r="DK138" t="inlineStr">
        <is>
          <t>—</t>
        </is>
      </c>
      <c r="DL138" t="inlineStr">
        <is>
          <t>—</t>
        </is>
      </c>
    </row>
    <row r="139" ht="15.75" customHeight="1" s="187">
      <c r="A139" s="84" t="n">
        <v>45798</v>
      </c>
      <c r="B139" s="206" t="inlineStr">
        <is>
          <t>已收货</t>
        </is>
      </c>
      <c r="C139" s="86" t="inlineStr">
        <is>
          <t>4349166949811358113</t>
        </is>
      </c>
      <c r="D139" s="87" t="inlineStr">
        <is>
          <t>胡洁</t>
        </is>
      </c>
      <c r="E139" s="87" t="n"/>
      <c r="F139" s="87" t="n"/>
      <c r="G139" s="87" t="inlineStr">
        <is>
          <t>1.8米整柜+1.4米单腿餐桌</t>
        </is>
      </c>
      <c r="H139" s="87" t="inlineStr">
        <is>
          <t>旋转餐边柜</t>
        </is>
      </c>
      <c r="I139" s="89" t="n">
        <v>1800</v>
      </c>
      <c r="J139" s="87" t="inlineStr">
        <is>
          <t>已结算，茶色玻璃</t>
        </is>
      </c>
      <c r="K139" s="86" t="inlineStr">
        <is>
          <t>江西</t>
        </is>
      </c>
      <c r="L139" s="207">
        <f>5700+260+22*9+470+52+42+22+300</f>
        <v/>
      </c>
      <c r="M139" s="207">
        <f>5700</f>
        <v/>
      </c>
      <c r="N139" s="207" t="n"/>
      <c r="O139" s="207" t="n"/>
      <c r="P139" s="207" t="n"/>
      <c r="Q139" s="207" t="n"/>
      <c r="R139" s="207" t="n"/>
      <c r="S139" s="207" t="n">
        <v>42</v>
      </c>
      <c r="T139" s="207" t="n">
        <v>22</v>
      </c>
      <c r="U139" s="207" t="n"/>
      <c r="V139" s="207" t="n"/>
      <c r="W139" s="207" t="n">
        <v>300</v>
      </c>
      <c r="X139" s="207">
        <f>22*9</f>
        <v/>
      </c>
      <c r="Y139" s="207" t="n"/>
      <c r="Z139" s="207" t="n"/>
      <c r="AA139" s="207" t="n"/>
      <c r="AB139" s="207" t="n"/>
      <c r="AC139" s="207" t="n"/>
      <c r="AD139" s="207" t="n"/>
      <c r="AE139" s="207" t="n"/>
      <c r="AF139" s="207" t="n"/>
      <c r="AG139" s="207" t="n"/>
      <c r="AH139" s="207" t="n"/>
      <c r="AI139" s="207" t="n"/>
      <c r="AJ139" s="207" t="n"/>
      <c r="AK139" s="207" t="n"/>
      <c r="AL139" s="207" t="n"/>
      <c r="AM139" s="207" t="n">
        <v>470</v>
      </c>
      <c r="AN139" s="207" t="n"/>
      <c r="AO139" s="207" t="n"/>
      <c r="AP139" s="207" t="n">
        <v>575</v>
      </c>
      <c r="AQ139" s="207">
        <f>125+200.2</f>
        <v/>
      </c>
      <c r="AR139" s="207" t="n">
        <v>88</v>
      </c>
      <c r="AS139" s="207" t="n">
        <v>0</v>
      </c>
      <c r="AT139" s="207" t="n">
        <v>0</v>
      </c>
      <c r="AU139" s="207" t="n">
        <v>0</v>
      </c>
      <c r="AV139" s="207" t="n">
        <v>100</v>
      </c>
      <c r="AW139" s="207" t="n">
        <v>0</v>
      </c>
      <c r="AX139" s="208" t="n">
        <v>1</v>
      </c>
      <c r="AY139" s="209">
        <f>L139*AX139+AP139+AQ139+AR139+AV139+AW139+AS139+AT139+AU139</f>
        <v/>
      </c>
      <c r="AZ139" s="207" t="n">
        <v>11326.08</v>
      </c>
      <c r="BA139" s="207" t="n">
        <v>0</v>
      </c>
      <c r="BB139" s="207">
        <f>AZ139*0.006</f>
        <v/>
      </c>
      <c r="BC139" s="209">
        <f>AZ139+BA139-BB139</f>
        <v/>
      </c>
      <c r="BD139" s="207" t="n">
        <v>0</v>
      </c>
      <c r="BE139" s="207" t="n">
        <v>0</v>
      </c>
      <c r="BF139" s="209">
        <f>BD139+BE139</f>
        <v/>
      </c>
      <c r="BG139" s="209">
        <f>BC139-AY139+BF139</f>
        <v/>
      </c>
      <c r="BH139" s="87" t="inlineStr">
        <is>
          <t>胡洁</t>
        </is>
      </c>
      <c r="BI139" s="210" t="inlineStr">
        <is>
          <t>山东省 东营市 东营区 辛店街道山东东营聚龙亨天池嘉园4号楼1单元202</t>
        </is>
      </c>
      <c r="BJ139" s="86" t="inlineStr">
        <is>
          <t>18466665757-8827</t>
        </is>
      </c>
      <c r="BK139" s="86" t="n"/>
      <c r="BL139" s="210">
        <f>BC139</f>
        <v/>
      </c>
      <c r="BM139" s="93" t="n"/>
      <c r="BN139" s="94" t="n"/>
      <c r="BO139" s="93" t="inlineStr">
        <is>
          <t>电力轨道</t>
        </is>
      </c>
      <c r="BP139" s="86" t="n"/>
      <c r="BQ139" s="96" t="inlineStr">
        <is>
          <t>胡洁</t>
        </is>
      </c>
      <c r="BR139" s="96" t="inlineStr">
        <is>
          <t>12mm纯黑岩板179.8*54.8，左右两边进来8cm开2*1cm半圆孔</t>
        </is>
      </c>
      <c r="BS139" s="97" t="inlineStr">
        <is>
          <t>胡洁</t>
        </is>
      </c>
      <c r="BT139" s="96" t="inlineStr">
        <is>
          <t>黑色洞洞板175.8*60.8，右打孔</t>
        </is>
      </c>
      <c r="BU139" s="97" t="inlineStr">
        <is>
          <t>胡洁</t>
        </is>
      </c>
      <c r="BV139" s="96" t="n"/>
      <c r="BW139" s="97" t="n"/>
      <c r="BX139" s="97" t="n"/>
      <c r="BY139" s="97" t="n"/>
      <c r="BZ139" s="97" t="n"/>
      <c r="CA139" s="98" t="n"/>
      <c r="CH139" s="2" t="n"/>
      <c r="CI139" s="14">
        <f>CJ139&amp;CK139</f>
        <v/>
      </c>
      <c r="CY139" s="25" t="n"/>
      <c r="DA139" s="25" t="n"/>
      <c r="DC139" s="26" t="n"/>
      <c r="DD139" s="26" t="n"/>
      <c r="DE139" s="26" t="n"/>
      <c r="DF139" s="26" t="n"/>
      <c r="DG139" s="26" t="n"/>
      <c r="DH139" s="27" t="n"/>
      <c r="DJ139" s="211" t="inlineStr">
        <is>
          <t>订单表中未找到</t>
        </is>
      </c>
      <c r="DK139" t="inlineStr">
        <is>
          <t>—</t>
        </is>
      </c>
      <c r="DL139" t="inlineStr">
        <is>
          <t>—</t>
        </is>
      </c>
    </row>
    <row r="140" ht="15.75" customHeight="1" s="187">
      <c r="A140" s="84" t="n">
        <v>45800</v>
      </c>
      <c r="B140" s="206" t="inlineStr">
        <is>
          <t>已收货</t>
        </is>
      </c>
      <c r="C140" s="86" t="inlineStr">
        <is>
          <t>2576819175877920187</t>
        </is>
      </c>
      <c r="D140" s="87" t="inlineStr">
        <is>
          <t>王宇</t>
        </is>
      </c>
      <c r="E140" s="87" t="n"/>
      <c r="F140" s="87" t="n"/>
      <c r="G140" s="87" t="inlineStr">
        <is>
          <t>砂白色1.8米岩板餐桌</t>
        </is>
      </c>
      <c r="H140" s="87" t="inlineStr">
        <is>
          <t>榉木餐桌</t>
        </is>
      </c>
      <c r="I140" s="89" t="inlineStr">
        <is>
          <t>180cm*85cm</t>
        </is>
      </c>
      <c r="J140" s="87" t="inlineStr">
        <is>
          <t>已结算</t>
        </is>
      </c>
      <c r="K140" s="86" t="inlineStr">
        <is>
          <t>江西</t>
        </is>
      </c>
      <c r="L140" s="207">
        <f>SUM(M140:AO140)</f>
        <v/>
      </c>
      <c r="M140" s="207">
        <f>1540</f>
        <v/>
      </c>
      <c r="N140" s="207" t="n"/>
      <c r="O140" s="207" t="n"/>
      <c r="P140" s="207" t="n"/>
      <c r="Q140" s="207" t="n"/>
      <c r="R140" s="207" t="n">
        <v>240</v>
      </c>
      <c r="S140" s="207" t="n"/>
      <c r="T140" s="207" t="n"/>
      <c r="U140" s="207" t="n"/>
      <c r="V140" s="207" t="n"/>
      <c r="W140" s="207" t="n"/>
      <c r="X140" s="207" t="n"/>
      <c r="Y140" s="207" t="n"/>
      <c r="Z140" s="207" t="n"/>
      <c r="AA140" s="207" t="n"/>
      <c r="AB140" s="207" t="n"/>
      <c r="AC140" s="207" t="n"/>
      <c r="AD140" s="207" t="n">
        <v>2.5</v>
      </c>
      <c r="AE140" s="207" t="n"/>
      <c r="AF140" s="207" t="n"/>
      <c r="AG140" s="207" t="n"/>
      <c r="AH140" s="207" t="n"/>
      <c r="AI140" s="207" t="n"/>
      <c r="AJ140" s="207" t="n"/>
      <c r="AK140" s="207" t="n"/>
      <c r="AL140" s="207" t="n"/>
      <c r="AM140" s="207" t="n">
        <v>190</v>
      </c>
      <c r="AN140" s="207" t="n"/>
      <c r="AO140" s="207" t="n"/>
      <c r="AP140" s="207" t="n">
        <v>151</v>
      </c>
      <c r="AQ140" s="207" t="n">
        <v>51</v>
      </c>
      <c r="AR140" s="207" t="n">
        <v>0</v>
      </c>
      <c r="AS140" s="207" t="n">
        <v>0</v>
      </c>
      <c r="AT140" s="207" t="n">
        <v>0</v>
      </c>
      <c r="AU140" s="207" t="n">
        <v>0</v>
      </c>
      <c r="AV140" s="207" t="n">
        <v>0</v>
      </c>
      <c r="AW140" s="207" t="n">
        <v>374.79</v>
      </c>
      <c r="AX140" s="208" t="n">
        <v>1</v>
      </c>
      <c r="AY140" s="209">
        <f>L140*AX140+AP140+AQ140+AR140+AV140+AW140+AS140+AT140+AU140</f>
        <v/>
      </c>
      <c r="AZ140" s="207" t="n">
        <v>3146.01</v>
      </c>
      <c r="BA140" s="207" t="n">
        <v>0</v>
      </c>
      <c r="BB140" s="207">
        <f>AZ140*0.006</f>
        <v/>
      </c>
      <c r="BC140" s="209">
        <f>AZ140+BA140-BB140</f>
        <v/>
      </c>
      <c r="BD140" s="207" t="n">
        <v>0</v>
      </c>
      <c r="BE140" s="207" t="n">
        <v>0</v>
      </c>
      <c r="BF140" s="209">
        <f>BD140+BE140</f>
        <v/>
      </c>
      <c r="BG140" s="209">
        <f>BC140-AY140+BF140</f>
        <v/>
      </c>
      <c r="BH140" s="87" t="inlineStr">
        <is>
          <t>王宇</t>
        </is>
      </c>
      <c r="BI140" s="210" t="inlineStr">
        <is>
          <t xml:space="preserve">河北省 保定市 莲池区 五尧乡 爱情万象 5号楼2单元702 </t>
        </is>
      </c>
      <c r="BJ140" s="86" t="inlineStr">
        <is>
          <t>18433965774-6722</t>
        </is>
      </c>
      <c r="BK140" s="86" t="n"/>
      <c r="BL140" s="210">
        <f>BC140</f>
        <v/>
      </c>
      <c r="BM140" s="93" t="n"/>
      <c r="BN140" s="94" t="n"/>
      <c r="BO140" s="93" t="n"/>
      <c r="BP140" s="86" t="n"/>
      <c r="BQ140" s="96" t="inlineStr">
        <is>
          <t>王宇</t>
        </is>
      </c>
      <c r="BR140" s="96" t="inlineStr">
        <is>
          <t>12mm白色岩板 180*85，不打孔，安全角</t>
        </is>
      </c>
      <c r="BS140" s="97" t="n"/>
      <c r="BT140" s="96" t="n"/>
      <c r="BU140" s="97" t="n"/>
      <c r="BV140" s="96" t="n"/>
      <c r="BW140" s="97" t="n"/>
      <c r="BX140" s="97" t="n"/>
      <c r="BY140" s="97" t="n"/>
      <c r="BZ140" s="97" t="n"/>
      <c r="CA140" s="98" t="n"/>
      <c r="CH140" s="2" t="n"/>
      <c r="CI140" s="14">
        <f>CJ140&amp;CK140</f>
        <v/>
      </c>
      <c r="CY140" s="25" t="n"/>
      <c r="DA140" s="25" t="n"/>
      <c r="DC140" s="26" t="n"/>
      <c r="DD140" s="26" t="n"/>
      <c r="DE140" s="26" t="n"/>
      <c r="DF140" s="26" t="n"/>
      <c r="DG140" s="26" t="n"/>
      <c r="DH140" s="27" t="n"/>
      <c r="DJ140" s="211" t="inlineStr">
        <is>
          <t>订单表中未找到</t>
        </is>
      </c>
      <c r="DK140" t="inlineStr">
        <is>
          <t>—</t>
        </is>
      </c>
      <c r="DL140" t="inlineStr">
        <is>
          <t>—</t>
        </is>
      </c>
    </row>
    <row r="141" ht="15.75" customHeight="1" s="187">
      <c r="A141" s="84" t="n">
        <v>45804</v>
      </c>
      <c r="B141" s="206" t="inlineStr">
        <is>
          <t>已收货</t>
        </is>
      </c>
      <c r="C141" s="86" t="inlineStr">
        <is>
          <t>2577710930842633079</t>
        </is>
      </c>
      <c r="D141" s="87" t="inlineStr">
        <is>
          <t>黄大大</t>
        </is>
      </c>
      <c r="E141" s="116" t="inlineStr">
        <is>
          <t>已发货，洞石岩板309.8
产品成本+洞石岩板+纯白岩板+电力轨道+轨道运费+抽屉轨道+玻璃</t>
        </is>
      </c>
      <c r="F141" s="87" t="n"/>
      <c r="G141" s="87" t="inlineStr">
        <is>
          <t>0.9米洞石岩板岛台+1.8米白色岩板餐桌-定制</t>
        </is>
      </c>
      <c r="H141" s="220" t="inlineStr">
        <is>
          <t>岛台</t>
        </is>
      </c>
      <c r="I141" s="89" t="n">
        <v>900</v>
      </c>
      <c r="J141" s="87" t="inlineStr">
        <is>
          <t>已结算</t>
        </is>
      </c>
      <c r="K141" s="86" t="inlineStr">
        <is>
          <t>江西</t>
        </is>
      </c>
      <c r="L141" s="207">
        <f>3700+309.8+240+212+350</f>
        <v/>
      </c>
      <c r="M141" s="207">
        <f>3700</f>
        <v/>
      </c>
      <c r="N141" s="207" t="n">
        <v>212</v>
      </c>
      <c r="O141" s="207" t="n">
        <v>240</v>
      </c>
      <c r="P141" s="207" t="n"/>
      <c r="Q141" s="207" t="n"/>
      <c r="R141" s="207" t="n">
        <v>309.8</v>
      </c>
      <c r="S141" s="207" t="n"/>
      <c r="T141" s="207" t="n">
        <v>350</v>
      </c>
      <c r="U141" s="207" t="n"/>
      <c r="V141" s="207" t="n"/>
      <c r="W141" s="207" t="n"/>
      <c r="X141" s="207" t="n"/>
      <c r="Y141" s="207" t="n"/>
      <c r="Z141" s="207" t="n"/>
      <c r="AA141" s="207" t="n"/>
      <c r="AB141" s="207" t="n"/>
      <c r="AC141" s="207" t="n"/>
      <c r="AD141" s="207" t="n"/>
      <c r="AE141" s="207" t="n"/>
      <c r="AF141" s="207" t="n"/>
      <c r="AG141" s="207" t="n"/>
      <c r="AH141" s="207" t="n"/>
      <c r="AI141" s="207" t="n"/>
      <c r="AJ141" s="207" t="n"/>
      <c r="AK141" s="207" t="n"/>
      <c r="AL141" s="207" t="n"/>
      <c r="AM141" s="207" t="n">
        <v>970</v>
      </c>
      <c r="AN141" s="207" t="n"/>
      <c r="AO141" s="207" t="n">
        <v>309.8</v>
      </c>
      <c r="AP141" s="121" t="n">
        <v>400</v>
      </c>
      <c r="AQ141" s="121" t="n">
        <v>100</v>
      </c>
      <c r="AR141" s="121" t="n">
        <v>150</v>
      </c>
      <c r="AS141" s="207" t="n">
        <v>0</v>
      </c>
      <c r="AT141" s="207" t="n">
        <v>0</v>
      </c>
      <c r="AU141" s="207" t="n">
        <v>0</v>
      </c>
      <c r="AV141" s="207" t="n">
        <v>100</v>
      </c>
      <c r="AW141" s="207" t="n">
        <v>0</v>
      </c>
      <c r="AX141" s="208" t="n">
        <v>1</v>
      </c>
      <c r="AY141" s="209">
        <f>L141*AX141+AP141+AQ141+AR141+AV141+AW141+AS141+AT141+AU141</f>
        <v/>
      </c>
      <c r="AZ141" s="207">
        <f>8105-380-6</f>
        <v/>
      </c>
      <c r="BA141" s="207" t="n">
        <v>0</v>
      </c>
      <c r="BB141" s="207">
        <f>AZ141*0.006</f>
        <v/>
      </c>
      <c r="BC141" s="209">
        <f>AZ141+BA141-BB141</f>
        <v/>
      </c>
      <c r="BD141" s="207" t="n">
        <v>0</v>
      </c>
      <c r="BE141" s="207" t="n">
        <v>0</v>
      </c>
      <c r="BF141" s="209">
        <f>BD141+BE141</f>
        <v/>
      </c>
      <c r="BG141" s="209">
        <f>BC141-AY141+BF141</f>
        <v/>
      </c>
      <c r="BH141" s="87" t="inlineStr">
        <is>
          <t>黄大大</t>
        </is>
      </c>
      <c r="BI141" s="210" t="inlineStr">
        <is>
          <t>江苏省 常州市 钟楼区 北港街道星港路88号  钟楼区政府东门</t>
        </is>
      </c>
      <c r="BJ141" s="86" t="inlineStr">
        <is>
          <t>18425149598-2481</t>
        </is>
      </c>
      <c r="BK141" s="86" t="n"/>
      <c r="BL141" s="210">
        <f>BC141</f>
        <v/>
      </c>
      <c r="BM141" s="93" t="n"/>
      <c r="BN141" s="94" t="n"/>
      <c r="BO141" s="93" t="inlineStr">
        <is>
          <t>岩板+电力轨道</t>
        </is>
      </c>
      <c r="BP141" s="86" t="n"/>
      <c r="BQ141" s="96" t="inlineStr">
        <is>
          <t>黄大大</t>
        </is>
      </c>
      <c r="BR141" s="96" t="inlineStr">
        <is>
          <t>12mm洞石900*870，R角25度
12mm白色岩板1800*750</t>
        </is>
      </c>
      <c r="BS141" s="97" t="n"/>
      <c r="BT141" s="96" t="n"/>
      <c r="BU141" s="97" t="inlineStr">
        <is>
          <t>黄大大</t>
        </is>
      </c>
      <c r="BV141" s="96" t="n"/>
      <c r="BW141" s="97" t="n"/>
      <c r="BX141" s="97" t="n"/>
      <c r="BY141" s="97" t="n"/>
      <c r="BZ141" s="97" t="n"/>
      <c r="CA141" s="98" t="n"/>
      <c r="CH141" s="2" t="n"/>
      <c r="CI141" s="14">
        <f>CJ141&amp;CK141</f>
        <v/>
      </c>
      <c r="CY141" s="25" t="n"/>
      <c r="DA141" s="25" t="n"/>
      <c r="DC141" s="26" t="n"/>
      <c r="DD141" s="26" t="n"/>
      <c r="DE141" s="26" t="n"/>
      <c r="DF141" s="26" t="n"/>
      <c r="DG141" s="26" t="n"/>
      <c r="DH141" s="27" t="n"/>
      <c r="DJ141" s="211" t="inlineStr">
        <is>
          <t>订单表中未找到</t>
        </is>
      </c>
      <c r="DK141" t="inlineStr">
        <is>
          <t>—</t>
        </is>
      </c>
      <c r="DL141" t="inlineStr">
        <is>
          <t>—</t>
        </is>
      </c>
    </row>
    <row r="142" ht="15.75" customHeight="1" s="187">
      <c r="A142" s="84" t="n">
        <v>45804</v>
      </c>
      <c r="B142" s="206" t="inlineStr">
        <is>
          <t>已收货</t>
        </is>
      </c>
      <c r="C142" s="86" t="inlineStr">
        <is>
          <t>2577710930842633079</t>
        </is>
      </c>
      <c r="D142" s="87" t="inlineStr">
        <is>
          <t>黄大大</t>
        </is>
      </c>
      <c r="E142" s="116" t="inlineStr">
        <is>
          <t>已发货，小黑板
成本+灯带+无线开关+磁吸小黑板+打包+玻璃</t>
        </is>
      </c>
      <c r="F142" s="87" t="n"/>
      <c r="G142" s="87" t="inlineStr">
        <is>
          <t>樱桃木，带底座书架 ：上柜3570*310*1950  底座：3570*550*350  总高度2300</t>
        </is>
      </c>
      <c r="H142" s="87" t="inlineStr">
        <is>
          <t>定制书柜</t>
        </is>
      </c>
      <c r="I142" s="218" t="n"/>
      <c r="J142" s="87" t="inlineStr">
        <is>
          <t>已结算</t>
        </is>
      </c>
      <c r="K142" s="86" t="inlineStr">
        <is>
          <t>江西</t>
        </is>
      </c>
      <c r="L142" s="207">
        <f>14200+52*6+108+500+180</f>
        <v/>
      </c>
      <c r="M142" s="207">
        <f>14200</f>
        <v/>
      </c>
      <c r="N142" s="207" t="n"/>
      <c r="O142" s="207" t="n">
        <v>108</v>
      </c>
      <c r="P142" s="207" t="n">
        <v>500</v>
      </c>
      <c r="Q142" s="207" t="n"/>
      <c r="R142" s="207" t="n">
        <v>180</v>
      </c>
      <c r="S142" s="207">
        <f>52*6</f>
        <v/>
      </c>
      <c r="T142" s="207" t="n"/>
      <c r="U142" s="207" t="n"/>
      <c r="V142" s="207" t="n"/>
      <c r="W142" s="207" t="n"/>
      <c r="X142" s="207" t="n"/>
      <c r="Y142" s="207" t="n"/>
      <c r="Z142" s="207" t="n"/>
      <c r="AA142" s="207" t="n"/>
      <c r="AB142" s="207" t="n"/>
      <c r="AC142" s="207" t="n"/>
      <c r="AD142" s="207" t="n"/>
      <c r="AE142" s="207" t="n"/>
      <c r="AF142" s="207" t="n"/>
      <c r="AG142" s="207" t="n"/>
      <c r="AH142" s="207" t="n"/>
      <c r="AI142" s="207" t="n"/>
      <c r="AJ142" s="207" t="n"/>
      <c r="AK142" s="207" t="n"/>
      <c r="AL142" s="207" t="n"/>
      <c r="AM142" s="207" t="n">
        <v>0</v>
      </c>
      <c r="AN142" s="207" t="n"/>
      <c r="AO142" s="207" t="n"/>
      <c r="AP142" s="121" t="n">
        <v>300</v>
      </c>
      <c r="AQ142" s="121" t="n">
        <v>200</v>
      </c>
      <c r="AR142" s="121" t="n">
        <v>350</v>
      </c>
      <c r="AS142" s="207" t="n">
        <v>0</v>
      </c>
      <c r="AT142" s="207" t="n">
        <v>0</v>
      </c>
      <c r="AU142" s="207" t="n">
        <v>0</v>
      </c>
      <c r="AV142" s="207" t="n">
        <v>150</v>
      </c>
      <c r="AW142" s="207" t="n">
        <v>0</v>
      </c>
      <c r="AX142" s="208" t="n">
        <v>1</v>
      </c>
      <c r="AY142" s="209">
        <f>L142*AX142+AP142+AQ142+AR142+AV142+AW142+AS142+AT142+AU142</f>
        <v/>
      </c>
      <c r="AZ142" s="207">
        <f>22740-262+262</f>
        <v/>
      </c>
      <c r="BA142" s="207" t="n">
        <v>0</v>
      </c>
      <c r="BB142" s="207">
        <f>AZ142*0.006</f>
        <v/>
      </c>
      <c r="BC142" s="209">
        <f>AZ142+BA142-BB142</f>
        <v/>
      </c>
      <c r="BD142" s="207" t="n">
        <v>0</v>
      </c>
      <c r="BE142" s="207" t="n">
        <v>0</v>
      </c>
      <c r="BF142" s="209">
        <f>BD142+BE142</f>
        <v/>
      </c>
      <c r="BG142" s="209">
        <f>BC142-AY142+BF142</f>
        <v/>
      </c>
      <c r="BH142" s="87" t="inlineStr">
        <is>
          <t>黄大大</t>
        </is>
      </c>
      <c r="BI142" s="210" t="inlineStr">
        <is>
          <t>江苏省 常州市 钟楼区 北港街道星港路88号  钟楼区政府东门</t>
        </is>
      </c>
      <c r="BJ142" s="86" t="inlineStr">
        <is>
          <t>18425149598-2481</t>
        </is>
      </c>
      <c r="BK142" s="86" t="n"/>
      <c r="BL142" s="210">
        <f>BC142</f>
        <v/>
      </c>
      <c r="BM142" s="93" t="n"/>
      <c r="BN142" s="94" t="n"/>
      <c r="BO142" s="93" t="inlineStr">
        <is>
          <t>灯带自己采购，小黑板</t>
        </is>
      </c>
      <c r="BP142" s="86" t="n"/>
      <c r="BQ142" s="96" t="n"/>
      <c r="BR142" s="96" t="n"/>
      <c r="BS142" s="97" t="n"/>
      <c r="BT142" s="96" t="n"/>
      <c r="BU142" s="97" t="n"/>
      <c r="BV142" s="96" t="n"/>
      <c r="BW142" s="97" t="n"/>
      <c r="BX142" s="97" t="n"/>
      <c r="BY142" s="97" t="n"/>
      <c r="BZ142" s="97" t="n"/>
      <c r="CA142" s="98" t="n"/>
      <c r="CH142" s="2" t="n"/>
      <c r="CI142" s="14">
        <f>CJ142&amp;CK142</f>
        <v/>
      </c>
      <c r="CY142" s="25" t="n"/>
      <c r="DA142" s="25" t="n"/>
      <c r="DC142" s="26" t="n"/>
      <c r="DD142" s="26" t="n"/>
      <c r="DE142" s="26" t="n"/>
      <c r="DF142" s="26" t="n"/>
      <c r="DG142" s="26" t="n"/>
      <c r="DH142" s="27" t="n"/>
      <c r="DJ142" s="211" t="inlineStr">
        <is>
          <t>订单表中未找到</t>
        </is>
      </c>
      <c r="DK142" t="inlineStr">
        <is>
          <t>—</t>
        </is>
      </c>
      <c r="DL142" t="inlineStr">
        <is>
          <t>—</t>
        </is>
      </c>
    </row>
    <row r="143" ht="15.75" customHeight="1" s="187">
      <c r="A143" s="84" t="n">
        <v>45804</v>
      </c>
      <c r="B143" s="206" t="inlineStr">
        <is>
          <t>已收货</t>
        </is>
      </c>
      <c r="C143" s="86" t="inlineStr">
        <is>
          <t>2577710930842633079</t>
        </is>
      </c>
      <c r="D143" s="87" t="inlineStr">
        <is>
          <t>黄大大</t>
        </is>
      </c>
      <c r="E143" s="116" t="inlineStr">
        <is>
          <t>已发货，定把手，黄铜棒
成本+铝合金把手定制+铝合金把手定制+黄铜棒+玻璃+抽屉轨道</t>
        </is>
      </c>
      <c r="F143" s="87" t="n"/>
      <c r="G143" s="87" t="inlineStr">
        <is>
          <t>樱桃木，2.04长电视柜+0.6电视柜边台</t>
        </is>
      </c>
      <c r="H143" s="220" t="inlineStr">
        <is>
          <t>定制电视柜</t>
        </is>
      </c>
      <c r="I143" s="89" t="n">
        <v>2040</v>
      </c>
      <c r="J143" s="87" t="inlineStr">
        <is>
          <t>已结算</t>
        </is>
      </c>
      <c r="K143" s="86" t="inlineStr">
        <is>
          <t>江西</t>
        </is>
      </c>
      <c r="L143" s="207">
        <f>3200+20+40+48+38.8</f>
        <v/>
      </c>
      <c r="M143" s="207">
        <f>3200</f>
        <v/>
      </c>
      <c r="N143" s="207" t="n">
        <v>20</v>
      </c>
      <c r="O143" s="207" t="n">
        <v>40</v>
      </c>
      <c r="P143" s="207" t="n">
        <v>48</v>
      </c>
      <c r="Q143" s="207" t="n"/>
      <c r="R143" s="207" t="n">
        <v>38.8</v>
      </c>
      <c r="S143" s="207" t="n"/>
      <c r="T143" s="207" t="n"/>
      <c r="U143" s="207" t="n"/>
      <c r="V143" s="207" t="n"/>
      <c r="W143" s="207" t="n"/>
      <c r="X143" s="207" t="n"/>
      <c r="Y143" s="207" t="n"/>
      <c r="Z143" s="207" t="n"/>
      <c r="AA143" s="207" t="n"/>
      <c r="AB143" s="207" t="n"/>
      <c r="AC143" s="207" t="n"/>
      <c r="AD143" s="207" t="n"/>
      <c r="AE143" s="207" t="n"/>
      <c r="AF143" s="207" t="n"/>
      <c r="AG143" s="207" t="n"/>
      <c r="AH143" s="207" t="n"/>
      <c r="AI143" s="207" t="n"/>
      <c r="AJ143" s="207" t="n"/>
      <c r="AK143" s="207" t="n"/>
      <c r="AL143" s="207" t="n"/>
      <c r="AM143" s="207" t="n">
        <v>0</v>
      </c>
      <c r="AN143" s="207" t="n"/>
      <c r="AO143" s="207" t="n"/>
      <c r="AP143" s="121" t="n">
        <v>200</v>
      </c>
      <c r="AQ143" s="121" t="n">
        <v>200</v>
      </c>
      <c r="AR143" s="121" t="n">
        <v>100</v>
      </c>
      <c r="AS143" s="207" t="n">
        <v>0</v>
      </c>
      <c r="AT143" s="207" t="n">
        <v>0</v>
      </c>
      <c r="AU143" s="207" t="n">
        <v>0</v>
      </c>
      <c r="AV143" s="207" t="n">
        <v>150</v>
      </c>
      <c r="AW143" s="207" t="n">
        <v>0</v>
      </c>
      <c r="AX143" s="208" t="n">
        <v>1</v>
      </c>
      <c r="AY143" s="209">
        <f>L143*AX143+AP143+AQ143+AR143+AV143+AW143+AS143+AT143+AU143</f>
        <v/>
      </c>
      <c r="AZ143" s="207">
        <f>1762+3779</f>
        <v/>
      </c>
      <c r="BA143" s="207" t="n">
        <v>0</v>
      </c>
      <c r="BB143" s="207">
        <f>AZ143*0.006</f>
        <v/>
      </c>
      <c r="BC143" s="209">
        <f>AZ143+BA143-BB143</f>
        <v/>
      </c>
      <c r="BD143" s="207" t="n">
        <v>0</v>
      </c>
      <c r="BE143" s="207" t="n">
        <v>0</v>
      </c>
      <c r="BF143" s="209">
        <f>BD143+BE143</f>
        <v/>
      </c>
      <c r="BG143" s="209">
        <f>BC143-AY143+BF143</f>
        <v/>
      </c>
      <c r="BH143" s="87" t="inlineStr">
        <is>
          <t>黄大大</t>
        </is>
      </c>
      <c r="BI143" s="210" t="inlineStr">
        <is>
          <t>江苏省 常州市 钟楼区 北港街道星港路88号  钟楼区政府东门</t>
        </is>
      </c>
      <c r="BJ143" s="86" t="inlineStr">
        <is>
          <t>18425149598-2481</t>
        </is>
      </c>
      <c r="BK143" s="86" t="n"/>
      <c r="BL143" s="210">
        <f>BC143</f>
        <v/>
      </c>
      <c r="BM143" s="93" t="n"/>
      <c r="BN143" s="94" t="n"/>
      <c r="BO143" s="93" t="inlineStr">
        <is>
          <t>黄铜杆</t>
        </is>
      </c>
      <c r="BP143" s="86" t="n"/>
      <c r="BQ143" s="96" t="n"/>
      <c r="BR143" s="96" t="n"/>
      <c r="BS143" s="97" t="n"/>
      <c r="BT143" s="96" t="n"/>
      <c r="BU143" s="97" t="n"/>
      <c r="BV143" s="96" t="n"/>
      <c r="BW143" s="97" t="n"/>
      <c r="BX143" s="97" t="n"/>
      <c r="BY143" s="97" t="n"/>
      <c r="BZ143" s="97" t="n"/>
      <c r="CA143" s="98" t="n"/>
      <c r="CH143" s="2" t="n"/>
      <c r="CI143" s="14">
        <f>CJ143&amp;CK143</f>
        <v/>
      </c>
      <c r="CY143" s="25" t="n"/>
      <c r="DA143" s="25" t="n"/>
      <c r="DC143" s="26" t="n"/>
      <c r="DD143" s="26" t="n"/>
      <c r="DE143" s="26" t="n"/>
      <c r="DF143" s="26" t="n"/>
      <c r="DG143" s="26" t="n"/>
      <c r="DH143" s="27" t="n"/>
      <c r="DJ143" s="211" t="inlineStr">
        <is>
          <t>订单表中未找到</t>
        </is>
      </c>
      <c r="DK143" t="inlineStr">
        <is>
          <t>—</t>
        </is>
      </c>
      <c r="DL143" t="inlineStr">
        <is>
          <t>—</t>
        </is>
      </c>
    </row>
    <row r="144" ht="15.75" customHeight="1" s="187">
      <c r="A144" s="84" t="n">
        <v>45805</v>
      </c>
      <c r="B144" s="206" t="inlineStr">
        <is>
          <t>已收货</t>
        </is>
      </c>
      <c r="C144" s="86" t="inlineStr">
        <is>
          <t>2584800627058853266</t>
        </is>
      </c>
      <c r="D144" s="87" t="inlineStr">
        <is>
          <t>王佳曦</t>
        </is>
      </c>
      <c r="E144" s="116" t="inlineStr">
        <is>
          <t>已发，客户自己安装，雕刻费用单独算120</t>
        </is>
      </c>
      <c r="F144" s="87" t="n"/>
      <c r="G144" s="87" t="inlineStr">
        <is>
          <t>樱桃木实木餐桌</t>
        </is>
      </c>
      <c r="H144" s="207" t="inlineStr">
        <is>
          <t>樱桃木餐桌2024</t>
        </is>
      </c>
      <c r="I144" s="218" t="inlineStr">
        <is>
          <t>180cm*85cm</t>
        </is>
      </c>
      <c r="J144" s="87" t="inlineStr">
        <is>
          <t>已结算</t>
        </is>
      </c>
      <c r="K144" s="86" t="inlineStr">
        <is>
          <t>江西</t>
        </is>
      </c>
      <c r="L144" s="207">
        <f>SUM(M144:AO144)</f>
        <v/>
      </c>
      <c r="M144" s="207">
        <f>1950+120</f>
        <v/>
      </c>
      <c r="N144" s="207" t="n"/>
      <c r="O144" s="207" t="n"/>
      <c r="P144" s="207" t="n"/>
      <c r="Q144" s="207" t="n"/>
      <c r="R144" s="207" t="n"/>
      <c r="S144" s="207" t="n"/>
      <c r="T144" s="207" t="n"/>
      <c r="U144" s="207" t="n"/>
      <c r="V144" s="207" t="n"/>
      <c r="W144" s="207" t="n"/>
      <c r="X144" s="207" t="n"/>
      <c r="Y144" s="207" t="n"/>
      <c r="Z144" s="207" t="n"/>
      <c r="AA144" s="207" t="n"/>
      <c r="AB144" s="207" t="n"/>
      <c r="AC144" s="207" t="n"/>
      <c r="AD144" s="207" t="n"/>
      <c r="AE144" s="207" t="n"/>
      <c r="AF144" s="207" t="n"/>
      <c r="AG144" s="207" t="n"/>
      <c r="AH144" s="207" t="n"/>
      <c r="AI144" s="207" t="n"/>
      <c r="AJ144" s="207" t="n"/>
      <c r="AK144" s="207" t="n"/>
      <c r="AL144" s="207" t="n"/>
      <c r="AM144" s="207" t="n">
        <v>130</v>
      </c>
      <c r="AN144" s="207" t="n"/>
      <c r="AO144" s="207" t="n"/>
      <c r="AP144" s="207" t="n">
        <v>111</v>
      </c>
      <c r="AQ144" s="207" t="n">
        <v>0</v>
      </c>
      <c r="AR144" s="207" t="n">
        <v>0</v>
      </c>
      <c r="AS144" s="207" t="n">
        <v>0</v>
      </c>
      <c r="AT144" s="207" t="n">
        <v>0</v>
      </c>
      <c r="AU144" s="207" t="n">
        <v>0</v>
      </c>
      <c r="AV144" s="207" t="n">
        <v>20</v>
      </c>
      <c r="AW144" s="207" t="n">
        <v>0</v>
      </c>
      <c r="AX144" s="208" t="n">
        <v>1</v>
      </c>
      <c r="AY144" s="209">
        <f>L144*AX144+AP144+AQ144+AR144+AV144+AW144+AS144+AT144+AU144</f>
        <v/>
      </c>
      <c r="AZ144" s="207" t="n">
        <v>2602.77</v>
      </c>
      <c r="BA144" s="207" t="n">
        <v>0</v>
      </c>
      <c r="BB144" s="207">
        <f>AZ144*0.006</f>
        <v/>
      </c>
      <c r="BC144" s="209">
        <f>AZ144+BA144-BB144</f>
        <v/>
      </c>
      <c r="BD144" s="207" t="n">
        <v>0</v>
      </c>
      <c r="BE144" s="207" t="n">
        <v>0</v>
      </c>
      <c r="BF144" s="209">
        <f>BD144+BE144</f>
        <v/>
      </c>
      <c r="BG144" s="209">
        <f>BC144-AY144+BF144</f>
        <v/>
      </c>
      <c r="BH144" s="87" t="inlineStr">
        <is>
          <t>王佳曦</t>
        </is>
      </c>
      <c r="BI144" s="210" t="inlineStr">
        <is>
          <t>北京 北京市 海淀区 马连洼街道 肖家河燕秀园3区14号楼4单元101</t>
        </is>
      </c>
      <c r="BJ144" s="86" t="inlineStr">
        <is>
          <t>18400998382-1997</t>
        </is>
      </c>
      <c r="BK144" s="86" t="n"/>
      <c r="BL144" s="210">
        <f>BC144</f>
        <v/>
      </c>
      <c r="BM144" s="93" t="n"/>
      <c r="BN144" s="94" t="n"/>
      <c r="BO144" s="93" t="n"/>
      <c r="BP144" s="86" t="n"/>
      <c r="BQ144" s="96" t="n"/>
      <c r="BR144" s="96" t="n"/>
      <c r="BS144" s="97" t="n"/>
      <c r="BT144" s="96" t="n"/>
      <c r="BU144" s="97" t="n"/>
      <c r="BV144" s="96" t="n"/>
      <c r="BW144" s="97" t="n"/>
      <c r="BX144" s="97" t="n"/>
      <c r="BY144" s="97" t="n"/>
      <c r="BZ144" s="97" t="n"/>
      <c r="CA144" s="98" t="n"/>
      <c r="CH144" s="2" t="n"/>
      <c r="CI144" s="14">
        <f>CJ144&amp;CK144</f>
        <v/>
      </c>
      <c r="CY144" s="25" t="n"/>
      <c r="DA144" s="25" t="n"/>
      <c r="DC144" s="26" t="n"/>
      <c r="DD144" s="26" t="n"/>
      <c r="DE144" s="26" t="n"/>
      <c r="DF144" s="26" t="n"/>
      <c r="DG144" s="26" t="n"/>
      <c r="DH144" s="27" t="n"/>
      <c r="DJ144" s="211" t="inlineStr">
        <is>
          <t>订单表中未找到</t>
        </is>
      </c>
      <c r="DK144" t="inlineStr">
        <is>
          <t>—</t>
        </is>
      </c>
      <c r="DL144" t="inlineStr">
        <is>
          <t>—</t>
        </is>
      </c>
    </row>
    <row r="145" ht="15.75" customHeight="1" s="187">
      <c r="A145" s="84" t="n">
        <v>45805</v>
      </c>
      <c r="B145" s="206" t="inlineStr">
        <is>
          <t>已收货</t>
        </is>
      </c>
      <c r="C145" s="86" t="inlineStr">
        <is>
          <t>4360288863946581626</t>
        </is>
      </c>
      <c r="D145" s="87" t="inlineStr">
        <is>
          <t>冯刚</t>
        </is>
      </c>
      <c r="E145" s="87" t="n"/>
      <c r="F145" s="87" t="n"/>
      <c r="G145" s="87" t="inlineStr">
        <is>
          <t>砂白色1.4米岩板餐桌</t>
        </is>
      </c>
      <c r="H145" s="87" t="inlineStr">
        <is>
          <t>榉木餐桌</t>
        </is>
      </c>
      <c r="I145" s="89" t="inlineStr">
        <is>
          <t>140cm*85cm</t>
        </is>
      </c>
      <c r="J145" s="87" t="inlineStr">
        <is>
          <t>已结算</t>
        </is>
      </c>
      <c r="K145" s="86" t="inlineStr">
        <is>
          <t>江西</t>
        </is>
      </c>
      <c r="L145" s="207">
        <f>SUM(M145:AO145)</f>
        <v/>
      </c>
      <c r="M145" s="207">
        <f>1480</f>
        <v/>
      </c>
      <c r="N145" s="207" t="n"/>
      <c r="O145" s="207" t="n"/>
      <c r="P145" s="207" t="n"/>
      <c r="Q145" s="207" t="n"/>
      <c r="R145" s="207" t="n">
        <v>240</v>
      </c>
      <c r="S145" s="207" t="n"/>
      <c r="T145" s="207" t="n"/>
      <c r="U145" s="207" t="n"/>
      <c r="V145" s="207" t="n"/>
      <c r="W145" s="207" t="n"/>
      <c r="X145" s="207" t="n"/>
      <c r="Y145" s="207" t="n"/>
      <c r="Z145" s="207" t="n"/>
      <c r="AA145" s="207" t="n"/>
      <c r="AB145" s="207" t="n"/>
      <c r="AC145" s="207" t="n"/>
      <c r="AD145" s="207" t="n">
        <v>2.5</v>
      </c>
      <c r="AE145" s="207" t="n"/>
      <c r="AF145" s="207" t="n"/>
      <c r="AG145" s="207" t="n"/>
      <c r="AH145" s="207" t="n"/>
      <c r="AI145" s="207" t="n"/>
      <c r="AJ145" s="207" t="n"/>
      <c r="AK145" s="207" t="n"/>
      <c r="AL145" s="207" t="n"/>
      <c r="AM145" s="207" t="n">
        <v>170</v>
      </c>
      <c r="AN145" s="207" t="n"/>
      <c r="AO145" s="207" t="n"/>
      <c r="AP145" s="207" t="n">
        <v>195</v>
      </c>
      <c r="AQ145" s="207" t="n">
        <v>30</v>
      </c>
      <c r="AR145" s="207" t="n">
        <v>0</v>
      </c>
      <c r="AS145" s="207" t="n">
        <v>0</v>
      </c>
      <c r="AT145" s="207" t="n">
        <v>0</v>
      </c>
      <c r="AU145" s="207" t="n">
        <v>0</v>
      </c>
      <c r="AV145" s="207" t="n">
        <v>16</v>
      </c>
      <c r="AW145" s="207" t="n">
        <v>0</v>
      </c>
      <c r="AX145" s="208" t="n">
        <v>1</v>
      </c>
      <c r="AY145" s="209">
        <f>L145*AX145+AP145+AQ145+AR145+AV145+AW145+AS145+AT145+AU145</f>
        <v/>
      </c>
      <c r="AZ145" s="207" t="n">
        <v>2445</v>
      </c>
      <c r="BA145" s="207" t="n">
        <v>0</v>
      </c>
      <c r="BB145" s="207">
        <f>AZ145*0.006</f>
        <v/>
      </c>
      <c r="BC145" s="209">
        <f>AZ145+BA145-BB145</f>
        <v/>
      </c>
      <c r="BD145" s="207" t="n">
        <v>0</v>
      </c>
      <c r="BE145" s="207" t="n">
        <v>0</v>
      </c>
      <c r="BF145" s="209">
        <f>BD145+BE145</f>
        <v/>
      </c>
      <c r="BG145" s="209">
        <f>BC145-AY145+BF145</f>
        <v/>
      </c>
      <c r="BH145" s="87" t="inlineStr">
        <is>
          <t>冯刚</t>
        </is>
      </c>
      <c r="BI145" s="210" t="inlineStr">
        <is>
          <t>四川省 南充市 顺庆区 华凤街道 潆华北路二段科华北辰天璞订单</t>
        </is>
      </c>
      <c r="BJ145" s="86" t="inlineStr">
        <is>
          <t>18418948775-5818</t>
        </is>
      </c>
      <c r="BK145" s="86" t="n"/>
      <c r="BL145" s="210">
        <f>BC145</f>
        <v/>
      </c>
      <c r="BM145" s="93" t="n"/>
      <c r="BN145" s="94" t="n"/>
      <c r="BO145" s="93" t="n"/>
      <c r="BP145" s="86" t="n"/>
      <c r="BQ145" s="96" t="inlineStr">
        <is>
          <t>冯刚</t>
        </is>
      </c>
      <c r="BR145" s="96" t="inlineStr">
        <is>
          <t>12mm白色岩板 140*85，不打孔，安全角</t>
        </is>
      </c>
      <c r="BS145" s="97" t="n"/>
      <c r="BT145" s="96" t="n"/>
      <c r="BU145" s="97" t="n"/>
      <c r="BV145" s="96" t="n"/>
      <c r="BW145" s="97" t="n"/>
      <c r="BX145" s="97" t="n"/>
      <c r="BY145" s="97" t="n"/>
      <c r="BZ145" s="97" t="n"/>
      <c r="CA145" s="98" t="n"/>
      <c r="CH145" s="2" t="n"/>
      <c r="CI145" s="14">
        <f>CJ145&amp;CK145</f>
        <v/>
      </c>
      <c r="CY145" s="25" t="n"/>
      <c r="DA145" s="25" t="n"/>
      <c r="DC145" s="26" t="n"/>
      <c r="DD145" s="26" t="n"/>
      <c r="DE145" s="26" t="n"/>
      <c r="DF145" s="26" t="n"/>
      <c r="DG145" s="26" t="n"/>
      <c r="DH145" s="27" t="n"/>
      <c r="DJ145" s="211" t="inlineStr">
        <is>
          <t>订单表中未找到</t>
        </is>
      </c>
      <c r="DK145" t="inlineStr">
        <is>
          <t>—</t>
        </is>
      </c>
      <c r="DL145" t="inlineStr">
        <is>
          <t>—</t>
        </is>
      </c>
    </row>
    <row r="146" ht="15.75" customHeight="1" s="187">
      <c r="A146" s="84" t="n">
        <v>45805</v>
      </c>
      <c r="B146" s="206" t="inlineStr">
        <is>
          <t>已收货</t>
        </is>
      </c>
      <c r="C146" s="86" t="inlineStr">
        <is>
          <t>2611795440204512190</t>
        </is>
      </c>
      <c r="D146" s="87" t="inlineStr">
        <is>
          <t>肖清真</t>
        </is>
      </c>
      <c r="E146" s="87" t="n"/>
      <c r="F146" s="87" t="n"/>
      <c r="G146" s="207" t="inlineStr">
        <is>
          <t>窄柜-整柜洞石背板-1.2米</t>
        </is>
      </c>
      <c r="H146" s="220" t="inlineStr">
        <is>
          <t>樱桃木窄柜</t>
        </is>
      </c>
      <c r="I146" s="89" t="n">
        <v>1200</v>
      </c>
      <c r="J146" s="87" t="inlineStr">
        <is>
          <t>已结算</t>
        </is>
      </c>
      <c r="K146" s="86" t="inlineStr">
        <is>
          <t>庄毅</t>
        </is>
      </c>
      <c r="L146" s="207">
        <f>SUM(M146:AO146)</f>
        <v/>
      </c>
      <c r="M146" s="207">
        <f>3600</f>
        <v/>
      </c>
      <c r="N146" s="207">
        <f>1.158*260+2*55</f>
        <v/>
      </c>
      <c r="O146" s="207" t="n">
        <v>125</v>
      </c>
      <c r="P146" s="207" t="n"/>
      <c r="Q146" s="207">
        <f>38*2</f>
        <v/>
      </c>
      <c r="R146" s="207">
        <f>310+100/15</f>
        <v/>
      </c>
      <c r="S146" s="207" t="n">
        <v>62.4</v>
      </c>
      <c r="T146" s="207" t="n"/>
      <c r="U146" s="207" t="n"/>
      <c r="V146" s="207" t="n"/>
      <c r="W146" s="207" t="n">
        <v>8</v>
      </c>
      <c r="X146" s="207" t="n"/>
      <c r="Y146" s="207" t="n"/>
      <c r="Z146" s="207" t="n"/>
      <c r="AA146" s="207" t="n"/>
      <c r="AB146" s="207" t="n"/>
      <c r="AC146" s="207" t="n">
        <v>3.37</v>
      </c>
      <c r="AD146" s="207" t="n"/>
      <c r="AE146" s="207" t="n"/>
      <c r="AF146" s="207" t="n"/>
      <c r="AG146" s="207" t="n"/>
      <c r="AH146" s="207" t="n"/>
      <c r="AI146" s="207" t="n">
        <v>1.6</v>
      </c>
      <c r="AJ146" s="207" t="n">
        <v>1.1</v>
      </c>
      <c r="AK146" s="207" t="n"/>
      <c r="AL146" s="207" t="n"/>
      <c r="AM146" s="207" t="n"/>
      <c r="AN146" s="207" t="n"/>
      <c r="AO146" s="207" t="n"/>
      <c r="AP146" s="207" t="n">
        <v>246</v>
      </c>
      <c r="AQ146" s="207" t="n">
        <v>0</v>
      </c>
      <c r="AR146" s="207" t="n">
        <v>198</v>
      </c>
      <c r="AS146" s="207" t="n">
        <v>0</v>
      </c>
      <c r="AT146" s="207" t="n">
        <v>0</v>
      </c>
      <c r="AU146" s="207" t="n">
        <v>0</v>
      </c>
      <c r="AV146" s="207" t="n">
        <v>0</v>
      </c>
      <c r="AW146" s="207" t="n">
        <v>0</v>
      </c>
      <c r="AX146" s="208" t="n">
        <v>1</v>
      </c>
      <c r="AY146" s="209">
        <f>L146*AX146+AP146+AQ146+AR146+AV146+AW146+AS146+AT146+AU146</f>
        <v/>
      </c>
      <c r="AZ146" s="207" t="n">
        <v>5180.54</v>
      </c>
      <c r="BA146" s="207" t="n">
        <v>0</v>
      </c>
      <c r="BB146" s="207">
        <f>AZ146*0.006</f>
        <v/>
      </c>
      <c r="BC146" s="209">
        <f>AZ146+BA146-BB146</f>
        <v/>
      </c>
      <c r="BD146" s="207" t="n">
        <v>0</v>
      </c>
      <c r="BE146" s="207" t="n">
        <v>0</v>
      </c>
      <c r="BF146" s="209">
        <f>BD146+BE146</f>
        <v/>
      </c>
      <c r="BG146" s="209">
        <f>BC146-AY146+BF146</f>
        <v/>
      </c>
      <c r="BH146" s="87" t="inlineStr">
        <is>
          <t>肖清真</t>
        </is>
      </c>
      <c r="BI146" s="210" t="inlineStr">
        <is>
          <t>福建省 福州市 鼓楼区 南街街道 灵响小区5座102</t>
        </is>
      </c>
      <c r="BJ146" s="86" t="inlineStr">
        <is>
          <t>18480100105-9795</t>
        </is>
      </c>
      <c r="BK146" s="86" t="n"/>
      <c r="BL146" s="210">
        <f>BC146</f>
        <v/>
      </c>
      <c r="BM146" s="93" t="n"/>
      <c r="BN146" s="94" t="n"/>
      <c r="BO146" s="93" t="inlineStr">
        <is>
          <t>1.158银色 T25  银色轨道  洞石背板</t>
        </is>
      </c>
      <c r="BP146" s="86" t="n"/>
      <c r="BQ146" s="96" t="n"/>
      <c r="BR146" s="96" t="n"/>
      <c r="BS146" s="97" t="n"/>
      <c r="BT146" s="96" t="n"/>
      <c r="BU146" s="97" t="inlineStr">
        <is>
          <t>肖清真</t>
        </is>
      </c>
      <c r="BV146" s="96" t="n"/>
      <c r="BW146" s="97" t="n"/>
      <c r="BX146" s="97" t="n"/>
      <c r="BY146" s="97" t="n"/>
      <c r="BZ146" s="97" t="n"/>
      <c r="CA146" s="98" t="n"/>
      <c r="CH146" s="2" t="n"/>
      <c r="CI146" s="14">
        <f>CJ146&amp;CK146</f>
        <v/>
      </c>
      <c r="CY146" s="25" t="n"/>
      <c r="DA146" s="25" t="n"/>
      <c r="DC146" s="26" t="n"/>
      <c r="DD146" s="26" t="n"/>
      <c r="DE146" s="26" t="n"/>
      <c r="DF146" s="26" t="n"/>
      <c r="DG146" s="26" t="n"/>
      <c r="DH146" s="27" t="n"/>
      <c r="DJ146" s="211" t="inlineStr">
        <is>
          <t>订单表中未找到</t>
        </is>
      </c>
      <c r="DK146" t="inlineStr">
        <is>
          <t>—</t>
        </is>
      </c>
      <c r="DL146" t="inlineStr">
        <is>
          <t>—</t>
        </is>
      </c>
    </row>
    <row r="147" ht="15.75" customHeight="1" s="187">
      <c r="A147" s="84" t="n">
        <v>45809</v>
      </c>
      <c r="B147" s="206" t="inlineStr">
        <is>
          <t>已收货</t>
        </is>
      </c>
      <c r="C147" s="86" t="inlineStr">
        <is>
          <t>4365977906407605641</t>
        </is>
      </c>
      <c r="D147" s="87" t="inlineStr">
        <is>
          <t>金俊</t>
        </is>
      </c>
      <c r="E147" s="87" t="n"/>
      <c r="F147" s="87" t="n"/>
      <c r="G147" s="87" t="inlineStr">
        <is>
          <t>砂白色1.4米岩板餐桌</t>
        </is>
      </c>
      <c r="H147" s="87" t="inlineStr">
        <is>
          <t>榉木餐桌</t>
        </is>
      </c>
      <c r="I147" s="89" t="inlineStr">
        <is>
          <t>140cm*85cm</t>
        </is>
      </c>
      <c r="J147" s="87" t="inlineStr">
        <is>
          <t>已结算</t>
        </is>
      </c>
      <c r="K147" s="86" t="inlineStr">
        <is>
          <t>江西</t>
        </is>
      </c>
      <c r="L147" s="207">
        <f>SUM(M147:AO147)</f>
        <v/>
      </c>
      <c r="M147" s="207">
        <f>1480</f>
        <v/>
      </c>
      <c r="N147" s="207" t="n"/>
      <c r="O147" s="207" t="n"/>
      <c r="P147" s="207" t="n"/>
      <c r="Q147" s="207" t="n"/>
      <c r="R147" s="207" t="n">
        <v>240</v>
      </c>
      <c r="S147" s="207" t="n"/>
      <c r="T147" s="207" t="n"/>
      <c r="U147" s="207" t="n"/>
      <c r="V147" s="207" t="n"/>
      <c r="W147" s="207" t="n"/>
      <c r="X147" s="207" t="n"/>
      <c r="Y147" s="207" t="n"/>
      <c r="Z147" s="207" t="n"/>
      <c r="AA147" s="207" t="n"/>
      <c r="AB147" s="207" t="n"/>
      <c r="AC147" s="207" t="n"/>
      <c r="AD147" s="207" t="n">
        <v>2.5</v>
      </c>
      <c r="AE147" s="207" t="n"/>
      <c r="AF147" s="207" t="n"/>
      <c r="AG147" s="207" t="n"/>
      <c r="AH147" s="207" t="n"/>
      <c r="AI147" s="207" t="n"/>
      <c r="AJ147" s="207" t="n"/>
      <c r="AK147" s="207" t="n"/>
      <c r="AL147" s="207" t="n"/>
      <c r="AM147" s="207" t="n">
        <v>170</v>
      </c>
      <c r="AN147" s="207" t="n"/>
      <c r="AO147" s="207" t="n"/>
      <c r="AP147" s="207" t="n">
        <v>99</v>
      </c>
      <c r="AQ147" s="207" t="n">
        <v>30</v>
      </c>
      <c r="AR147" s="207" t="n">
        <v>100</v>
      </c>
      <c r="AS147" s="207" t="n">
        <v>0</v>
      </c>
      <c r="AT147" s="207" t="n">
        <v>0</v>
      </c>
      <c r="AU147" s="207" t="n">
        <v>0</v>
      </c>
      <c r="AV147" s="207" t="n">
        <v>16</v>
      </c>
      <c r="AW147" s="207" t="n">
        <v>0</v>
      </c>
      <c r="AX147" s="208" t="n">
        <v>1</v>
      </c>
      <c r="AY147" s="209">
        <f>L147*AX147+AP147+AQ147+AR147+AV147+AW147+AS147+AT147+AU147</f>
        <v/>
      </c>
      <c r="AZ147" s="207" t="n">
        <v>2445</v>
      </c>
      <c r="BA147" s="207" t="n">
        <v>0</v>
      </c>
      <c r="BB147" s="207">
        <f>AZ147*0.006</f>
        <v/>
      </c>
      <c r="BC147" s="209">
        <f>AZ147+BA147-BB147</f>
        <v/>
      </c>
      <c r="BD147" s="207" t="n">
        <v>0</v>
      </c>
      <c r="BE147" s="207" t="n">
        <v>0</v>
      </c>
      <c r="BF147" s="209">
        <f>BD147+BE147</f>
        <v/>
      </c>
      <c r="BG147" s="209">
        <f>BC147-AY147+BF147</f>
        <v/>
      </c>
      <c r="BH147" s="87" t="inlineStr">
        <is>
          <t>金俊</t>
        </is>
      </c>
      <c r="BI147" s="210" t="inlineStr">
        <is>
          <t>上海 上海市 青浦区 徐泾镇象屿招商蟠龙府2期17栋43-801</t>
        </is>
      </c>
      <c r="BJ147" s="86" t="inlineStr">
        <is>
          <t>18466822540-3486</t>
        </is>
      </c>
      <c r="BK147" s="86" t="n"/>
      <c r="BL147" s="210">
        <f>BC147</f>
        <v/>
      </c>
      <c r="BM147" s="93" t="n"/>
      <c r="BN147" s="94" t="n"/>
      <c r="BO147" s="93" t="n"/>
      <c r="BP147" s="86" t="n"/>
      <c r="BQ147" s="96" t="inlineStr">
        <is>
          <t>金俊</t>
        </is>
      </c>
      <c r="BR147" s="96" t="inlineStr">
        <is>
          <t>12mm白色岩板 140*85，不打孔，安全角</t>
        </is>
      </c>
      <c r="BS147" s="97" t="n"/>
      <c r="BT147" s="96" t="n"/>
      <c r="BU147" s="97" t="n"/>
      <c r="BV147" s="96" t="n"/>
      <c r="BW147" s="97" t="n"/>
      <c r="BX147" s="97" t="n"/>
      <c r="BY147" s="97" t="n"/>
      <c r="BZ147" s="97" t="n"/>
      <c r="CA147" s="98" t="n"/>
      <c r="CH147" s="2" t="n"/>
      <c r="CI147" s="14">
        <f>CJ147&amp;CK147</f>
        <v/>
      </c>
      <c r="CY147" s="25" t="n"/>
      <c r="DA147" s="25" t="n"/>
      <c r="DC147" s="26" t="n"/>
      <c r="DD147" s="26" t="n"/>
      <c r="DE147" s="26" t="n"/>
      <c r="DF147" s="26" t="n"/>
      <c r="DG147" s="26" t="n"/>
      <c r="DH147" s="27" t="n"/>
      <c r="DJ147" s="211" t="inlineStr">
        <is>
          <t>订单表中未找到</t>
        </is>
      </c>
      <c r="DK147" t="inlineStr">
        <is>
          <t>—</t>
        </is>
      </c>
      <c r="DL147" t="inlineStr">
        <is>
          <t>—</t>
        </is>
      </c>
    </row>
    <row r="148" ht="15.75" customHeight="1" s="187">
      <c r="A148" s="84" t="n">
        <v>45809</v>
      </c>
      <c r="B148" s="206" t="inlineStr">
        <is>
          <t>已收货</t>
        </is>
      </c>
      <c r="C148" s="86" t="inlineStr">
        <is>
          <t>2590520199862214699</t>
        </is>
      </c>
      <c r="D148" s="87" t="inlineStr">
        <is>
          <t>丁先生</t>
        </is>
      </c>
      <c r="E148" s="87" t="n"/>
      <c r="F148" s="87" t="n"/>
      <c r="G148" s="87" t="inlineStr">
        <is>
          <t>定制鞋柜1000*350*1620   500*350*1620</t>
        </is>
      </c>
      <c r="H148" s="220" t="inlineStr">
        <is>
          <t>鞋柜</t>
        </is>
      </c>
      <c r="I148" s="89" t="n"/>
      <c r="J148" s="87" t="inlineStr">
        <is>
          <t>已结算</t>
        </is>
      </c>
      <c r="K148" s="86" t="inlineStr">
        <is>
          <t>江西</t>
        </is>
      </c>
      <c r="L148" s="207">
        <f>SUM(M148:AO148)</f>
        <v/>
      </c>
      <c r="M148" s="207">
        <f>4300</f>
        <v/>
      </c>
      <c r="N148" s="207" t="n"/>
      <c r="O148" s="207" t="n"/>
      <c r="P148" s="207" t="n"/>
      <c r="Q148" s="207" t="n"/>
      <c r="R148" s="207" t="n">
        <v>130</v>
      </c>
      <c r="S148" s="207" t="n"/>
      <c r="T148" s="207" t="n"/>
      <c r="U148" s="207" t="n"/>
      <c r="V148" s="207" t="n"/>
      <c r="W148" s="207" t="n"/>
      <c r="X148" s="207" t="n">
        <v>60</v>
      </c>
      <c r="Y148" s="207" t="n"/>
      <c r="Z148" s="207" t="n"/>
      <c r="AA148" s="207" t="n"/>
      <c r="AB148" s="207" t="n"/>
      <c r="AC148" s="207" t="n"/>
      <c r="AD148" s="207" t="n"/>
      <c r="AE148" s="207" t="n"/>
      <c r="AF148" s="207" t="n"/>
      <c r="AG148" s="207" t="n"/>
      <c r="AH148" s="207" t="n"/>
      <c r="AI148" s="207" t="n"/>
      <c r="AJ148" s="207" t="n"/>
      <c r="AK148" s="207" t="n"/>
      <c r="AL148" s="207" t="n"/>
      <c r="AM148" s="207" t="n">
        <v>180</v>
      </c>
      <c r="AN148" s="207" t="n"/>
      <c r="AO148" s="207" t="n"/>
      <c r="AP148" s="207">
        <f>441-AQ148</f>
        <v/>
      </c>
      <c r="AQ148" s="207" t="n">
        <v>70</v>
      </c>
      <c r="AR148" s="207" t="n">
        <v>0</v>
      </c>
      <c r="AS148" s="207" t="n">
        <v>0</v>
      </c>
      <c r="AT148" s="207" t="n">
        <v>0</v>
      </c>
      <c r="AU148" s="207" t="n">
        <v>0</v>
      </c>
      <c r="AV148" s="207" t="n">
        <v>0</v>
      </c>
      <c r="AW148" s="207" t="n">
        <v>0</v>
      </c>
      <c r="AX148" s="208" t="n">
        <v>1</v>
      </c>
      <c r="AY148" s="209">
        <f>L148*AX148+AP148+AQ148+AR148+AV148+AW148+AS148+AT148+AU148</f>
        <v/>
      </c>
      <c r="AZ148" s="207" t="n">
        <v>8600</v>
      </c>
      <c r="BA148" s="207" t="n">
        <v>0</v>
      </c>
      <c r="BB148" s="207">
        <f>AZ148*0.006</f>
        <v/>
      </c>
      <c r="BC148" s="209">
        <f>AZ148+BA148-BB148</f>
        <v/>
      </c>
      <c r="BD148" s="207" t="n">
        <v>0</v>
      </c>
      <c r="BE148" s="207" t="n">
        <v>0</v>
      </c>
      <c r="BF148" s="209">
        <f>BD148+BE148</f>
        <v/>
      </c>
      <c r="BG148" s="209">
        <f>BC148-AY148+BF148</f>
        <v/>
      </c>
      <c r="BH148" s="87" t="inlineStr">
        <is>
          <t>丁先生</t>
        </is>
      </c>
      <c r="BI148" s="210" t="inlineStr">
        <is>
          <t>北京 北京市 朝阳区 金盏乡金盏北路8号晴翠园185号</t>
        </is>
      </c>
      <c r="BJ148" s="86" t="inlineStr">
        <is>
          <t>18400828302-4451</t>
        </is>
      </c>
      <c r="BK148" s="86" t="n"/>
      <c r="BL148" s="210">
        <f>BC148</f>
        <v/>
      </c>
      <c r="BM148" s="93" t="n"/>
      <c r="BN148" s="94" t="n"/>
      <c r="BO148" s="93" t="n"/>
      <c r="BP148" s="86" t="n"/>
      <c r="BQ148" s="96" t="inlineStr">
        <is>
          <t>丁先生</t>
        </is>
      </c>
      <c r="BR148" s="96" t="inlineStr">
        <is>
          <t>12mm白色岩板 958*340，安全角
12mm白色岩板 458*340，安全角</t>
        </is>
      </c>
      <c r="BS148" s="97" t="n"/>
      <c r="BT148" s="96" t="n"/>
      <c r="BU148" s="97" t="n"/>
      <c r="BV148" s="96" t="n"/>
      <c r="BW148" s="97" t="n"/>
      <c r="BX148" s="97" t="n"/>
      <c r="BY148" s="97" t="n"/>
      <c r="BZ148" s="97" t="n"/>
      <c r="CA148" s="98" t="n"/>
      <c r="CH148" s="2" t="n"/>
      <c r="CI148" s="14">
        <f>CJ148&amp;CK148</f>
        <v/>
      </c>
      <c r="CY148" s="25" t="n"/>
      <c r="DA148" s="25" t="n"/>
      <c r="DC148" s="26" t="n"/>
      <c r="DD148" s="26" t="n"/>
      <c r="DE148" s="26" t="n"/>
      <c r="DF148" s="26" t="n"/>
      <c r="DG148" s="26" t="n"/>
      <c r="DH148" s="27" t="n"/>
      <c r="DJ148" s="211" t="inlineStr">
        <is>
          <t>订单表中未找到</t>
        </is>
      </c>
      <c r="DK148" t="inlineStr">
        <is>
          <t>—</t>
        </is>
      </c>
      <c r="DL148" t="inlineStr">
        <is>
          <t>—</t>
        </is>
      </c>
    </row>
    <row r="149" ht="15.75" customHeight="1" s="187">
      <c r="A149" s="84" t="n">
        <v>45809</v>
      </c>
      <c r="B149" s="206" t="inlineStr">
        <is>
          <t>已收货</t>
        </is>
      </c>
      <c r="C149" s="86" t="inlineStr">
        <is>
          <t>2590124953979294357</t>
        </is>
      </c>
      <c r="D149" s="87" t="inlineStr">
        <is>
          <t>瑞媚</t>
        </is>
      </c>
      <c r="E149" s="87" t="n"/>
      <c r="F149" s="87" t="n"/>
      <c r="G149" s="87" t="inlineStr">
        <is>
          <t>榫卯书架：柜1：800*425*550    柜2：615*280*780   柜3：880*230*780</t>
        </is>
      </c>
      <c r="H149" s="220" t="inlineStr">
        <is>
          <t>书柜-2024款</t>
        </is>
      </c>
      <c r="I149" s="89" t="n"/>
      <c r="J149" s="87" t="inlineStr">
        <is>
          <t>已结算</t>
        </is>
      </c>
      <c r="K149" s="86" t="inlineStr">
        <is>
          <t>江西</t>
        </is>
      </c>
      <c r="L149" s="207">
        <f>2670+160-479</f>
        <v/>
      </c>
      <c r="M149" s="207">
        <f>2670</f>
        <v/>
      </c>
      <c r="N149" s="207" t="inlineStr">
        <is>
          <t>160-479</t>
        </is>
      </c>
      <c r="O149" s="207" t="n"/>
      <c r="P149" s="207" t="n"/>
      <c r="Q149" s="207" t="n"/>
      <c r="R149" s="207" t="n"/>
      <c r="S149" s="207" t="n"/>
      <c r="T149" s="207" t="n"/>
      <c r="U149" s="207" t="n"/>
      <c r="V149" s="207" t="n"/>
      <c r="W149" s="207" t="n"/>
      <c r="X149" s="207" t="n"/>
      <c r="Y149" s="207" t="n"/>
      <c r="Z149" s="207" t="n"/>
      <c r="AA149" s="207" t="n"/>
      <c r="AB149" s="207" t="n"/>
      <c r="AC149" s="207" t="n"/>
      <c r="AD149" s="207" t="n"/>
      <c r="AE149" s="207" t="n"/>
      <c r="AF149" s="207" t="n"/>
      <c r="AG149" s="207" t="n"/>
      <c r="AH149" s="207" t="n"/>
      <c r="AI149" s="207" t="n"/>
      <c r="AJ149" s="207" t="n"/>
      <c r="AK149" s="207" t="n"/>
      <c r="AL149" s="207" t="n"/>
      <c r="AM149" s="207" t="n">
        <v>160</v>
      </c>
      <c r="AN149" s="207" t="n"/>
      <c r="AO149" s="207" t="n"/>
      <c r="AP149" s="207" t="n">
        <v>140</v>
      </c>
      <c r="AQ149" s="207" t="n">
        <v>40</v>
      </c>
      <c r="AR149" s="207" t="n">
        <v>0</v>
      </c>
      <c r="AS149" s="207" t="n">
        <v>0</v>
      </c>
      <c r="AT149" s="207" t="n">
        <v>359</v>
      </c>
      <c r="AU149" s="207" t="n">
        <v>0</v>
      </c>
      <c r="AV149" s="207" t="n">
        <v>0</v>
      </c>
      <c r="AW149" s="207" t="n">
        <v>0</v>
      </c>
      <c r="AX149" s="208" t="n">
        <v>1</v>
      </c>
      <c r="AY149" s="209">
        <f>L149*AX149+AP149+AQ149+AR149+AV149+AW149+AS149+AT149+AU149</f>
        <v/>
      </c>
      <c r="AZ149" s="207" t="n">
        <v>3615</v>
      </c>
      <c r="BA149" s="207" t="n">
        <v>0</v>
      </c>
      <c r="BB149" s="207">
        <f>AZ149*0.006</f>
        <v/>
      </c>
      <c r="BC149" s="209">
        <f>AZ149+BA149-BB149</f>
        <v/>
      </c>
      <c r="BD149" s="207" t="n">
        <v>0</v>
      </c>
      <c r="BE149" s="207" t="n">
        <v>0</v>
      </c>
      <c r="BF149" s="209">
        <f>BD149+BE149</f>
        <v/>
      </c>
      <c r="BG149" s="209">
        <f>BC149-AY149+BF149</f>
        <v/>
      </c>
      <c r="BH149" s="87" t="inlineStr">
        <is>
          <t>瑞媚</t>
        </is>
      </c>
      <c r="BI149" s="210" t="inlineStr">
        <is>
          <t>广东省 深圳市 龙岗区 吉华街道松源路1号茵悦之生花园14a栋3F</t>
        </is>
      </c>
      <c r="BJ149" s="86" t="inlineStr">
        <is>
          <t>15728352403-3074</t>
        </is>
      </c>
      <c r="BK149" s="86" t="n"/>
      <c r="BL149" s="210">
        <f>BC149</f>
        <v/>
      </c>
      <c r="BM149" s="93" t="n"/>
      <c r="BN149" s="94" t="n"/>
      <c r="BO149" s="93" t="n"/>
      <c r="BP149" s="86" t="n"/>
      <c r="BQ149" s="96" t="n"/>
      <c r="BR149" s="96" t="n"/>
      <c r="BS149" s="97" t="n"/>
      <c r="BT149" s="96" t="n"/>
      <c r="BU149" s="97" t="n"/>
      <c r="BV149" s="96" t="n"/>
      <c r="BW149" s="97" t="n"/>
      <c r="BX149" s="97" t="n"/>
      <c r="BY149" s="97" t="n"/>
      <c r="BZ149" s="97" t="n"/>
      <c r="CA149" s="98" t="n"/>
      <c r="CH149" s="2" t="n"/>
      <c r="CI149" s="14">
        <f>CJ149&amp;CK149</f>
        <v/>
      </c>
      <c r="CY149" s="25" t="n"/>
      <c r="DA149" s="25" t="n"/>
      <c r="DC149" s="26" t="n"/>
      <c r="DD149" s="26" t="n"/>
      <c r="DE149" s="26" t="n"/>
      <c r="DF149" s="26" t="n"/>
      <c r="DG149" s="26" t="n"/>
      <c r="DH149" s="27" t="n"/>
      <c r="DJ149" s="211" t="inlineStr">
        <is>
          <t>订单表中未找到</t>
        </is>
      </c>
      <c r="DK149" t="inlineStr">
        <is>
          <t>—</t>
        </is>
      </c>
      <c r="DL149" t="inlineStr">
        <is>
          <t>—</t>
        </is>
      </c>
    </row>
    <row r="150" ht="15.75" customHeight="1" s="187">
      <c r="A150" s="84" t="n">
        <v>45812</v>
      </c>
      <c r="B150" s="206" t="inlineStr">
        <is>
          <t>已收货</t>
        </is>
      </c>
      <c r="C150" s="86" t="inlineStr">
        <is>
          <t>2595896220277631661</t>
        </is>
      </c>
      <c r="D150" s="87" t="inlineStr">
        <is>
          <t>陈婉玲</t>
        </is>
      </c>
      <c r="E150" s="87" t="n"/>
      <c r="F150" s="87" t="n"/>
      <c r="G150" s="87" t="inlineStr">
        <is>
          <t>砂白色2.0米岩板餐桌，定制</t>
        </is>
      </c>
      <c r="H150" s="87" t="inlineStr">
        <is>
          <t>榉木餐桌</t>
        </is>
      </c>
      <c r="I150" s="89" t="inlineStr">
        <is>
          <t>200cm*78cm</t>
        </is>
      </c>
      <c r="J150" s="87" t="inlineStr">
        <is>
          <t>已结算</t>
        </is>
      </c>
      <c r="K150" s="86" t="inlineStr">
        <is>
          <t>江西</t>
        </is>
      </c>
      <c r="L150" s="207">
        <f>SUM(M150:AO150)</f>
        <v/>
      </c>
      <c r="M150" s="207">
        <f>1630</f>
        <v/>
      </c>
      <c r="N150" s="207" t="n"/>
      <c r="O150" s="207" t="n"/>
      <c r="P150" s="207" t="n"/>
      <c r="Q150" s="207" t="n"/>
      <c r="R150" s="207" t="n">
        <v>510</v>
      </c>
      <c r="S150" s="207" t="n"/>
      <c r="T150" s="207" t="n"/>
      <c r="U150" s="207" t="n"/>
      <c r="V150" s="207" t="n"/>
      <c r="W150" s="207" t="n"/>
      <c r="X150" s="207" t="n"/>
      <c r="Y150" s="207" t="n"/>
      <c r="Z150" s="207" t="n"/>
      <c r="AA150" s="207" t="n"/>
      <c r="AB150" s="207" t="n"/>
      <c r="AC150" s="207" t="n"/>
      <c r="AD150" s="207" t="n">
        <v>2.5</v>
      </c>
      <c r="AE150" s="207" t="n"/>
      <c r="AF150" s="207" t="n"/>
      <c r="AG150" s="207" t="n"/>
      <c r="AH150" s="207" t="n"/>
      <c r="AI150" s="207" t="n"/>
      <c r="AJ150" s="207" t="n"/>
      <c r="AK150" s="207" t="n"/>
      <c r="AL150" s="207" t="n"/>
      <c r="AM150" s="207" t="n">
        <v>130</v>
      </c>
      <c r="AN150" s="207" t="n"/>
      <c r="AO150" s="207" t="n"/>
      <c r="AP150" s="207">
        <f>178-35</f>
        <v/>
      </c>
      <c r="AQ150" s="207" t="n">
        <v>35</v>
      </c>
      <c r="AR150" s="207" t="n">
        <v>68</v>
      </c>
      <c r="AS150" s="207" t="n">
        <v>0</v>
      </c>
      <c r="AT150" s="207" t="n">
        <v>139</v>
      </c>
      <c r="AU150" s="207" t="n">
        <v>0</v>
      </c>
      <c r="AV150" s="207" t="n">
        <v>28</v>
      </c>
      <c r="AW150" s="207" t="n">
        <v>64.8</v>
      </c>
      <c r="AX150" s="208" t="n">
        <v>1</v>
      </c>
      <c r="AY150" s="209">
        <f>L150*AX150+AP150+AQ150+AR150+AV150+AW150+AS150+AT150+AU150</f>
        <v/>
      </c>
      <c r="AZ150" s="207" t="n">
        <v>3210</v>
      </c>
      <c r="BA150" s="207" t="n">
        <v>0</v>
      </c>
      <c r="BB150" s="207">
        <f>AZ150*0.006</f>
        <v/>
      </c>
      <c r="BC150" s="209">
        <f>AZ150+BA150-BB150</f>
        <v/>
      </c>
      <c r="BD150" s="207" t="n">
        <v>0</v>
      </c>
      <c r="BE150" s="207" t="n">
        <v>0</v>
      </c>
      <c r="BF150" s="209">
        <f>BD150+BE150</f>
        <v/>
      </c>
      <c r="BG150" s="209">
        <f>BC150-AY150+BF150</f>
        <v/>
      </c>
      <c r="BH150" s="87" t="inlineStr">
        <is>
          <t>陈婉玲</t>
        </is>
      </c>
      <c r="BI150" s="210" t="inlineStr">
        <is>
          <t>河南省 洛阳市 涧西区 南昌路街道吉安南街恒顺幸福堡小区一号楼2单元301</t>
        </is>
      </c>
      <c r="BJ150" s="86" t="inlineStr">
        <is>
          <t>18238844560-4998</t>
        </is>
      </c>
      <c r="BK150" s="86" t="n"/>
      <c r="BL150" s="210">
        <f>BC150</f>
        <v/>
      </c>
      <c r="BM150" s="93" t="n"/>
      <c r="BN150" s="94" t="n"/>
      <c r="BO150" s="93" t="n"/>
      <c r="BP150" s="86" t="n"/>
      <c r="BQ150" s="96" t="inlineStr">
        <is>
          <t>陈婉玲</t>
        </is>
      </c>
      <c r="BR150" s="96" t="inlineStr">
        <is>
          <t>12mm白色岩板 200*78，不打孔，安全角</t>
        </is>
      </c>
      <c r="BS150" s="97" t="n"/>
      <c r="BT150" s="96" t="n"/>
      <c r="BU150" s="97" t="n"/>
      <c r="BV150" s="96" t="n"/>
      <c r="BW150" s="97" t="n"/>
      <c r="BX150" s="97" t="n"/>
      <c r="BY150" s="97" t="n"/>
      <c r="BZ150" s="97" t="n"/>
      <c r="CA150" s="98" t="n"/>
      <c r="CH150" s="2" t="n"/>
      <c r="CI150" s="14">
        <f>CJ150&amp;CK150</f>
        <v/>
      </c>
      <c r="CY150" s="25" t="n"/>
      <c r="DA150" s="25" t="n"/>
      <c r="DC150" s="26" t="n"/>
      <c r="DD150" s="26" t="n"/>
      <c r="DE150" s="26" t="n"/>
      <c r="DF150" s="26" t="n"/>
      <c r="DG150" s="26" t="n"/>
      <c r="DH150" s="27" t="n"/>
      <c r="DJ150" s="211" t="inlineStr">
        <is>
          <t>订单表中未找到</t>
        </is>
      </c>
      <c r="DK150" t="inlineStr">
        <is>
          <t>—</t>
        </is>
      </c>
      <c r="DL150" t="inlineStr">
        <is>
          <t>—</t>
        </is>
      </c>
    </row>
    <row r="151" ht="15.75" customHeight="1" s="187">
      <c r="A151" s="84" t="n">
        <v>45812</v>
      </c>
      <c r="B151" s="206" t="inlineStr">
        <is>
          <t>已收货</t>
        </is>
      </c>
      <c r="C151" s="86" t="inlineStr">
        <is>
          <t>4397177991629821109</t>
        </is>
      </c>
      <c r="D151" s="87" t="inlineStr">
        <is>
          <t>陈晨</t>
        </is>
      </c>
      <c r="E151" s="87" t="n"/>
      <c r="F151" s="87" t="n"/>
      <c r="G151" s="207" t="inlineStr">
        <is>
          <t>窄柜-整柜洞石背板-0.8米-定制</t>
        </is>
      </c>
      <c r="H151" s="220" t="inlineStr">
        <is>
          <t>樱桃木窄柜</t>
        </is>
      </c>
      <c r="I151" s="89" t="n">
        <v>800</v>
      </c>
      <c r="J151" s="87" t="inlineStr">
        <is>
          <t>已结算</t>
        </is>
      </c>
      <c r="K151" s="86" t="inlineStr">
        <is>
          <t>江西</t>
        </is>
      </c>
      <c r="L151" s="207">
        <f>240+120+1.16+3.37+3600+1.1+1.03+60/2+4+115+307.08</f>
        <v/>
      </c>
      <c r="M151" s="207" t="n">
        <v>3600</v>
      </c>
      <c r="N151" s="207">
        <f>0.758*260+2*55</f>
        <v/>
      </c>
      <c r="O151" s="207" t="n">
        <v>115</v>
      </c>
      <c r="P151" s="207" t="n"/>
      <c r="Q151" s="207">
        <f>15*2</f>
        <v/>
      </c>
      <c r="R151" s="207">
        <f>240</f>
        <v/>
      </c>
      <c r="S151" s="207" t="n"/>
      <c r="T151" s="207" t="n"/>
      <c r="U151" s="207" t="n"/>
      <c r="V151" s="207" t="n"/>
      <c r="W151" s="207" t="n"/>
      <c r="X151" s="207" t="n"/>
      <c r="Y151" s="207" t="n"/>
      <c r="Z151" s="207" t="n"/>
      <c r="AA151" s="207" t="n"/>
      <c r="AB151" s="207" t="n"/>
      <c r="AC151" s="207" t="n"/>
      <c r="AD151" s="207" t="n"/>
      <c r="AE151" s="207" t="n"/>
      <c r="AF151" s="207" t="n"/>
      <c r="AG151" s="207" t="n"/>
      <c r="AH151" s="207" t="n"/>
      <c r="AI151" s="207" t="n"/>
      <c r="AJ151" s="207" t="n"/>
      <c r="AK151" s="207" t="n"/>
      <c r="AL151" s="207" t="n"/>
      <c r="AM151" s="207" t="n">
        <v>120</v>
      </c>
      <c r="AN151" s="207" t="n"/>
      <c r="AO151" s="207" t="n"/>
      <c r="AP151" s="207" t="n">
        <v>130</v>
      </c>
      <c r="AQ151" s="207" t="n">
        <v>0</v>
      </c>
      <c r="AR151" s="207" t="n">
        <v>300</v>
      </c>
      <c r="AS151" s="207" t="n">
        <v>0</v>
      </c>
      <c r="AT151" s="207" t="n">
        <v>0</v>
      </c>
      <c r="AU151" s="207" t="n">
        <v>0</v>
      </c>
      <c r="AV151" s="207">
        <f>54+23+56</f>
        <v/>
      </c>
      <c r="AW151" s="207" t="n">
        <v>0</v>
      </c>
      <c r="AX151" s="208" t="n">
        <v>1</v>
      </c>
      <c r="AY151" s="209">
        <f>L151*AX151+AP151+AQ151+AR151+AV151+AW151+AS151+AT151+AU151</f>
        <v/>
      </c>
      <c r="AZ151" s="207" t="n">
        <v>4756.44</v>
      </c>
      <c r="BA151" s="207" t="n">
        <v>0</v>
      </c>
      <c r="BB151" s="207">
        <f>AZ151*0.006</f>
        <v/>
      </c>
      <c r="BC151" s="209">
        <f>AZ151+BA151-BB151</f>
        <v/>
      </c>
      <c r="BD151" s="207" t="n">
        <v>0</v>
      </c>
      <c r="BE151" s="207" t="n">
        <v>0</v>
      </c>
      <c r="BF151" s="209">
        <f>BD151+BE151</f>
        <v/>
      </c>
      <c r="BG151" s="209">
        <f>BC151-AY151+BF151</f>
        <v/>
      </c>
      <c r="BH151" s="87" t="inlineStr">
        <is>
          <t>陈晨</t>
        </is>
      </c>
      <c r="BI151" s="210" t="inlineStr">
        <is>
          <t>上海 上海市 嘉定区 南翔镇 栖林路265弄高尔夫公馆5号202室</t>
        </is>
      </c>
      <c r="BJ151" s="86" t="inlineStr">
        <is>
          <t>18466657871-7230</t>
        </is>
      </c>
      <c r="BK151" s="86" t="n"/>
      <c r="BL151" s="210">
        <f>BC151</f>
        <v/>
      </c>
      <c r="BM151" s="93" t="n"/>
      <c r="BN151" s="94" t="n"/>
      <c r="BO151" s="93" t="inlineStr">
        <is>
          <t>0.758银色 T25  银色轨道  洞石背板</t>
        </is>
      </c>
      <c r="BP151" s="86" t="inlineStr">
        <is>
          <t>黑色塑料轨道双轨上下800
银色轨道760*2</t>
        </is>
      </c>
      <c r="BQ151" s="96" t="inlineStr">
        <is>
          <t>陈晨</t>
        </is>
      </c>
      <c r="BR151" s="96" t="inlineStr">
        <is>
          <t>12mm洞石岩板 80*45，打孔，安全角</t>
        </is>
      </c>
      <c r="BS151" s="97" t="n"/>
      <c r="BT151" s="96" t="n"/>
      <c r="BU151" s="97" t="inlineStr">
        <is>
          <t>陈晨</t>
        </is>
      </c>
      <c r="BV151" s="96" t="n"/>
      <c r="BW151" s="97" t="n"/>
      <c r="BX151" s="97" t="n"/>
      <c r="BY151" s="97" t="n"/>
      <c r="BZ151" s="97" t="n"/>
      <c r="CA151" s="98" t="n"/>
      <c r="CH151" s="2" t="n"/>
      <c r="CI151" s="14">
        <f>CJ151&amp;CK151</f>
        <v/>
      </c>
      <c r="CY151" s="25" t="n"/>
      <c r="DA151" s="25" t="n"/>
      <c r="DC151" s="26" t="n"/>
      <c r="DD151" s="26" t="n"/>
      <c r="DE151" s="26" t="n"/>
      <c r="DF151" s="26" t="n"/>
      <c r="DG151" s="26" t="n"/>
      <c r="DH151" s="27" t="n"/>
      <c r="DJ151" s="211" t="inlineStr">
        <is>
          <t>订单表中未找到</t>
        </is>
      </c>
      <c r="DK151" t="inlineStr">
        <is>
          <t>—</t>
        </is>
      </c>
      <c r="DL151" t="inlineStr">
        <is>
          <t>—</t>
        </is>
      </c>
    </row>
    <row r="152" ht="15.75" customHeight="1" s="187">
      <c r="A152" s="84" t="n">
        <v>45817</v>
      </c>
      <c r="B152" s="206" t="inlineStr">
        <is>
          <t>已收货</t>
        </is>
      </c>
      <c r="C152" s="86" t="inlineStr">
        <is>
          <t>4378503493203959116</t>
        </is>
      </c>
      <c r="D152" s="87" t="inlineStr">
        <is>
          <t>小鱼干</t>
        </is>
      </c>
      <c r="E152" s="87" t="n"/>
      <c r="F152" s="87" t="n"/>
      <c r="G152" s="87" t="inlineStr">
        <is>
          <t>1.95餐边柜带1.5餐桌</t>
        </is>
      </c>
      <c r="H152" s="87" t="inlineStr">
        <is>
          <t>旋转餐边柜</t>
        </is>
      </c>
      <c r="I152" s="89" t="n">
        <v>1950</v>
      </c>
      <c r="J152" s="87" t="inlineStr">
        <is>
          <t>已结算</t>
        </is>
      </c>
      <c r="K152" s="86" t="inlineStr">
        <is>
          <t>江西</t>
        </is>
      </c>
      <c r="L152" s="207">
        <f>6300+379.8+1225+22*9+42+52+22+240+14.5+150</f>
        <v/>
      </c>
      <c r="M152" s="207">
        <f>6300</f>
        <v/>
      </c>
      <c r="N152" s="207" t="n"/>
      <c r="O152" s="207" t="n"/>
      <c r="P152" s="207" t="n"/>
      <c r="Q152" s="207" t="n"/>
      <c r="R152" s="207" t="n"/>
      <c r="S152" s="207" t="n">
        <v>52</v>
      </c>
      <c r="T152" s="207" t="n">
        <v>22</v>
      </c>
      <c r="U152" s="207" t="n"/>
      <c r="V152" s="207" t="n"/>
      <c r="W152" s="207" t="n">
        <v>240</v>
      </c>
      <c r="X152" s="207">
        <f>22*9</f>
        <v/>
      </c>
      <c r="Y152" s="207" t="n">
        <v>14.5</v>
      </c>
      <c r="Z152" s="207" t="n"/>
      <c r="AA152" s="207" t="n"/>
      <c r="AB152" s="207" t="n"/>
      <c r="AC152" s="207" t="n"/>
      <c r="AD152" s="207" t="n"/>
      <c r="AE152" s="207" t="n">
        <v>150</v>
      </c>
      <c r="AF152" s="207" t="n"/>
      <c r="AG152" s="207" t="n"/>
      <c r="AH152" s="207" t="n"/>
      <c r="AI152" s="207" t="n"/>
      <c r="AJ152" s="207" t="n"/>
      <c r="AK152" s="207" t="n"/>
      <c r="AL152" s="207" t="n"/>
      <c r="AM152" s="207" t="n">
        <v>240</v>
      </c>
      <c r="AN152" s="207" t="n"/>
      <c r="AO152" s="207" t="n">
        <v>379.8</v>
      </c>
      <c r="AP152" s="207" t="n">
        <v>340</v>
      </c>
      <c r="AQ152" s="207" t="n">
        <v>0</v>
      </c>
      <c r="AR152" s="207" t="n">
        <v>500</v>
      </c>
      <c r="AS152" s="207" t="n">
        <v>0</v>
      </c>
      <c r="AT152" s="207" t="n">
        <v>0</v>
      </c>
      <c r="AU152" s="207" t="n">
        <v>0</v>
      </c>
      <c r="AV152" s="207">
        <f>36+117</f>
        <v/>
      </c>
      <c r="AW152" s="207" t="n">
        <v>0</v>
      </c>
      <c r="AX152" s="208" t="n">
        <v>1</v>
      </c>
      <c r="AY152" s="209">
        <f>L152*AX152+AP152+AQ152+AR152+AV152+AW152+AS152+AT152+AU152</f>
        <v/>
      </c>
      <c r="AZ152" s="207" t="n">
        <v>12035</v>
      </c>
      <c r="BA152" s="207" t="n">
        <v>0</v>
      </c>
      <c r="BB152" s="207">
        <f>AZ152*0.006</f>
        <v/>
      </c>
      <c r="BC152" s="209">
        <f>AZ152+BA152-BB152</f>
        <v/>
      </c>
      <c r="BD152" s="207" t="n">
        <v>0</v>
      </c>
      <c r="BE152" s="207" t="n">
        <v>0</v>
      </c>
      <c r="BF152" s="209">
        <f>BD152+BE152</f>
        <v/>
      </c>
      <c r="BG152" s="209">
        <f>BC152-AY152+BF152</f>
        <v/>
      </c>
      <c r="BH152" s="87" t="inlineStr">
        <is>
          <t>小鱼干</t>
        </is>
      </c>
      <c r="BI152" s="210" t="inlineStr">
        <is>
          <t>上海 上海市 浦东新区 三林镇钟萃苑3号2704</t>
        </is>
      </c>
      <c r="BJ152" s="86" t="inlineStr">
        <is>
          <t>18466835686-4460</t>
        </is>
      </c>
      <c r="BK152" s="86" t="n"/>
      <c r="BL152" s="210">
        <f>BC152</f>
        <v/>
      </c>
      <c r="BM152" s="93" t="n"/>
      <c r="BN152" s="94" t="n"/>
      <c r="BO152" s="93" t="inlineStr">
        <is>
          <t>白色岩板，电力轨道，银色轨道</t>
        </is>
      </c>
      <c r="BP152" s="86" t="n"/>
      <c r="BQ152" s="96" t="inlineStr">
        <is>
          <t>小鱼干</t>
        </is>
      </c>
      <c r="BR152" s="96" t="inlineStr">
        <is>
          <t>12mm白色岩板194.8*54.8，左右两边进来8cm开2*1cm半圆孔</t>
        </is>
      </c>
      <c r="BS152" s="97" t="n"/>
      <c r="BT152" s="96" t="n"/>
      <c r="BU152" s="97" t="inlineStr">
        <is>
          <t>小鱼干</t>
        </is>
      </c>
      <c r="BV152" s="96" t="n"/>
      <c r="BW152" s="97" t="n"/>
      <c r="BX152" s="97" t="n"/>
      <c r="BY152" s="97" t="n"/>
      <c r="BZ152" s="97" t="n"/>
      <c r="CA152" s="98" t="n"/>
      <c r="CH152" s="2" t="n"/>
      <c r="CI152" s="14">
        <f>CJ152&amp;CK152</f>
        <v/>
      </c>
      <c r="CY152" s="25" t="n"/>
      <c r="DA152" s="25" t="n"/>
      <c r="DC152" s="26" t="n"/>
      <c r="DD152" s="26" t="n"/>
      <c r="DE152" s="26" t="n"/>
      <c r="DF152" s="26" t="n"/>
      <c r="DG152" s="26" t="n"/>
      <c r="DH152" s="27" t="n"/>
      <c r="DJ152" s="211" t="inlineStr">
        <is>
          <t>订单表中未找到</t>
        </is>
      </c>
      <c r="DK152" t="inlineStr">
        <is>
          <t>—</t>
        </is>
      </c>
      <c r="DL152" t="inlineStr">
        <is>
          <t>—</t>
        </is>
      </c>
    </row>
    <row r="153" ht="15.75" customHeight="1" s="187">
      <c r="A153" s="84" t="n">
        <v>45817</v>
      </c>
      <c r="B153" s="206" t="inlineStr">
        <is>
          <t>已收货</t>
        </is>
      </c>
      <c r="C153" s="86" t="inlineStr">
        <is>
          <t>2602167891014881656</t>
        </is>
      </c>
      <c r="D153" s="87" t="inlineStr">
        <is>
          <t>仇宁</t>
        </is>
      </c>
      <c r="E153" s="87" t="n"/>
      <c r="F153" s="87" t="n"/>
      <c r="G153" s="87" t="inlineStr">
        <is>
          <t>砂白色1.8米岩板餐桌</t>
        </is>
      </c>
      <c r="H153" s="87" t="inlineStr">
        <is>
          <t>榉木餐桌</t>
        </is>
      </c>
      <c r="I153" s="89" t="inlineStr">
        <is>
          <t>180cm*85cm</t>
        </is>
      </c>
      <c r="J153" s="87" t="inlineStr">
        <is>
          <t>已结算</t>
        </is>
      </c>
      <c r="K153" s="86" t="inlineStr">
        <is>
          <t>江西</t>
        </is>
      </c>
      <c r="L153" s="207">
        <f>SUM(M153:AO153)</f>
        <v/>
      </c>
      <c r="M153" s="207">
        <f>1540</f>
        <v/>
      </c>
      <c r="N153" s="207" t="n"/>
      <c r="O153" s="207" t="n"/>
      <c r="P153" s="207" t="n"/>
      <c r="Q153" s="207" t="n"/>
      <c r="R153" s="207" t="n">
        <v>240</v>
      </c>
      <c r="S153" s="207" t="n"/>
      <c r="T153" s="207" t="n"/>
      <c r="U153" s="207" t="n"/>
      <c r="V153" s="207" t="n"/>
      <c r="W153" s="207" t="n"/>
      <c r="X153" s="207" t="n"/>
      <c r="Y153" s="207" t="n"/>
      <c r="Z153" s="207" t="n"/>
      <c r="AA153" s="207" t="n"/>
      <c r="AB153" s="207" t="n"/>
      <c r="AC153" s="207" t="n"/>
      <c r="AD153" s="207" t="n">
        <v>2.5</v>
      </c>
      <c r="AE153" s="207" t="n"/>
      <c r="AF153" s="207" t="n"/>
      <c r="AG153" s="207" t="n"/>
      <c r="AH153" s="207" t="n"/>
      <c r="AI153" s="207" t="n"/>
      <c r="AJ153" s="207" t="n"/>
      <c r="AK153" s="207" t="n"/>
      <c r="AL153" s="207" t="n"/>
      <c r="AM153" s="207" t="n">
        <v>190</v>
      </c>
      <c r="AN153" s="207" t="n"/>
      <c r="AO153" s="207" t="n"/>
      <c r="AP153" s="207">
        <f>154-AQ153</f>
        <v/>
      </c>
      <c r="AQ153" s="207" t="n">
        <v>30</v>
      </c>
      <c r="AR153" s="207" t="n">
        <v>85</v>
      </c>
      <c r="AS153" s="207" t="n">
        <v>0</v>
      </c>
      <c r="AT153" s="207" t="n">
        <v>0</v>
      </c>
      <c r="AU153" s="207" t="n">
        <v>0</v>
      </c>
      <c r="AV153" s="207" t="n">
        <v>24</v>
      </c>
      <c r="AW153" s="207" t="n">
        <v>0</v>
      </c>
      <c r="AX153" s="208" t="n">
        <v>1</v>
      </c>
      <c r="AY153" s="209">
        <f>L153*AX153+AP153+AQ153+AR153+AV153+AW153+AS153+AT153+AU153</f>
        <v/>
      </c>
      <c r="AZ153" s="207" t="n">
        <v>2766.22</v>
      </c>
      <c r="BA153" s="207" t="n">
        <v>0</v>
      </c>
      <c r="BB153" s="207">
        <f>AZ153*0.006</f>
        <v/>
      </c>
      <c r="BC153" s="209">
        <f>AZ153+BA153-BB153</f>
        <v/>
      </c>
      <c r="BD153" s="207" t="n">
        <v>0</v>
      </c>
      <c r="BE153" s="207" t="n">
        <v>0</v>
      </c>
      <c r="BF153" s="209">
        <f>BD153+BE153</f>
        <v/>
      </c>
      <c r="BG153" s="209">
        <f>BC153-AY153+BF153</f>
        <v/>
      </c>
      <c r="BH153" s="87" t="inlineStr">
        <is>
          <t>仇宁</t>
        </is>
      </c>
      <c r="BI153" s="210" t="inlineStr">
        <is>
          <t>山东省 济南市 市中区十六里河街道漫山香墅宸麓5号楼一单元1001室</t>
        </is>
      </c>
      <c r="BJ153" s="86" t="inlineStr">
        <is>
          <t>15664702043-6521</t>
        </is>
      </c>
      <c r="BK153" s="86" t="n"/>
      <c r="BL153" s="210">
        <f>BC153</f>
        <v/>
      </c>
      <c r="BM153" s="93" t="n"/>
      <c r="BN153" s="94" t="n"/>
      <c r="BO153" s="93" t="n"/>
      <c r="BP153" s="86" t="n"/>
      <c r="BQ153" s="96" t="inlineStr">
        <is>
          <t>仇宁</t>
        </is>
      </c>
      <c r="BR153" s="96" t="inlineStr">
        <is>
          <t>12mm白色岩板 180*85，不打孔，安全角</t>
        </is>
      </c>
      <c r="BS153" s="97" t="n"/>
      <c r="BT153" s="96" t="n"/>
      <c r="BU153" s="97" t="n"/>
      <c r="BV153" s="96" t="n"/>
      <c r="BW153" s="97" t="n"/>
      <c r="BX153" s="97" t="n"/>
      <c r="BY153" s="97" t="n"/>
      <c r="BZ153" s="97" t="n"/>
      <c r="CA153" s="98" t="n"/>
      <c r="CH153" s="2" t="n"/>
      <c r="CI153" s="14">
        <f>CJ153&amp;CK153</f>
        <v/>
      </c>
      <c r="CY153" s="25" t="n"/>
      <c r="DA153" s="25" t="n"/>
      <c r="DC153" s="26" t="n"/>
      <c r="DD153" s="26" t="n"/>
      <c r="DE153" s="26" t="n"/>
      <c r="DF153" s="26" t="n"/>
      <c r="DG153" s="26" t="n"/>
      <c r="DH153" s="27" t="n"/>
      <c r="DJ153" s="211" t="inlineStr">
        <is>
          <t>订单表中未找到</t>
        </is>
      </c>
      <c r="DK153" t="inlineStr">
        <is>
          <t>—</t>
        </is>
      </c>
      <c r="DL153" t="inlineStr">
        <is>
          <t>—</t>
        </is>
      </c>
    </row>
    <row r="154" ht="15.75" customHeight="1" s="187">
      <c r="A154" s="84" t="n">
        <v>45821</v>
      </c>
      <c r="B154" s="206" t="inlineStr">
        <is>
          <t>已收货</t>
        </is>
      </c>
      <c r="C154" s="86" t="inlineStr">
        <is>
          <t>2608275180604207296</t>
        </is>
      </c>
      <c r="D154" s="87" t="inlineStr">
        <is>
          <t>舟舟</t>
        </is>
      </c>
      <c r="E154" s="87" t="n"/>
      <c r="F154" s="87" t="n"/>
      <c r="G154" s="87" t="inlineStr">
        <is>
          <t>样块</t>
        </is>
      </c>
      <c r="H154" s="87" t="inlineStr">
        <is>
          <t>样块</t>
        </is>
      </c>
      <c r="I154" s="89" t="n"/>
      <c r="J154" s="87" t="inlineStr">
        <is>
          <t>已结算</t>
        </is>
      </c>
      <c r="K154" s="86" t="inlineStr">
        <is>
          <t>杭州</t>
        </is>
      </c>
      <c r="L154" s="207">
        <f>SUM(M154:AO154)</f>
        <v/>
      </c>
      <c r="M154" s="207" t="n">
        <v>5</v>
      </c>
      <c r="N154" s="207" t="n"/>
      <c r="O154" s="207" t="n"/>
      <c r="P154" s="207" t="n"/>
      <c r="Q154" s="207" t="n"/>
      <c r="R154" s="207" t="n"/>
      <c r="S154" s="207" t="n"/>
      <c r="T154" s="207" t="n"/>
      <c r="U154" s="207" t="n"/>
      <c r="V154" s="207" t="n"/>
      <c r="W154" s="207" t="n"/>
      <c r="X154" s="207" t="n"/>
      <c r="Y154" s="207" t="n"/>
      <c r="Z154" s="207" t="n"/>
      <c r="AA154" s="207" t="n"/>
      <c r="AB154" s="207" t="n"/>
      <c r="AC154" s="207" t="n"/>
      <c r="AD154" s="207" t="n"/>
      <c r="AE154" s="207" t="n"/>
      <c r="AF154" s="207" t="n"/>
      <c r="AG154" s="207" t="n"/>
      <c r="AH154" s="207" t="n"/>
      <c r="AI154" s="207" t="n"/>
      <c r="AJ154" s="207" t="n"/>
      <c r="AK154" s="207" t="n"/>
      <c r="AL154" s="207" t="n"/>
      <c r="AM154" s="207" t="n">
        <v>2</v>
      </c>
      <c r="AN154" s="207" t="n"/>
      <c r="AO154" s="207" t="n"/>
      <c r="AP154" s="207" t="n">
        <v>5</v>
      </c>
      <c r="AQ154" s="207" t="n">
        <v>0</v>
      </c>
      <c r="AR154" s="207" t="n">
        <v>0</v>
      </c>
      <c r="AS154" s="207" t="n">
        <v>0</v>
      </c>
      <c r="AT154" s="207" t="n">
        <v>0</v>
      </c>
      <c r="AU154" s="207" t="n">
        <v>0</v>
      </c>
      <c r="AV154" s="207" t="n">
        <v>0</v>
      </c>
      <c r="AW154" s="207" t="n">
        <v>0</v>
      </c>
      <c r="AX154" s="208" t="n">
        <v>1</v>
      </c>
      <c r="AY154" s="209">
        <f>L154*AX154+AP154+AQ154+AR154+AV154+AW154+AS154+AT154+AU154</f>
        <v/>
      </c>
      <c r="AZ154" s="207" t="n">
        <v>21.2</v>
      </c>
      <c r="BA154" s="207" t="n">
        <v>0</v>
      </c>
      <c r="BB154" s="207">
        <f>AZ154*0.006</f>
        <v/>
      </c>
      <c r="BC154" s="209">
        <f>AZ154+BA154-BB154</f>
        <v/>
      </c>
      <c r="BD154" s="207" t="n">
        <v>0</v>
      </c>
      <c r="BE154" s="207" t="n">
        <v>0</v>
      </c>
      <c r="BF154" s="209">
        <f>BD154+BE154</f>
        <v/>
      </c>
      <c r="BG154" s="209">
        <f>BC154-AY154+BF154</f>
        <v/>
      </c>
      <c r="BH154" s="207" t="inlineStr">
        <is>
          <t>舟舟</t>
        </is>
      </c>
      <c r="BI154" s="207" t="inlineStr">
        <is>
          <t>上海 上海市 长宁区 新华路街道法华镇路751弄西镇小区18号楼601室(000000)</t>
        </is>
      </c>
      <c r="BJ154" s="207" t="inlineStr">
        <is>
          <t>18466658942-6583</t>
        </is>
      </c>
      <c r="BK154" s="86" t="n"/>
      <c r="BL154" s="210" t="n"/>
      <c r="BM154" s="93" t="n"/>
      <c r="BN154" s="94" t="n"/>
      <c r="BO154" s="93" t="n"/>
      <c r="BP154" s="86" t="n"/>
      <c r="BQ154" s="96" t="n"/>
      <c r="BR154" s="96" t="n"/>
      <c r="BS154" s="97" t="n"/>
      <c r="BT154" s="96" t="n"/>
      <c r="BU154" s="97" t="n"/>
      <c r="BV154" s="96" t="n"/>
      <c r="BW154" s="97" t="n"/>
      <c r="BX154" s="97" t="n"/>
      <c r="BY154" s="97" t="n"/>
      <c r="BZ154" s="97" t="n"/>
      <c r="CA154" s="98" t="n"/>
      <c r="CH154" s="2" t="n"/>
      <c r="CI154" s="14" t="n"/>
      <c r="CY154" s="25" t="n"/>
      <c r="DA154" s="25" t="n"/>
      <c r="DC154" s="26" t="n"/>
      <c r="DD154" s="26" t="n"/>
      <c r="DE154" s="26" t="n"/>
      <c r="DF154" s="26" t="n"/>
      <c r="DG154" s="26" t="n"/>
      <c r="DH154" s="27" t="n"/>
      <c r="DJ154" s="211" t="inlineStr">
        <is>
          <t>订单表中未找到</t>
        </is>
      </c>
      <c r="DK154" t="inlineStr">
        <is>
          <t>—</t>
        </is>
      </c>
      <c r="DL154" t="inlineStr">
        <is>
          <t>—</t>
        </is>
      </c>
    </row>
    <row r="155" ht="15.75" customHeight="1" s="187">
      <c r="A155" s="84" t="n">
        <v>45822</v>
      </c>
      <c r="B155" s="206" t="inlineStr">
        <is>
          <t>已收货</t>
        </is>
      </c>
      <c r="C155" s="86" t="inlineStr">
        <is>
          <t>4385826938000656000</t>
        </is>
      </c>
      <c r="D155" s="87" t="inlineStr">
        <is>
          <t>邵光鹏</t>
        </is>
      </c>
      <c r="E155" s="87" t="n"/>
      <c r="F155" s="87" t="n"/>
      <c r="G155" s="207" t="inlineStr">
        <is>
          <t>曜黑柜-整柜-1.96米-定制</t>
        </is>
      </c>
      <c r="H155" s="220" t="inlineStr">
        <is>
          <t>曜黑餐边柜</t>
        </is>
      </c>
      <c r="I155" s="89" t="n">
        <v>1960</v>
      </c>
      <c r="J155" s="87" t="inlineStr">
        <is>
          <t>已结算</t>
        </is>
      </c>
      <c r="K155" s="86" t="inlineStr">
        <is>
          <t>江西</t>
        </is>
      </c>
      <c r="L155" s="207">
        <f>220+9800+285+638+92+14.5+1.16+3.37+1.1+1.03+30+22*3+370</f>
        <v/>
      </c>
      <c r="M155" s="207">
        <f>220</f>
        <v/>
      </c>
      <c r="N155" s="207" t="n">
        <v>9800</v>
      </c>
      <c r="O155" s="207" t="n">
        <v>285</v>
      </c>
      <c r="P155" s="207" t="n">
        <v>638</v>
      </c>
      <c r="Q155" s="207" t="n"/>
      <c r="R155" s="207" t="n">
        <v>92</v>
      </c>
      <c r="S155" s="207" t="n">
        <v>14.5</v>
      </c>
      <c r="T155" s="207" t="n">
        <v>1.16</v>
      </c>
      <c r="U155" s="207" t="n"/>
      <c r="V155" s="207" t="n"/>
      <c r="W155" s="207" t="n">
        <v>3.37</v>
      </c>
      <c r="X155" s="207" t="n">
        <v>1.1</v>
      </c>
      <c r="Y155" s="207" t="n">
        <v>1.03</v>
      </c>
      <c r="Z155" s="207" t="n"/>
      <c r="AA155" s="207" t="n"/>
      <c r="AB155" s="207" t="n"/>
      <c r="AC155" s="207" t="n"/>
      <c r="AD155" s="207" t="inlineStr">
        <is>
          <t>22*3</t>
        </is>
      </c>
      <c r="AE155" s="207" t="n">
        <v>30</v>
      </c>
      <c r="AF155" s="207" t="n">
        <v>370</v>
      </c>
      <c r="AG155" s="207" t="n"/>
      <c r="AH155" s="207" t="n"/>
      <c r="AI155" s="207" t="n"/>
      <c r="AJ155" s="207" t="n"/>
      <c r="AK155" s="207" t="n"/>
      <c r="AL155" s="207" t="n"/>
      <c r="AM155" s="207">
        <f>320+50</f>
        <v/>
      </c>
      <c r="AN155" s="207" t="n"/>
      <c r="AO155" s="207" t="n"/>
      <c r="AP155" s="207">
        <f>668-67.5+60+55+20+27-467.5</f>
        <v/>
      </c>
      <c r="AQ155" s="207" t="n">
        <v>67.5</v>
      </c>
      <c r="AR155" s="207" t="n">
        <v>765</v>
      </c>
      <c r="AS155" s="207" t="n">
        <v>0</v>
      </c>
      <c r="AT155" s="207">
        <f>168</f>
        <v/>
      </c>
      <c r="AU155" s="207" t="n">
        <v>0</v>
      </c>
      <c r="AV155" s="207">
        <f>118+44*3</f>
        <v/>
      </c>
      <c r="AW155" s="207" t="n">
        <v>0</v>
      </c>
      <c r="AX155" s="208" t="n">
        <v>1</v>
      </c>
      <c r="AY155" s="209">
        <f>L155*AX155+AP155+AQ155+AR155+AV155+AW155+AS155+AT155+AU155</f>
        <v/>
      </c>
      <c r="AZ155" s="207" t="n">
        <v>14367</v>
      </c>
      <c r="BA155" s="207" t="n">
        <v>0</v>
      </c>
      <c r="BB155" s="207">
        <f>AZ155*0.026</f>
        <v/>
      </c>
      <c r="BC155" s="209">
        <f>AZ155+BA155-BB155</f>
        <v/>
      </c>
      <c r="BD155" s="207" t="n">
        <v>0</v>
      </c>
      <c r="BE155" s="207" t="n">
        <v>0</v>
      </c>
      <c r="BF155" s="209">
        <f>BD155+BE155</f>
        <v/>
      </c>
      <c r="BG155" s="209">
        <f>BC155-AY155+BF155</f>
        <v/>
      </c>
      <c r="BH155" s="87" t="inlineStr">
        <is>
          <t>邵光鹏</t>
        </is>
      </c>
      <c r="BI155" s="210" t="inlineStr">
        <is>
          <t>山东省 青岛市 李沧区 浮山路街道 君一云谷金茂府5-2-302</t>
        </is>
      </c>
      <c r="BJ155" s="86" t="inlineStr">
        <is>
          <t>18416727884-6350</t>
        </is>
      </c>
      <c r="BK155" s="86" t="n"/>
      <c r="BL155" s="210">
        <f>BC155</f>
        <v/>
      </c>
      <c r="BM155" s="93" t="n"/>
      <c r="BN155" s="94" t="n"/>
      <c r="BO155" s="93" t="n"/>
      <c r="BP155" s="86" t="n"/>
      <c r="BQ155" s="96" t="inlineStr">
        <is>
          <t>邵光鹏</t>
        </is>
      </c>
      <c r="BR155" s="96" t="inlineStr">
        <is>
          <t>12mm黑色岩板196*48，打孔，安全角</t>
        </is>
      </c>
      <c r="BS155" s="97" t="inlineStr">
        <is>
          <t>记得走水孔</t>
        </is>
      </c>
      <c r="BT155" s="96" t="n"/>
      <c r="BU155" s="97" t="inlineStr">
        <is>
          <t>邵光鹏</t>
        </is>
      </c>
      <c r="BV155" s="96" t="n"/>
      <c r="BW155" s="97" t="n"/>
      <c r="BX155" s="97" t="n"/>
      <c r="BY155" s="97" t="n"/>
      <c r="BZ155" s="97" t="n"/>
      <c r="CA155" s="98" t="n"/>
      <c r="CH155" s="2" t="n"/>
      <c r="CI155" s="14">
        <f>CJ155&amp;CK155</f>
        <v/>
      </c>
      <c r="CY155" s="25" t="n"/>
      <c r="DA155" s="25" t="n"/>
      <c r="DC155" s="26" t="n"/>
      <c r="DD155" s="26" t="n"/>
      <c r="DE155" s="26" t="n"/>
      <c r="DF155" s="26" t="n"/>
      <c r="DG155" s="26" t="n"/>
      <c r="DH155" s="27" t="n"/>
      <c r="DJ155" s="211" t="inlineStr">
        <is>
          <t>订单表中未找到</t>
        </is>
      </c>
      <c r="DK155" t="inlineStr">
        <is>
          <t>—</t>
        </is>
      </c>
      <c r="DL155" t="inlineStr">
        <is>
          <t>—</t>
        </is>
      </c>
    </row>
    <row r="156" ht="15.75" customHeight="1" s="187">
      <c r="A156" s="84" t="n">
        <v>45823</v>
      </c>
      <c r="B156" s="206" t="inlineStr">
        <is>
          <t>已收货</t>
        </is>
      </c>
      <c r="C156" s="86" t="inlineStr">
        <is>
          <t>4369733928678123817</t>
        </is>
      </c>
      <c r="D156" s="87" t="inlineStr">
        <is>
          <t>赖炜钦</t>
        </is>
      </c>
      <c r="E156" s="87" t="n"/>
      <c r="F156" s="87" t="n"/>
      <c r="G156" s="87" t="inlineStr">
        <is>
          <t>组合柜，常规2cm板材</t>
        </is>
      </c>
      <c r="H156" s="220" t="inlineStr">
        <is>
          <t>组合柜</t>
        </is>
      </c>
      <c r="I156" s="89" t="n"/>
      <c r="J156" s="87" t="inlineStr">
        <is>
          <t>已结算</t>
        </is>
      </c>
      <c r="K156" s="86" t="inlineStr">
        <is>
          <t>江西</t>
        </is>
      </c>
      <c r="L156" s="207">
        <f>5400-500+350</f>
        <v/>
      </c>
      <c r="M156" s="207">
        <f>5400-500</f>
        <v/>
      </c>
      <c r="N156" s="207" t="n">
        <v>350</v>
      </c>
      <c r="O156" s="207" t="n"/>
      <c r="P156" s="207" t="n"/>
      <c r="Q156" s="207" t="n"/>
      <c r="R156" s="207" t="n"/>
      <c r="S156" s="207" t="n"/>
      <c r="T156" s="207" t="n"/>
      <c r="U156" s="207" t="n"/>
      <c r="V156" s="207" t="n"/>
      <c r="W156" s="207" t="n"/>
      <c r="X156" s="207" t="n"/>
      <c r="Y156" s="207" t="n"/>
      <c r="Z156" s="207" t="n"/>
      <c r="AA156" s="207" t="n"/>
      <c r="AB156" s="207" t="n"/>
      <c r="AC156" s="207" t="n"/>
      <c r="AD156" s="207" t="n"/>
      <c r="AE156" s="207" t="n"/>
      <c r="AF156" s="207" t="n"/>
      <c r="AG156" s="207" t="n"/>
      <c r="AH156" s="207" t="n"/>
      <c r="AI156" s="207" t="n"/>
      <c r="AJ156" s="207" t="n"/>
      <c r="AK156" s="207" t="n"/>
      <c r="AL156" s="207" t="n"/>
      <c r="AM156" s="207" t="n">
        <v>350</v>
      </c>
      <c r="AN156" s="207" t="n"/>
      <c r="AO156" s="207" t="n"/>
      <c r="AP156" s="207">
        <f>203-AQ156+140</f>
        <v/>
      </c>
      <c r="AQ156" s="207">
        <f>45+30</f>
        <v/>
      </c>
      <c r="AR156" s="207" t="n">
        <v>88</v>
      </c>
      <c r="AS156" s="207" t="n">
        <v>0</v>
      </c>
      <c r="AT156" s="207" t="n">
        <v>0</v>
      </c>
      <c r="AU156" s="207" t="n">
        <v>0</v>
      </c>
      <c r="AV156" s="207" t="n">
        <v>80</v>
      </c>
      <c r="AW156" s="207" t="n">
        <v>500</v>
      </c>
      <c r="AX156" s="208" t="n">
        <v>1</v>
      </c>
      <c r="AY156" s="209">
        <f>L156*AX156+AP156+AQ156+AR156+AV156+AW156+AS156+AT156+AU156</f>
        <v/>
      </c>
      <c r="AZ156" s="207" t="n">
        <v>9300</v>
      </c>
      <c r="BA156" s="207" t="n">
        <v>0</v>
      </c>
      <c r="BB156" s="207">
        <f>AZ156*0.026</f>
        <v/>
      </c>
      <c r="BC156" s="209">
        <f>AZ156+BA156-BB156</f>
        <v/>
      </c>
      <c r="BD156" s="207" t="n">
        <v>0</v>
      </c>
      <c r="BE156" s="207" t="n">
        <v>0</v>
      </c>
      <c r="BF156" s="209">
        <f>BD156+BE156</f>
        <v/>
      </c>
      <c r="BG156" s="209">
        <f>BC156-AY156+BF156</f>
        <v/>
      </c>
      <c r="BH156" s="87" t="inlineStr">
        <is>
          <t>赖炜钦</t>
        </is>
      </c>
      <c r="BI156" s="210" t="inlineStr">
        <is>
          <t>广东省 广州市 白云区 永平街道白云大道北1689号岭南新世界c10栋404</t>
        </is>
      </c>
      <c r="BJ156" s="86" t="inlineStr">
        <is>
          <t>13242778146-6012</t>
        </is>
      </c>
      <c r="BK156" s="86" t="n"/>
      <c r="BL156" s="210">
        <f>BC156</f>
        <v/>
      </c>
      <c r="BM156" s="93" t="n"/>
      <c r="BN156" s="94" t="n"/>
      <c r="BO156" s="93" t="n"/>
      <c r="BP156" s="86" t="n"/>
      <c r="BQ156" s="96" t="n"/>
      <c r="BR156" s="96" t="n"/>
      <c r="BS156" s="97" t="n"/>
      <c r="BT156" s="96" t="n"/>
      <c r="BU156" s="97" t="n"/>
      <c r="BV156" s="96" t="n"/>
      <c r="BW156" s="97" t="n"/>
      <c r="BX156" s="97" t="n"/>
      <c r="BY156" s="97" t="n"/>
      <c r="BZ156" s="97" t="n"/>
      <c r="CA156" s="98" t="n"/>
      <c r="CH156" s="2" t="n"/>
      <c r="CI156" s="14">
        <f>CJ156&amp;CK156</f>
        <v/>
      </c>
      <c r="CY156" s="25" t="n"/>
      <c r="DA156" s="25" t="n"/>
      <c r="DC156" s="26" t="n"/>
      <c r="DD156" s="26" t="n"/>
      <c r="DE156" s="26" t="n"/>
      <c r="DF156" s="26" t="n"/>
      <c r="DG156" s="26" t="n"/>
      <c r="DH156" s="27" t="n"/>
      <c r="DJ156" s="211" t="inlineStr">
        <is>
          <t>订单表中未找到</t>
        </is>
      </c>
      <c r="DK156" t="inlineStr">
        <is>
          <t>—</t>
        </is>
      </c>
      <c r="DL156" t="inlineStr">
        <is>
          <t>—</t>
        </is>
      </c>
    </row>
    <row r="157" ht="15.75" customHeight="1" s="187">
      <c r="A157" s="84" t="n">
        <v>45823</v>
      </c>
      <c r="B157" s="206" t="inlineStr">
        <is>
          <t>已收货</t>
        </is>
      </c>
      <c r="C157" s="86" t="inlineStr">
        <is>
          <t>2612533477684521872</t>
        </is>
      </c>
      <c r="D157" s="87" t="inlineStr">
        <is>
          <t>戚玲佩</t>
        </is>
      </c>
      <c r="E157" s="87" t="inlineStr">
        <is>
          <t>2个五孔插座+1个USB插座+下柜微波炉内嵌插座</t>
        </is>
      </c>
      <c r="F157" s="87" t="n"/>
      <c r="G157" s="207" t="inlineStr">
        <is>
          <t>曜黑柜-整柜-2.2米-定制</t>
        </is>
      </c>
      <c r="H157" s="220" t="inlineStr">
        <is>
          <t>曜黑餐边柜</t>
        </is>
      </c>
      <c r="I157" s="89" t="n">
        <v>2200</v>
      </c>
      <c r="J157" s="87" t="inlineStr">
        <is>
          <t>已结算</t>
        </is>
      </c>
      <c r="K157" s="86" t="inlineStr">
        <is>
          <t>江西</t>
        </is>
      </c>
      <c r="L157" s="207">
        <f>10500+430+739.08+285+92+14.5+1.16+3.37+1.1+1.03+30+22*3+560</f>
        <v/>
      </c>
      <c r="M157" s="207">
        <f>10500</f>
        <v/>
      </c>
      <c r="N157" s="207" t="n">
        <v>430</v>
      </c>
      <c r="O157" s="207" t="n">
        <v>739.08</v>
      </c>
      <c r="P157" s="207" t="n">
        <v>285</v>
      </c>
      <c r="Q157" s="207" t="n"/>
      <c r="R157" s="207" t="n">
        <v>92</v>
      </c>
      <c r="S157" s="207" t="n">
        <v>14.5</v>
      </c>
      <c r="T157" s="207" t="n">
        <v>1.16</v>
      </c>
      <c r="U157" s="207" t="n"/>
      <c r="V157" s="207" t="n"/>
      <c r="W157" s="207" t="n">
        <v>3.37</v>
      </c>
      <c r="X157" s="207" t="n">
        <v>1.1</v>
      </c>
      <c r="Y157" s="207" t="n">
        <v>1.03</v>
      </c>
      <c r="Z157" s="207" t="n"/>
      <c r="AA157" s="207" t="n"/>
      <c r="AB157" s="207" t="n"/>
      <c r="AC157" s="207" t="n"/>
      <c r="AD157" s="207" t="inlineStr">
        <is>
          <t>22*3</t>
        </is>
      </c>
      <c r="AE157" s="207" t="n">
        <v>30</v>
      </c>
      <c r="AF157" s="207" t="n">
        <v>560</v>
      </c>
      <c r="AG157" s="207" t="n"/>
      <c r="AH157" s="207" t="n"/>
      <c r="AI157" s="207" t="n"/>
      <c r="AJ157" s="207" t="n"/>
      <c r="AK157" s="207" t="n"/>
      <c r="AL157" s="207" t="n"/>
      <c r="AM157" s="207" t="n">
        <v>560</v>
      </c>
      <c r="AN157" s="207" t="n"/>
      <c r="AO157" s="207" t="n"/>
      <c r="AP157" s="207">
        <f>531-AQ157</f>
        <v/>
      </c>
      <c r="AQ157" s="207" t="n">
        <v>77.8</v>
      </c>
      <c r="AR157" s="207" t="n">
        <v>188</v>
      </c>
      <c r="AS157" s="207" t="n">
        <v>0</v>
      </c>
      <c r="AT157" s="207" t="n">
        <v>199</v>
      </c>
      <c r="AU157" s="207" t="n">
        <v>0</v>
      </c>
      <c r="AV157" s="207">
        <f>118+27+44</f>
        <v/>
      </c>
      <c r="AW157" s="207" t="n">
        <v>0</v>
      </c>
      <c r="AX157" s="208" t="n">
        <v>1</v>
      </c>
      <c r="AY157" s="209">
        <f>L157*AX157+AP157+AQ157+AR157+AV157+AW157+AS157+AT157+AU157</f>
        <v/>
      </c>
      <c r="AZ157" s="207">
        <f>14919.19</f>
        <v/>
      </c>
      <c r="BA157" s="207" t="n">
        <v>0</v>
      </c>
      <c r="BB157" s="207">
        <f>AZ157*0.026</f>
        <v/>
      </c>
      <c r="BC157" s="209">
        <f>AZ157+BA157-BB157</f>
        <v/>
      </c>
      <c r="BD157" s="207" t="n">
        <v>0</v>
      </c>
      <c r="BE157" s="207" t="n">
        <v>0</v>
      </c>
      <c r="BF157" s="209">
        <f>BD157+BE157</f>
        <v/>
      </c>
      <c r="BG157" s="209">
        <f>BC157-AY157+BF157</f>
        <v/>
      </c>
      <c r="BH157" s="87" t="inlineStr">
        <is>
          <t>戚玲佩</t>
        </is>
      </c>
      <c r="BI157" s="210" t="inlineStr">
        <is>
          <t>浙江省 温州市 鹿城区 五马街道江滨西路东江锦园10栋2401室</t>
        </is>
      </c>
      <c r="BJ157" s="86" t="inlineStr">
        <is>
          <t>18413500443-6429</t>
        </is>
      </c>
      <c r="BK157" s="86" t="n"/>
      <c r="BL157" s="210">
        <f>BC157</f>
        <v/>
      </c>
      <c r="BM157" s="93" t="n"/>
      <c r="BN157" s="94" t="n"/>
      <c r="BO157" s="93" t="inlineStr">
        <is>
          <t>黑色T25+2五孔+1sub</t>
        </is>
      </c>
      <c r="BP157" s="86" t="inlineStr">
        <is>
          <t>黑色塑料轨道双轨上下1500
黑色轨道2160*2</t>
        </is>
      </c>
      <c r="BQ157" s="96" t="inlineStr">
        <is>
          <t>戚玲佩</t>
        </is>
      </c>
      <c r="BR157" s="96" t="inlineStr">
        <is>
          <t>12mm黑色岩板220*50，打孔，安全角</t>
        </is>
      </c>
      <c r="BS157" s="97" t="inlineStr">
        <is>
          <t>记得走水孔</t>
        </is>
      </c>
      <c r="BT157" s="96" t="n"/>
      <c r="BU157" s="97" t="inlineStr">
        <is>
          <t>戚玲佩</t>
        </is>
      </c>
      <c r="BV157" s="96" t="n"/>
      <c r="BW157" s="97" t="n"/>
      <c r="BX157" s="97" t="n"/>
      <c r="BY157" s="97" t="n"/>
      <c r="BZ157" s="97" t="n"/>
      <c r="CA157" s="98" t="n"/>
      <c r="CH157" s="2" t="n"/>
      <c r="CI157" s="14">
        <f>CJ157&amp;CK157</f>
        <v/>
      </c>
      <c r="CY157" s="25" t="n"/>
      <c r="DA157" s="25" t="n"/>
      <c r="DC157" s="26" t="n"/>
      <c r="DD157" s="26" t="n"/>
      <c r="DE157" s="26" t="n"/>
      <c r="DF157" s="26" t="n"/>
      <c r="DG157" s="26" t="n"/>
      <c r="DH157" s="27" t="n"/>
      <c r="DJ157" s="211" t="inlineStr">
        <is>
          <t>订单表中未找到</t>
        </is>
      </c>
      <c r="DK157" t="inlineStr">
        <is>
          <t>—</t>
        </is>
      </c>
      <c r="DL157" t="inlineStr">
        <is>
          <t>—</t>
        </is>
      </c>
    </row>
    <row r="158" ht="15.75" customHeight="1" s="187">
      <c r="A158" s="84" t="n">
        <v>45823</v>
      </c>
      <c r="B158" s="206" t="inlineStr">
        <is>
          <t>已收货</t>
        </is>
      </c>
      <c r="C158" s="86" t="inlineStr">
        <is>
          <t>2611965686619521872</t>
        </is>
      </c>
      <c r="D158" s="87" t="inlineStr">
        <is>
          <t>戚玲佩</t>
        </is>
      </c>
      <c r="E158" s="87" t="n"/>
      <c r="F158" s="87" t="n"/>
      <c r="G158" s="87" t="inlineStr">
        <is>
          <t>补差价</t>
        </is>
      </c>
      <c r="H158" s="220" t="n"/>
      <c r="I158" s="89" t="n"/>
      <c r="J158" s="87" t="inlineStr">
        <is>
          <t>已结算</t>
        </is>
      </c>
      <c r="K158" s="86" t="inlineStr">
        <is>
          <t>江西</t>
        </is>
      </c>
      <c r="L158" s="207" t="n">
        <v>0</v>
      </c>
      <c r="M158" s="207" t="n">
        <v>0</v>
      </c>
      <c r="N158" s="207" t="n"/>
      <c r="O158" s="207" t="n"/>
      <c r="P158" s="207" t="n"/>
      <c r="Q158" s="207" t="n"/>
      <c r="R158" s="207" t="n"/>
      <c r="S158" s="207" t="n"/>
      <c r="T158" s="207" t="n"/>
      <c r="U158" s="207" t="n"/>
      <c r="V158" s="207" t="n"/>
      <c r="W158" s="207" t="n"/>
      <c r="X158" s="207" t="n"/>
      <c r="Y158" s="207" t="n"/>
      <c r="Z158" s="207" t="n"/>
      <c r="AA158" s="207" t="n"/>
      <c r="AB158" s="207" t="n"/>
      <c r="AC158" s="207" t="n"/>
      <c r="AD158" s="207" t="n"/>
      <c r="AE158" s="207" t="n"/>
      <c r="AF158" s="207" t="n"/>
      <c r="AG158" s="207" t="n"/>
      <c r="AH158" s="207" t="n"/>
      <c r="AI158" s="207" t="n"/>
      <c r="AJ158" s="207" t="n"/>
      <c r="AK158" s="207" t="n"/>
      <c r="AL158" s="207" t="n"/>
      <c r="AM158" s="207" t="n"/>
      <c r="AN158" s="207" t="n"/>
      <c r="AO158" s="207" t="n"/>
      <c r="AP158" s="207" t="n"/>
      <c r="AQ158" s="207" t="n"/>
      <c r="AR158" s="207" t="n"/>
      <c r="AS158" s="207" t="n"/>
      <c r="AT158" s="207" t="n"/>
      <c r="AU158" s="207" t="n"/>
      <c r="AV158" s="207" t="n"/>
      <c r="AW158" s="207" t="n"/>
      <c r="AX158" s="208" t="n">
        <v>1</v>
      </c>
      <c r="AY158" s="209">
        <f>L158*AX158+AP158+AQ158+AR158+AV158+AW158+AS158+AT158+AU158</f>
        <v/>
      </c>
      <c r="AZ158" s="207" t="n">
        <v>981</v>
      </c>
      <c r="BA158" s="207" t="n">
        <v>0</v>
      </c>
      <c r="BB158" s="207">
        <f>AZ158*0.026</f>
        <v/>
      </c>
      <c r="BC158" s="209">
        <f>AZ158+BA158-BB158</f>
        <v/>
      </c>
      <c r="BD158" s="207" t="n">
        <v>0</v>
      </c>
      <c r="BE158" s="207" t="n">
        <v>0</v>
      </c>
      <c r="BF158" s="209">
        <f>BD158+BE158</f>
        <v/>
      </c>
      <c r="BG158" s="209">
        <f>BC158-AY158+BF158</f>
        <v/>
      </c>
      <c r="BH158" s="87" t="inlineStr">
        <is>
          <t>戚玲佩</t>
        </is>
      </c>
      <c r="BI158" s="210" t="inlineStr">
        <is>
          <t>浙江省 温州市 鹿城区 五马街道江滨西路东江锦园10栋2401室</t>
        </is>
      </c>
      <c r="BJ158" s="86" t="inlineStr">
        <is>
          <t>18413500443-6429</t>
        </is>
      </c>
      <c r="BK158" s="86" t="n"/>
      <c r="BL158" s="210">
        <f>BC158</f>
        <v/>
      </c>
      <c r="BM158" s="93" t="n"/>
      <c r="BN158" s="94" t="n"/>
      <c r="BO158" s="93" t="n"/>
      <c r="BP158" s="86" t="n"/>
      <c r="BQ158" s="96" t="n"/>
      <c r="BR158" s="96" t="n"/>
      <c r="BS158" s="97" t="n"/>
      <c r="BT158" s="96" t="n"/>
      <c r="BU158" s="97" t="n"/>
      <c r="BV158" s="96" t="n"/>
      <c r="BW158" s="97" t="n"/>
      <c r="BX158" s="97" t="n"/>
      <c r="BY158" s="97" t="n"/>
      <c r="BZ158" s="97" t="n"/>
      <c r="CA158" s="98" t="n"/>
      <c r="CH158" s="2" t="n"/>
      <c r="CI158" s="14" t="n"/>
      <c r="CY158" s="25" t="n"/>
      <c r="DA158" s="25" t="n"/>
      <c r="DC158" s="26" t="n"/>
      <c r="DD158" s="26" t="n"/>
      <c r="DE158" s="26" t="n"/>
      <c r="DF158" s="26" t="n"/>
      <c r="DG158" s="26" t="n"/>
      <c r="DH158" s="27" t="n"/>
      <c r="DJ158" s="211" t="inlineStr">
        <is>
          <t>订单表中未找到</t>
        </is>
      </c>
      <c r="DK158" t="inlineStr">
        <is>
          <t>—</t>
        </is>
      </c>
      <c r="DL158" t="inlineStr">
        <is>
          <t>—</t>
        </is>
      </c>
    </row>
    <row r="159" ht="15.75" customHeight="1" s="187">
      <c r="A159" s="84" t="n">
        <v>45823</v>
      </c>
      <c r="B159" s="206" t="inlineStr">
        <is>
          <t>已收货</t>
        </is>
      </c>
      <c r="C159" s="86" t="inlineStr">
        <is>
          <t>2611918598403512190</t>
        </is>
      </c>
      <c r="D159" s="87" t="inlineStr">
        <is>
          <t>肖清真</t>
        </is>
      </c>
      <c r="E159" s="87" t="n"/>
      <c r="F159" s="87" t="n"/>
      <c r="G159" s="87" t="inlineStr">
        <is>
          <t>床头柜*2</t>
        </is>
      </c>
      <c r="H159" s="220" t="inlineStr">
        <is>
          <t>床头柜</t>
        </is>
      </c>
      <c r="I159" s="89" t="n"/>
      <c r="J159" s="87" t="inlineStr">
        <is>
          <t>已结算</t>
        </is>
      </c>
      <c r="K159" s="86" t="inlineStr">
        <is>
          <t>江西</t>
        </is>
      </c>
      <c r="L159" s="207">
        <f>SUM(M159:AO159)</f>
        <v/>
      </c>
      <c r="M159" s="207">
        <f>1450</f>
        <v/>
      </c>
      <c r="N159" s="207" t="n"/>
      <c r="O159" s="207" t="n"/>
      <c r="P159" s="207" t="n"/>
      <c r="Q159" s="207" t="n"/>
      <c r="R159" s="207" t="n"/>
      <c r="S159" s="207" t="n"/>
      <c r="T159" s="207" t="n"/>
      <c r="U159" s="207" t="n"/>
      <c r="V159" s="207" t="n"/>
      <c r="W159" s="207" t="n"/>
      <c r="X159" s="207">
        <f>17*4</f>
        <v/>
      </c>
      <c r="Y159" s="207" t="n"/>
      <c r="Z159" s="207" t="n"/>
      <c r="AA159" s="207" t="n"/>
      <c r="AB159" s="207" t="n"/>
      <c r="AC159" s="207" t="n"/>
      <c r="AD159" s="207" t="n"/>
      <c r="AE159" s="207" t="n"/>
      <c r="AF159" s="207" t="n"/>
      <c r="AG159" s="207" t="n"/>
      <c r="AH159" s="207" t="n"/>
      <c r="AI159" s="207" t="n"/>
      <c r="AJ159" s="207" t="n"/>
      <c r="AK159" s="207" t="n"/>
      <c r="AL159" s="207" t="n"/>
      <c r="AM159" s="207" t="n">
        <v>100</v>
      </c>
      <c r="AN159" s="207" t="n"/>
      <c r="AO159" s="207" t="n"/>
      <c r="AP159" s="207">
        <f>90-AQ159</f>
        <v/>
      </c>
      <c r="AQ159" s="207" t="n">
        <v>35</v>
      </c>
      <c r="AR159" s="207" t="n">
        <v>0</v>
      </c>
      <c r="AS159" s="207" t="n">
        <v>0</v>
      </c>
      <c r="AT159" s="207" t="n">
        <v>0</v>
      </c>
      <c r="AU159" s="207" t="n">
        <v>0</v>
      </c>
      <c r="AV159" s="207" t="n">
        <v>0</v>
      </c>
      <c r="AW159" s="207" t="n">
        <v>0</v>
      </c>
      <c r="AX159" s="208" t="n">
        <v>1</v>
      </c>
      <c r="AY159" s="209">
        <f>L159*AX159+AP159+AQ159+AR159+AV159+AW159+AS159+AT159+AU159</f>
        <v/>
      </c>
      <c r="AZ159" s="207" t="n">
        <v>1548.81</v>
      </c>
      <c r="BA159" s="207" t="n">
        <v>0</v>
      </c>
      <c r="BB159" s="207">
        <f>AZ159*0.026</f>
        <v/>
      </c>
      <c r="BC159" s="209">
        <f>AZ159+BA159-BB159</f>
        <v/>
      </c>
      <c r="BD159" s="207" t="n">
        <v>0</v>
      </c>
      <c r="BE159" s="207" t="n">
        <v>0</v>
      </c>
      <c r="BF159" s="209">
        <f>BD159+BE159</f>
        <v/>
      </c>
      <c r="BG159" s="209">
        <f>BC159-AY159+BF159</f>
        <v/>
      </c>
      <c r="BH159" s="87" t="inlineStr">
        <is>
          <t>肖清真</t>
        </is>
      </c>
      <c r="BI159" s="210" t="inlineStr">
        <is>
          <t>福建省 福州市 鼓楼区 南街街道灵响小区5座102</t>
        </is>
      </c>
      <c r="BJ159" s="86" t="inlineStr">
        <is>
          <t>18480123078-8105</t>
        </is>
      </c>
      <c r="BK159" s="86" t="n"/>
      <c r="BL159" s="210">
        <f>BC159</f>
        <v/>
      </c>
      <c r="BM159" s="93" t="n"/>
      <c r="BN159" s="94" t="n"/>
      <c r="BO159" s="93" t="n"/>
      <c r="BP159" s="86" t="n"/>
      <c r="BQ159" s="96" t="n"/>
      <c r="BR159" s="96" t="n"/>
      <c r="BS159" s="97" t="n"/>
      <c r="BT159" s="96" t="n"/>
      <c r="BU159" s="97" t="n"/>
      <c r="BV159" s="96" t="n"/>
      <c r="BW159" s="97" t="n"/>
      <c r="BX159" s="97" t="n"/>
      <c r="BY159" s="97" t="n"/>
      <c r="BZ159" s="97" t="n"/>
      <c r="CA159" s="98" t="n"/>
      <c r="CH159" s="2" t="n"/>
      <c r="CI159" s="14">
        <f>CJ159&amp;CK159</f>
        <v/>
      </c>
      <c r="CY159" s="25" t="n"/>
      <c r="DA159" s="25" t="n"/>
      <c r="DC159" s="26" t="n"/>
      <c r="DD159" s="26" t="n"/>
      <c r="DE159" s="26" t="n"/>
      <c r="DF159" s="26" t="n"/>
      <c r="DG159" s="26" t="n"/>
      <c r="DH159" s="27" t="n"/>
      <c r="DJ159" s="211" t="inlineStr">
        <is>
          <t>订单表中未找到</t>
        </is>
      </c>
      <c r="DK159" t="inlineStr">
        <is>
          <t>—</t>
        </is>
      </c>
      <c r="DL159" t="inlineStr">
        <is>
          <t>—</t>
        </is>
      </c>
    </row>
    <row r="160" ht="15.75" customHeight="1" s="187">
      <c r="A160" s="84" t="n">
        <v>45823</v>
      </c>
      <c r="B160" s="206" t="inlineStr">
        <is>
          <t>已收货</t>
        </is>
      </c>
      <c r="C160" s="86" t="inlineStr">
        <is>
          <t>4388151891512083503  4387728493120083503</t>
        </is>
      </c>
      <c r="D160" s="87" t="inlineStr">
        <is>
          <t>水太</t>
        </is>
      </c>
      <c r="E160" s="87" t="n"/>
      <c r="F160" s="87" t="n"/>
      <c r="G160" s="87" t="inlineStr">
        <is>
          <t>1米玻璃门柜</t>
        </is>
      </c>
      <c r="H160" s="220" t="n"/>
      <c r="I160" s="89" t="n">
        <v>1000</v>
      </c>
      <c r="J160" s="87" t="inlineStr">
        <is>
          <t>已结算,超透玻璃+瓷白玻璃</t>
        </is>
      </c>
      <c r="K160" s="86" t="inlineStr">
        <is>
          <t>江西</t>
        </is>
      </c>
      <c r="L160" s="207">
        <f>2180+200+180+23.55*2+30+2.5+25+84</f>
        <v/>
      </c>
      <c r="M160" s="207">
        <f>2180</f>
        <v/>
      </c>
      <c r="N160" s="207" t="n">
        <v>200</v>
      </c>
      <c r="O160" s="207" t="n">
        <v>180</v>
      </c>
      <c r="P160" s="207" t="inlineStr">
        <is>
          <t>23.55*2</t>
        </is>
      </c>
      <c r="Q160" s="207" t="n"/>
      <c r="R160" s="207" t="n">
        <v>30</v>
      </c>
      <c r="S160" s="207" t="n">
        <v>2.5</v>
      </c>
      <c r="T160" s="207" t="n">
        <v>25</v>
      </c>
      <c r="U160" s="207" t="n"/>
      <c r="V160" s="207" t="n"/>
      <c r="W160" s="207" t="n">
        <v>84</v>
      </c>
      <c r="X160" s="207" t="n"/>
      <c r="Y160" s="207" t="n"/>
      <c r="Z160" s="207" t="n"/>
      <c r="AA160" s="207" t="n"/>
      <c r="AB160" s="207" t="n"/>
      <c r="AC160" s="207" t="n"/>
      <c r="AD160" s="207" t="n"/>
      <c r="AE160" s="207" t="n"/>
      <c r="AF160" s="207" t="n"/>
      <c r="AG160" s="207" t="n"/>
      <c r="AH160" s="207" t="n"/>
      <c r="AI160" s="207" t="n"/>
      <c r="AJ160" s="207" t="n"/>
      <c r="AK160" s="207" t="n"/>
      <c r="AL160" s="207" t="n"/>
      <c r="AM160" s="207" t="n">
        <v>180</v>
      </c>
      <c r="AN160" s="207" t="n"/>
      <c r="AO160" s="207" t="n"/>
      <c r="AP160" s="207">
        <f>258-AQ160</f>
        <v/>
      </c>
      <c r="AQ160" s="207" t="n">
        <v>33.4</v>
      </c>
      <c r="AR160" s="207" t="n">
        <v>118</v>
      </c>
      <c r="AS160" s="207" t="n">
        <v>0</v>
      </c>
      <c r="AT160" s="207" t="n">
        <v>0</v>
      </c>
      <c r="AU160" s="207" t="n">
        <v>0</v>
      </c>
      <c r="AV160" s="207" t="n">
        <v>100</v>
      </c>
      <c r="AW160" s="207" t="n">
        <v>0</v>
      </c>
      <c r="AX160" s="208" t="n">
        <v>1</v>
      </c>
      <c r="AY160" s="209">
        <f>L160*AX160+AP160+AQ160+AR160+AV160+AW160+AS160+AT160+AU160</f>
        <v/>
      </c>
      <c r="AZ160" s="207">
        <f>3855.95+272.5</f>
        <v/>
      </c>
      <c r="BA160" s="207" t="n">
        <v>0</v>
      </c>
      <c r="BB160" s="207">
        <f>AZ160*0.026</f>
        <v/>
      </c>
      <c r="BC160" s="209">
        <f>AZ160+BA160-BB160</f>
        <v/>
      </c>
      <c r="BD160" s="207" t="n">
        <v>0</v>
      </c>
      <c r="BE160" s="207" t="n">
        <v>0</v>
      </c>
      <c r="BF160" s="209">
        <f>BD160+BE160</f>
        <v/>
      </c>
      <c r="BG160" s="209">
        <f>BC160-AY160+BF160</f>
        <v/>
      </c>
      <c r="BH160" s="87" t="inlineStr">
        <is>
          <t>水太</t>
        </is>
      </c>
      <c r="BI160" s="210" t="inlineStr">
        <is>
          <t>广东省 深圳市 龙华区 民治街道卓越皇后道1栋B单元3D</t>
        </is>
      </c>
      <c r="BJ160" s="86" t="inlineStr">
        <is>
          <t>14704489771-3895</t>
        </is>
      </c>
      <c r="BK160" s="86" t="n"/>
      <c r="BL160" s="210">
        <f>BC160</f>
        <v/>
      </c>
      <c r="BM160" s="93" t="n"/>
      <c r="BN160" s="94" t="n"/>
      <c r="BO160" s="93" t="inlineStr">
        <is>
          <t>灯带+瓷白玻璃</t>
        </is>
      </c>
      <c r="BP160" s="86" t="n"/>
      <c r="BQ160" s="96" t="n"/>
      <c r="BR160" s="96" t="n"/>
      <c r="BS160" s="97" t="n"/>
      <c r="BT160" s="96" t="n"/>
      <c r="BU160" s="97" t="n"/>
      <c r="BV160" s="96" t="n"/>
      <c r="BW160" s="97" t="n"/>
      <c r="BX160" s="97" t="n"/>
      <c r="BY160" s="97" t="n"/>
      <c r="BZ160" s="97" t="n"/>
      <c r="CA160" s="98" t="n"/>
      <c r="CH160" s="2" t="n"/>
      <c r="CI160" s="14">
        <f>CJ160&amp;CK160</f>
        <v/>
      </c>
      <c r="CY160" s="25" t="n"/>
      <c r="DA160" s="25" t="n"/>
      <c r="DC160" s="26" t="n"/>
      <c r="DD160" s="26" t="n"/>
      <c r="DE160" s="26" t="n"/>
      <c r="DF160" s="26" t="n"/>
      <c r="DG160" s="26" t="n"/>
      <c r="DH160" s="27" t="n"/>
      <c r="DJ160" s="211" t="inlineStr">
        <is>
          <t>订单表中未找到</t>
        </is>
      </c>
      <c r="DK160" t="inlineStr">
        <is>
          <t>—</t>
        </is>
      </c>
      <c r="DL160" t="inlineStr">
        <is>
          <t>—</t>
        </is>
      </c>
    </row>
    <row r="161" ht="15.75" customHeight="1" s="187">
      <c r="A161" s="84" t="n">
        <v>45823</v>
      </c>
      <c r="B161" s="206" t="inlineStr">
        <is>
          <t>已收货</t>
        </is>
      </c>
      <c r="C161" s="86" t="inlineStr">
        <is>
          <t>4387013569762069929   4387086973368069929   2610510927354548573  2610913442416548573</t>
        </is>
      </c>
      <c r="D161" s="87" t="inlineStr">
        <is>
          <t>邓靓</t>
        </is>
      </c>
      <c r="E161" s="87" t="n"/>
      <c r="F161" s="87" t="n"/>
      <c r="G161" s="87" t="inlineStr">
        <is>
          <t>2.4洞石平板下柜</t>
        </is>
      </c>
      <c r="H161" s="220" t="inlineStr">
        <is>
          <t>洞石餐边柜</t>
        </is>
      </c>
      <c r="I161" s="89" t="n">
        <v>2400</v>
      </c>
      <c r="J161" s="87" t="inlineStr">
        <is>
          <t>已结算</t>
        </is>
      </c>
      <c r="K161" s="86" t="inlineStr">
        <is>
          <t>江西</t>
        </is>
      </c>
      <c r="L161" s="207">
        <f>SUM(M161:AO161)</f>
        <v/>
      </c>
      <c r="M161" s="207">
        <f>4670</f>
        <v/>
      </c>
      <c r="N161" s="207" t="n"/>
      <c r="O161" s="207" t="n"/>
      <c r="P161" s="207" t="n"/>
      <c r="Q161" s="207" t="n"/>
      <c r="R161" s="207" t="n">
        <v>540</v>
      </c>
      <c r="S161" s="207" t="n"/>
      <c r="T161" s="207" t="n">
        <v>50</v>
      </c>
      <c r="U161" s="207" t="n"/>
      <c r="V161" s="207" t="n"/>
      <c r="W161" s="207" t="n">
        <v>5</v>
      </c>
      <c r="X161" s="207">
        <f>22*5</f>
        <v/>
      </c>
      <c r="Y161" s="207" t="n"/>
      <c r="Z161" s="207">
        <f>3.5+14</f>
        <v/>
      </c>
      <c r="AA161" s="207" t="n"/>
      <c r="AB161" s="207" t="n"/>
      <c r="AC161" s="207" t="n"/>
      <c r="AD161" s="207" t="n"/>
      <c r="AE161" s="207" t="n"/>
      <c r="AF161" s="207" t="n"/>
      <c r="AG161" s="207" t="n"/>
      <c r="AH161" s="207" t="n"/>
      <c r="AI161" s="207" t="n"/>
      <c r="AJ161" s="207" t="n"/>
      <c r="AK161" s="207" t="n"/>
      <c r="AL161" s="207" t="n"/>
      <c r="AM161" s="207" t="n">
        <v>290</v>
      </c>
      <c r="AN161" s="207" t="n"/>
      <c r="AO161" s="207" t="n"/>
      <c r="AP161" s="207">
        <f>548-AQ161</f>
        <v/>
      </c>
      <c r="AQ161" s="207" t="n">
        <v>43.2</v>
      </c>
      <c r="AR161" s="207" t="n">
        <v>0</v>
      </c>
      <c r="AS161" s="207" t="n">
        <v>0</v>
      </c>
      <c r="AT161" s="207" t="n">
        <v>0</v>
      </c>
      <c r="AU161" s="207" t="n">
        <v>0</v>
      </c>
      <c r="AV161" s="207">
        <f>50</f>
        <v/>
      </c>
      <c r="AW161" s="207" t="n">
        <v>260</v>
      </c>
      <c r="AX161" s="208" t="n">
        <v>1</v>
      </c>
      <c r="AY161" s="209">
        <f>L161*AX161+AP161+AQ161+AR161+AV161+AW161+AS161+AT161+AU161</f>
        <v/>
      </c>
      <c r="AZ161" s="207">
        <f>3084.5+873+2271.8+3451.96</f>
        <v/>
      </c>
      <c r="BA161" s="207" t="n">
        <v>0</v>
      </c>
      <c r="BB161" s="207">
        <f>AZ161*0.026</f>
        <v/>
      </c>
      <c r="BC161" s="209">
        <f>AZ161+BA161-BB161</f>
        <v/>
      </c>
      <c r="BD161" s="207" t="n">
        <v>0</v>
      </c>
      <c r="BE161" s="207" t="n">
        <v>0</v>
      </c>
      <c r="BF161" s="209">
        <f>BD161+BE161</f>
        <v/>
      </c>
      <c r="BG161" s="209">
        <f>BC161-AY161+BF161</f>
        <v/>
      </c>
      <c r="BH161" s="87" t="inlineStr">
        <is>
          <t>邓靓</t>
        </is>
      </c>
      <c r="BI161" s="210" t="inlineStr">
        <is>
          <t>四川省 成都市 金牛区 西华街道兴城人居鎏林语 6 栋 2 单元 202</t>
        </is>
      </c>
      <c r="BJ161" s="86" t="inlineStr">
        <is>
          <t>17897685895-8685</t>
        </is>
      </c>
      <c r="BK161" s="86" t="n"/>
      <c r="BL161" s="210">
        <f>BC161</f>
        <v/>
      </c>
      <c r="BM161" s="93" t="n"/>
      <c r="BN161" s="94" t="n"/>
      <c r="BO161" s="93" t="inlineStr">
        <is>
          <t>洞石岩板平板</t>
        </is>
      </c>
      <c r="BP161" s="86" t="n"/>
      <c r="BQ161" s="96" t="inlineStr">
        <is>
          <t>邓靓</t>
        </is>
      </c>
      <c r="BR161" s="96" t="inlineStr">
        <is>
          <t>12mm洞石岩板240*50，打走水孔，背后打走线孔，安全角</t>
        </is>
      </c>
      <c r="BS161" s="97" t="inlineStr">
        <is>
          <t>记得走水孔</t>
        </is>
      </c>
      <c r="BT161" s="96" t="n"/>
      <c r="BU161" s="97" t="n"/>
      <c r="BV161" s="96" t="n"/>
      <c r="BW161" s="97" t="n"/>
      <c r="BX161" s="97" t="n"/>
      <c r="BY161" s="97" t="n"/>
      <c r="BZ161" s="97" t="n"/>
      <c r="CA161" s="98" t="n"/>
      <c r="CH161" s="2" t="n"/>
      <c r="CI161" s="14">
        <f>CJ161&amp;CK161</f>
        <v/>
      </c>
      <c r="CY161" s="25" t="n"/>
      <c r="DA161" s="25" t="n"/>
      <c r="DC161" s="26" t="n"/>
      <c r="DD161" s="26" t="n"/>
      <c r="DE161" s="26" t="n"/>
      <c r="DF161" s="26" t="n"/>
      <c r="DG161" s="26" t="n"/>
      <c r="DH161" s="27" t="n"/>
      <c r="DJ161" s="211" t="inlineStr">
        <is>
          <t>订单表中未找到</t>
        </is>
      </c>
      <c r="DK161" t="inlineStr">
        <is>
          <t>—</t>
        </is>
      </c>
      <c r="DL161" t="inlineStr">
        <is>
          <t>—</t>
        </is>
      </c>
    </row>
    <row r="162" ht="15.75" customHeight="1" s="187">
      <c r="A162" s="84" t="n">
        <v>45823</v>
      </c>
      <c r="B162" s="206" t="inlineStr">
        <is>
          <t>已收货</t>
        </is>
      </c>
      <c r="C162" s="86" t="inlineStr">
        <is>
          <t>2611510862435774457</t>
        </is>
      </c>
      <c r="D162" s="87" t="inlineStr">
        <is>
          <t>汤冰清</t>
        </is>
      </c>
      <c r="E162" s="116" t="inlineStr">
        <is>
          <t>上楼，说是返40，
已调整：产品成本+背板+岩板+岩板打孔+电力轨道+隔板轨道+灯带+其他五金</t>
        </is>
      </c>
      <c r="F162" s="87" t="n"/>
      <c r="G162" s="207" t="inlineStr">
        <is>
          <t>窄柜-整柜洞石背板-0.8米</t>
        </is>
      </c>
      <c r="H162" s="220" t="inlineStr">
        <is>
          <t>樱桃木窄柜</t>
        </is>
      </c>
      <c r="I162" s="89" t="n">
        <v>800</v>
      </c>
      <c r="J162" s="87" t="inlineStr">
        <is>
          <t>已结算</t>
        </is>
      </c>
      <c r="K162" s="86" t="inlineStr">
        <is>
          <t>庄毅</t>
        </is>
      </c>
      <c r="L162" s="207">
        <f>SUM(M162:AO162)</f>
        <v/>
      </c>
      <c r="M162" s="207" t="n">
        <v>3100</v>
      </c>
      <c r="N162" s="207">
        <f>0.758*260+2*55</f>
        <v/>
      </c>
      <c r="O162" s="207">
        <f>115</f>
        <v/>
      </c>
      <c r="P162" s="207" t="n"/>
      <c r="Q162" s="207">
        <f>15*2</f>
        <v/>
      </c>
      <c r="R162" s="207">
        <f>230+100/15</f>
        <v/>
      </c>
      <c r="S162" s="207" t="n">
        <v>54.9</v>
      </c>
      <c r="T162" s="207" t="n"/>
      <c r="U162" s="207" t="n"/>
      <c r="V162" s="207" t="n">
        <v>4</v>
      </c>
      <c r="W162" s="207" t="n"/>
      <c r="X162" s="207" t="n"/>
      <c r="Y162" s="207" t="n"/>
      <c r="Z162" s="207" t="n"/>
      <c r="AA162" s="207" t="n"/>
      <c r="AB162" s="207" t="n"/>
      <c r="AC162" s="207" t="n">
        <v>3.5</v>
      </c>
      <c r="AD162" s="207" t="n"/>
      <c r="AE162" s="207" t="n">
        <v>3</v>
      </c>
      <c r="AF162" s="207" t="n"/>
      <c r="AG162" s="207" t="n"/>
      <c r="AH162" s="207" t="n"/>
      <c r="AI162" s="207" t="n"/>
      <c r="AJ162" s="207" t="n">
        <v>1.2</v>
      </c>
      <c r="AK162" s="207" t="n"/>
      <c r="AL162" s="207" t="n"/>
      <c r="AM162" s="207" t="n"/>
      <c r="AN162" s="207" t="n"/>
      <c r="AO162" s="207" t="n"/>
      <c r="AP162" s="207" t="n">
        <v>200</v>
      </c>
      <c r="AQ162" s="207" t="n">
        <v>0</v>
      </c>
      <c r="AR162" s="207" t="n">
        <v>120</v>
      </c>
      <c r="AS162" s="207" t="n">
        <v>0</v>
      </c>
      <c r="AT162" s="207" t="n">
        <v>0</v>
      </c>
      <c r="AU162" s="207" t="n">
        <v>0</v>
      </c>
      <c r="AV162" s="207" t="n">
        <v>0</v>
      </c>
      <c r="AW162" s="207" t="n">
        <v>0</v>
      </c>
      <c r="AX162" s="208" t="n">
        <v>1</v>
      </c>
      <c r="AY162" s="209">
        <f>L162*AX162+AP162+AQ162+AR162+AV162+AW162+AS162+AT162+AU162</f>
        <v/>
      </c>
      <c r="AZ162" s="207" t="n">
        <v>4761.44</v>
      </c>
      <c r="BA162" s="207" t="n">
        <v>0</v>
      </c>
      <c r="BB162" s="207">
        <f>AZ162*0.026</f>
        <v/>
      </c>
      <c r="BC162" s="209">
        <f>AZ162+BA162-BB162</f>
        <v/>
      </c>
      <c r="BD162" s="207" t="n">
        <v>0</v>
      </c>
      <c r="BE162" s="207" t="n">
        <v>0</v>
      </c>
      <c r="BF162" s="209">
        <f>BD162+BE162</f>
        <v/>
      </c>
      <c r="BG162" s="209">
        <f>BC162-AY162+BF162</f>
        <v/>
      </c>
      <c r="BH162" s="87" t="inlineStr">
        <is>
          <t>汤冰清</t>
        </is>
      </c>
      <c r="BI162" s="210" t="inlineStr">
        <is>
          <t>上海 上海市 浦东新区 洋泾街道沈家弄路900弄7号502室</t>
        </is>
      </c>
      <c r="BJ162" s="86" t="inlineStr">
        <is>
          <t>18466954105-8816</t>
        </is>
      </c>
      <c r="BK162" s="86" t="n"/>
      <c r="BL162" s="210">
        <f>BC162</f>
        <v/>
      </c>
      <c r="BM162" s="93" t="n"/>
      <c r="BN162" s="94" t="n"/>
      <c r="BO162" s="93" t="inlineStr">
        <is>
          <t>0.758银色 T25  银色轨道  洞石背板</t>
        </is>
      </c>
      <c r="BP162" s="86" t="inlineStr">
        <is>
          <t>黑色塑料轨道双轨上下800
银色轨道760*2</t>
        </is>
      </c>
      <c r="BQ162" s="96" t="inlineStr">
        <is>
          <t>汤冰清</t>
        </is>
      </c>
      <c r="BR162" s="96" t="inlineStr">
        <is>
          <t>12mm洞石岩板 80*48，打孔，安全角</t>
        </is>
      </c>
      <c r="BS162" s="97" t="inlineStr">
        <is>
          <t>记得走水孔</t>
        </is>
      </c>
      <c r="BT162" s="96" t="n"/>
      <c r="BU162" s="97" t="inlineStr">
        <is>
          <t>汤冰清</t>
        </is>
      </c>
      <c r="BV162" s="96" t="n"/>
      <c r="BW162" s="97" t="n"/>
      <c r="BX162" s="97" t="n"/>
      <c r="BY162" s="97" t="n"/>
      <c r="BZ162" s="97" t="n"/>
      <c r="CA162" s="98" t="n"/>
      <c r="CH162" s="2" t="n"/>
      <c r="CI162" s="14">
        <f>CJ162&amp;CK162</f>
        <v/>
      </c>
      <c r="CY162" s="25" t="n"/>
      <c r="DA162" s="25" t="n"/>
      <c r="DC162" s="26" t="n"/>
      <c r="DD162" s="26" t="n"/>
      <c r="DE162" s="26" t="n"/>
      <c r="DF162" s="26" t="n"/>
      <c r="DG162" s="26" t="n"/>
      <c r="DH162" s="27" t="n"/>
      <c r="DJ162" s="211" t="inlineStr">
        <is>
          <t>订单表中未找到</t>
        </is>
      </c>
      <c r="DK162" t="inlineStr">
        <is>
          <t>—</t>
        </is>
      </c>
      <c r="DL162" t="inlineStr">
        <is>
          <t>—</t>
        </is>
      </c>
    </row>
    <row r="163" ht="15.75" customHeight="1" s="187">
      <c r="A163" s="84" t="n">
        <v>45823</v>
      </c>
      <c r="B163" s="206" t="inlineStr">
        <is>
          <t>已收货</t>
        </is>
      </c>
      <c r="C163" s="86" t="inlineStr">
        <is>
          <t>4387258548731296616</t>
        </is>
      </c>
      <c r="D163" s="87" t="inlineStr">
        <is>
          <t>韩劲松</t>
        </is>
      </c>
      <c r="E163" s="87" t="n"/>
      <c r="F163" s="87" t="n"/>
      <c r="G163" s="207" t="inlineStr">
        <is>
          <t>窄柜-整柜洞石背板-1.2米</t>
        </is>
      </c>
      <c r="H163" s="220" t="inlineStr">
        <is>
          <t>樱桃木窄柜</t>
        </is>
      </c>
      <c r="I163" s="89" t="n">
        <v>1200</v>
      </c>
      <c r="J163" s="87" t="inlineStr">
        <is>
          <t>已结算</t>
        </is>
      </c>
      <c r="K163" s="86" t="inlineStr">
        <is>
          <t>庄毅</t>
        </is>
      </c>
      <c r="L163" s="207">
        <f>SUM(M163:AO163)</f>
        <v/>
      </c>
      <c r="M163" s="207">
        <f>3600</f>
        <v/>
      </c>
      <c r="N163" s="207">
        <f>1.158*260+2*55</f>
        <v/>
      </c>
      <c r="O163" s="207" t="n">
        <v>125</v>
      </c>
      <c r="P163" s="207" t="n"/>
      <c r="Q163" s="207">
        <f>38*2</f>
        <v/>
      </c>
      <c r="R163" s="207">
        <f>160*1.2*0.48+30</f>
        <v/>
      </c>
      <c r="S163" s="207" t="n">
        <v>62.4</v>
      </c>
      <c r="T163" s="207" t="n"/>
      <c r="U163" s="207" t="n"/>
      <c r="V163" s="207" t="n"/>
      <c r="W163" s="207" t="n">
        <v>8</v>
      </c>
      <c r="X163" s="207" t="n"/>
      <c r="Y163" s="207" t="n"/>
      <c r="Z163" s="207" t="n"/>
      <c r="AA163" s="207" t="n"/>
      <c r="AB163" s="207" t="n"/>
      <c r="AC163" s="207" t="n">
        <v>3.37</v>
      </c>
      <c r="AD163" s="207" t="n"/>
      <c r="AE163" s="207" t="n"/>
      <c r="AF163" s="207" t="n"/>
      <c r="AG163" s="207" t="n"/>
      <c r="AH163" s="207" t="n"/>
      <c r="AI163" s="207" t="n">
        <v>1.6</v>
      </c>
      <c r="AJ163" s="207" t="n">
        <v>1.1</v>
      </c>
      <c r="AK163" s="207" t="n"/>
      <c r="AL163" s="207" t="n"/>
      <c r="AM163" s="207" t="n"/>
      <c r="AN163" s="207" t="n"/>
      <c r="AO163" s="207" t="n"/>
      <c r="AP163" s="207" t="n">
        <v>315</v>
      </c>
      <c r="AQ163" s="207" t="n">
        <v>0</v>
      </c>
      <c r="AR163" s="207" t="n">
        <v>130</v>
      </c>
      <c r="AS163" s="207" t="n">
        <v>0</v>
      </c>
      <c r="AT163" s="207" t="n">
        <v>0</v>
      </c>
      <c r="AU163" s="207" t="n">
        <v>0</v>
      </c>
      <c r="AV163" s="207" t="n">
        <v>0</v>
      </c>
      <c r="AW163" s="207" t="n">
        <v>100.78</v>
      </c>
      <c r="AX163" s="208" t="n">
        <v>1</v>
      </c>
      <c r="AY163" s="209">
        <f>L163*AX163+AP163+AQ163+AR163+AV163+AW163+AS163+AT163+AU163</f>
        <v/>
      </c>
      <c r="AZ163" s="207" t="n">
        <v>5175.54</v>
      </c>
      <c r="BA163" s="207" t="n">
        <v>0</v>
      </c>
      <c r="BB163" s="207">
        <f>AZ163*0.026</f>
        <v/>
      </c>
      <c r="BC163" s="209">
        <f>AZ163+BA163-BB163</f>
        <v/>
      </c>
      <c r="BD163" s="207" t="n">
        <v>0</v>
      </c>
      <c r="BE163" s="207" t="n">
        <v>0</v>
      </c>
      <c r="BF163" s="209">
        <f>BD163+BE163</f>
        <v/>
      </c>
      <c r="BG163" s="209">
        <f>BC163-AY163+BF163</f>
        <v/>
      </c>
      <c r="BH163" s="87" t="inlineStr">
        <is>
          <t>韩劲松</t>
        </is>
      </c>
      <c r="BI163" s="210" t="inlineStr">
        <is>
          <t>上海 上海市 浦东新区 洋泾街道张杨路1515弄16号2702室</t>
        </is>
      </c>
      <c r="BJ163" s="86" t="inlineStr">
        <is>
          <t>18466612586-6483</t>
        </is>
      </c>
      <c r="BK163" s="86" t="n"/>
      <c r="BL163" s="210">
        <f>BC163</f>
        <v/>
      </c>
      <c r="BM163" s="93" t="n"/>
      <c r="BN163" s="94" t="n"/>
      <c r="BO163" s="93" t="inlineStr">
        <is>
          <t>1.158银色 T25  银色轨道  洞石背板</t>
        </is>
      </c>
      <c r="BP163" s="86" t="inlineStr">
        <is>
          <t>黑色塑料轨道双轨上下1200
银色轨道1160*2</t>
        </is>
      </c>
      <c r="BQ163" s="96" t="inlineStr">
        <is>
          <t>韩劲松</t>
        </is>
      </c>
      <c r="BR163" s="96" t="inlineStr">
        <is>
          <t>12mm洞石岩板 120*48，打孔，安全角</t>
        </is>
      </c>
      <c r="BS163" s="97" t="inlineStr">
        <is>
          <t>记得走水孔</t>
        </is>
      </c>
      <c r="BT163" s="96" t="n"/>
      <c r="BU163" s="97" t="inlineStr">
        <is>
          <t>韩劲松</t>
        </is>
      </c>
      <c r="BV163" s="96" t="n"/>
      <c r="BW163" s="97" t="n"/>
      <c r="BX163" s="97" t="n"/>
      <c r="BY163" s="97" t="n"/>
      <c r="BZ163" s="97" t="n"/>
      <c r="CA163" s="98" t="n"/>
      <c r="CH163" s="2" t="n"/>
      <c r="CI163" s="14">
        <f>CJ163&amp;CK163</f>
        <v/>
      </c>
      <c r="CY163" s="25" t="n"/>
      <c r="DA163" s="25" t="n"/>
      <c r="DC163" s="26" t="n"/>
      <c r="DD163" s="26" t="n"/>
      <c r="DE163" s="26" t="n"/>
      <c r="DF163" s="26" t="n"/>
      <c r="DG163" s="26" t="n"/>
      <c r="DH163" s="27" t="n"/>
      <c r="DJ163" s="211" t="inlineStr">
        <is>
          <t>订单表中未找到</t>
        </is>
      </c>
      <c r="DK163" t="inlineStr">
        <is>
          <t>—</t>
        </is>
      </c>
      <c r="DL163" t="inlineStr">
        <is>
          <t>—</t>
        </is>
      </c>
    </row>
    <row r="164" ht="15.75" customHeight="1" s="187">
      <c r="A164" s="84" t="n">
        <v>45824</v>
      </c>
      <c r="B164" s="206" t="inlineStr">
        <is>
          <t>已收货</t>
        </is>
      </c>
      <c r="C164" s="86" t="inlineStr">
        <is>
          <t>4389154706062722936</t>
        </is>
      </c>
      <c r="D164" s="87" t="inlineStr">
        <is>
          <t>小张老师</t>
        </is>
      </c>
      <c r="E164" s="116" t="inlineStr">
        <is>
          <t>已调整，追加上了椅子价格，去掉了180</t>
        </is>
      </c>
      <c r="F164" s="87" t="n"/>
      <c r="G164" s="87" t="inlineStr">
        <is>
          <t>砂白色1.6米岩板餐桌+餐椅</t>
        </is>
      </c>
      <c r="H164" s="220" t="inlineStr">
        <is>
          <t>榉木餐桌</t>
        </is>
      </c>
      <c r="I164" s="89" t="inlineStr">
        <is>
          <t>160cm*85cm</t>
        </is>
      </c>
      <c r="J164" s="87" t="inlineStr">
        <is>
          <t>已结算</t>
        </is>
      </c>
      <c r="K164" s="86" t="inlineStr">
        <is>
          <t>江西</t>
        </is>
      </c>
      <c r="L164" s="207">
        <f>SUM(M164:AO164)</f>
        <v/>
      </c>
      <c r="M164" s="207">
        <f>1520</f>
        <v/>
      </c>
      <c r="N164" s="207" t="n"/>
      <c r="O164" s="207" t="n"/>
      <c r="P164" s="207" t="n"/>
      <c r="Q164" s="207" t="n"/>
      <c r="R164" s="207">
        <f>240</f>
        <v/>
      </c>
      <c r="S164" s="207" t="n"/>
      <c r="T164" s="207" t="n"/>
      <c r="U164" s="207" t="n"/>
      <c r="V164" s="207" t="n"/>
      <c r="W164" s="207" t="n"/>
      <c r="X164" s="207" t="n"/>
      <c r="Y164" s="207" t="n"/>
      <c r="Z164" s="207" t="n"/>
      <c r="AA164" s="207" t="n"/>
      <c r="AB164" s="207" t="n"/>
      <c r="AC164" s="207" t="n"/>
      <c r="AD164" s="207" t="n">
        <v>2.5</v>
      </c>
      <c r="AE164" s="207" t="n"/>
      <c r="AF164" s="207" t="n">
        <v>632</v>
      </c>
      <c r="AG164" s="207" t="n"/>
      <c r="AH164" s="207" t="n"/>
      <c r="AI164" s="207" t="n"/>
      <c r="AJ164" s="207" t="n"/>
      <c r="AK164" s="207" t="n"/>
      <c r="AL164" s="207" t="n"/>
      <c r="AM164" s="207" t="n">
        <v>190</v>
      </c>
      <c r="AN164" s="207" t="n"/>
      <c r="AO164" s="207" t="n"/>
      <c r="AP164" s="207" t="n">
        <v>163</v>
      </c>
      <c r="AQ164" s="207" t="n">
        <v>30</v>
      </c>
      <c r="AR164" s="207" t="n">
        <v>88</v>
      </c>
      <c r="AS164" s="207" t="n">
        <v>0</v>
      </c>
      <c r="AT164" s="207" t="n">
        <v>0</v>
      </c>
      <c r="AU164" s="207" t="n">
        <v>0</v>
      </c>
      <c r="AV164" s="207" t="n">
        <v>20</v>
      </c>
      <c r="AW164" s="207" t="n">
        <v>0</v>
      </c>
      <c r="AX164" s="208" t="n">
        <v>1</v>
      </c>
      <c r="AY164" s="209">
        <f>L164*AX164+AP164+AQ164+AR164+AV164+AW164+AS164+AT164+AU164</f>
        <v/>
      </c>
      <c r="AZ164" s="207" t="n">
        <v>4033.03</v>
      </c>
      <c r="BA164" s="207" t="n">
        <v>0</v>
      </c>
      <c r="BB164" s="207">
        <f>AZ164*0.026</f>
        <v/>
      </c>
      <c r="BC164" s="209">
        <f>AZ164+BA164-BB164</f>
        <v/>
      </c>
      <c r="BD164" s="207" t="n">
        <v>0</v>
      </c>
      <c r="BE164" s="207" t="n">
        <v>0</v>
      </c>
      <c r="BF164" s="209">
        <f>BD164+BE164</f>
        <v/>
      </c>
      <c r="BG164" s="209">
        <f>BC164-AY164+BF164</f>
        <v/>
      </c>
      <c r="BH164" s="87" t="inlineStr">
        <is>
          <t>小张老师</t>
        </is>
      </c>
      <c r="BI164" s="210" t="inlineStr">
        <is>
          <t>河北省 廊坊市 大厂回族自治县 祁各庄镇厂通路孔雀城紫涵园2-2-402</t>
        </is>
      </c>
      <c r="BJ164" s="86" t="inlineStr">
        <is>
          <t>17897564039-8019</t>
        </is>
      </c>
      <c r="BK164" s="86" t="n"/>
      <c r="BL164" s="210">
        <f>BC164</f>
        <v/>
      </c>
      <c r="BM164" s="93" t="n"/>
      <c r="BN164" s="94" t="n"/>
      <c r="BO164" s="93" t="inlineStr">
        <is>
          <t>岩板已采购</t>
        </is>
      </c>
      <c r="BP164" s="86" t="n"/>
      <c r="BQ164" s="96" t="inlineStr">
        <is>
          <t>小张老师</t>
        </is>
      </c>
      <c r="BR164" s="96" t="inlineStr">
        <is>
          <t>纯白160*85</t>
        </is>
      </c>
      <c r="BS164" s="97" t="n"/>
      <c r="BT164" s="96" t="n"/>
      <c r="BU164" s="97" t="n"/>
      <c r="BV164" s="96" t="n"/>
      <c r="BW164" s="97" t="n"/>
      <c r="BX164" s="97" t="n"/>
      <c r="BY164" s="97" t="n"/>
      <c r="BZ164" s="97" t="n"/>
      <c r="CA164" s="98" t="n"/>
      <c r="CH164" s="2" t="n"/>
      <c r="CI164" s="14">
        <f>CJ164&amp;CK164</f>
        <v/>
      </c>
      <c r="CY164" s="25" t="n"/>
      <c r="DA164" s="25" t="n"/>
      <c r="DC164" s="26" t="n"/>
      <c r="DD164" s="26" t="n"/>
      <c r="DE164" s="26" t="n"/>
      <c r="DF164" s="26" t="n"/>
      <c r="DG164" s="26" t="n"/>
      <c r="DH164" s="27" t="n"/>
      <c r="DJ164" s="211" t="inlineStr">
        <is>
          <t>订单表中未找到</t>
        </is>
      </c>
      <c r="DK164" t="inlineStr">
        <is>
          <t>—</t>
        </is>
      </c>
      <c r="DL164" t="inlineStr">
        <is>
          <t>—</t>
        </is>
      </c>
    </row>
    <row r="165" ht="15.75" customHeight="1" s="187">
      <c r="A165" s="84" t="n">
        <v>45824</v>
      </c>
      <c r="B165" s="206" t="inlineStr">
        <is>
          <t>已收货</t>
        </is>
      </c>
      <c r="C165" s="86" t="inlineStr">
        <is>
          <t>4397071320910934938</t>
        </is>
      </c>
      <c r="D165" s="87" t="inlineStr">
        <is>
          <t>黎生</t>
        </is>
      </c>
      <c r="E165" s="207" t="n"/>
      <c r="F165" s="207" t="n"/>
      <c r="G165" s="87" t="inlineStr">
        <is>
          <t>砂白色1.8米岩板餐桌</t>
        </is>
      </c>
      <c r="H165" s="220" t="inlineStr">
        <is>
          <t>榉木餐桌</t>
        </is>
      </c>
      <c r="I165" s="89" t="inlineStr">
        <is>
          <t>180cm*85cm</t>
        </is>
      </c>
      <c r="J165" s="87" t="inlineStr">
        <is>
          <t>已结算</t>
        </is>
      </c>
      <c r="K165" s="86" t="inlineStr">
        <is>
          <t>江西</t>
        </is>
      </c>
      <c r="L165" s="207">
        <f>SUM(M165:AO165)</f>
        <v/>
      </c>
      <c r="M165" s="207">
        <f>1540</f>
        <v/>
      </c>
      <c r="N165" s="207" t="n"/>
      <c r="O165" s="207" t="n"/>
      <c r="P165" s="207" t="n"/>
      <c r="Q165" s="207" t="n"/>
      <c r="R165" s="207" t="n">
        <v>240</v>
      </c>
      <c r="S165" s="207" t="n"/>
      <c r="T165" s="207" t="n"/>
      <c r="U165" s="207" t="n"/>
      <c r="V165" s="207" t="n"/>
      <c r="W165" s="207" t="n"/>
      <c r="X165" s="207" t="n"/>
      <c r="Y165" s="207" t="n"/>
      <c r="Z165" s="207" t="n"/>
      <c r="AA165" s="207" t="n"/>
      <c r="AB165" s="207" t="n"/>
      <c r="AC165" s="207" t="n"/>
      <c r="AD165" s="207" t="n">
        <v>2.5</v>
      </c>
      <c r="AE165" s="207" t="n"/>
      <c r="AF165" s="207" t="n"/>
      <c r="AG165" s="207" t="n"/>
      <c r="AH165" s="207" t="n"/>
      <c r="AI165" s="207" t="n"/>
      <c r="AJ165" s="207" t="n"/>
      <c r="AK165" s="207" t="n"/>
      <c r="AL165" s="207" t="n"/>
      <c r="AM165" s="207" t="n">
        <v>180</v>
      </c>
      <c r="AN165" s="207" t="n"/>
      <c r="AO165" s="207" t="n"/>
      <c r="AP165" s="207" t="n">
        <v>107</v>
      </c>
      <c r="AQ165" s="207" t="n">
        <v>30</v>
      </c>
      <c r="AR165" s="207" t="n">
        <v>75</v>
      </c>
      <c r="AS165" s="207" t="n">
        <v>0</v>
      </c>
      <c r="AT165" s="207" t="n">
        <v>100</v>
      </c>
      <c r="AU165" s="207" t="n">
        <v>0</v>
      </c>
      <c r="AV165" s="207" t="n">
        <v>0</v>
      </c>
      <c r="AW165" s="207" t="n">
        <v>0</v>
      </c>
      <c r="AX165" s="208" t="n">
        <v>1</v>
      </c>
      <c r="AY165" s="209">
        <f>L165*AX165+AP165+AQ165+AR165+AV165+AW165+AS165+AT165+AU165</f>
        <v/>
      </c>
      <c r="AZ165" s="207" t="n">
        <v>2766.22</v>
      </c>
      <c r="BA165" s="207" t="n">
        <v>0</v>
      </c>
      <c r="BB165" s="207">
        <f>AZ165*0.026</f>
        <v/>
      </c>
      <c r="BC165" s="209">
        <f>AZ165+BA165-BB165</f>
        <v/>
      </c>
      <c r="BD165" s="207" t="n">
        <v>0</v>
      </c>
      <c r="BE165" s="207" t="n">
        <v>0</v>
      </c>
      <c r="BF165" s="209">
        <f>BD165+BE165</f>
        <v/>
      </c>
      <c r="BG165" s="209">
        <f>BC165-AY165+BF165</f>
        <v/>
      </c>
      <c r="BH165" s="87" t="inlineStr">
        <is>
          <t>黎生</t>
        </is>
      </c>
      <c r="BI165" s="210" t="inlineStr">
        <is>
          <t>广东省 江门市 新会区 会城街道新会碧桂园盛世名门二街七座1402</t>
        </is>
      </c>
      <c r="BJ165" s="86" t="inlineStr">
        <is>
          <t>18466449590-3787</t>
        </is>
      </c>
      <c r="BK165" s="86" t="n"/>
      <c r="BL165" s="210">
        <f>BC165</f>
        <v/>
      </c>
      <c r="BM165" s="93" t="n"/>
      <c r="BN165" s="94" t="n"/>
      <c r="BO165" s="93" t="inlineStr">
        <is>
          <t>白色岩板1800*850</t>
        </is>
      </c>
      <c r="BP165" s="86" t="n"/>
      <c r="BQ165" s="96" t="inlineStr">
        <is>
          <t>黎生</t>
        </is>
      </c>
      <c r="BR165" s="96" t="inlineStr">
        <is>
          <t>12mm白色岩板 180*85，不打孔，安全角</t>
        </is>
      </c>
      <c r="BS165" s="97" t="n"/>
      <c r="BT165" s="96" t="n"/>
      <c r="BU165" s="97" t="n"/>
      <c r="BV165" s="96" t="n"/>
      <c r="BW165" s="97" t="n"/>
      <c r="BX165" s="97" t="n"/>
      <c r="BY165" s="97" t="n"/>
      <c r="BZ165" s="97" t="n"/>
      <c r="CA165" s="98" t="n"/>
      <c r="CH165" s="2" t="n"/>
      <c r="CI165" s="14">
        <f>CJ165&amp;CK165</f>
        <v/>
      </c>
      <c r="CY165" s="25" t="n"/>
      <c r="DA165" s="25" t="n"/>
      <c r="DC165" s="26" t="n"/>
      <c r="DD165" s="26" t="n"/>
      <c r="DE165" s="26" t="n"/>
      <c r="DF165" s="26" t="n"/>
      <c r="DG165" s="26" t="n"/>
      <c r="DH165" s="27" t="n"/>
      <c r="DJ165" s="211" t="inlineStr">
        <is>
          <t>订单表中未找到</t>
        </is>
      </c>
      <c r="DK165" t="inlineStr">
        <is>
          <t>—</t>
        </is>
      </c>
      <c r="DL165" t="inlineStr">
        <is>
          <t>—</t>
        </is>
      </c>
    </row>
    <row r="166" ht="15.75" customHeight="1" s="187">
      <c r="A166" s="99" t="n">
        <v>45824</v>
      </c>
      <c r="B166" s="100" t="inlineStr">
        <is>
          <t>退单</t>
        </is>
      </c>
      <c r="C166" s="101" t="inlineStr">
        <is>
          <t>2612946255183028471</t>
        </is>
      </c>
      <c r="D166" s="100" t="inlineStr">
        <is>
          <t>小洛</t>
        </is>
      </c>
      <c r="E166" s="100" t="n"/>
      <c r="F166" s="100" t="n"/>
      <c r="G166" s="100" t="inlineStr">
        <is>
          <t>1.2洞石窄柜 48cm</t>
        </is>
      </c>
      <c r="H166" s="215" t="n"/>
      <c r="I166" s="221" t="n"/>
      <c r="J166" s="100" t="n"/>
      <c r="K166" s="100" t="inlineStr">
        <is>
          <t>庄毅</t>
        </is>
      </c>
      <c r="L166" s="212" t="n">
        <v>0</v>
      </c>
      <c r="M166" s="207" t="n">
        <v>0</v>
      </c>
      <c r="N166" s="207" t="n"/>
      <c r="O166" s="207" t="n"/>
      <c r="P166" s="207" t="n"/>
      <c r="Q166" s="207" t="n"/>
      <c r="R166" s="207" t="n"/>
      <c r="S166" s="207" t="n"/>
      <c r="T166" s="207" t="n"/>
      <c r="U166" s="207" t="n"/>
      <c r="V166" s="207" t="n"/>
      <c r="W166" s="207" t="n"/>
      <c r="X166" s="207" t="n"/>
      <c r="Y166" s="207" t="n"/>
      <c r="Z166" s="207" t="n"/>
      <c r="AA166" s="207" t="n"/>
      <c r="AB166" s="207" t="n"/>
      <c r="AC166" s="207" t="n"/>
      <c r="AD166" s="207" t="n"/>
      <c r="AE166" s="207" t="n"/>
      <c r="AF166" s="207" t="n"/>
      <c r="AG166" s="207" t="n"/>
      <c r="AH166" s="207" t="n"/>
      <c r="AI166" s="207" t="n"/>
      <c r="AJ166" s="207" t="n"/>
      <c r="AK166" s="207" t="n"/>
      <c r="AL166" s="207" t="n"/>
      <c r="AM166" s="207" t="n"/>
      <c r="AN166" s="207" t="n"/>
      <c r="AO166" s="207" t="n"/>
      <c r="AP166" s="213" t="n">
        <v>0</v>
      </c>
      <c r="AQ166" s="213" t="n">
        <v>0</v>
      </c>
      <c r="AR166" s="213" t="n">
        <v>0</v>
      </c>
      <c r="AS166" s="213" t="n">
        <v>0</v>
      </c>
      <c r="AT166" s="213" t="n">
        <v>0</v>
      </c>
      <c r="AU166" s="213" t="n">
        <v>0</v>
      </c>
      <c r="AV166" s="213" t="n">
        <v>0</v>
      </c>
      <c r="AW166" s="213" t="n">
        <v>0</v>
      </c>
      <c r="AX166" s="214" t="n">
        <v>0</v>
      </c>
      <c r="AY166" s="213">
        <f>L166*AX166+AP166+AQ166+AR166+AV166+AW166+AS166+AT166+AU166</f>
        <v/>
      </c>
      <c r="AZ166" s="213" t="n">
        <v>0</v>
      </c>
      <c r="BA166" s="213" t="n">
        <v>0</v>
      </c>
      <c r="BB166" s="213" t="n">
        <v>0</v>
      </c>
      <c r="BC166" s="213">
        <f>AZ166+BA166-BB166</f>
        <v/>
      </c>
      <c r="BD166" s="213" t="n">
        <v>0</v>
      </c>
      <c r="BE166" s="213" t="n">
        <v>0</v>
      </c>
      <c r="BF166" s="213">
        <f>BD166+BE166</f>
        <v/>
      </c>
      <c r="BG166" s="213">
        <f>BC166-AY166+BF166</f>
        <v/>
      </c>
      <c r="BH166" s="100" t="inlineStr">
        <is>
          <t>小洛</t>
        </is>
      </c>
      <c r="BI166" s="219" t="inlineStr">
        <is>
          <t xml:space="preserve">山西省 阳泉市 城区 北大街街道 洪城北路大通御景3-1-903 </t>
        </is>
      </c>
      <c r="BJ166" s="101" t="inlineStr">
        <is>
          <t>14735147651-4070</t>
        </is>
      </c>
      <c r="BK166" s="101" t="n"/>
      <c r="BL166" s="219" t="n"/>
      <c r="BM166" s="123" t="n"/>
      <c r="BN166" s="108" t="n"/>
      <c r="BO166" s="123" t="inlineStr">
        <is>
          <t>1.158银色 T25  银色轨道  洞石背板</t>
        </is>
      </c>
      <c r="BP166" s="101" t="inlineStr">
        <is>
          <t>黑色塑料轨道双轨上下1200
银色轨道1160*2</t>
        </is>
      </c>
      <c r="BQ166" s="109" t="inlineStr">
        <is>
          <t>小洛</t>
        </is>
      </c>
      <c r="BR166" s="109" t="inlineStr">
        <is>
          <t>12mm洞石岩板 120*48，打孔，安全角</t>
        </is>
      </c>
      <c r="BS166" s="100" t="inlineStr">
        <is>
          <t>记得走水孔</t>
        </is>
      </c>
      <c r="BT166" s="109" t="n"/>
      <c r="BU166" s="100" t="inlineStr">
        <is>
          <t>小洛</t>
        </is>
      </c>
      <c r="BV166" s="109" t="n"/>
      <c r="BW166" s="100" t="n"/>
      <c r="BX166" s="100" t="n"/>
      <c r="BY166" s="100" t="n"/>
      <c r="BZ166" s="100" t="n"/>
      <c r="CA166" s="98" t="n"/>
      <c r="CH166" s="2" t="n"/>
      <c r="CI166" s="14">
        <f>CJ166&amp;CK166</f>
        <v/>
      </c>
      <c r="CY166" s="25" t="n"/>
      <c r="DA166" s="25" t="n"/>
      <c r="DC166" s="26" t="n"/>
      <c r="DD166" s="26" t="n"/>
      <c r="DE166" s="26" t="n"/>
      <c r="DF166" s="26" t="n"/>
      <c r="DG166" s="26" t="n"/>
      <c r="DH166" s="27" t="n"/>
      <c r="DJ166" s="211" t="inlineStr">
        <is>
          <t>订单表中未找到</t>
        </is>
      </c>
      <c r="DK166" t="inlineStr">
        <is>
          <t>—</t>
        </is>
      </c>
      <c r="DL166" t="inlineStr">
        <is>
          <t>—</t>
        </is>
      </c>
    </row>
    <row r="167" ht="15.75" customHeight="1" s="187">
      <c r="A167" s="84" t="n">
        <v>45824</v>
      </c>
      <c r="B167" s="206" t="inlineStr">
        <is>
          <t>已收货</t>
        </is>
      </c>
      <c r="C167" s="86" t="inlineStr">
        <is>
          <t>2613409107778504458</t>
        </is>
      </c>
      <c r="D167" s="87" t="inlineStr">
        <is>
          <t>刘颖</t>
        </is>
      </c>
      <c r="E167" s="87" t="n"/>
      <c r="F167" s="87" t="n"/>
      <c r="G167" s="87" t="inlineStr">
        <is>
          <t>1.4旋转柜+1.1单腿左旋</t>
        </is>
      </c>
      <c r="H167" s="86" t="inlineStr">
        <is>
          <t>旋转餐边柜</t>
        </is>
      </c>
      <c r="I167" s="89" t="n">
        <v>1400</v>
      </c>
      <c r="J167" s="87" t="inlineStr">
        <is>
          <t>已结算,茶色玻璃</t>
        </is>
      </c>
      <c r="K167" s="86" t="inlineStr">
        <is>
          <t>江西</t>
        </is>
      </c>
      <c r="L167" s="207">
        <f>4500+24.51+52+260+240+22*9+22+55+37+469</f>
        <v/>
      </c>
      <c r="M167" s="207">
        <f>4500</f>
        <v/>
      </c>
      <c r="N167" s="207" t="n"/>
      <c r="O167" s="207" t="n"/>
      <c r="P167" s="207" t="n"/>
      <c r="Q167" s="207" t="n"/>
      <c r="R167" s="207" t="n"/>
      <c r="S167" s="207" t="n"/>
      <c r="T167" s="207" t="n">
        <v>22</v>
      </c>
      <c r="U167" s="207" t="n"/>
      <c r="V167" s="207" t="n"/>
      <c r="W167" s="207" t="n">
        <v>55</v>
      </c>
      <c r="X167" s="207">
        <f>22*9</f>
        <v/>
      </c>
      <c r="Y167" s="207" t="n">
        <v>37</v>
      </c>
      <c r="Z167" s="207" t="n"/>
      <c r="AA167" s="207" t="n"/>
      <c r="AB167" s="207" t="n"/>
      <c r="AC167" s="207" t="n"/>
      <c r="AD167" s="207" t="n"/>
      <c r="AE167" s="207" t="n">
        <v>469</v>
      </c>
      <c r="AF167" s="207" t="n"/>
      <c r="AG167" s="207" t="n"/>
      <c r="AH167" s="207" t="n"/>
      <c r="AI167" s="207" t="n"/>
      <c r="AJ167" s="207" t="n"/>
      <c r="AK167" s="207" t="n"/>
      <c r="AL167" s="207" t="n"/>
      <c r="AM167" s="207" t="n">
        <v>400</v>
      </c>
      <c r="AN167" s="207" t="n"/>
      <c r="AO167" s="207" t="n">
        <v>260</v>
      </c>
      <c r="AP167" s="207">
        <f>580-AQ167</f>
        <v/>
      </c>
      <c r="AQ167" s="207" t="n">
        <v>90</v>
      </c>
      <c r="AR167" s="207" t="n">
        <v>118</v>
      </c>
      <c r="AS167" s="207" t="n">
        <v>0</v>
      </c>
      <c r="AT167" s="207" t="n">
        <v>0</v>
      </c>
      <c r="AU167" s="207" t="n">
        <v>0</v>
      </c>
      <c r="AV167" s="207" t="n">
        <v>107</v>
      </c>
      <c r="AW167" s="207" t="n">
        <v>0</v>
      </c>
      <c r="AX167" s="208" t="n">
        <v>1</v>
      </c>
      <c r="AY167" s="209">
        <f>L167*AX167+AP167+AQ167+AR167+AV167+AW167+AS167+AT167+AU167</f>
        <v/>
      </c>
      <c r="AZ167" s="207" t="n">
        <v>8383</v>
      </c>
      <c r="BA167" s="207" t="n">
        <v>0</v>
      </c>
      <c r="BB167" s="207">
        <f>AZ167*0.026</f>
        <v/>
      </c>
      <c r="BC167" s="209">
        <f>AZ167+BA167-BB167</f>
        <v/>
      </c>
      <c r="BD167" s="207" t="n">
        <v>0</v>
      </c>
      <c r="BE167" s="207" t="n">
        <v>0</v>
      </c>
      <c r="BF167" s="209">
        <f>BD167+BE167</f>
        <v/>
      </c>
      <c r="BG167" s="209">
        <f>BC167-AY167+BF167</f>
        <v/>
      </c>
      <c r="BH167" s="87" t="inlineStr">
        <is>
          <t>刘颖</t>
        </is>
      </c>
      <c r="BI167" s="210" t="inlineStr">
        <is>
          <t>北京 北京市 昌平区 城北街道彩璟玉宸小区2号楼1单元1702</t>
        </is>
      </c>
      <c r="BJ167" s="86" t="inlineStr">
        <is>
          <t>13241706946-2222</t>
        </is>
      </c>
      <c r="BK167" s="86" t="n"/>
      <c r="BL167" s="210">
        <f>BC167</f>
        <v/>
      </c>
      <c r="BM167" s="93" t="n"/>
      <c r="BN167" s="94" t="n"/>
      <c r="BO167" s="93" t="inlineStr">
        <is>
          <t>U80 插座+黑色洞洞板+黑色岩板</t>
        </is>
      </c>
      <c r="BP167" s="86" t="n"/>
      <c r="BQ167" s="96" t="inlineStr">
        <is>
          <t>刘颖</t>
        </is>
      </c>
      <c r="BR167" s="96" t="inlineStr">
        <is>
          <t>12mm黑色岩板 140*55，打孔，安全角</t>
        </is>
      </c>
      <c r="BS167" s="97" t="inlineStr">
        <is>
          <t>刘颖</t>
        </is>
      </c>
      <c r="BT167" s="96" t="inlineStr">
        <is>
          <t>黑色洞洞板135.8*60.8，右打孔</t>
        </is>
      </c>
      <c r="BU167" s="97" t="inlineStr">
        <is>
          <t>刘颖</t>
        </is>
      </c>
      <c r="BV167" s="96" t="n"/>
      <c r="BW167" s="97" t="n"/>
      <c r="BX167" s="97" t="n"/>
      <c r="BY167" s="97" t="n"/>
      <c r="BZ167" s="97" t="n"/>
      <c r="CA167" s="98" t="n"/>
      <c r="CH167" s="2" t="n"/>
      <c r="CI167" s="14">
        <f>CJ167&amp;CK167</f>
        <v/>
      </c>
      <c r="CY167" s="25" t="n"/>
      <c r="DA167" s="25" t="n"/>
      <c r="DC167" s="26" t="n"/>
      <c r="DD167" s="26" t="n"/>
      <c r="DE167" s="26" t="n"/>
      <c r="DF167" s="26" t="n"/>
      <c r="DG167" s="26" t="n"/>
      <c r="DH167" s="27" t="n"/>
      <c r="DJ167" s="211" t="inlineStr">
        <is>
          <t>订单表中未找到</t>
        </is>
      </c>
      <c r="DK167" t="inlineStr">
        <is>
          <t>—</t>
        </is>
      </c>
      <c r="DL167" t="inlineStr">
        <is>
          <t>—</t>
        </is>
      </c>
    </row>
    <row r="168" ht="15.75" customHeight="1" s="187">
      <c r="A168" s="84" t="n">
        <v>45825</v>
      </c>
      <c r="B168" s="206" t="inlineStr">
        <is>
          <t>已收货</t>
        </is>
      </c>
      <c r="C168" s="86" t="inlineStr">
        <is>
          <t>2615325745764257399</t>
        </is>
      </c>
      <c r="D168" s="87" t="inlineStr">
        <is>
          <t>李铮</t>
        </is>
      </c>
      <c r="E168" s="87" t="n"/>
      <c r="F168" s="87" t="n"/>
      <c r="G168" s="207" t="inlineStr">
        <is>
          <t>窄柜-整柜洞石背板-1.0米</t>
        </is>
      </c>
      <c r="H168" s="207" t="inlineStr">
        <is>
          <t>樱桃木窄柜</t>
        </is>
      </c>
      <c r="I168" s="89" t="n">
        <v>1000</v>
      </c>
      <c r="J168" s="87" t="inlineStr">
        <is>
          <t>已结算</t>
        </is>
      </c>
      <c r="K168" s="86" t="inlineStr">
        <is>
          <t>庄毅</t>
        </is>
      </c>
      <c r="L168" s="207">
        <f>SUM(M168:AO168)</f>
        <v/>
      </c>
      <c r="M168" s="207">
        <f>3200</f>
        <v/>
      </c>
      <c r="N168" s="207">
        <f>0.958*260+2*55</f>
        <v/>
      </c>
      <c r="O168" s="207" t="n">
        <v>120</v>
      </c>
      <c r="P168" s="207" t="n"/>
      <c r="Q168" s="207">
        <f>19*2</f>
        <v/>
      </c>
      <c r="R168" s="207">
        <f>270+100/15</f>
        <v/>
      </c>
      <c r="S168" s="207" t="n">
        <v>59.23</v>
      </c>
      <c r="T168" s="207" t="n"/>
      <c r="U168" s="207" t="n"/>
      <c r="V168" s="207" t="n">
        <v>5</v>
      </c>
      <c r="W168" s="207" t="n"/>
      <c r="X168" s="207" t="n"/>
      <c r="Y168" s="207" t="n"/>
      <c r="Z168" s="207" t="n"/>
      <c r="AA168" s="207" t="n">
        <v>2</v>
      </c>
      <c r="AB168" s="207" t="n">
        <v>1.1</v>
      </c>
      <c r="AC168" s="207" t="n">
        <v>3.5</v>
      </c>
      <c r="AD168" s="207" t="n"/>
      <c r="AE168" s="207" t="n"/>
      <c r="AF168" s="207" t="n"/>
      <c r="AG168" s="207" t="n"/>
      <c r="AH168" s="207" t="n"/>
      <c r="AI168" s="207" t="n"/>
      <c r="AJ168" s="207" t="n"/>
      <c r="AK168" s="207" t="n"/>
      <c r="AL168" s="207" t="n"/>
      <c r="AM168" s="207" t="n"/>
      <c r="AN168" s="207" t="n"/>
      <c r="AO168" s="207" t="n"/>
      <c r="AP168" s="207" t="n">
        <v>382</v>
      </c>
      <c r="AQ168" s="207" t="n">
        <v>0</v>
      </c>
      <c r="AR168" s="207" t="n">
        <v>100</v>
      </c>
      <c r="AS168" s="207" t="n">
        <v>0</v>
      </c>
      <c r="AT168" s="207" t="n">
        <v>80</v>
      </c>
      <c r="AU168" s="207" t="n">
        <v>0</v>
      </c>
      <c r="AV168" s="207" t="n">
        <v>0</v>
      </c>
      <c r="AW168" s="207" t="n">
        <v>0</v>
      </c>
      <c r="AX168" s="208" t="n">
        <v>1</v>
      </c>
      <c r="AY168" s="209">
        <f>L168*AX168+AP168+AQ168+AR168+AV168+AW168+AS168+AT168+AU168</f>
        <v/>
      </c>
      <c r="AZ168" s="207" t="n">
        <v>4976.26</v>
      </c>
      <c r="BA168" s="207" t="n">
        <v>0</v>
      </c>
      <c r="BB168" s="207">
        <f>AZ168*0.026</f>
        <v/>
      </c>
      <c r="BC168" s="209">
        <f>AZ168+BA168-BB168</f>
        <v/>
      </c>
      <c r="BD168" s="207">
        <f>AT168+AU168</f>
        <v/>
      </c>
      <c r="BE168" s="207" t="n">
        <v>0</v>
      </c>
      <c r="BF168" s="209">
        <f>BD168+BE168</f>
        <v/>
      </c>
      <c r="BG168" s="209">
        <f>BC168-AY168+BF168</f>
        <v/>
      </c>
      <c r="BH168" s="87" t="inlineStr">
        <is>
          <t>李铮</t>
        </is>
      </c>
      <c r="BI168" s="210" t="inlineStr">
        <is>
          <t>北京 北京市 通州区 永顺镇北京通州区物资学院路3号院22号楼2单元102</t>
        </is>
      </c>
      <c r="BJ168" s="86" t="inlineStr">
        <is>
          <t>18400946285-8237</t>
        </is>
      </c>
      <c r="BK168" s="86" t="n"/>
      <c r="BL168" s="210">
        <f>BC168</f>
        <v/>
      </c>
      <c r="BM168" s="93" t="n"/>
      <c r="BN168" s="94" t="n"/>
      <c r="BO168" s="93" t="inlineStr">
        <is>
          <t>0.958银色 T25  银色轨道  洞石背板</t>
        </is>
      </c>
      <c r="BP168" s="86" t="inlineStr">
        <is>
          <t>黑色塑料轨道双轨上下1000
银色轨道960*2</t>
        </is>
      </c>
      <c r="BQ168" s="96" t="inlineStr">
        <is>
          <t>李铮</t>
        </is>
      </c>
      <c r="BR168" s="96" t="inlineStr">
        <is>
          <t>12mm洞石岩板 100*48，打孔，安全角</t>
        </is>
      </c>
      <c r="BS168" s="97" t="inlineStr">
        <is>
          <t>记得走水孔</t>
        </is>
      </c>
      <c r="BT168" s="96" t="n"/>
      <c r="BU168" s="97" t="inlineStr">
        <is>
          <t>李铮</t>
        </is>
      </c>
      <c r="BV168" s="96" t="n"/>
      <c r="BW168" s="97" t="n"/>
      <c r="BX168" s="97" t="n"/>
      <c r="BY168" s="97" t="n"/>
      <c r="BZ168" s="97" t="n"/>
      <c r="CA168" s="98" t="n"/>
      <c r="CH168" s="2" t="n"/>
      <c r="CI168" s="14">
        <f>CJ168&amp;CK168</f>
        <v/>
      </c>
      <c r="CY168" s="25" t="n"/>
      <c r="DA168" s="25" t="n"/>
      <c r="DC168" s="26" t="n"/>
      <c r="DD168" s="26" t="n"/>
      <c r="DE168" s="26" t="n"/>
      <c r="DF168" s="26" t="n"/>
      <c r="DG168" s="26" t="n"/>
      <c r="DH168" s="27" t="n"/>
      <c r="DJ168" s="211" t="inlineStr">
        <is>
          <t>订单表中未找到</t>
        </is>
      </c>
      <c r="DK168" t="inlineStr">
        <is>
          <t>—</t>
        </is>
      </c>
      <c r="DL168" t="inlineStr">
        <is>
          <t>—</t>
        </is>
      </c>
    </row>
    <row r="169" ht="15.75" customHeight="1" s="187">
      <c r="A169" s="84" t="n">
        <v>45826</v>
      </c>
      <c r="B169" s="206" t="inlineStr">
        <is>
          <t>已收货</t>
        </is>
      </c>
      <c r="C169" s="86" t="inlineStr">
        <is>
          <t>4394280531812125427</t>
        </is>
      </c>
      <c r="D169" s="87" t="inlineStr">
        <is>
          <t>美少女</t>
        </is>
      </c>
      <c r="E169" s="87" t="n"/>
      <c r="F169" s="87" t="n"/>
      <c r="G169" s="87" t="inlineStr">
        <is>
          <t>砂白色1.6米岩板餐桌</t>
        </is>
      </c>
      <c r="H169" s="87" t="inlineStr">
        <is>
          <t>榉木餐桌</t>
        </is>
      </c>
      <c r="I169" s="89" t="inlineStr">
        <is>
          <t>160cm*85cm</t>
        </is>
      </c>
      <c r="J169" s="87" t="inlineStr">
        <is>
          <t>已结算</t>
        </is>
      </c>
      <c r="K169" s="86" t="inlineStr">
        <is>
          <t>江西</t>
        </is>
      </c>
      <c r="L169" s="207">
        <f>SUM(M169:AO169)</f>
        <v/>
      </c>
      <c r="M169" s="207">
        <f>1520</f>
        <v/>
      </c>
      <c r="N169" s="207" t="n"/>
      <c r="O169" s="207" t="n"/>
      <c r="P169" s="207" t="n"/>
      <c r="Q169" s="207" t="n"/>
      <c r="R169" s="207" t="n">
        <v>240</v>
      </c>
      <c r="S169" s="207" t="n"/>
      <c r="T169" s="207" t="n"/>
      <c r="U169" s="207" t="n"/>
      <c r="V169" s="207" t="n"/>
      <c r="W169" s="207" t="n"/>
      <c r="X169" s="207" t="n"/>
      <c r="Y169" s="207" t="n"/>
      <c r="Z169" s="207" t="n"/>
      <c r="AA169" s="207" t="n"/>
      <c r="AB169" s="207" t="n"/>
      <c r="AC169" s="207" t="n"/>
      <c r="AD169" s="207" t="n">
        <v>2.5</v>
      </c>
      <c r="AE169" s="207" t="n"/>
      <c r="AF169" s="207" t="n"/>
      <c r="AG169" s="207" t="n"/>
      <c r="AH169" s="207" t="n"/>
      <c r="AI169" s="207" t="n"/>
      <c r="AJ169" s="207" t="n"/>
      <c r="AK169" s="207" t="n"/>
      <c r="AL169" s="207" t="n"/>
      <c r="AM169" s="207" t="n">
        <v>180</v>
      </c>
      <c r="AN169" s="207" t="n"/>
      <c r="AO169" s="207" t="n"/>
      <c r="AP169" s="207" t="n">
        <v>128</v>
      </c>
      <c r="AQ169" s="207" t="n">
        <v>0</v>
      </c>
      <c r="AR169" s="207" t="n">
        <v>85</v>
      </c>
      <c r="AS169" s="207" t="n">
        <v>0</v>
      </c>
      <c r="AT169" s="207" t="n">
        <v>199</v>
      </c>
      <c r="AU169" s="207" t="n">
        <v>0</v>
      </c>
      <c r="AV169" s="207" t="n">
        <v>19</v>
      </c>
      <c r="AW169" s="207" t="n">
        <v>0</v>
      </c>
      <c r="AX169" s="208" t="n">
        <v>1</v>
      </c>
      <c r="AY169" s="209">
        <f>L169*AX169+AP169+AQ169+AR169+AV169+AW169+AS169+AT169+AU169</f>
        <v/>
      </c>
      <c r="AZ169" s="207" t="n">
        <v>2595.03</v>
      </c>
      <c r="BA169" s="207" t="n">
        <v>0</v>
      </c>
      <c r="BB169" s="207">
        <f>AZ169*0.026</f>
        <v/>
      </c>
      <c r="BC169" s="209">
        <f>AZ169+BA169-BB169</f>
        <v/>
      </c>
      <c r="BD169" s="207" t="n">
        <v>0</v>
      </c>
      <c r="BE169" s="207" t="n">
        <v>0</v>
      </c>
      <c r="BF169" s="209">
        <f>BD169+BE169</f>
        <v/>
      </c>
      <c r="BG169" s="209">
        <f>BC169-AY169+BF169</f>
        <v/>
      </c>
      <c r="BH169" s="87" t="inlineStr">
        <is>
          <t>美少女</t>
        </is>
      </c>
      <c r="BI169" s="210" t="inlineStr">
        <is>
          <t>广东省 广州市 天河区 五山街道华南农业大学嵩山区56栋102房</t>
        </is>
      </c>
      <c r="BJ169" s="86" t="inlineStr">
        <is>
          <t>18466115819-5615</t>
        </is>
      </c>
      <c r="BK169" s="86" t="n"/>
      <c r="BL169" s="210">
        <f>BC169</f>
        <v/>
      </c>
      <c r="BM169" s="93" t="n"/>
      <c r="BN169" s="94" t="n"/>
      <c r="BO169" s="93" t="inlineStr">
        <is>
          <t>白色岩板1600*850</t>
        </is>
      </c>
      <c r="BP169" s="86" t="n"/>
      <c r="BQ169" s="96" t="inlineStr">
        <is>
          <t>美少女</t>
        </is>
      </c>
      <c r="BR169" s="96" t="inlineStr">
        <is>
          <t>12mm白色岩板 160*85，不打孔，安全角</t>
        </is>
      </c>
      <c r="BS169" s="97" t="n"/>
      <c r="BT169" s="96" t="n"/>
      <c r="BU169" s="97" t="n"/>
      <c r="BV169" s="96" t="n"/>
      <c r="BW169" s="97" t="n"/>
      <c r="BX169" s="97" t="n"/>
      <c r="BY169" s="97" t="n"/>
      <c r="BZ169" s="97" t="n"/>
      <c r="CA169" s="98" t="n"/>
      <c r="CH169" s="2" t="n"/>
      <c r="CI169" s="14">
        <f>CJ169&amp;CK169</f>
        <v/>
      </c>
      <c r="CY169" s="25" t="n"/>
      <c r="DA169" s="25" t="n"/>
      <c r="DC169" s="26" t="n"/>
      <c r="DD169" s="26" t="n"/>
      <c r="DE169" s="26" t="n"/>
      <c r="DF169" s="26" t="n"/>
      <c r="DG169" s="26" t="n"/>
      <c r="DH169" s="27" t="n"/>
      <c r="DJ169" s="211" t="inlineStr">
        <is>
          <t>订单表中未找到</t>
        </is>
      </c>
      <c r="DK169" t="inlineStr">
        <is>
          <t>—</t>
        </is>
      </c>
      <c r="DL169" t="inlineStr">
        <is>
          <t>—</t>
        </is>
      </c>
    </row>
    <row r="170" ht="15.75" customHeight="1" s="187">
      <c r="A170" s="84" t="n">
        <v>45826</v>
      </c>
      <c r="B170" s="206" t="inlineStr">
        <is>
          <t>已收货</t>
        </is>
      </c>
      <c r="C170" s="86" t="inlineStr">
        <is>
          <t>4393971903227265822</t>
        </is>
      </c>
      <c r="D170" s="87" t="inlineStr">
        <is>
          <t>叶子</t>
        </is>
      </c>
      <c r="E170" s="116" t="inlineStr">
        <is>
          <t>已发，对灯带62.4，已调整</t>
        </is>
      </c>
      <c r="F170" s="87" t="n"/>
      <c r="G170" s="207" t="inlineStr">
        <is>
          <t>窄柜-整柜洞石背板-1.2米</t>
        </is>
      </c>
      <c r="H170" s="207" t="inlineStr">
        <is>
          <t>樱桃木窄柜</t>
        </is>
      </c>
      <c r="I170" s="89" t="n">
        <v>1200</v>
      </c>
      <c r="J170" s="87" t="inlineStr">
        <is>
          <t>已结算</t>
        </is>
      </c>
      <c r="K170" s="86" t="inlineStr">
        <is>
          <t>庄毅</t>
        </is>
      </c>
      <c r="L170" s="207">
        <f>SUM(M170:AO170)</f>
        <v/>
      </c>
      <c r="M170" s="207">
        <f>3600</f>
        <v/>
      </c>
      <c r="N170" s="207">
        <f>1.158*260+2*55</f>
        <v/>
      </c>
      <c r="O170" s="207" t="n">
        <v>125</v>
      </c>
      <c r="P170" s="207" t="n"/>
      <c r="Q170" s="207">
        <f>38*2</f>
        <v/>
      </c>
      <c r="R170" s="207">
        <f>310+100/15</f>
        <v/>
      </c>
      <c r="S170" s="207" t="n">
        <v>62.4</v>
      </c>
      <c r="T170" s="207" t="n"/>
      <c r="U170" s="207" t="n"/>
      <c r="V170" s="207" t="n"/>
      <c r="W170" s="207" t="n">
        <v>8</v>
      </c>
      <c r="X170" s="207" t="n"/>
      <c r="Y170" s="207" t="n"/>
      <c r="Z170" s="207" t="n"/>
      <c r="AA170" s="207" t="n"/>
      <c r="AB170" s="207" t="n"/>
      <c r="AC170" s="207" t="n">
        <v>3.37</v>
      </c>
      <c r="AD170" s="207" t="n"/>
      <c r="AE170" s="207" t="n"/>
      <c r="AF170" s="207" t="n"/>
      <c r="AG170" s="207" t="n"/>
      <c r="AH170" s="207" t="n"/>
      <c r="AI170" s="207" t="n">
        <v>1.6</v>
      </c>
      <c r="AJ170" s="207" t="n">
        <v>1.1</v>
      </c>
      <c r="AK170" s="207" t="n"/>
      <c r="AL170" s="207" t="n"/>
      <c r="AM170" s="207" t="n"/>
      <c r="AN170" s="207" t="n"/>
      <c r="AO170" s="207" t="n"/>
      <c r="AP170" s="207" t="n">
        <v>290</v>
      </c>
      <c r="AQ170" s="207" t="n">
        <v>0</v>
      </c>
      <c r="AR170" s="207" t="n">
        <v>98</v>
      </c>
      <c r="AS170" s="207" t="n">
        <v>0</v>
      </c>
      <c r="AT170" s="207" t="n">
        <v>0</v>
      </c>
      <c r="AU170" s="207" t="n">
        <v>0</v>
      </c>
      <c r="AV170" s="207" t="n">
        <v>0</v>
      </c>
      <c r="AW170" s="207" t="n">
        <v>0</v>
      </c>
      <c r="AX170" s="208" t="n">
        <v>1</v>
      </c>
      <c r="AY170" s="209">
        <f>L170*AX170+AP170+AQ170+AR170+AV170+AW170+AS170+AT170+AU170</f>
        <v/>
      </c>
      <c r="AZ170" s="207" t="n">
        <v>5175.54</v>
      </c>
      <c r="BA170" s="207" t="n">
        <v>0</v>
      </c>
      <c r="BB170" s="207">
        <f>AZ170*0.026</f>
        <v/>
      </c>
      <c r="BC170" s="209">
        <f>AZ170+BA170-BB170</f>
        <v/>
      </c>
      <c r="BD170" s="207">
        <f>AT170+AU170</f>
        <v/>
      </c>
      <c r="BE170" s="207" t="n">
        <v>0</v>
      </c>
      <c r="BF170" s="209">
        <f>BD170+BE170</f>
        <v/>
      </c>
      <c r="BG170" s="209">
        <f>BC170-AY170+BF170</f>
        <v/>
      </c>
      <c r="BH170" s="87" t="inlineStr">
        <is>
          <t>叶子</t>
        </is>
      </c>
      <c r="BI170" s="210" t="inlineStr">
        <is>
          <t>上海 上海市 静安区 南京西路街道石门一路333弄7号1703室</t>
        </is>
      </c>
      <c r="BJ170" s="86" t="inlineStr">
        <is>
          <t>18466788891-4516</t>
        </is>
      </c>
      <c r="BK170" s="86" t="n"/>
      <c r="BL170" s="210">
        <f>BC170</f>
        <v/>
      </c>
      <c r="BM170" s="93" t="n"/>
      <c r="BN170" s="94" t="n"/>
      <c r="BO170" s="93" t="inlineStr">
        <is>
          <t>1.158银色 T25  银色轨道  洞石背板</t>
        </is>
      </c>
      <c r="BP170" s="86" t="inlineStr">
        <is>
          <t>黑色塑料轨道双轨上下1200
银色轨道1160*2</t>
        </is>
      </c>
      <c r="BQ170" s="96" t="inlineStr">
        <is>
          <t>叶子</t>
        </is>
      </c>
      <c r="BR170" s="96" t="inlineStr">
        <is>
          <t>12mm洞石岩板 120*48，打孔，安全角</t>
        </is>
      </c>
      <c r="BS170" s="97" t="inlineStr">
        <is>
          <t>记得走水孔</t>
        </is>
      </c>
      <c r="BT170" s="96" t="n"/>
      <c r="BU170" s="97" t="inlineStr">
        <is>
          <t>叶子</t>
        </is>
      </c>
      <c r="BV170" s="96" t="n"/>
      <c r="BW170" s="97" t="n"/>
      <c r="BX170" s="97" t="n"/>
      <c r="BY170" s="97" t="n"/>
      <c r="BZ170" s="97" t="n"/>
      <c r="CA170" s="98" t="n"/>
      <c r="CH170" s="2" t="n"/>
      <c r="CI170" s="14">
        <f>CJ170&amp;CK170</f>
        <v/>
      </c>
      <c r="CY170" s="25" t="n"/>
      <c r="DA170" s="25" t="n"/>
      <c r="DC170" s="26" t="n"/>
      <c r="DD170" s="26" t="n"/>
      <c r="DE170" s="26" t="n"/>
      <c r="DF170" s="26" t="n"/>
      <c r="DG170" s="26" t="n"/>
      <c r="DH170" s="27" t="n"/>
      <c r="DJ170" s="211" t="inlineStr">
        <is>
          <t>订单表中未找到</t>
        </is>
      </c>
      <c r="DK170" t="inlineStr">
        <is>
          <t>—</t>
        </is>
      </c>
      <c r="DL170" t="inlineStr">
        <is>
          <t>—</t>
        </is>
      </c>
    </row>
    <row r="171" ht="15.75" customHeight="1" s="187">
      <c r="A171" s="84" t="n">
        <v>45826</v>
      </c>
      <c r="B171" s="206" t="inlineStr">
        <is>
          <t>已收货</t>
        </is>
      </c>
      <c r="C171" s="86" t="inlineStr">
        <is>
          <t>4393482805198963549</t>
        </is>
      </c>
      <c r="D171" s="87" t="inlineStr">
        <is>
          <t>何妍</t>
        </is>
      </c>
      <c r="E171" s="87" t="n"/>
      <c r="F171" s="87" t="n"/>
      <c r="G171" s="87" t="inlineStr">
        <is>
          <t>洞石色1.5米岩板餐桌，定制</t>
        </is>
      </c>
      <c r="H171" s="87" t="inlineStr">
        <is>
          <t>榉木餐桌</t>
        </is>
      </c>
      <c r="I171" s="89" t="inlineStr">
        <is>
          <t>150cm*85cm</t>
        </is>
      </c>
      <c r="J171" s="87" t="inlineStr">
        <is>
          <t>已结算</t>
        </is>
      </c>
      <c r="K171" s="86" t="inlineStr">
        <is>
          <t>江西</t>
        </is>
      </c>
      <c r="L171" s="207">
        <f>SUM(M171:AO171)</f>
        <v/>
      </c>
      <c r="M171" s="207">
        <f>1500</f>
        <v/>
      </c>
      <c r="N171" s="207" t="n"/>
      <c r="O171" s="207" t="n"/>
      <c r="P171" s="207" t="n"/>
      <c r="Q171" s="207" t="n"/>
      <c r="R171" s="207" t="n">
        <v>490</v>
      </c>
      <c r="S171" s="207" t="n"/>
      <c r="T171" s="207" t="n"/>
      <c r="U171" s="207" t="n"/>
      <c r="V171" s="207" t="n"/>
      <c r="W171" s="207" t="n"/>
      <c r="X171" s="207" t="n"/>
      <c r="Y171" s="207" t="n"/>
      <c r="Z171" s="207" t="n"/>
      <c r="AA171" s="207" t="n"/>
      <c r="AB171" s="207" t="n"/>
      <c r="AC171" s="207" t="n"/>
      <c r="AD171" s="207" t="n">
        <v>2.5</v>
      </c>
      <c r="AE171" s="207" t="n"/>
      <c r="AF171" s="207" t="n"/>
      <c r="AG171" s="207" t="n"/>
      <c r="AH171" s="207" t="n"/>
      <c r="AI171" s="207" t="n"/>
      <c r="AJ171" s="207" t="n"/>
      <c r="AK171" s="207" t="n"/>
      <c r="AL171" s="207" t="n"/>
      <c r="AM171" s="207" t="n">
        <v>120</v>
      </c>
      <c r="AN171" s="207" t="n"/>
      <c r="AO171" s="207" t="n"/>
      <c r="AP171" s="207">
        <f>120-30</f>
        <v/>
      </c>
      <c r="AQ171" s="207" t="n">
        <v>30</v>
      </c>
      <c r="AR171" s="207" t="n">
        <v>0</v>
      </c>
      <c r="AS171" s="207" t="n">
        <v>0</v>
      </c>
      <c r="AT171" s="207" t="n">
        <v>0</v>
      </c>
      <c r="AU171" s="207" t="n">
        <v>0</v>
      </c>
      <c r="AV171" s="207" t="n">
        <v>19</v>
      </c>
      <c r="AW171" s="207" t="n">
        <v>0</v>
      </c>
      <c r="AX171" s="208" t="n">
        <v>1</v>
      </c>
      <c r="AY171" s="209">
        <f>L171*AX171+AP171+AQ171+AR171+AV171+AW171+AS171+AT171+AU171</f>
        <v/>
      </c>
      <c r="AZ171" s="207" t="n">
        <v>2460</v>
      </c>
      <c r="BA171" s="207" t="n">
        <v>0</v>
      </c>
      <c r="BB171" s="207">
        <f>AZ171*0.026</f>
        <v/>
      </c>
      <c r="BC171" s="209">
        <f>AZ171+BA171-BB171</f>
        <v/>
      </c>
      <c r="BD171" s="207">
        <f>AT171+AU171</f>
        <v/>
      </c>
      <c r="BE171" s="207" t="n">
        <v>0</v>
      </c>
      <c r="BF171" s="209">
        <f>BD171+BE171</f>
        <v/>
      </c>
      <c r="BG171" s="209">
        <f>BC171-AY171+BF171</f>
        <v/>
      </c>
      <c r="BH171" s="87" t="inlineStr">
        <is>
          <t>何妍</t>
        </is>
      </c>
      <c r="BI171" s="210" t="inlineStr">
        <is>
          <t>浙江省 宁波市 江北区 洪塘街道江来上府4-1102</t>
        </is>
      </c>
      <c r="BJ171" s="86" t="inlineStr">
        <is>
          <t>18413321272-6390</t>
        </is>
      </c>
      <c r="BK171" s="86" t="n"/>
      <c r="BL171" s="210">
        <f>BC171</f>
        <v/>
      </c>
      <c r="BM171" s="93" t="n"/>
      <c r="BN171" s="94" t="n"/>
      <c r="BO171" s="93" t="inlineStr">
        <is>
          <t>洞石岩板1500*850</t>
        </is>
      </c>
      <c r="BP171" s="86" t="n"/>
      <c r="BQ171" s="96" t="inlineStr">
        <is>
          <t>何妍</t>
        </is>
      </c>
      <c r="BR171" s="96" t="inlineStr">
        <is>
          <t>12mm洞石岩板 150*85，不打孔，安全角</t>
        </is>
      </c>
      <c r="BS171" s="97" t="n"/>
      <c r="BT171" s="96" t="n"/>
      <c r="BU171" s="97" t="n"/>
      <c r="BV171" s="96" t="n"/>
      <c r="BW171" s="97" t="n"/>
      <c r="BX171" s="97" t="n"/>
      <c r="BY171" s="97" t="n"/>
      <c r="BZ171" s="97" t="n"/>
      <c r="CA171" s="98" t="n"/>
      <c r="CH171" s="2" t="n"/>
      <c r="CI171" s="14">
        <f>CJ171&amp;CK171</f>
        <v/>
      </c>
      <c r="CY171" s="25" t="n"/>
      <c r="DA171" s="25" t="n"/>
      <c r="DC171" s="26" t="n"/>
      <c r="DD171" s="26" t="n"/>
      <c r="DE171" s="26" t="n"/>
      <c r="DF171" s="26" t="n"/>
      <c r="DG171" s="26" t="n"/>
      <c r="DH171" s="27" t="n"/>
      <c r="DJ171" s="211" t="inlineStr">
        <is>
          <t>订单表中未找到</t>
        </is>
      </c>
      <c r="DK171" t="inlineStr">
        <is>
          <t>—</t>
        </is>
      </c>
      <c r="DL171" t="inlineStr">
        <is>
          <t>—</t>
        </is>
      </c>
    </row>
    <row r="172" ht="15.75" customHeight="1" s="187">
      <c r="A172" s="84" t="n">
        <v>45827</v>
      </c>
      <c r="B172" s="206" t="inlineStr">
        <is>
          <t>已收货</t>
        </is>
      </c>
      <c r="C172" s="86" t="inlineStr">
        <is>
          <t>2618001086371603292</t>
        </is>
      </c>
      <c r="D172" s="87" t="inlineStr">
        <is>
          <t>花好月圆</t>
        </is>
      </c>
      <c r="E172" s="87" t="n"/>
      <c r="F172" s="87" t="n"/>
      <c r="G172" s="207" t="inlineStr">
        <is>
          <t>窄柜-整柜洞石背板-1.0米</t>
        </is>
      </c>
      <c r="H172" s="207" t="inlineStr">
        <is>
          <t>樱桃木窄柜</t>
        </is>
      </c>
      <c r="I172" s="89" t="n">
        <v>1000</v>
      </c>
      <c r="J172" s="87" t="inlineStr">
        <is>
          <t>已结算</t>
        </is>
      </c>
      <c r="K172" s="86" t="inlineStr">
        <is>
          <t>庄毅</t>
        </is>
      </c>
      <c r="L172" s="207">
        <f>SUM(M172:AO172)</f>
        <v/>
      </c>
      <c r="M172" s="207">
        <f>3200</f>
        <v/>
      </c>
      <c r="N172" s="207">
        <f>0.958*260+2*55</f>
        <v/>
      </c>
      <c r="O172" s="207" t="n">
        <v>120</v>
      </c>
      <c r="P172" s="207" t="n"/>
      <c r="Q172" s="207">
        <f>19*2</f>
        <v/>
      </c>
      <c r="R172" s="207">
        <f>270+100/15</f>
        <v/>
      </c>
      <c r="S172" s="207" t="n">
        <v>59.23</v>
      </c>
      <c r="T172" s="207" t="n"/>
      <c r="U172" s="207" t="n"/>
      <c r="V172" s="207" t="n">
        <v>5</v>
      </c>
      <c r="W172" s="207" t="n"/>
      <c r="X172" s="207" t="n"/>
      <c r="Y172" s="207" t="n"/>
      <c r="Z172" s="207" t="n"/>
      <c r="AA172" s="207" t="n">
        <v>2</v>
      </c>
      <c r="AB172" s="207" t="n">
        <v>1.1</v>
      </c>
      <c r="AC172" s="207" t="n">
        <v>3.5</v>
      </c>
      <c r="AD172" s="207" t="n"/>
      <c r="AE172" s="207" t="n"/>
      <c r="AF172" s="207" t="n"/>
      <c r="AG172" s="207" t="n"/>
      <c r="AH172" s="207" t="n"/>
      <c r="AI172" s="207" t="n"/>
      <c r="AJ172" s="207" t="n"/>
      <c r="AK172" s="207" t="n"/>
      <c r="AL172" s="207" t="n"/>
      <c r="AM172" s="207" t="n"/>
      <c r="AN172" s="207" t="n"/>
      <c r="AO172" s="207" t="n"/>
      <c r="AP172" s="207" t="n">
        <v>353</v>
      </c>
      <c r="AQ172" s="207" t="n">
        <v>0</v>
      </c>
      <c r="AR172" s="207" t="n">
        <v>150</v>
      </c>
      <c r="AS172" s="207" t="n">
        <v>0</v>
      </c>
      <c r="AT172" s="207" t="n">
        <v>0</v>
      </c>
      <c r="AU172" s="207" t="n">
        <v>0</v>
      </c>
      <c r="AV172" s="207" t="n">
        <v>0</v>
      </c>
      <c r="AW172" s="207" t="n">
        <v>0</v>
      </c>
      <c r="AX172" s="208" t="n">
        <v>1</v>
      </c>
      <c r="AY172" s="209">
        <f>L172*AX172+AP172+AQ172+AR172+AV172+AW172+AS172+AT172+AU172</f>
        <v/>
      </c>
      <c r="AZ172" s="207" t="n">
        <v>4976.26</v>
      </c>
      <c r="BA172" s="207" t="n">
        <v>0</v>
      </c>
      <c r="BB172" s="207">
        <f>AZ172*0.026</f>
        <v/>
      </c>
      <c r="BC172" s="209">
        <f>AZ172+BA172-BB172</f>
        <v/>
      </c>
      <c r="BD172" s="207">
        <f>AT172+AU172</f>
        <v/>
      </c>
      <c r="BE172" s="207" t="n">
        <v>0</v>
      </c>
      <c r="BF172" s="209">
        <f>BD172+BE172</f>
        <v/>
      </c>
      <c r="BG172" s="209">
        <f>BC172-AY172+BF172</f>
        <v/>
      </c>
      <c r="BH172" s="87" t="inlineStr">
        <is>
          <t>花好月圆</t>
        </is>
      </c>
      <c r="BI172" s="210" t="inlineStr">
        <is>
          <t>北京 北京市 丰台区 马家堡街道马家堡东路七克拉小区7号楼222</t>
        </is>
      </c>
      <c r="BJ172" s="86" t="inlineStr">
        <is>
          <t>18400812384-1683</t>
        </is>
      </c>
      <c r="BK172" s="86" t="n"/>
      <c r="BL172" s="210">
        <f>BC172</f>
        <v/>
      </c>
      <c r="BM172" s="93" t="n"/>
      <c r="BN172" s="94" t="n"/>
      <c r="BO172" s="93" t="inlineStr">
        <is>
          <t>0.958银色 T25  银色轨道  洞石背板</t>
        </is>
      </c>
      <c r="BP172" s="86" t="inlineStr">
        <is>
          <t>黑色塑料轨道双轨上下1000
银色轨道960*2</t>
        </is>
      </c>
      <c r="BQ172" s="96" t="inlineStr">
        <is>
          <t>花好月圆</t>
        </is>
      </c>
      <c r="BR172" s="96" t="inlineStr">
        <is>
          <t>12mm洞石岩板 100*48，打孔，安全角</t>
        </is>
      </c>
      <c r="BS172" s="97" t="inlineStr">
        <is>
          <t>记得走水孔</t>
        </is>
      </c>
      <c r="BT172" s="96" t="n"/>
      <c r="BU172" s="97" t="inlineStr">
        <is>
          <t>花好月圆</t>
        </is>
      </c>
      <c r="BV172" s="96" t="n"/>
      <c r="BW172" s="97" t="n"/>
      <c r="BX172" s="97" t="n"/>
      <c r="BY172" s="97" t="n"/>
      <c r="BZ172" s="97" t="n"/>
      <c r="CA172" s="98" t="n"/>
      <c r="CH172" s="2" t="n"/>
      <c r="CI172" s="14">
        <f>CJ172&amp;CK172</f>
        <v/>
      </c>
      <c r="CY172" s="25" t="n"/>
      <c r="DA172" s="25" t="n"/>
      <c r="DC172" s="26" t="n"/>
      <c r="DD172" s="26" t="n"/>
      <c r="DE172" s="26" t="n"/>
      <c r="DF172" s="26" t="n"/>
      <c r="DG172" s="26" t="n"/>
      <c r="DH172" s="27" t="n"/>
      <c r="DJ172" s="211" t="inlineStr">
        <is>
          <t>订单表中未找到</t>
        </is>
      </c>
      <c r="DK172" t="inlineStr">
        <is>
          <t>—</t>
        </is>
      </c>
      <c r="DL172" t="inlineStr">
        <is>
          <t>—</t>
        </is>
      </c>
    </row>
    <row r="173" ht="15.75" customHeight="1" s="187">
      <c r="A173" s="84" t="n">
        <v>45827</v>
      </c>
      <c r="B173" s="206" t="inlineStr">
        <is>
          <t>已收货</t>
        </is>
      </c>
      <c r="C173" s="86" t="inlineStr">
        <is>
          <t>2617814931937603292</t>
        </is>
      </c>
      <c r="D173" s="87" t="inlineStr">
        <is>
          <t>谷芳芳</t>
        </is>
      </c>
      <c r="E173" s="87" t="n"/>
      <c r="F173" s="87" t="n"/>
      <c r="G173" s="87" t="inlineStr">
        <is>
          <t>1.6樱桃木洞石岩板桌</t>
        </is>
      </c>
      <c r="H173" s="87" t="inlineStr">
        <is>
          <t>樱桃木岩板桌2025</t>
        </is>
      </c>
      <c r="I173" s="89" t="inlineStr">
        <is>
          <t>160cm*85cm</t>
        </is>
      </c>
      <c r="J173" s="87" t="inlineStr">
        <is>
          <t>已结算</t>
        </is>
      </c>
      <c r="K173" s="86" t="inlineStr">
        <is>
          <t>江西</t>
        </is>
      </c>
      <c r="L173" s="207">
        <f>SUM(M173:AO173)</f>
        <v/>
      </c>
      <c r="M173" s="207">
        <f>1260</f>
        <v/>
      </c>
      <c r="N173" s="207" t="n"/>
      <c r="O173" s="207" t="n"/>
      <c r="P173" s="207" t="n"/>
      <c r="Q173" s="207" t="n"/>
      <c r="R173" s="207" t="n">
        <v>520</v>
      </c>
      <c r="S173" s="207" t="n"/>
      <c r="T173" s="207" t="n"/>
      <c r="U173" s="207" t="n"/>
      <c r="V173" s="207" t="n"/>
      <c r="W173" s="207" t="n"/>
      <c r="X173" s="207" t="n"/>
      <c r="Y173" s="207" t="n"/>
      <c r="Z173" s="207" t="n"/>
      <c r="AA173" s="207" t="n"/>
      <c r="AB173" s="207" t="n"/>
      <c r="AC173" s="207" t="n"/>
      <c r="AD173" s="207" t="n">
        <v>2.5</v>
      </c>
      <c r="AE173" s="207" t="n"/>
      <c r="AF173" s="207" t="n"/>
      <c r="AG173" s="207" t="n"/>
      <c r="AH173" s="207" t="n"/>
      <c r="AI173" s="207" t="n"/>
      <c r="AJ173" s="207" t="n"/>
      <c r="AK173" s="207" t="n"/>
      <c r="AL173" s="207" t="n"/>
      <c r="AM173" s="207" t="n">
        <v>180</v>
      </c>
      <c r="AN173" s="207" t="n"/>
      <c r="AO173" s="207" t="n"/>
      <c r="AP173" s="207">
        <f>124-AQ173</f>
        <v/>
      </c>
      <c r="AQ173" s="207" t="n">
        <v>10</v>
      </c>
      <c r="AR173" s="207" t="n">
        <v>0</v>
      </c>
      <c r="AS173" s="207" t="n">
        <v>0</v>
      </c>
      <c r="AT173" s="207" t="n">
        <v>0</v>
      </c>
      <c r="AU173" s="207" t="n">
        <v>0</v>
      </c>
      <c r="AV173" s="207" t="n">
        <v>19</v>
      </c>
      <c r="AW173" s="207" t="n">
        <v>0</v>
      </c>
      <c r="AX173" s="208" t="n">
        <v>1</v>
      </c>
      <c r="AY173" s="209">
        <f>L173*AX173+AP173+AQ173+AR173+AV173+AW173+AS173+AT173+AU173</f>
        <v/>
      </c>
      <c r="AZ173" s="207" t="n">
        <v>2192.1</v>
      </c>
      <c r="BA173" s="207" t="n">
        <v>0</v>
      </c>
      <c r="BB173" s="207">
        <f>AZ173*0.026</f>
        <v/>
      </c>
      <c r="BC173" s="209">
        <f>AZ173+BA173-BB173</f>
        <v/>
      </c>
      <c r="BD173" s="207">
        <f>AT173+AU173</f>
        <v/>
      </c>
      <c r="BE173" s="207" t="n">
        <v>0</v>
      </c>
      <c r="BF173" s="209">
        <f>BD173+BE173</f>
        <v/>
      </c>
      <c r="BG173" s="209">
        <f>BC173-AY173+BF173</f>
        <v/>
      </c>
      <c r="BH173" s="87" t="inlineStr">
        <is>
          <t>谷芳芳</t>
        </is>
      </c>
      <c r="BI173" s="210" t="inlineStr">
        <is>
          <t>北京 北京市 丰台区 花乡街道郭公庄蓝沁家园4单元1号楼1502室</t>
        </is>
      </c>
      <c r="BJ173" s="86" t="inlineStr">
        <is>
          <t>18400997105-7193</t>
        </is>
      </c>
      <c r="BK173" s="86" t="n"/>
      <c r="BL173" s="210">
        <f>BC173</f>
        <v/>
      </c>
      <c r="BM173" s="93" t="n"/>
      <c r="BN173" s="94" t="n"/>
      <c r="BO173" s="93" t="inlineStr">
        <is>
          <t>洞石岩板1600*850</t>
        </is>
      </c>
      <c r="BP173" s="86" t="n"/>
      <c r="BQ173" s="96" t="inlineStr">
        <is>
          <t>谷芳芳</t>
        </is>
      </c>
      <c r="BR173" s="96" t="inlineStr">
        <is>
          <t>12mm洞石岩板 160*85，不打孔，安全角</t>
        </is>
      </c>
      <c r="BS173" s="97" t="n"/>
      <c r="BT173" s="96" t="n"/>
      <c r="BU173" s="97" t="n"/>
      <c r="BV173" s="96" t="n"/>
      <c r="BW173" s="97" t="n"/>
      <c r="BX173" s="97" t="n"/>
      <c r="BY173" s="97" t="n"/>
      <c r="BZ173" s="97" t="n"/>
      <c r="CA173" s="98" t="n"/>
      <c r="CH173" s="2" t="n"/>
      <c r="CI173" s="14">
        <f>CJ173&amp;CK173</f>
        <v/>
      </c>
      <c r="CY173" s="25" t="n"/>
      <c r="DA173" s="25" t="n"/>
      <c r="DC173" s="26" t="n"/>
      <c r="DD173" s="26" t="n"/>
      <c r="DE173" s="26" t="n"/>
      <c r="DF173" s="26" t="n"/>
      <c r="DG173" s="26" t="n"/>
      <c r="DH173" s="27" t="n"/>
      <c r="DJ173" s="211" t="inlineStr">
        <is>
          <t>订单表中未找到</t>
        </is>
      </c>
      <c r="DK173" t="inlineStr">
        <is>
          <t>—</t>
        </is>
      </c>
      <c r="DL173" t="inlineStr">
        <is>
          <t>—</t>
        </is>
      </c>
    </row>
    <row r="174" ht="15.75" customHeight="1" s="187">
      <c r="A174" s="84" t="n">
        <v>45827</v>
      </c>
      <c r="B174" s="206" t="inlineStr">
        <is>
          <t>已收货</t>
        </is>
      </c>
      <c r="C174" s="86" t="inlineStr">
        <is>
          <t>2618108367380124264</t>
        </is>
      </c>
      <c r="D174" s="87" t="inlineStr">
        <is>
          <t>熊遇全</t>
        </is>
      </c>
      <c r="E174" s="87" t="n"/>
      <c r="F174" s="87" t="n"/>
      <c r="G174" s="87" t="inlineStr">
        <is>
          <t>砂白色1.8米岩板餐桌</t>
        </is>
      </c>
      <c r="H174" s="87" t="inlineStr">
        <is>
          <t>榉木餐桌</t>
        </is>
      </c>
      <c r="I174" s="89" t="inlineStr">
        <is>
          <t>180cm*85cm</t>
        </is>
      </c>
      <c r="J174" s="87" t="inlineStr">
        <is>
          <t>已结算</t>
        </is>
      </c>
      <c r="K174" s="86" t="inlineStr">
        <is>
          <t>江西</t>
        </is>
      </c>
      <c r="L174" s="207">
        <f>SUM(M174:AO174)</f>
        <v/>
      </c>
      <c r="M174" s="207">
        <f>1540</f>
        <v/>
      </c>
      <c r="N174" s="207" t="n"/>
      <c r="O174" s="207" t="n"/>
      <c r="P174" s="207" t="n"/>
      <c r="Q174" s="207" t="n"/>
      <c r="R174" s="207" t="n">
        <v>240</v>
      </c>
      <c r="S174" s="207" t="n"/>
      <c r="T174" s="207" t="n"/>
      <c r="U174" s="207" t="n"/>
      <c r="V174" s="207" t="n"/>
      <c r="W174" s="207" t="n"/>
      <c r="X174" s="207" t="n"/>
      <c r="Y174" s="207" t="n"/>
      <c r="Z174" s="207" t="n"/>
      <c r="AA174" s="207" t="n"/>
      <c r="AB174" s="207" t="n"/>
      <c r="AC174" s="207" t="n"/>
      <c r="AD174" s="207" t="n">
        <v>2.5</v>
      </c>
      <c r="AE174" s="207" t="n"/>
      <c r="AF174" s="207" t="n"/>
      <c r="AG174" s="207" t="n"/>
      <c r="AH174" s="207" t="n"/>
      <c r="AI174" s="207" t="n"/>
      <c r="AJ174" s="207" t="n"/>
      <c r="AK174" s="207" t="n"/>
      <c r="AL174" s="207" t="n"/>
      <c r="AM174" s="207" t="n">
        <v>190</v>
      </c>
      <c r="AN174" s="207" t="n"/>
      <c r="AO174" s="207" t="n"/>
      <c r="AP174" s="207">
        <f>139-AQ174</f>
        <v/>
      </c>
      <c r="AQ174" s="207" t="n">
        <v>30</v>
      </c>
      <c r="AR174" s="207" t="n">
        <v>100</v>
      </c>
      <c r="AS174" s="207" t="n">
        <v>0</v>
      </c>
      <c r="AT174" s="207" t="n">
        <v>0</v>
      </c>
      <c r="AU174" s="207" t="n">
        <v>0</v>
      </c>
      <c r="AV174" s="207" t="n">
        <v>24</v>
      </c>
      <c r="AW174" s="207" t="n">
        <v>0</v>
      </c>
      <c r="AX174" s="208" t="n">
        <v>1</v>
      </c>
      <c r="AY174" s="209">
        <f>L174*AX174+AP174+AQ174+AR174+AV174+AW174+AS174+AT174+AU174</f>
        <v/>
      </c>
      <c r="AZ174" s="207" t="n">
        <v>2766.22</v>
      </c>
      <c r="BA174" s="207" t="n">
        <v>0</v>
      </c>
      <c r="BB174" s="207">
        <f>AZ174*0.026</f>
        <v/>
      </c>
      <c r="BC174" s="209">
        <f>AZ174+BA174-BB174</f>
        <v/>
      </c>
      <c r="BD174" s="207">
        <f>AT174+AU174</f>
        <v/>
      </c>
      <c r="BE174" s="207" t="n">
        <v>0</v>
      </c>
      <c r="BF174" s="209">
        <f>BD174+BE174</f>
        <v/>
      </c>
      <c r="BG174" s="209">
        <f>BC174-AY174+BF174</f>
        <v/>
      </c>
      <c r="BH174" s="87" t="inlineStr">
        <is>
          <t>熊遇全</t>
        </is>
      </c>
      <c r="BI174" s="210" t="inlineStr">
        <is>
          <t>湖南省 湘潭市 雨湖区 城正街街道 观湘门路58号城发潭州壹号院A6栋1502</t>
        </is>
      </c>
      <c r="BJ174" s="86" t="inlineStr">
        <is>
          <t>18472629383-8705</t>
        </is>
      </c>
      <c r="BK174" s="86" t="n"/>
      <c r="BL174" s="210">
        <f>BC174</f>
        <v/>
      </c>
      <c r="BM174" s="93" t="n"/>
      <c r="BN174" s="94" t="n"/>
      <c r="BO174" s="93" t="inlineStr">
        <is>
          <t>白色岩板1800*850</t>
        </is>
      </c>
      <c r="BP174" s="86" t="n"/>
      <c r="BQ174" s="96" t="inlineStr">
        <is>
          <t>熊遇全</t>
        </is>
      </c>
      <c r="BR174" s="96" t="inlineStr">
        <is>
          <t>12mm白色岩板 180*85，不打孔，安全角</t>
        </is>
      </c>
      <c r="BS174" s="97" t="n"/>
      <c r="BT174" s="96" t="n"/>
      <c r="BU174" s="97" t="n"/>
      <c r="BV174" s="96" t="n"/>
      <c r="BW174" s="97" t="n"/>
      <c r="BX174" s="97" t="n"/>
      <c r="BY174" s="97" t="n"/>
      <c r="BZ174" s="97" t="n"/>
      <c r="CA174" s="98" t="n"/>
      <c r="CH174" s="2" t="n"/>
      <c r="CI174" s="14">
        <f>CJ174&amp;CK174</f>
        <v/>
      </c>
      <c r="CY174" s="25" t="n"/>
      <c r="DA174" s="25" t="n"/>
      <c r="DC174" s="26" t="n"/>
      <c r="DD174" s="26" t="n"/>
      <c r="DE174" s="26" t="n"/>
      <c r="DF174" s="26" t="n"/>
      <c r="DG174" s="26" t="n"/>
      <c r="DH174" s="27" t="n"/>
      <c r="DJ174" s="211" t="inlineStr">
        <is>
          <t>订单表中未找到</t>
        </is>
      </c>
      <c r="DK174" t="inlineStr">
        <is>
          <t>—</t>
        </is>
      </c>
      <c r="DL174" t="inlineStr">
        <is>
          <t>—</t>
        </is>
      </c>
    </row>
    <row r="175" ht="15.75" customHeight="1" s="187">
      <c r="A175" s="84" t="n">
        <v>45828</v>
      </c>
      <c r="B175" s="206" t="inlineStr">
        <is>
          <t>已收货</t>
        </is>
      </c>
      <c r="C175" s="86" t="inlineStr">
        <is>
          <t>4397620932758818005</t>
        </is>
      </c>
      <c r="D175" s="87" t="inlineStr">
        <is>
          <t>台集运(932463)</t>
        </is>
      </c>
      <c r="E175" s="87" t="n"/>
      <c r="F175" s="87" t="n"/>
      <c r="G175" s="87" t="inlineStr">
        <is>
          <t>1.5榉木旋转柜： 1.5整柜+1.1单腿岩板餐桌</t>
        </is>
      </c>
      <c r="H175" s="86" t="inlineStr">
        <is>
          <t>旋转餐边柜</t>
        </is>
      </c>
      <c r="I175" s="89" t="n">
        <v>1500</v>
      </c>
      <c r="J175" s="87" t="inlineStr">
        <is>
          <t>已结算,长虹玻璃</t>
        </is>
      </c>
      <c r="K175" s="86" t="inlineStr">
        <is>
          <t>江西</t>
        </is>
      </c>
      <c r="L175" s="207">
        <f>4600+260+240+450+499.08+22*9+38+22+52+22+61</f>
        <v/>
      </c>
      <c r="M175" s="207">
        <f>4600</f>
        <v/>
      </c>
      <c r="N175" s="207" t="n"/>
      <c r="O175" s="207" t="n"/>
      <c r="P175" s="207" t="n"/>
      <c r="Q175" s="207" t="n"/>
      <c r="R175" s="207" t="n"/>
      <c r="S175" s="207" t="n"/>
      <c r="T175" s="207" t="n">
        <v>38</v>
      </c>
      <c r="U175" s="207" t="n"/>
      <c r="V175" s="207" t="n"/>
      <c r="W175" s="207" t="n">
        <v>22</v>
      </c>
      <c r="X175" s="207">
        <f>22*9</f>
        <v/>
      </c>
      <c r="Y175" s="207" t="n">
        <v>52</v>
      </c>
      <c r="Z175" s="207" t="n"/>
      <c r="AA175" s="207" t="n"/>
      <c r="AB175" s="207" t="n"/>
      <c r="AC175" s="207" t="n"/>
      <c r="AD175" s="207" t="n">
        <v>61</v>
      </c>
      <c r="AE175" s="207" t="n">
        <v>22</v>
      </c>
      <c r="AF175" s="207" t="n"/>
      <c r="AG175" s="207" t="n"/>
      <c r="AH175" s="207" t="n"/>
      <c r="AI175" s="207" t="n"/>
      <c r="AJ175" s="207" t="n"/>
      <c r="AK175" s="207" t="n"/>
      <c r="AL175" s="207" t="n"/>
      <c r="AM175" s="207" t="n">
        <v>450</v>
      </c>
      <c r="AN175" s="207" t="n"/>
      <c r="AO175" s="207" t="n">
        <v>260</v>
      </c>
      <c r="AP175" s="207">
        <f>406-AQ175</f>
        <v/>
      </c>
      <c r="AQ175" s="207" t="n">
        <v>40</v>
      </c>
      <c r="AR175" s="207" t="n">
        <v>0</v>
      </c>
      <c r="AS175" s="207" t="n">
        <v>0</v>
      </c>
      <c r="AT175" s="207" t="n">
        <v>0</v>
      </c>
      <c r="AU175" s="207" t="n">
        <v>0</v>
      </c>
      <c r="AV175" s="207" t="n">
        <v>107</v>
      </c>
      <c r="AW175" s="207" t="n">
        <v>457.55</v>
      </c>
      <c r="AX175" s="208" t="n">
        <v>1</v>
      </c>
      <c r="AY175" s="209">
        <f>L175*AX175+AP175+AQ175+AR175+AV175+AW175+AS175+AT175+AU175</f>
        <v/>
      </c>
      <c r="AZ175" s="207" t="n">
        <v>9398.549999999999</v>
      </c>
      <c r="BA175" s="207" t="n">
        <v>0</v>
      </c>
      <c r="BB175" s="207">
        <f>AZ175*0.026</f>
        <v/>
      </c>
      <c r="BC175" s="209">
        <f>AZ175+BA175-BB175</f>
        <v/>
      </c>
      <c r="BD175" s="207">
        <f>AT175+AU175</f>
        <v/>
      </c>
      <c r="BE175" s="207" t="n">
        <v>0</v>
      </c>
      <c r="BF175" s="209">
        <f>BD175+BE175</f>
        <v/>
      </c>
      <c r="BG175" s="209">
        <f>BC175-AY175+BF175</f>
        <v/>
      </c>
      <c r="BH175" s="87" t="inlineStr">
        <is>
          <t>台集运(932463)</t>
        </is>
      </c>
      <c r="BI175" s="210" t="inlineStr">
        <is>
          <t>福建省 漳州市 龙海区 东园镇 仓里路888号龙海普洛斯物流园A2库二层台集运</t>
        </is>
      </c>
      <c r="BJ175" s="86" t="inlineStr">
        <is>
          <t>886-18319011167</t>
        </is>
      </c>
      <c r="BK175" s="86" t="n"/>
      <c r="BL175" s="210">
        <f>BC175</f>
        <v/>
      </c>
      <c r="BM175" s="93" t="n"/>
      <c r="BN175" s="94" t="n"/>
      <c r="BO175" s="93" t="inlineStr">
        <is>
          <t>白色岩板1500*550，白色岩板1100*750， U80 美版插座，白色洞洞板，脚垫</t>
        </is>
      </c>
      <c r="BP175" s="86" t="n"/>
      <c r="BQ175" s="96" t="inlineStr">
        <is>
          <t>台集运(932463)</t>
        </is>
      </c>
      <c r="BR175" s="96" t="inlineStr">
        <is>
          <t>12mm白色岩板 150*55，打孔，安全角
12mm白色岩板 110*75，打孔，安全角</t>
        </is>
      </c>
      <c r="BS175" s="97" t="inlineStr">
        <is>
          <t>台集运(932463)</t>
        </is>
      </c>
      <c r="BT175" s="96" t="inlineStr">
        <is>
          <t>白色洞洞板145.8*60.8，右打孔</t>
        </is>
      </c>
      <c r="BU175" s="97" t="inlineStr">
        <is>
          <t>台集运(932463)</t>
        </is>
      </c>
      <c r="BV175" s="96" t="n"/>
      <c r="BW175" s="97" t="n"/>
      <c r="BX175" s="97" t="n"/>
      <c r="BY175" s="97" t="n"/>
      <c r="BZ175" s="97" t="n"/>
      <c r="CA175" s="98" t="n"/>
      <c r="CH175" s="2" t="n"/>
      <c r="CI175" s="14">
        <f>CJ175&amp;CK175</f>
        <v/>
      </c>
      <c r="CY175" s="25" t="n"/>
      <c r="DA175" s="25" t="n"/>
      <c r="DC175" s="26" t="n"/>
      <c r="DD175" s="26" t="n"/>
      <c r="DE175" s="26" t="n"/>
      <c r="DF175" s="26" t="n"/>
      <c r="DG175" s="26" t="n"/>
      <c r="DH175" s="27" t="n"/>
      <c r="DJ175" s="211" t="inlineStr">
        <is>
          <t>订单表中未找到</t>
        </is>
      </c>
      <c r="DK175" t="inlineStr">
        <is>
          <t>—</t>
        </is>
      </c>
      <c r="DL175" t="inlineStr">
        <is>
          <t>—</t>
        </is>
      </c>
    </row>
    <row r="176" ht="15.75" customHeight="1" s="187">
      <c r="A176" s="84" t="n">
        <v>45828</v>
      </c>
      <c r="B176" s="206" t="inlineStr">
        <is>
          <t>已收货</t>
        </is>
      </c>
      <c r="C176" s="86" t="inlineStr">
        <is>
          <t>2620018383473935652</t>
        </is>
      </c>
      <c r="D176" s="87" t="inlineStr">
        <is>
          <t>HohengG3935</t>
        </is>
      </c>
      <c r="E176" s="87" t="n"/>
      <c r="F176" s="87" t="n"/>
      <c r="G176" s="87" t="inlineStr">
        <is>
          <t>1.5樱桃木洞石餐边柜</t>
        </is>
      </c>
      <c r="H176" s="87" t="inlineStr">
        <is>
          <t>洞石餐边柜</t>
        </is>
      </c>
      <c r="I176" s="89" t="n">
        <v>1500</v>
      </c>
      <c r="J176" s="87" t="inlineStr">
        <is>
          <t>已结算,灰色玻璃</t>
        </is>
      </c>
      <c r="K176" s="86" t="inlineStr">
        <is>
          <t>江西</t>
        </is>
      </c>
      <c r="L176" s="207">
        <f>5400+499.05+300+540+38+52*2+14.5+300+22*4+280+1.16+3.37+1.1+1.03+5+22+100</f>
        <v/>
      </c>
      <c r="M176" s="207">
        <f>5400</f>
        <v/>
      </c>
      <c r="N176" s="207">
        <f>1.458*260+2*55+12</f>
        <v/>
      </c>
      <c r="O176" s="207" t="n"/>
      <c r="P176" s="207" t="n">
        <v>540</v>
      </c>
      <c r="Q176" s="207" t="n"/>
      <c r="R176" s="207" t="n">
        <v>38</v>
      </c>
      <c r="S176" s="207">
        <f>52*2</f>
        <v/>
      </c>
      <c r="T176" s="207" t="n">
        <v>14.5</v>
      </c>
      <c r="U176" s="207" t="n"/>
      <c r="V176" s="207" t="n"/>
      <c r="W176" s="207" t="n">
        <v>300</v>
      </c>
      <c r="X176" s="207">
        <f>22*4</f>
        <v/>
      </c>
      <c r="Y176" s="207" t="n">
        <v>280</v>
      </c>
      <c r="Z176" s="207">
        <f>3.5+14</f>
        <v/>
      </c>
      <c r="AA176" s="207" t="n"/>
      <c r="AB176" s="207" t="n"/>
      <c r="AC176" s="207" t="n">
        <v>7</v>
      </c>
      <c r="AD176" s="207" t="n">
        <v>3.37</v>
      </c>
      <c r="AE176" s="207" t="n">
        <v>1.16</v>
      </c>
      <c r="AF176" s="207" t="n">
        <v>1.1</v>
      </c>
      <c r="AG176" s="207" t="n"/>
      <c r="AH176" s="207" t="n"/>
      <c r="AI176" s="207" t="n"/>
      <c r="AJ176" s="207" t="n">
        <v>1.03</v>
      </c>
      <c r="AK176" s="207" t="n"/>
      <c r="AL176" s="207" t="n"/>
      <c r="AM176" s="207" t="n">
        <v>300</v>
      </c>
      <c r="AN176" s="207" t="n"/>
      <c r="AO176" s="207" t="n"/>
      <c r="AP176" s="207">
        <f>518-AQ176</f>
        <v/>
      </c>
      <c r="AQ176" s="207" t="n">
        <v>115</v>
      </c>
      <c r="AR176" s="207" t="n">
        <v>0</v>
      </c>
      <c r="AS176" s="207" t="n">
        <v>0</v>
      </c>
      <c r="AT176" s="207" t="n">
        <v>0</v>
      </c>
      <c r="AU176" s="207" t="n">
        <v>0</v>
      </c>
      <c r="AV176" s="207" t="n">
        <v>107</v>
      </c>
      <c r="AW176" s="207" t="n">
        <v>0</v>
      </c>
      <c r="AX176" s="208" t="n">
        <v>1</v>
      </c>
      <c r="AY176" s="209">
        <f>L176*AX176+AP176+AQ176+AR176+AV176+AW176+AS176+AT176+AU176</f>
        <v/>
      </c>
      <c r="AZ176" s="207" t="n">
        <v>10080.01</v>
      </c>
      <c r="BA176" s="207" t="n">
        <v>0</v>
      </c>
      <c r="BB176" s="207">
        <f>AZ176*0.026</f>
        <v/>
      </c>
      <c r="BC176" s="209">
        <f>AZ176+BA176-BB176</f>
        <v/>
      </c>
      <c r="BD176" s="207">
        <f>AT176+AU176</f>
        <v/>
      </c>
      <c r="BE176" s="207" t="n">
        <v>0</v>
      </c>
      <c r="BF176" s="209">
        <f>BD176+BE176</f>
        <v/>
      </c>
      <c r="BG176" s="209">
        <f>BC176-AY176+BF176</f>
        <v/>
      </c>
      <c r="BH176" s="87" t="inlineStr">
        <is>
          <t>HohengG3935</t>
        </is>
      </c>
      <c r="BI176" s="210" t="inlineStr">
        <is>
          <t>广东省 佛山市 南海区 狮山镇广东省 佛山市 南海区 狮山镇 塘新三路12号C区 G3935单元</t>
        </is>
      </c>
      <c r="BJ176" s="86" t="inlineStr">
        <is>
          <t>13202484957-9910，</t>
        </is>
      </c>
      <c r="BK176" s="86" t="n"/>
      <c r="BL176" s="210">
        <f>BC176</f>
        <v/>
      </c>
      <c r="BM176" s="93" t="n"/>
      <c r="BN176" s="94" t="n"/>
      <c r="BO176" s="93" t="inlineStr">
        <is>
          <t>洞石岩板：1500*500  T25银色1.458+4英式插座</t>
        </is>
      </c>
      <c r="BP176" s="86" t="inlineStr">
        <is>
          <t>黑色塑料轨道双轨上下1100
银色轨道1460*2</t>
        </is>
      </c>
      <c r="BQ176" s="96" t="inlineStr">
        <is>
          <t>HohengG3935</t>
        </is>
      </c>
      <c r="BR176" s="96" t="inlineStr">
        <is>
          <t>洞石岩板三面下挂150*50，打孔</t>
        </is>
      </c>
      <c r="BS176" s="97" t="inlineStr">
        <is>
          <t>HohengG3935</t>
        </is>
      </c>
      <c r="BT176" s="96" t="inlineStr">
        <is>
          <t>洞石背板+转换器</t>
        </is>
      </c>
      <c r="BU176" s="97" t="inlineStr">
        <is>
          <t>HohengG3935</t>
        </is>
      </c>
      <c r="BV176" s="96" t="n"/>
      <c r="BW176" s="97" t="n"/>
      <c r="BX176" s="97" t="n"/>
      <c r="BY176" s="97" t="n"/>
      <c r="BZ176" s="97" t="n"/>
      <c r="CA176" s="98" t="n"/>
      <c r="CH176" s="2" t="n"/>
      <c r="CI176" s="14">
        <f>CJ176&amp;CK176</f>
        <v/>
      </c>
      <c r="CY176" s="25" t="n"/>
      <c r="DA176" s="25" t="n"/>
      <c r="DC176" s="26" t="n"/>
      <c r="DD176" s="26" t="n"/>
      <c r="DE176" s="26" t="n"/>
      <c r="DF176" s="26" t="n"/>
      <c r="DG176" s="26" t="n"/>
      <c r="DH176" s="27" t="n"/>
      <c r="DJ176" s="211" t="inlineStr">
        <is>
          <t>订单表中未找到</t>
        </is>
      </c>
      <c r="DK176" t="inlineStr">
        <is>
          <t>—</t>
        </is>
      </c>
      <c r="DL176" t="inlineStr">
        <is>
          <t>—</t>
        </is>
      </c>
    </row>
    <row r="177" ht="15.75" customHeight="1" s="187">
      <c r="A177" s="84" t="n">
        <v>45828</v>
      </c>
      <c r="B177" s="206" t="inlineStr">
        <is>
          <t>已收货</t>
        </is>
      </c>
      <c r="C177" s="86" t="inlineStr">
        <is>
          <t>4397891655342861633</t>
        </is>
      </c>
      <c r="D177" s="87" t="inlineStr">
        <is>
          <t>刘鑫</t>
        </is>
      </c>
      <c r="E177" s="87" t="n"/>
      <c r="F177" s="87" t="n"/>
      <c r="G177" s="87" t="inlineStr">
        <is>
          <t>1.5樱桃木背板餐边柜*2</t>
        </is>
      </c>
      <c r="H177" s="87" t="inlineStr">
        <is>
          <t>洞石餐边柜</t>
        </is>
      </c>
      <c r="I177" s="89" t="n"/>
      <c r="J177" s="87" t="inlineStr">
        <is>
          <t>已结算,灰色玻璃</t>
        </is>
      </c>
      <c r="K177" s="86" t="inlineStr">
        <is>
          <t>江西</t>
        </is>
      </c>
      <c r="L177" s="207">
        <f>10400+(499.05+240+38+52*2+14.5*2+22*4+1.16+3.37+1.1+1.03+5+22+100)*2+700</f>
        <v/>
      </c>
      <c r="M177" s="207">
        <f>10400</f>
        <v/>
      </c>
      <c r="N177" s="207" t="inlineStr">
        <is>
          <t>(499.05</t>
        </is>
      </c>
      <c r="O177" s="207" t="n">
        <v>240</v>
      </c>
      <c r="P177" s="207" t="n">
        <v>38</v>
      </c>
      <c r="Q177" s="207" t="n"/>
      <c r="R177" s="207" t="inlineStr">
        <is>
          <t>52*2</t>
        </is>
      </c>
      <c r="S177" s="207" t="inlineStr">
        <is>
          <t>14.5*2</t>
        </is>
      </c>
      <c r="T177" s="207" t="inlineStr">
        <is>
          <t>22*4</t>
        </is>
      </c>
      <c r="U177" s="207" t="n"/>
      <c r="V177" s="207" t="n"/>
      <c r="W177" s="207" t="n">
        <v>1.16</v>
      </c>
      <c r="X177" s="207" t="n">
        <v>3.37</v>
      </c>
      <c r="Y177" s="207" t="n">
        <v>1.1</v>
      </c>
      <c r="Z177" s="207" t="n"/>
      <c r="AA177" s="207" t="n"/>
      <c r="AB177" s="207" t="n"/>
      <c r="AC177" s="207" t="n">
        <v>700</v>
      </c>
      <c r="AD177" s="207" t="n">
        <v>5</v>
      </c>
      <c r="AE177" s="207" t="n">
        <v>1.03</v>
      </c>
      <c r="AF177" s="207" t="n">
        <v>22</v>
      </c>
      <c r="AG177" s="207" t="n"/>
      <c r="AH177" s="207" t="n"/>
      <c r="AI177" s="207" t="n"/>
      <c r="AJ177" s="207" t="inlineStr">
        <is>
          <t>100)*2</t>
        </is>
      </c>
      <c r="AK177" s="207" t="n"/>
      <c r="AL177" s="207" t="n"/>
      <c r="AM177" s="207" t="n">
        <v>700</v>
      </c>
      <c r="AN177" s="207" t="n"/>
      <c r="AO177" s="207" t="n"/>
      <c r="AP177" s="207">
        <f>1245-AQ177+100</f>
        <v/>
      </c>
      <c r="AQ177" s="207" t="n">
        <v>107.3</v>
      </c>
      <c r="AR177" s="207" t="n">
        <v>188</v>
      </c>
      <c r="AS177" s="207" t="n">
        <v>0</v>
      </c>
      <c r="AT177" s="207" t="n">
        <v>0</v>
      </c>
      <c r="AU177" s="207" t="n">
        <v>0</v>
      </c>
      <c r="AV177" s="207">
        <f>AV176*2</f>
        <v/>
      </c>
      <c r="AW177" s="207" t="n">
        <v>0</v>
      </c>
      <c r="AX177" s="208" t="n">
        <v>1</v>
      </c>
      <c r="AY177" s="209">
        <f>L177*AX177+AP177+AQ177+AR177+AV177+AW177+AS177+AT177+AU177</f>
        <v/>
      </c>
      <c r="AZ177" s="207" t="n">
        <v>19727</v>
      </c>
      <c r="BA177" s="207" t="n">
        <v>0</v>
      </c>
      <c r="BB177" s="207">
        <f>AZ177*0.026</f>
        <v/>
      </c>
      <c r="BC177" s="209">
        <f>AZ177+BA177-BB177</f>
        <v/>
      </c>
      <c r="BD177" s="207">
        <f>AT177+AU177</f>
        <v/>
      </c>
      <c r="BE177" s="207" t="n">
        <v>0</v>
      </c>
      <c r="BF177" s="209">
        <f>BD177+BE177</f>
        <v/>
      </c>
      <c r="BG177" s="209">
        <f>BC177-AY177+BF177</f>
        <v/>
      </c>
      <c r="BH177" s="87" t="inlineStr">
        <is>
          <t>刘鑫</t>
        </is>
      </c>
      <c r="BI177" s="210" t="inlineStr">
        <is>
          <t>陕西省 西安市 长安区 郭杜街道 星虹路与启创路交叉口云熙港东区3栋</t>
        </is>
      </c>
      <c r="BJ177" s="86" t="inlineStr">
        <is>
          <t>15623546008-6701</t>
        </is>
      </c>
      <c r="BK177" s="86" t="n"/>
      <c r="BL177" s="210">
        <f>BC177</f>
        <v/>
      </c>
      <c r="BM177" s="93" t="n"/>
      <c r="BN177" s="94" t="n"/>
      <c r="BO177" s="93" t="inlineStr">
        <is>
          <t>黑色岩板：1500*500 两个  T25黑色1.458+4插座</t>
        </is>
      </c>
      <c r="BP177" s="86" t="inlineStr">
        <is>
          <t>黑色塑料轨道双轨上下1100*2
黑色轨道1460*4</t>
        </is>
      </c>
      <c r="BQ177" s="96" t="inlineStr">
        <is>
          <t>刘鑫</t>
        </is>
      </c>
      <c r="BR177" s="96" t="inlineStr">
        <is>
          <t>12mm黑色岩板 150*50，打孔，安全角，*2张</t>
        </is>
      </c>
      <c r="BS177" s="97" t="n"/>
      <c r="BT177" s="96" t="n"/>
      <c r="BU177" s="97" t="inlineStr">
        <is>
          <t>刘鑫</t>
        </is>
      </c>
      <c r="BV177" s="96" t="n"/>
      <c r="BW177" s="97" t="n"/>
      <c r="BX177" s="97" t="n"/>
      <c r="BY177" s="97" t="n"/>
      <c r="BZ177" s="97" t="n"/>
      <c r="CA177" s="98" t="n"/>
      <c r="CH177" s="2" t="n"/>
      <c r="CI177" s="14">
        <f>CJ177&amp;CK177</f>
        <v/>
      </c>
      <c r="CY177" s="25" t="n"/>
      <c r="DA177" s="25" t="n"/>
      <c r="DC177" s="26" t="n"/>
      <c r="DD177" s="26" t="n"/>
      <c r="DE177" s="26" t="n"/>
      <c r="DF177" s="26" t="n"/>
      <c r="DG177" s="26" t="n"/>
      <c r="DH177" s="27" t="n"/>
      <c r="DJ177" s="211" t="inlineStr">
        <is>
          <t>订单表中未找到</t>
        </is>
      </c>
      <c r="DK177" t="inlineStr">
        <is>
          <t>—</t>
        </is>
      </c>
      <c r="DL177" t="inlineStr">
        <is>
          <t>—</t>
        </is>
      </c>
    </row>
    <row r="178" ht="15.75" customHeight="1" s="187">
      <c r="A178" s="84" t="n">
        <v>45828</v>
      </c>
      <c r="B178" s="206" t="inlineStr">
        <is>
          <t>已收货</t>
        </is>
      </c>
      <c r="C178" s="86" t="inlineStr">
        <is>
          <t>2620643556167471270</t>
        </is>
      </c>
      <c r="D178" s="87" t="inlineStr">
        <is>
          <t>郑先生</t>
        </is>
      </c>
      <c r="E178" s="87" t="n"/>
      <c r="F178" s="87" t="n"/>
      <c r="G178" s="207" t="inlineStr">
        <is>
          <t>窄柜-整柜洞石背板-0.8米</t>
        </is>
      </c>
      <c r="H178" s="207" t="inlineStr">
        <is>
          <t>樱桃木窄柜</t>
        </is>
      </c>
      <c r="I178" s="89" t="n">
        <v>800</v>
      </c>
      <c r="J178" s="87" t="inlineStr">
        <is>
          <t>已结算</t>
        </is>
      </c>
      <c r="K178" s="86" t="inlineStr">
        <is>
          <t>庄毅</t>
        </is>
      </c>
      <c r="L178" s="207">
        <f>SUM(M178:AO178)</f>
        <v/>
      </c>
      <c r="M178" s="207" t="n">
        <v>3100</v>
      </c>
      <c r="N178" s="207">
        <f>0.758*260+2*55</f>
        <v/>
      </c>
      <c r="O178" s="207">
        <f>115</f>
        <v/>
      </c>
      <c r="P178" s="207" t="n"/>
      <c r="Q178" s="207">
        <f>15*2</f>
        <v/>
      </c>
      <c r="R178" s="207">
        <f>230+100/15</f>
        <v/>
      </c>
      <c r="S178" s="207" t="n">
        <v>54.9</v>
      </c>
      <c r="T178" s="207" t="n"/>
      <c r="U178" s="207" t="n"/>
      <c r="V178" s="207" t="n">
        <v>4</v>
      </c>
      <c r="W178" s="207" t="n"/>
      <c r="X178" s="207" t="n"/>
      <c r="Y178" s="207" t="n"/>
      <c r="Z178" s="207" t="n"/>
      <c r="AA178" s="207" t="n"/>
      <c r="AB178" s="207" t="n"/>
      <c r="AC178" s="207" t="n">
        <v>3.5</v>
      </c>
      <c r="AD178" s="207" t="n"/>
      <c r="AE178" s="207" t="n">
        <v>3</v>
      </c>
      <c r="AF178" s="207" t="n"/>
      <c r="AG178" s="207" t="n"/>
      <c r="AH178" s="207" t="n"/>
      <c r="AI178" s="207" t="n"/>
      <c r="AJ178" s="207" t="n">
        <v>1.2</v>
      </c>
      <c r="AK178" s="207" t="n"/>
      <c r="AL178" s="207" t="n"/>
      <c r="AM178" s="207" t="n"/>
      <c r="AN178" s="207" t="n"/>
      <c r="AO178" s="207" t="n"/>
      <c r="AP178" s="207" t="n">
        <v>274</v>
      </c>
      <c r="AQ178" s="207" t="n">
        <v>0</v>
      </c>
      <c r="AR178" s="207" t="n">
        <v>80</v>
      </c>
      <c r="AS178" s="207" t="n">
        <v>0</v>
      </c>
      <c r="AT178" s="207" t="n">
        <v>260</v>
      </c>
      <c r="AU178" s="207" t="n">
        <v>0</v>
      </c>
      <c r="AV178" s="207" t="n">
        <v>0</v>
      </c>
      <c r="AW178" s="207" t="n">
        <v>0</v>
      </c>
      <c r="AX178" s="208" t="n">
        <v>1</v>
      </c>
      <c r="AY178" s="209">
        <f>L178*AX178+AP178+AQ178+AR178+AV178+AW178+AS178+AT178+AU178</f>
        <v/>
      </c>
      <c r="AZ178" s="207" t="n">
        <v>4756.44</v>
      </c>
      <c r="BA178" s="207" t="n">
        <v>0</v>
      </c>
      <c r="BB178" s="207">
        <f>AZ178*0.026</f>
        <v/>
      </c>
      <c r="BC178" s="209">
        <f>AZ178+BA178-BB178</f>
        <v/>
      </c>
      <c r="BD178" s="207">
        <f>AT178+AU178</f>
        <v/>
      </c>
      <c r="BE178" s="207" t="n">
        <v>0</v>
      </c>
      <c r="BF178" s="209">
        <f>BD178+BE178</f>
        <v/>
      </c>
      <c r="BG178" s="209">
        <f>BC178-AY178+BF178</f>
        <v/>
      </c>
      <c r="BH178" s="87" t="inlineStr">
        <is>
          <t>郑先生</t>
        </is>
      </c>
      <c r="BI178" s="210" t="inlineStr">
        <is>
          <t>江苏省 南京市 浦口区 江浦街道 横江大道中海左岸澜庭7栋2402</t>
        </is>
      </c>
      <c r="BJ178" s="86" t="inlineStr">
        <is>
          <t>15780620259-3880</t>
        </is>
      </c>
      <c r="BK178" s="86" t="n"/>
      <c r="BL178" s="210">
        <f>BC178</f>
        <v/>
      </c>
      <c r="BM178" s="93" t="n"/>
      <c r="BN178" s="94" t="n"/>
      <c r="BO178" s="93" t="inlineStr">
        <is>
          <t>0.758银色 T25  银色轨道  洞石背板</t>
        </is>
      </c>
      <c r="BP178" s="86" t="inlineStr">
        <is>
          <t>黑色塑料轨道双轨上下800
银色轨道760*2</t>
        </is>
      </c>
      <c r="BQ178" s="96" t="inlineStr">
        <is>
          <t>郑先生</t>
        </is>
      </c>
      <c r="BR178" s="96" t="inlineStr">
        <is>
          <t>12mm洞石岩板 80*48，打孔，安全角</t>
        </is>
      </c>
      <c r="BS178" s="97" t="n"/>
      <c r="BT178" s="96" t="n"/>
      <c r="BU178" s="97" t="inlineStr">
        <is>
          <t>郑先生</t>
        </is>
      </c>
      <c r="BV178" s="96" t="n"/>
      <c r="BW178" s="97" t="n"/>
      <c r="BX178" s="97" t="n"/>
      <c r="BY178" s="97" t="n"/>
      <c r="BZ178" s="97" t="n"/>
      <c r="CA178" s="98" t="n"/>
      <c r="CH178" s="2" t="n"/>
      <c r="CI178" s="14">
        <f>CJ178&amp;CK178</f>
        <v/>
      </c>
      <c r="CY178" s="25" t="n"/>
      <c r="DA178" s="25" t="n"/>
      <c r="DC178" s="26" t="n"/>
      <c r="DD178" s="26" t="n"/>
      <c r="DE178" s="26" t="n"/>
      <c r="DF178" s="26" t="n"/>
      <c r="DG178" s="26" t="n"/>
      <c r="DH178" s="27" t="n"/>
      <c r="DJ178" s="211" t="inlineStr">
        <is>
          <t>订单表中未找到</t>
        </is>
      </c>
      <c r="DK178" t="inlineStr">
        <is>
          <t>—</t>
        </is>
      </c>
      <c r="DL178" t="inlineStr">
        <is>
          <t>—</t>
        </is>
      </c>
    </row>
    <row r="179" ht="15.75" customHeight="1" s="187">
      <c r="A179" s="84" t="n">
        <v>45829</v>
      </c>
      <c r="B179" s="206" t="inlineStr">
        <is>
          <t>已收货</t>
        </is>
      </c>
      <c r="C179" s="86" t="inlineStr">
        <is>
          <t>2621548488649521872</t>
        </is>
      </c>
      <c r="D179" s="87" t="inlineStr">
        <is>
          <t>戚玲佩</t>
        </is>
      </c>
      <c r="E179" s="87" t="n"/>
      <c r="F179" s="87" t="n"/>
      <c r="G179" s="87" t="inlineStr">
        <is>
          <t>补拼柜差价</t>
        </is>
      </c>
      <c r="H179" s="220" t="n"/>
      <c r="I179" s="89" t="n"/>
      <c r="J179" s="87" t="inlineStr">
        <is>
          <t>已结算</t>
        </is>
      </c>
      <c r="K179" s="86" t="inlineStr">
        <is>
          <t>江西</t>
        </is>
      </c>
      <c r="L179" s="207" t="n">
        <v>0</v>
      </c>
      <c r="M179" s="207" t="n">
        <v>0</v>
      </c>
      <c r="N179" s="207" t="n"/>
      <c r="O179" s="207" t="n"/>
      <c r="P179" s="207" t="n"/>
      <c r="Q179" s="207" t="n"/>
      <c r="R179" s="207" t="n"/>
      <c r="S179" s="207" t="n"/>
      <c r="T179" s="207" t="n"/>
      <c r="U179" s="207" t="n"/>
      <c r="V179" s="207" t="n"/>
      <c r="W179" s="207" t="n"/>
      <c r="X179" s="207" t="n"/>
      <c r="Y179" s="207" t="n"/>
      <c r="Z179" s="207" t="n"/>
      <c r="AA179" s="207" t="n"/>
      <c r="AB179" s="207" t="n"/>
      <c r="AC179" s="207" t="n"/>
      <c r="AD179" s="207" t="n"/>
      <c r="AE179" s="207" t="n"/>
      <c r="AF179" s="207" t="n"/>
      <c r="AG179" s="207" t="n"/>
      <c r="AH179" s="207" t="n"/>
      <c r="AI179" s="207" t="n"/>
      <c r="AJ179" s="207" t="n"/>
      <c r="AK179" s="207" t="n"/>
      <c r="AL179" s="207" t="n"/>
      <c r="AM179" s="207" t="n"/>
      <c r="AN179" s="207" t="n"/>
      <c r="AO179" s="207" t="n"/>
      <c r="AP179" s="207" t="n"/>
      <c r="AQ179" s="207" t="n"/>
      <c r="AR179" s="207" t="n"/>
      <c r="AS179" s="207" t="n"/>
      <c r="AT179" s="207" t="n"/>
      <c r="AU179" s="207" t="n"/>
      <c r="AV179" s="207" t="n"/>
      <c r="AW179" s="207" t="n"/>
      <c r="AX179" s="208" t="n">
        <v>1</v>
      </c>
      <c r="AY179" s="209">
        <f>L179*AX179+AP179+AQ179+AR179+AV179+AW179+AS179+AT179+AU179</f>
        <v/>
      </c>
      <c r="AZ179" s="207" t="n">
        <v>355</v>
      </c>
      <c r="BA179" s="207" t="n">
        <v>0</v>
      </c>
      <c r="BB179" s="207">
        <f>AZ179*0.026</f>
        <v/>
      </c>
      <c r="BC179" s="209">
        <f>AZ179+BA179-BB179</f>
        <v/>
      </c>
      <c r="BD179" s="207" t="n">
        <v>0</v>
      </c>
      <c r="BE179" s="207" t="n">
        <v>0</v>
      </c>
      <c r="BF179" s="209">
        <f>BD179+BE179</f>
        <v/>
      </c>
      <c r="BG179" s="209">
        <f>BC179-AY179+BF179</f>
        <v/>
      </c>
      <c r="BH179" s="87" t="inlineStr">
        <is>
          <t>戚玲佩</t>
        </is>
      </c>
      <c r="BI179" s="210" t="inlineStr">
        <is>
          <t>浙江省 温州市 鹿城区 五马街道江滨西路东江锦园10栋2401室</t>
        </is>
      </c>
      <c r="BJ179" s="86" t="inlineStr">
        <is>
          <t>18413500443-6429</t>
        </is>
      </c>
      <c r="BK179" s="86" t="n"/>
      <c r="BL179" s="210">
        <f>BC179</f>
        <v/>
      </c>
      <c r="BM179" s="93" t="n"/>
      <c r="BN179" s="94" t="n"/>
      <c r="BO179" s="93" t="n"/>
      <c r="BP179" s="86" t="n"/>
      <c r="BQ179" s="96" t="n"/>
      <c r="BR179" s="96" t="n"/>
      <c r="BS179" s="97" t="n"/>
      <c r="BT179" s="96" t="n"/>
      <c r="BU179" s="97" t="n"/>
      <c r="BV179" s="96" t="n"/>
      <c r="BW179" s="97" t="n"/>
      <c r="BX179" s="97" t="n"/>
      <c r="BY179" s="97" t="n"/>
      <c r="BZ179" s="97" t="n"/>
      <c r="CA179" s="98" t="n"/>
      <c r="CH179" s="2" t="n"/>
      <c r="CI179" s="14" t="n"/>
      <c r="CY179" s="25" t="n"/>
      <c r="DA179" s="25" t="n"/>
      <c r="DC179" s="26" t="n"/>
      <c r="DD179" s="26" t="n"/>
      <c r="DE179" s="26" t="n"/>
      <c r="DF179" s="26" t="n"/>
      <c r="DG179" s="26" t="n"/>
      <c r="DH179" s="27" t="n"/>
      <c r="DJ179" s="211" t="inlineStr">
        <is>
          <t>订单表中未找到</t>
        </is>
      </c>
      <c r="DK179" t="inlineStr">
        <is>
          <t>—</t>
        </is>
      </c>
      <c r="DL179" t="inlineStr">
        <is>
          <t>—</t>
        </is>
      </c>
    </row>
    <row r="180" ht="15.75" customHeight="1" s="187">
      <c r="A180" s="84" t="n">
        <v>45832</v>
      </c>
      <c r="B180" s="206" t="inlineStr">
        <is>
          <t>已收货</t>
        </is>
      </c>
      <c r="C180" s="86" t="inlineStr">
        <is>
          <t>2626561669627771776</t>
        </is>
      </c>
      <c r="D180" s="87" t="inlineStr">
        <is>
          <t>谭小姐</t>
        </is>
      </c>
      <c r="E180" s="87" t="n"/>
      <c r="F180" s="87" t="n"/>
      <c r="G180" s="207" t="inlineStr">
        <is>
          <t>曜黑柜-整柜-2.065米-定制</t>
        </is>
      </c>
      <c r="H180" s="86" t="inlineStr">
        <is>
          <t>曜黑餐边柜</t>
        </is>
      </c>
      <c r="I180" s="89" t="n">
        <v>2065</v>
      </c>
      <c r="J180" s="87" t="inlineStr">
        <is>
          <t>已结算,超透玻璃</t>
        </is>
      </c>
      <c r="K180" s="86" t="inlineStr">
        <is>
          <t>江西</t>
        </is>
      </c>
      <c r="L180" s="207">
        <f>9800+360+22*3+652.4+44+46+20+2550/6/1.5+2.025*15+30+25+2.5+30+12*3+52</f>
        <v/>
      </c>
      <c r="M180" s="207">
        <f>9800</f>
        <v/>
      </c>
      <c r="N180" s="207" t="n">
        <v>360</v>
      </c>
      <c r="O180" s="207" t="inlineStr">
        <is>
          <t>22*3</t>
        </is>
      </c>
      <c r="P180" s="207" t="n">
        <v>652.4</v>
      </c>
      <c r="Q180" s="207" t="n"/>
      <c r="R180" s="207" t="n">
        <v>44</v>
      </c>
      <c r="S180" s="207" t="n">
        <v>46</v>
      </c>
      <c r="T180" s="207" t="n">
        <v>20</v>
      </c>
      <c r="U180" s="207" t="n"/>
      <c r="V180" s="207" t="n"/>
      <c r="W180" s="207" t="inlineStr">
        <is>
          <t>2550/6/1.5</t>
        </is>
      </c>
      <c r="X180" s="207" t="inlineStr">
        <is>
          <t>2.025*15</t>
        </is>
      </c>
      <c r="Y180" s="207" t="n">
        <v>30</v>
      </c>
      <c r="Z180" s="207" t="n"/>
      <c r="AA180" s="207" t="n"/>
      <c r="AB180" s="207" t="n"/>
      <c r="AC180" s="207" t="n">
        <v>52</v>
      </c>
      <c r="AD180" s="207" t="n"/>
      <c r="AE180" s="207" t="n">
        <v>25</v>
      </c>
      <c r="AF180" s="207" t="n">
        <v>30</v>
      </c>
      <c r="AG180" s="207" t="n"/>
      <c r="AH180" s="207" t="n"/>
      <c r="AI180" s="207" t="n"/>
      <c r="AJ180" s="207" t="inlineStr">
        <is>
          <t>12*3</t>
        </is>
      </c>
      <c r="AK180" s="207" t="n"/>
      <c r="AL180" s="207" t="n"/>
      <c r="AM180" s="207" t="n">
        <v>370</v>
      </c>
      <c r="AN180" s="207" t="n"/>
      <c r="AO180" s="207" t="n"/>
      <c r="AP180" s="207">
        <f>602-AQ180-68.4-255</f>
        <v/>
      </c>
      <c r="AQ180" s="207" t="n">
        <v>68.40000000000001</v>
      </c>
      <c r="AR180" s="207" t="n">
        <v>168</v>
      </c>
      <c r="AS180" s="207" t="n">
        <v>0</v>
      </c>
      <c r="AT180" s="207">
        <f>120+255+177</f>
        <v/>
      </c>
      <c r="AU180" s="207" t="n">
        <v>0</v>
      </c>
      <c r="AV180" s="207" t="n">
        <v>132</v>
      </c>
      <c r="AW180" s="207" t="n">
        <v>100</v>
      </c>
      <c r="AX180" s="208" t="n">
        <v>1</v>
      </c>
      <c r="AY180" s="209">
        <f>L180*AX180+AP180+AQ180+AR180+AV180+AW180+AS180+AT180+AU180</f>
        <v/>
      </c>
      <c r="AZ180" s="207" t="n">
        <v>14700</v>
      </c>
      <c r="BA180" s="207" t="n">
        <v>0</v>
      </c>
      <c r="BB180" s="207">
        <f>AZ180*0.026</f>
        <v/>
      </c>
      <c r="BC180" s="209">
        <f>AZ180+BA180-BB180</f>
        <v/>
      </c>
      <c r="BD180" s="207" t="n">
        <v>0</v>
      </c>
      <c r="BE180" s="207" t="n">
        <v>0</v>
      </c>
      <c r="BF180" s="209">
        <f>BD180+BE180</f>
        <v/>
      </c>
      <c r="BG180" s="209">
        <f>BC180-AY180+BF180</f>
        <v/>
      </c>
      <c r="BH180" s="87" t="inlineStr">
        <is>
          <t>谭小姐</t>
        </is>
      </c>
      <c r="BI180" s="210" t="inlineStr">
        <is>
          <t>广东省 湛江市 赤坎区 经济技术开发区人民大道北2号大中城市花园1号楼2单元304房</t>
        </is>
      </c>
      <c r="BJ180" s="86" t="inlineStr">
        <is>
          <t>13249637062-8184</t>
        </is>
      </c>
      <c r="BK180" s="86" t="n"/>
      <c r="BL180" s="210">
        <f>BC180</f>
        <v/>
      </c>
      <c r="BM180" s="93" t="n"/>
      <c r="BN180" s="94" t="n"/>
      <c r="BO180" s="93" t="inlineStr">
        <is>
          <t>黑色岩板：2065*480  T25黑色1.458+4插座</t>
        </is>
      </c>
      <c r="BP180" s="86" t="inlineStr">
        <is>
          <t>黑色塑料轨道双轨上下1500
银色轨道2015*2</t>
        </is>
      </c>
      <c r="BQ180" s="96" t="inlineStr">
        <is>
          <t>谭小姐</t>
        </is>
      </c>
      <c r="BR180" s="96" t="inlineStr">
        <is>
          <t>12mm黑色岩板206.5*48，打孔，安全角</t>
        </is>
      </c>
      <c r="BS180" s="97" t="inlineStr">
        <is>
          <t>记得走水孔</t>
        </is>
      </c>
      <c r="BT180" s="96" t="n"/>
      <c r="BU180" s="97" t="inlineStr">
        <is>
          <t>谭小姐</t>
        </is>
      </c>
      <c r="BV180" s="96" t="n"/>
      <c r="BW180" s="97" t="n"/>
      <c r="BX180" s="97" t="n"/>
      <c r="BY180" s="97" t="n"/>
      <c r="BZ180" s="97" t="n"/>
      <c r="CA180" s="98" t="n"/>
      <c r="CH180" s="2" t="n"/>
      <c r="CI180" s="14">
        <f>CJ180&amp;CK180</f>
        <v/>
      </c>
      <c r="CY180" s="25" t="n"/>
      <c r="DA180" s="25" t="n"/>
      <c r="DC180" s="26" t="n"/>
      <c r="DD180" s="26" t="n"/>
      <c r="DE180" s="26" t="n"/>
      <c r="DF180" s="26" t="n"/>
      <c r="DG180" s="26" t="n"/>
      <c r="DH180" s="27" t="n"/>
      <c r="DJ180" s="211" t="inlineStr">
        <is>
          <t>订单表中未找到</t>
        </is>
      </c>
      <c r="DK180" t="inlineStr">
        <is>
          <t>—</t>
        </is>
      </c>
      <c r="DL180" t="inlineStr">
        <is>
          <t>—</t>
        </is>
      </c>
    </row>
    <row r="181" ht="15.75" customHeight="1" s="187">
      <c r="A181" s="84" t="n">
        <v>45838</v>
      </c>
      <c r="B181" s="206" t="inlineStr">
        <is>
          <t>已收货</t>
        </is>
      </c>
      <c r="C181" s="86" t="inlineStr">
        <is>
          <t>2806684896045714861</t>
        </is>
      </c>
      <c r="D181" s="87" t="inlineStr">
        <is>
          <t>高丽</t>
        </is>
      </c>
      <c r="E181" s="87" t="n"/>
      <c r="F181" s="87" t="n"/>
      <c r="G181" s="87" t="inlineStr">
        <is>
          <t>洞石樱桃木柜：2100*500</t>
        </is>
      </c>
      <c r="H181" s="87" t="inlineStr">
        <is>
          <t>洞石餐边柜</t>
        </is>
      </c>
      <c r="I181" s="89" t="n">
        <v>2100</v>
      </c>
      <c r="J181" s="87" t="inlineStr">
        <is>
          <t>已结算,灰色玻璃</t>
        </is>
      </c>
      <c r="K181" s="86" t="inlineStr">
        <is>
          <t>江西</t>
        </is>
      </c>
      <c r="L181" s="207">
        <f>6300+40+115+320+22*7+14+8.5+7+657.08+52*2+14+2040/6/1.5+4.82</f>
        <v/>
      </c>
      <c r="M181" s="207">
        <f>6300</f>
        <v/>
      </c>
      <c r="N181" s="207" t="n">
        <v>40</v>
      </c>
      <c r="O181" s="207" t="n">
        <v>115</v>
      </c>
      <c r="P181" s="207" t="n">
        <v>320</v>
      </c>
      <c r="Q181" s="207" t="n"/>
      <c r="R181" s="207" t="inlineStr">
        <is>
          <t>22*7</t>
        </is>
      </c>
      <c r="S181" s="207" t="n">
        <v>14</v>
      </c>
      <c r="T181" s="207" t="n">
        <v>8.5</v>
      </c>
      <c r="U181" s="207" t="n"/>
      <c r="V181" s="207" t="n"/>
      <c r="W181" s="207" t="n">
        <v>7</v>
      </c>
      <c r="X181" s="207" t="n">
        <v>657.08</v>
      </c>
      <c r="Y181" s="207" t="inlineStr">
        <is>
          <t>52*2</t>
        </is>
      </c>
      <c r="Z181" s="207">
        <f>3.5+14</f>
        <v/>
      </c>
      <c r="AA181" s="207" t="n"/>
      <c r="AB181" s="207" t="n"/>
      <c r="AC181" s="207" t="n"/>
      <c r="AD181" s="207" t="inlineStr">
        <is>
          <t>2040/6/1.5</t>
        </is>
      </c>
      <c r="AE181" s="207" t="n">
        <v>14</v>
      </c>
      <c r="AF181" s="207" t="n">
        <v>4.82</v>
      </c>
      <c r="AG181" s="207" t="n"/>
      <c r="AH181" s="207" t="n"/>
      <c r="AI181" s="207" t="n"/>
      <c r="AJ181" s="207" t="n"/>
      <c r="AK181" s="207" t="n"/>
      <c r="AL181" s="207" t="n"/>
      <c r="AM181" s="207" t="n">
        <v>320</v>
      </c>
      <c r="AN181" s="207" t="n"/>
      <c r="AO181" s="207" t="n"/>
      <c r="AP181" s="207" t="n">
        <v>0</v>
      </c>
      <c r="AQ181" s="207" t="n">
        <v>0</v>
      </c>
      <c r="AR181" s="207" t="n">
        <v>498</v>
      </c>
      <c r="AS181" s="207" t="n">
        <v>0</v>
      </c>
      <c r="AT181" s="207" t="n">
        <v>0</v>
      </c>
      <c r="AU181" s="207" t="n">
        <v>0</v>
      </c>
      <c r="AV181" s="207" t="n">
        <v>132</v>
      </c>
      <c r="AW181" s="207">
        <f>50+200</f>
        <v/>
      </c>
      <c r="AX181" s="208" t="n">
        <v>1</v>
      </c>
      <c r="AY181" s="209">
        <f>L181*AX181+AP181+AQ181+AR181+AV181+AW181+AS181+AT181+AU181</f>
        <v/>
      </c>
      <c r="AZ181" s="207" t="n">
        <v>11896</v>
      </c>
      <c r="BA181" s="207" t="n">
        <v>0</v>
      </c>
      <c r="BB181" s="207">
        <f>AZ181*0.006</f>
        <v/>
      </c>
      <c r="BC181" s="209">
        <f>AZ181+BA181-BB181</f>
        <v/>
      </c>
      <c r="BD181" s="207">
        <f>AT181+AU181</f>
        <v/>
      </c>
      <c r="BE181" s="207" t="n">
        <v>0</v>
      </c>
      <c r="BF181" s="209">
        <f>BD181+BE181</f>
        <v/>
      </c>
      <c r="BG181" s="209">
        <f>BC181-AY181+BF181</f>
        <v/>
      </c>
      <c r="BH181" s="87" t="inlineStr">
        <is>
          <t>高丽</t>
        </is>
      </c>
      <c r="BI181" s="210" t="inlineStr">
        <is>
          <t>湖南省 长沙市 岳麓区 洋湖街道六亩丘路国宸府小区5栋一单元1002房</t>
        </is>
      </c>
      <c r="BJ181" s="86" t="inlineStr">
        <is>
          <t>18472625695-4631</t>
        </is>
      </c>
      <c r="BK181" s="86" t="n"/>
      <c r="BL181" s="210">
        <f>BC181</f>
        <v/>
      </c>
      <c r="BM181" s="93" t="n"/>
      <c r="BN181" s="94" t="n"/>
      <c r="BO181" s="93" t="inlineStr">
        <is>
          <t>洞石岩板：2100*550  T25银色2.058+2插座</t>
        </is>
      </c>
      <c r="BP181" s="86" t="inlineStr">
        <is>
          <t>黑色塑料轨道双轨上下1500
银色轨道2015*2</t>
        </is>
      </c>
      <c r="BQ181" s="96" t="inlineStr">
        <is>
          <t>高丽</t>
        </is>
      </c>
      <c r="BR181" s="96" t="inlineStr">
        <is>
          <t>12mm黑色岩板206.5*48，打孔，安全角</t>
        </is>
      </c>
      <c r="BS181" s="97" t="n"/>
      <c r="BT181" s="96" t="n"/>
      <c r="BU181" s="97" t="inlineStr">
        <is>
          <t>高丽</t>
        </is>
      </c>
      <c r="BV181" s="96" t="n"/>
      <c r="BW181" s="97" t="n"/>
      <c r="BX181" s="97" t="n"/>
      <c r="BY181" s="97" t="n"/>
      <c r="BZ181" s="97" t="n"/>
      <c r="CA181" s="98" t="n"/>
      <c r="CH181" s="2" t="n"/>
      <c r="CI181" s="14">
        <f>CJ181&amp;CK181</f>
        <v/>
      </c>
      <c r="CY181" s="25" t="n"/>
      <c r="DA181" s="25" t="n"/>
      <c r="DC181" s="26" t="n"/>
      <c r="DD181" s="26" t="n"/>
      <c r="DE181" s="26" t="n"/>
      <c r="DF181" s="26" t="n"/>
      <c r="DG181" s="26" t="n"/>
      <c r="DH181" s="27" t="n"/>
      <c r="DJ181" s="211" t="inlineStr">
        <is>
          <t>订单表中未找到</t>
        </is>
      </c>
      <c r="DK181" t="inlineStr">
        <is>
          <t>—</t>
        </is>
      </c>
      <c r="DL181" t="inlineStr">
        <is>
          <t>—</t>
        </is>
      </c>
    </row>
    <row r="182" ht="15.75" customHeight="1" s="187">
      <c r="A182" s="84" t="n">
        <v>45838</v>
      </c>
      <c r="B182" s="206" t="inlineStr">
        <is>
          <t>已收货</t>
        </is>
      </c>
      <c r="C182" s="86" t="inlineStr">
        <is>
          <t>4606805486162332040</t>
        </is>
      </c>
      <c r="D182" s="87" t="inlineStr">
        <is>
          <t>洪先生</t>
        </is>
      </c>
      <c r="E182" s="87" t="n"/>
      <c r="F182" s="87" t="n"/>
      <c r="G182" s="87" t="inlineStr">
        <is>
          <t>榉木洞石柜子+餐桌：上柜1560*400*1070  下柜：1560*400*850</t>
        </is>
      </c>
      <c r="H182" s="86" t="inlineStr">
        <is>
          <t>洞石餐边柜</t>
        </is>
      </c>
      <c r="I182" s="89" t="n">
        <v>1560</v>
      </c>
      <c r="J182" s="87" t="inlineStr">
        <is>
          <t>已结算,灰色玻璃</t>
        </is>
      </c>
      <c r="K182" s="86" t="inlineStr">
        <is>
          <t>江西</t>
        </is>
      </c>
      <c r="L182" s="207">
        <f>4800+22*5+8.5+2040/6/1.5+38+14+509.08+52*3+38+220+220+25+190+35</f>
        <v/>
      </c>
      <c r="M182" s="207">
        <f>4800</f>
        <v/>
      </c>
      <c r="N182" s="207" t="inlineStr">
        <is>
          <t>22*5</t>
        </is>
      </c>
      <c r="O182" s="207" t="n">
        <v>8.5</v>
      </c>
      <c r="P182" s="207" t="inlineStr">
        <is>
          <t>2040/6/1.5</t>
        </is>
      </c>
      <c r="Q182" s="207" t="n"/>
      <c r="R182" s="207" t="n">
        <v>38</v>
      </c>
      <c r="S182" s="207" t="n">
        <v>14</v>
      </c>
      <c r="T182" s="207" t="n">
        <v>509.08</v>
      </c>
      <c r="U182" s="207" t="n"/>
      <c r="V182" s="207" t="n"/>
      <c r="W182" s="207" t="inlineStr">
        <is>
          <t>52*3</t>
        </is>
      </c>
      <c r="X182" s="207" t="n">
        <v>38</v>
      </c>
      <c r="Y182" s="207" t="n">
        <v>220</v>
      </c>
      <c r="Z182" s="207" t="n"/>
      <c r="AA182" s="207" t="n"/>
      <c r="AB182" s="207" t="n"/>
      <c r="AC182" s="207" t="n"/>
      <c r="AD182" s="207" t="n">
        <v>25</v>
      </c>
      <c r="AE182" s="207" t="n">
        <v>220</v>
      </c>
      <c r="AF182" s="207" t="n">
        <v>190</v>
      </c>
      <c r="AG182" s="207" t="n"/>
      <c r="AH182" s="207" t="n"/>
      <c r="AI182" s="207" t="n"/>
      <c r="AJ182" s="207" t="n">
        <v>35</v>
      </c>
      <c r="AK182" s="207" t="n"/>
      <c r="AL182" s="207" t="n"/>
      <c r="AM182" s="207" t="n">
        <v>190</v>
      </c>
      <c r="AN182" s="207" t="n"/>
      <c r="AO182" s="207" t="n"/>
      <c r="AP182" s="207" t="n">
        <v>260</v>
      </c>
      <c r="AQ182" s="207" t="n">
        <v>0</v>
      </c>
      <c r="AR182" s="207" t="n">
        <v>500</v>
      </c>
      <c r="AS182" s="207" t="n">
        <v>0</v>
      </c>
      <c r="AT182" s="207" t="n">
        <v>0</v>
      </c>
      <c r="AU182" s="207" t="n">
        <v>0</v>
      </c>
      <c r="AV182" s="207" t="n">
        <v>107</v>
      </c>
      <c r="AW182" s="207" t="n">
        <v>0</v>
      </c>
      <c r="AX182" s="208" t="n">
        <v>1</v>
      </c>
      <c r="AY182" s="209">
        <f>L182*AX182+AP182+AQ182+AR182+AV182+AW182+AS182+AT182+AU182</f>
        <v/>
      </c>
      <c r="AZ182" s="207" t="n">
        <v>9076</v>
      </c>
      <c r="BA182" s="207" t="n">
        <v>0</v>
      </c>
      <c r="BB182" s="207">
        <f>AZ182*0.006</f>
        <v/>
      </c>
      <c r="BC182" s="209">
        <f>AZ182+BA182-BB182</f>
        <v/>
      </c>
      <c r="BD182" s="207">
        <f>AT182+AU182</f>
        <v/>
      </c>
      <c r="BE182" s="207" t="n">
        <v>0</v>
      </c>
      <c r="BF182" s="209">
        <f>BD182+BE182</f>
        <v/>
      </c>
      <c r="BG182" s="209">
        <f>BC182-AY182+BF182</f>
        <v/>
      </c>
      <c r="BH182" s="87" t="inlineStr">
        <is>
          <t>洪先生</t>
        </is>
      </c>
      <c r="BI182" s="210" t="inlineStr">
        <is>
          <t>上海 上海市 普陀区 宜川路街道交通路1517弄和丰苑1号楼402</t>
        </is>
      </c>
      <c r="BJ182" s="86" t="inlineStr">
        <is>
          <t>18466965930-8588</t>
        </is>
      </c>
      <c r="BK182" s="86" t="n"/>
      <c r="BL182" s="210">
        <f>BC182</f>
        <v/>
      </c>
      <c r="BM182" s="93" t="n"/>
      <c r="BN182" s="94" t="n"/>
      <c r="BO182" s="93" t="n"/>
      <c r="BP182" s="86" t="inlineStr">
        <is>
          <t>黑色塑料轨道双轨上下1500
银色轨道2015*2</t>
        </is>
      </c>
      <c r="BQ182" s="96" t="inlineStr">
        <is>
          <t>洪先生</t>
        </is>
      </c>
      <c r="BR182" s="96" t="inlineStr">
        <is>
          <t>12mm洞石岩板</t>
        </is>
      </c>
      <c r="BS182" s="97" t="inlineStr">
        <is>
          <t>要走水吗？</t>
        </is>
      </c>
      <c r="BT182" s="96" t="n"/>
      <c r="BU182" s="97" t="inlineStr">
        <is>
          <t>洪先生</t>
        </is>
      </c>
      <c r="BV182" s="96" t="n"/>
      <c r="BW182" s="97" t="n"/>
      <c r="BX182" s="97" t="n"/>
      <c r="BY182" s="97" t="n"/>
      <c r="BZ182" s="97" t="n"/>
      <c r="CA182" s="98" t="n"/>
      <c r="CH182" s="2" t="n"/>
      <c r="CI182" s="14">
        <f>CJ182&amp;CK182</f>
        <v/>
      </c>
      <c r="CY182" s="25" t="n"/>
      <c r="DA182" s="25" t="n"/>
      <c r="DC182" s="26" t="n"/>
      <c r="DD182" s="26" t="n"/>
      <c r="DE182" s="26" t="n"/>
      <c r="DF182" s="26" t="n"/>
      <c r="DG182" s="26" t="n"/>
      <c r="DH182" s="27" t="n"/>
      <c r="DJ182" s="211" t="inlineStr">
        <is>
          <t>订单表中未找到</t>
        </is>
      </c>
      <c r="DK182" t="inlineStr">
        <is>
          <t>—</t>
        </is>
      </c>
      <c r="DL182" t="inlineStr">
        <is>
          <t>—</t>
        </is>
      </c>
    </row>
    <row r="183" ht="15.75" customHeight="1" s="187">
      <c r="A183" s="84" t="n">
        <v>45838</v>
      </c>
      <c r="B183" s="206" t="inlineStr">
        <is>
          <t>已收货</t>
        </is>
      </c>
      <c r="C183" s="86" t="inlineStr">
        <is>
          <t>2807695777143058273</t>
        </is>
      </c>
      <c r="D183" s="86" t="inlineStr">
        <is>
          <t>小王</t>
        </is>
      </c>
      <c r="E183" s="87" t="n"/>
      <c r="F183" s="87" t="n"/>
      <c r="G183" s="87" t="inlineStr">
        <is>
          <t>砂白色2.0米岩板餐桌</t>
        </is>
      </c>
      <c r="H183" s="87" t="inlineStr">
        <is>
          <t>榉木餐桌</t>
        </is>
      </c>
      <c r="I183" s="218" t="inlineStr">
        <is>
          <t>200cm*85cm</t>
        </is>
      </c>
      <c r="J183" s="87" t="inlineStr">
        <is>
          <t>已结算</t>
        </is>
      </c>
      <c r="K183" s="86" t="inlineStr">
        <is>
          <t>江西</t>
        </is>
      </c>
      <c r="L183" s="207">
        <f>SUM(M183:AO183)</f>
        <v/>
      </c>
      <c r="M183" s="207">
        <f>1630</f>
        <v/>
      </c>
      <c r="N183" s="207" t="n"/>
      <c r="O183" s="207" t="n"/>
      <c r="P183" s="207" t="n"/>
      <c r="Q183" s="207" t="n"/>
      <c r="R183" s="207" t="n">
        <v>640</v>
      </c>
      <c r="S183" s="207" t="n"/>
      <c r="T183" s="207" t="n"/>
      <c r="U183" s="207" t="n"/>
      <c r="V183" s="207" t="n"/>
      <c r="W183" s="207" t="n"/>
      <c r="X183" s="207" t="n"/>
      <c r="Y183" s="207" t="n"/>
      <c r="Z183" s="207" t="n"/>
      <c r="AA183" s="207" t="n"/>
      <c r="AB183" s="207" t="n"/>
      <c r="AC183" s="207" t="n"/>
      <c r="AD183" s="207" t="n">
        <v>2.5</v>
      </c>
      <c r="AE183" s="207" t="n"/>
      <c r="AF183" s="207" t="n"/>
      <c r="AG183" s="207" t="n"/>
      <c r="AH183" s="207" t="n"/>
      <c r="AI183" s="207" t="n"/>
      <c r="AJ183" s="207" t="n"/>
      <c r="AK183" s="207" t="n"/>
      <c r="AL183" s="207" t="n"/>
      <c r="AM183" s="207" t="n">
        <v>130</v>
      </c>
      <c r="AN183" s="207" t="n"/>
      <c r="AO183" s="207" t="n"/>
      <c r="AP183" s="207">
        <f>198-AQ183</f>
        <v/>
      </c>
      <c r="AQ183" s="207" t="n">
        <v>35</v>
      </c>
      <c r="AR183" s="207" t="n">
        <v>79</v>
      </c>
      <c r="AS183" s="207" t="n">
        <v>0</v>
      </c>
      <c r="AT183" s="207" t="n">
        <v>0</v>
      </c>
      <c r="AU183" s="207" t="n">
        <v>0</v>
      </c>
      <c r="AV183" s="207" t="n">
        <v>28</v>
      </c>
      <c r="AW183" s="207" t="n">
        <v>50</v>
      </c>
      <c r="AX183" s="208" t="n">
        <v>1</v>
      </c>
      <c r="AY183" s="209">
        <f>L183*AX183+AP183+AQ183+AR183+AV183+AW183+AS183+AT183+AU183</f>
        <v/>
      </c>
      <c r="AZ183" s="207" t="n">
        <v>3417.85</v>
      </c>
      <c r="BA183" s="207" t="n">
        <v>0</v>
      </c>
      <c r="BB183" s="207">
        <f>AZ183*0.006</f>
        <v/>
      </c>
      <c r="BC183" s="209">
        <f>AZ183+BA183-BB183</f>
        <v/>
      </c>
      <c r="BD183" s="207">
        <f>AT183+AU183</f>
        <v/>
      </c>
      <c r="BE183" s="207" t="n">
        <v>0</v>
      </c>
      <c r="BF183" s="209">
        <f>BD183+BE183</f>
        <v/>
      </c>
      <c r="BG183" s="209">
        <f>BC183-AY183+BF183</f>
        <v/>
      </c>
      <c r="BH183" s="86" t="inlineStr">
        <is>
          <t>小王</t>
        </is>
      </c>
      <c r="BI183" s="210" t="inlineStr">
        <is>
          <t>山东省 烟台市 莱山区 马山街道马山寨·海景豪庭13号楼402</t>
        </is>
      </c>
      <c r="BJ183" s="210" t="inlineStr">
        <is>
          <t>18454590832-8163</t>
        </is>
      </c>
      <c r="BK183" s="86" t="n"/>
      <c r="BL183" s="210" t="n"/>
      <c r="BM183" s="93" t="n"/>
      <c r="BN183" s="94" t="n"/>
      <c r="BO183" s="93" t="n"/>
      <c r="BP183" s="86" t="n"/>
      <c r="BQ183" s="96" t="n"/>
      <c r="BR183" s="96" t="n"/>
      <c r="BS183" s="97" t="n"/>
      <c r="BT183" s="96" t="n"/>
      <c r="BU183" s="97" t="n"/>
      <c r="BV183" s="96" t="n"/>
      <c r="BW183" s="97" t="n"/>
      <c r="BX183" s="97" t="n"/>
      <c r="BY183" s="126" t="n"/>
      <c r="BZ183" s="126" t="n"/>
      <c r="CA183" s="98" t="n"/>
      <c r="CH183" s="2" t="n"/>
      <c r="CI183" s="14" t="n"/>
      <c r="CY183" s="25" t="n"/>
      <c r="DA183" s="26" t="n"/>
      <c r="DB183" s="126" t="n"/>
      <c r="DC183" s="26" t="n"/>
      <c r="DD183" s="26" t="n"/>
      <c r="DE183" s="26" t="n"/>
      <c r="DF183" s="26" t="n"/>
      <c r="DG183" s="26" t="n"/>
      <c r="DH183" s="27" t="n"/>
      <c r="DJ183" s="211" t="inlineStr">
        <is>
          <t>订单表中未找到</t>
        </is>
      </c>
      <c r="DK183" t="inlineStr">
        <is>
          <t>—</t>
        </is>
      </c>
      <c r="DL183" t="inlineStr">
        <is>
          <t>—</t>
        </is>
      </c>
    </row>
    <row r="184" ht="15.75" customHeight="1" s="187">
      <c r="A184" s="99" t="n">
        <v>45846</v>
      </c>
      <c r="B184" s="100" t="inlineStr">
        <is>
          <t>退单</t>
        </is>
      </c>
      <c r="C184" s="101" t="inlineStr">
        <is>
          <t>2819964975824127989</t>
        </is>
      </c>
      <c r="D184" s="100" t="inlineStr">
        <is>
          <t>杨洁</t>
        </is>
      </c>
      <c r="E184" s="100" t="inlineStr">
        <is>
          <t>已发货</t>
        </is>
      </c>
      <c r="F184" s="215" t="n"/>
      <c r="G184" s="219" t="inlineStr">
        <is>
          <t>0.8洞石窄柜 48cm</t>
        </is>
      </c>
      <c r="H184" s="100" t="inlineStr">
        <is>
          <t>樱桃木窄柜</t>
        </is>
      </c>
      <c r="I184" s="222" t="n">
        <v>800</v>
      </c>
      <c r="J184" s="213" t="n"/>
      <c r="K184" s="213" t="inlineStr">
        <is>
          <t>庄毅</t>
        </is>
      </c>
      <c r="L184" s="212" t="n">
        <v>0</v>
      </c>
      <c r="M184" s="207" t="n">
        <v>0</v>
      </c>
      <c r="N184" s="207" t="n"/>
      <c r="O184" s="207" t="n"/>
      <c r="P184" s="207" t="n"/>
      <c r="Q184" s="207" t="n"/>
      <c r="R184" s="207" t="n"/>
      <c r="S184" s="207" t="n"/>
      <c r="T184" s="207" t="n"/>
      <c r="U184" s="207" t="n"/>
      <c r="V184" s="207" t="n"/>
      <c r="W184" s="207" t="n"/>
      <c r="X184" s="207" t="n"/>
      <c r="Y184" s="207" t="n"/>
      <c r="Z184" s="207" t="n"/>
      <c r="AA184" s="207" t="n"/>
      <c r="AB184" s="207" t="n"/>
      <c r="AC184" s="207" t="n"/>
      <c r="AD184" s="207" t="n"/>
      <c r="AE184" s="207" t="n"/>
      <c r="AF184" s="207" t="n"/>
      <c r="AG184" s="207" t="n"/>
      <c r="AH184" s="207" t="n"/>
      <c r="AI184" s="207" t="n"/>
      <c r="AJ184" s="207" t="n"/>
      <c r="AK184" s="207" t="n"/>
      <c r="AL184" s="207" t="n"/>
      <c r="AM184" s="207" t="n"/>
      <c r="AN184" s="207" t="n"/>
      <c r="AO184" s="207" t="n"/>
      <c r="AP184" s="213" t="n">
        <v>0</v>
      </c>
      <c r="AQ184" s="213" t="n">
        <v>0</v>
      </c>
      <c r="AR184" s="213" t="n">
        <v>0</v>
      </c>
      <c r="AS184" s="213" t="n">
        <v>0</v>
      </c>
      <c r="AT184" s="213" t="n">
        <v>0</v>
      </c>
      <c r="AU184" s="213" t="n">
        <v>0</v>
      </c>
      <c r="AV184" s="214" t="n">
        <v>0</v>
      </c>
      <c r="AW184" s="213" t="n">
        <v>0</v>
      </c>
      <c r="AX184" s="214" t="n">
        <v>1</v>
      </c>
      <c r="AY184" s="213">
        <f>L184*AX184+AP184+AQ184+AR184+AV184+AW184+AS184+AT184+AU184</f>
        <v/>
      </c>
      <c r="AZ184" s="213" t="n">
        <v>0</v>
      </c>
      <c r="BA184" s="213" t="n">
        <v>0</v>
      </c>
      <c r="BB184" s="213">
        <f>AZ184*0.006</f>
        <v/>
      </c>
      <c r="BC184" s="213">
        <f>AZ184+BA184-BB184</f>
        <v/>
      </c>
      <c r="BD184" s="213">
        <f>AT184+AU184</f>
        <v/>
      </c>
      <c r="BE184" s="213" t="n">
        <v>0</v>
      </c>
      <c r="BF184" s="100">
        <f>BD184+BE184</f>
        <v/>
      </c>
      <c r="BG184" s="219">
        <f>BC184-AY184+BF184</f>
        <v/>
      </c>
      <c r="BH184" s="101" t="inlineStr">
        <is>
          <t>杨洁</t>
        </is>
      </c>
      <c r="BI184" s="101" t="inlineStr">
        <is>
          <t>贵州省 遵义市 红花岗区 新蒲街道贵州省遵义市新蒲新区金科集美天宸18栋2单元701</t>
        </is>
      </c>
      <c r="BJ184" s="219" t="inlineStr">
        <is>
          <t>18400328953-7541</t>
        </is>
      </c>
      <c r="BK184" s="123" t="n"/>
      <c r="BL184" s="108">
        <f>BC184</f>
        <v/>
      </c>
      <c r="BM184" s="123" t="n"/>
      <c r="BN184" s="101" t="n"/>
      <c r="BO184" s="109" t="n"/>
      <c r="BP184" s="109" t="n"/>
      <c r="BQ184" s="100" t="n"/>
      <c r="BR184" s="109" t="n"/>
      <c r="BS184" s="100" t="n"/>
      <c r="BT184" s="109" t="n"/>
      <c r="BU184" s="100" t="inlineStr">
        <is>
          <t>杨洁</t>
        </is>
      </c>
      <c r="BV184" s="100" t="n"/>
      <c r="BW184" s="100" t="n"/>
      <c r="BX184" s="100" t="n"/>
      <c r="BY184" s="98" t="n"/>
      <c r="CG184" s="14" t="n"/>
      <c r="CH184" s="2" t="n"/>
      <c r="CI184" s="2">
        <f>CJ184&amp;CK184</f>
        <v/>
      </c>
      <c r="CW184" s="25" t="n"/>
      <c r="CY184" s="25" t="n"/>
      <c r="DA184" s="26" t="n"/>
      <c r="DB184" s="26" t="n"/>
      <c r="DC184" s="26" t="n"/>
      <c r="DD184" s="26" t="n"/>
      <c r="DE184" s="26" t="n"/>
      <c r="DF184" s="27" t="n"/>
      <c r="DH184" s="2" t="n"/>
      <c r="DJ184" s="211" t="inlineStr">
        <is>
          <t>订单表中未找到</t>
        </is>
      </c>
      <c r="DK184" t="inlineStr">
        <is>
          <t>—</t>
        </is>
      </c>
      <c r="DL184" t="inlineStr">
        <is>
          <t>—</t>
        </is>
      </c>
    </row>
    <row r="185" ht="15.75" customHeight="1" s="187">
      <c r="A185" s="84" t="n">
        <v>45848</v>
      </c>
      <c r="B185" s="206" t="inlineStr">
        <is>
          <t>已收货</t>
        </is>
      </c>
      <c r="C185" s="86" t="inlineStr">
        <is>
          <t>4623524894183212321</t>
        </is>
      </c>
      <c r="D185" s="87" t="inlineStr">
        <is>
          <t>孙女士</t>
        </is>
      </c>
      <c r="E185" s="87" t="inlineStr">
        <is>
          <t>已发货</t>
        </is>
      </c>
      <c r="F185" s="87" t="n"/>
      <c r="G185" s="87" t="inlineStr">
        <is>
          <t>原木色1.8米餐桌，定制</t>
        </is>
      </c>
      <c r="H185" s="87" t="inlineStr">
        <is>
          <t>榉木餐桌</t>
        </is>
      </c>
      <c r="I185" s="218" t="inlineStr">
        <is>
          <t>180cm*90cm</t>
        </is>
      </c>
      <c r="J185" s="87" t="inlineStr">
        <is>
          <t>已结算</t>
        </is>
      </c>
      <c r="K185" s="86" t="inlineStr">
        <is>
          <t>江西</t>
        </is>
      </c>
      <c r="L185" s="207">
        <f>SUM(M185:AO185)</f>
        <v/>
      </c>
      <c r="M185" s="207">
        <f>2050</f>
        <v/>
      </c>
      <c r="N185" s="207" t="n"/>
      <c r="O185" s="207" t="n"/>
      <c r="P185" s="207" t="n"/>
      <c r="Q185" s="207" t="n"/>
      <c r="R185" s="207" t="n"/>
      <c r="S185" s="207" t="n"/>
      <c r="T185" s="207" t="n"/>
      <c r="U185" s="207" t="n"/>
      <c r="V185" s="207" t="n"/>
      <c r="W185" s="207" t="n"/>
      <c r="X185" s="207" t="n"/>
      <c r="Y185" s="207" t="n"/>
      <c r="Z185" s="207" t="n"/>
      <c r="AA185" s="207" t="n"/>
      <c r="AB185" s="207" t="n"/>
      <c r="AC185" s="207" t="n"/>
      <c r="AD185" s="207" t="n"/>
      <c r="AE185" s="207" t="n"/>
      <c r="AF185" s="207" t="n"/>
      <c r="AG185" s="207" t="n"/>
      <c r="AH185" s="207" t="n"/>
      <c r="AI185" s="207" t="n"/>
      <c r="AJ185" s="207" t="n"/>
      <c r="AK185" s="207" t="n"/>
      <c r="AL185" s="207" t="n"/>
      <c r="AM185" s="207" t="n">
        <v>130</v>
      </c>
      <c r="AN185" s="207" t="n"/>
      <c r="AO185" s="207" t="n"/>
      <c r="AP185" s="207">
        <f>181-AQ185</f>
        <v/>
      </c>
      <c r="AQ185" s="207" t="n">
        <v>10</v>
      </c>
      <c r="AR185" s="207" t="n">
        <v>69</v>
      </c>
      <c r="AS185" s="207" t="n">
        <v>0</v>
      </c>
      <c r="AT185" s="207" t="n">
        <v>0</v>
      </c>
      <c r="AU185" s="207" t="n">
        <v>0</v>
      </c>
      <c r="AV185" s="207" t="n">
        <v>24</v>
      </c>
      <c r="AW185" s="207" t="n">
        <v>0</v>
      </c>
      <c r="AX185" s="208" t="n">
        <v>1</v>
      </c>
      <c r="AY185" s="209">
        <f>L185*AX185+AP185+AQ185+AR185+AV185+AW185+AS185+AT185+AU185</f>
        <v/>
      </c>
      <c r="AZ185" s="207" t="n">
        <v>3045</v>
      </c>
      <c r="BA185" s="207" t="n">
        <v>0</v>
      </c>
      <c r="BB185" s="207">
        <f>AZ185*0.006</f>
        <v/>
      </c>
      <c r="BC185" s="209">
        <f>AZ185+BA185-BB185</f>
        <v/>
      </c>
      <c r="BD185" s="207" t="n">
        <v>0</v>
      </c>
      <c r="BE185" s="207" t="n">
        <v>0</v>
      </c>
      <c r="BF185" s="209">
        <f>BD185+BE185</f>
        <v/>
      </c>
      <c r="BG185" s="209">
        <f>BC185-AY185+BF185</f>
        <v/>
      </c>
      <c r="BH185" s="87" t="inlineStr">
        <is>
          <t>孙女士</t>
        </is>
      </c>
      <c r="BI185" s="210" t="inlineStr">
        <is>
          <t>四川省 成都市 双流区 华阳街道 阳光城半山悦2期33-2-1204</t>
        </is>
      </c>
      <c r="BJ185" s="86" t="inlineStr">
        <is>
          <t>18426541470-5744</t>
        </is>
      </c>
      <c r="BK185" s="86" t="n"/>
      <c r="BL185" s="210">
        <f>BC185</f>
        <v/>
      </c>
      <c r="BM185" s="93" t="n"/>
      <c r="BN185" s="94" t="n"/>
      <c r="BO185" s="93" t="n"/>
      <c r="BP185" s="86" t="n"/>
      <c r="BQ185" s="96" t="n"/>
      <c r="BR185" s="96" t="n"/>
      <c r="BS185" s="97" t="n"/>
      <c r="BT185" s="96" t="n"/>
      <c r="BU185" s="97" t="n"/>
      <c r="BV185" s="96" t="n"/>
      <c r="BW185" s="97" t="n"/>
      <c r="BX185" s="97" t="n"/>
      <c r="BY185" s="97" t="n"/>
      <c r="BZ185" s="97" t="n"/>
      <c r="CA185" s="98" t="n"/>
      <c r="CH185" s="2" t="n"/>
      <c r="CI185" s="14">
        <f>CJ185&amp;CK185</f>
        <v/>
      </c>
      <c r="CY185" s="25" t="n"/>
      <c r="DA185" s="25" t="n"/>
      <c r="DC185" s="26" t="n"/>
      <c r="DD185" s="26" t="n"/>
      <c r="DE185" s="26" t="n"/>
      <c r="DF185" s="26" t="n"/>
      <c r="DG185" s="26" t="n"/>
      <c r="DH185" s="27" t="n"/>
      <c r="DJ185" s="211" t="inlineStr">
        <is>
          <t>订单表中未找到</t>
        </is>
      </c>
      <c r="DK185" t="inlineStr">
        <is>
          <t>—</t>
        </is>
      </c>
      <c r="DL185" t="inlineStr">
        <is>
          <t>—</t>
        </is>
      </c>
    </row>
    <row r="186" ht="15.75" customHeight="1" s="187">
      <c r="A186" s="84" t="n">
        <v>45849</v>
      </c>
      <c r="B186" s="206" t="inlineStr">
        <is>
          <t>已收货</t>
        </is>
      </c>
      <c r="C186" s="86" t="inlineStr">
        <is>
          <t>2824293072107737468</t>
        </is>
      </c>
      <c r="D186" s="87" t="inlineStr">
        <is>
          <t>沈思</t>
        </is>
      </c>
      <c r="E186" s="87" t="n"/>
      <c r="F186" s="87" t="n"/>
      <c r="G186" s="87" t="inlineStr">
        <is>
          <t>黑胡桃样块</t>
        </is>
      </c>
      <c r="H186" s="86" t="inlineStr">
        <is>
          <t>样块</t>
        </is>
      </c>
      <c r="I186" s="89" t="n"/>
      <c r="J186" s="87" t="inlineStr">
        <is>
          <t>已结算</t>
        </is>
      </c>
      <c r="K186" s="86" t="inlineStr">
        <is>
          <t>杭州</t>
        </is>
      </c>
      <c r="L186" s="207">
        <f>SUM(M186:AO186)</f>
        <v/>
      </c>
      <c r="M186" s="207" t="n">
        <v>10</v>
      </c>
      <c r="N186" s="207" t="n"/>
      <c r="O186" s="207" t="n"/>
      <c r="P186" s="207" t="n"/>
      <c r="Q186" s="207" t="n"/>
      <c r="R186" s="207" t="n"/>
      <c r="S186" s="207" t="n"/>
      <c r="T186" s="207" t="n"/>
      <c r="U186" s="207" t="n"/>
      <c r="V186" s="207" t="n"/>
      <c r="W186" s="207" t="n"/>
      <c r="X186" s="207" t="n"/>
      <c r="Y186" s="207" t="n"/>
      <c r="Z186" s="207" t="n"/>
      <c r="AA186" s="207" t="n"/>
      <c r="AB186" s="207" t="n"/>
      <c r="AC186" s="207" t="n"/>
      <c r="AD186" s="207" t="n"/>
      <c r="AE186" s="207" t="n"/>
      <c r="AF186" s="207" t="n"/>
      <c r="AG186" s="207" t="n"/>
      <c r="AH186" s="207" t="n"/>
      <c r="AI186" s="207" t="n"/>
      <c r="AJ186" s="207" t="n"/>
      <c r="AK186" s="207" t="n"/>
      <c r="AL186" s="207" t="n"/>
      <c r="AM186" s="207" t="n">
        <v>2</v>
      </c>
      <c r="AN186" s="207" t="n"/>
      <c r="AO186" s="207" t="n"/>
      <c r="AP186" s="207" t="n">
        <v>5</v>
      </c>
      <c r="AQ186" s="207" t="n">
        <v>0</v>
      </c>
      <c r="AR186" s="207" t="n">
        <v>0</v>
      </c>
      <c r="AS186" s="207" t="n">
        <v>0</v>
      </c>
      <c r="AT186" s="207" t="n">
        <v>0</v>
      </c>
      <c r="AU186" s="207" t="n">
        <v>0</v>
      </c>
      <c r="AV186" s="207" t="n">
        <v>0</v>
      </c>
      <c r="AW186" s="207" t="n">
        <v>0</v>
      </c>
      <c r="AX186" s="208" t="n">
        <v>1</v>
      </c>
      <c r="AY186" s="209">
        <f>L186*AX186+AP186+AQ186+AR186+AV186+AW186+AS186+AT186+AU186</f>
        <v/>
      </c>
      <c r="AZ186" s="207" t="n">
        <v>50</v>
      </c>
      <c r="BA186" s="207" t="n">
        <v>0</v>
      </c>
      <c r="BB186" s="207">
        <f>AZ186*0.006</f>
        <v/>
      </c>
      <c r="BC186" s="209">
        <f>AZ186+BA186-BB186</f>
        <v/>
      </c>
      <c r="BD186" s="207" t="n">
        <v>0</v>
      </c>
      <c r="BE186" s="207" t="n">
        <v>0</v>
      </c>
      <c r="BF186" s="209">
        <f>BD186+BE186</f>
        <v/>
      </c>
      <c r="BG186" s="209">
        <f>BC186-AY186+BF186</f>
        <v/>
      </c>
      <c r="BH186" s="87" t="inlineStr">
        <is>
          <t>沈思</t>
        </is>
      </c>
      <c r="BI186" s="210" t="inlineStr">
        <is>
          <t>江西省 景德镇市 浮梁县 臧湾乡寒溪村</t>
        </is>
      </c>
      <c r="BJ186" s="86" t="inlineStr">
        <is>
          <t>17507981492-9408</t>
        </is>
      </c>
      <c r="BK186" s="86" t="n"/>
      <c r="BL186" s="210">
        <f>BC186</f>
        <v/>
      </c>
      <c r="BM186" s="93" t="n"/>
      <c r="BN186" s="94" t="n"/>
      <c r="BO186" s="93" t="n"/>
      <c r="BP186" s="86" t="n"/>
      <c r="BQ186" s="96" t="n"/>
      <c r="BR186" s="96" t="n"/>
      <c r="BS186" s="97" t="n"/>
      <c r="BT186" s="96" t="n"/>
      <c r="BU186" s="97" t="n"/>
      <c r="BV186" s="96" t="n"/>
      <c r="BW186" s="97" t="n"/>
      <c r="BX186" s="97" t="n"/>
      <c r="BY186" s="97" t="n"/>
      <c r="BZ186" s="97" t="n"/>
      <c r="CA186" s="98" t="n"/>
      <c r="CH186" s="2" t="n"/>
      <c r="CI186" s="14">
        <f>CJ186&amp;CK186</f>
        <v/>
      </c>
      <c r="CY186" s="25" t="n"/>
      <c r="DA186" s="25" t="n"/>
      <c r="DC186" s="26" t="n"/>
      <c r="DD186" s="26" t="n"/>
      <c r="DE186" s="26" t="n"/>
      <c r="DF186" s="26" t="n"/>
      <c r="DG186" s="26" t="n"/>
      <c r="DH186" s="27" t="n"/>
      <c r="DJ186" s="211" t="inlineStr">
        <is>
          <t>订单表中未找到</t>
        </is>
      </c>
      <c r="DK186" t="inlineStr">
        <is>
          <t>—</t>
        </is>
      </c>
      <c r="DL186" t="inlineStr">
        <is>
          <t>—</t>
        </is>
      </c>
    </row>
    <row r="187" ht="15.75" customHeight="1" s="187">
      <c r="A187" s="84" t="n">
        <v>45849</v>
      </c>
      <c r="B187" s="206" t="inlineStr">
        <is>
          <t>已收货</t>
        </is>
      </c>
      <c r="C187" s="86" t="inlineStr">
        <is>
          <t>2823699903775617583</t>
        </is>
      </c>
      <c r="D187" s="87" t="inlineStr">
        <is>
          <t>杨周</t>
        </is>
      </c>
      <c r="E187" s="87" t="n"/>
      <c r="F187" s="87" t="n"/>
      <c r="G187" s="87" t="inlineStr">
        <is>
          <t>2米旋转柜+1.35岩板桌，高度220</t>
        </is>
      </c>
      <c r="H187" s="86" t="inlineStr">
        <is>
          <t>旋转餐边柜</t>
        </is>
      </c>
      <c r="I187" s="89" t="n">
        <v>2000</v>
      </c>
      <c r="J187" s="87" t="inlineStr">
        <is>
          <t>已结算,茶色玻璃</t>
        </is>
      </c>
      <c r="K187" s="86" t="inlineStr">
        <is>
          <t>江西</t>
        </is>
      </c>
      <c r="L187" s="207">
        <f>6770+420+320+470+629+42+22*9+52+22+76+27</f>
        <v/>
      </c>
      <c r="M187" s="207">
        <f>6770</f>
        <v/>
      </c>
      <c r="N187" s="207" t="n"/>
      <c r="O187" s="207" t="n"/>
      <c r="P187" s="207" t="n"/>
      <c r="Q187" s="207" t="n"/>
      <c r="R187" s="207" t="n"/>
      <c r="S187" s="207" t="n">
        <v>42</v>
      </c>
      <c r="T187" s="207" t="n"/>
      <c r="U187" s="207" t="n"/>
      <c r="V187" s="207" t="n"/>
      <c r="W187" s="207" t="n">
        <v>52</v>
      </c>
      <c r="X187" s="207">
        <f>22*9</f>
        <v/>
      </c>
      <c r="Y187" s="207" t="n">
        <v>22</v>
      </c>
      <c r="Z187" s="207" t="n"/>
      <c r="AA187" s="207" t="n"/>
      <c r="AB187" s="207" t="n"/>
      <c r="AC187" s="207" t="n"/>
      <c r="AD187" s="207" t="n">
        <v>27</v>
      </c>
      <c r="AE187" s="207" t="n">
        <v>76</v>
      </c>
      <c r="AF187" s="207" t="n"/>
      <c r="AG187" s="207" t="n"/>
      <c r="AH187" s="207" t="n"/>
      <c r="AI187" s="207" t="n"/>
      <c r="AJ187" s="207" t="n"/>
      <c r="AK187" s="207" t="n"/>
      <c r="AL187" s="207" t="n"/>
      <c r="AM187" s="207" t="n">
        <v>470</v>
      </c>
      <c r="AN187" s="207" t="n"/>
      <c r="AO187" s="207" t="n"/>
      <c r="AP187" s="207">
        <f>1012-AQ187</f>
        <v/>
      </c>
      <c r="AQ187" s="207" t="n">
        <v>100</v>
      </c>
      <c r="AR187" s="207" t="n">
        <v>100</v>
      </c>
      <c r="AS187" s="207" t="n">
        <v>0</v>
      </c>
      <c r="AT187" s="207" t="n">
        <v>100</v>
      </c>
      <c r="AU187" s="207" t="n">
        <v>0</v>
      </c>
      <c r="AV187" s="207" t="n">
        <v>107</v>
      </c>
      <c r="AW187" s="207" t="n">
        <v>100</v>
      </c>
      <c r="AX187" s="208" t="n">
        <v>1</v>
      </c>
      <c r="AY187" s="209">
        <f>L187*AX187+AP187+AQ187+AR187+AV187+AW187+AS187+AT187+AU187</f>
        <v/>
      </c>
      <c r="AZ187" s="207" t="n">
        <v>12500</v>
      </c>
      <c r="BA187" s="207" t="n">
        <v>0</v>
      </c>
      <c r="BB187" s="207">
        <f>AZ187*0.006</f>
        <v/>
      </c>
      <c r="BC187" s="209">
        <f>AZ187+BA187-BB187</f>
        <v/>
      </c>
      <c r="BD187" s="207" t="n">
        <v>0</v>
      </c>
      <c r="BE187" s="207" t="n">
        <v>0</v>
      </c>
      <c r="BF187" s="209">
        <f>BD187+BE187</f>
        <v/>
      </c>
      <c r="BG187" s="209">
        <f>BC187-AY187+BF187</f>
        <v/>
      </c>
      <c r="BH187" s="87" t="inlineStr">
        <is>
          <t>杨周</t>
        </is>
      </c>
      <c r="BI187" s="210" t="inlineStr">
        <is>
          <t>天津 天津市 津南区 海河教育园区 中海南开郡35-3-201</t>
        </is>
      </c>
      <c r="BJ187" s="86" t="inlineStr">
        <is>
          <t>17822665967-2049</t>
        </is>
      </c>
      <c r="BK187" s="86" t="n"/>
      <c r="BL187" s="210">
        <f>BC187</f>
        <v/>
      </c>
      <c r="BM187" s="93" t="n"/>
      <c r="BN187" s="94" t="n"/>
      <c r="BO187" s="93" t="n"/>
      <c r="BP187" s="86" t="n"/>
      <c r="BQ187" s="96" t="n"/>
      <c r="BR187" s="96" t="n"/>
      <c r="BS187" s="97" t="n"/>
      <c r="BT187" s="96" t="n"/>
      <c r="BU187" s="97" t="inlineStr">
        <is>
          <t>杨周</t>
        </is>
      </c>
      <c r="BV187" s="96" t="n"/>
      <c r="BW187" s="97" t="n"/>
      <c r="BX187" s="97" t="n"/>
      <c r="BY187" s="97" t="n"/>
      <c r="BZ187" s="97" t="n"/>
      <c r="CA187" s="98" t="n"/>
      <c r="CH187" s="2" t="n"/>
      <c r="CI187" s="14">
        <f>CJ187&amp;CK187</f>
        <v/>
      </c>
      <c r="CY187" s="25" t="n"/>
      <c r="DA187" s="25" t="n"/>
      <c r="DC187" s="26" t="n"/>
      <c r="DD187" s="26" t="n"/>
      <c r="DE187" s="26" t="n"/>
      <c r="DF187" s="26" t="n"/>
      <c r="DG187" s="26" t="n"/>
      <c r="DH187" s="27" t="n"/>
      <c r="DJ187" s="211" t="inlineStr">
        <is>
          <t>订单表中未找到</t>
        </is>
      </c>
      <c r="DK187" t="inlineStr">
        <is>
          <t>—</t>
        </is>
      </c>
      <c r="DL187" t="inlineStr">
        <is>
          <t>—</t>
        </is>
      </c>
    </row>
    <row r="188" ht="15.75" customHeight="1" s="187">
      <c r="A188" s="84" t="n">
        <v>45849</v>
      </c>
      <c r="B188" s="206" t="inlineStr">
        <is>
          <t>已收货</t>
        </is>
      </c>
      <c r="C188" s="86" t="inlineStr">
        <is>
          <t>4625677188195996849</t>
        </is>
      </c>
      <c r="D188" s="87" t="inlineStr">
        <is>
          <t>孙先生</t>
        </is>
      </c>
      <c r="E188" s="87" t="inlineStr">
        <is>
          <t>洞石背板</t>
        </is>
      </c>
      <c r="F188" s="87" t="n"/>
      <c r="G188" s="207" t="inlineStr">
        <is>
          <t>曜黑柜-整柜-2.1米-定制</t>
        </is>
      </c>
      <c r="H188" s="86" t="inlineStr">
        <is>
          <t>曜黑餐边柜</t>
        </is>
      </c>
      <c r="I188" s="89" t="n">
        <v>2100</v>
      </c>
      <c r="J188" s="87" t="inlineStr">
        <is>
          <t>已结算,长虹玻璃</t>
        </is>
      </c>
      <c r="K188" s="86" t="inlineStr">
        <is>
          <t>江西</t>
        </is>
      </c>
      <c r="L188" s="207">
        <f>9000+850+400+490+22*3+379+319+288+657.08+44+46+20+2550/6/1.5+2.025*15+30+25+2.5+30+52</f>
        <v/>
      </c>
      <c r="M188" s="207">
        <f>9000</f>
        <v/>
      </c>
      <c r="N188" s="207" t="n">
        <v>850</v>
      </c>
      <c r="O188" s="207" t="n">
        <v>400</v>
      </c>
      <c r="P188" s="207" t="n">
        <v>490</v>
      </c>
      <c r="Q188" s="207" t="n"/>
      <c r="R188" s="207" t="inlineStr">
        <is>
          <t>22*3</t>
        </is>
      </c>
      <c r="S188" s="207" t="n">
        <v>379</v>
      </c>
      <c r="T188" s="207" t="n">
        <v>319</v>
      </c>
      <c r="U188" s="207" t="n"/>
      <c r="V188" s="207" t="n"/>
      <c r="W188" s="207" t="n">
        <v>288</v>
      </c>
      <c r="X188" s="207" t="n">
        <v>657.08</v>
      </c>
      <c r="Y188" s="207" t="n">
        <v>44</v>
      </c>
      <c r="Z188" s="207" t="n"/>
      <c r="AA188" s="207" t="n"/>
      <c r="AB188" s="207" t="n"/>
      <c r="AC188" s="207" t="n">
        <v>30</v>
      </c>
      <c r="AD188" s="207" t="n">
        <v>20</v>
      </c>
      <c r="AE188" s="207" t="n">
        <v>46</v>
      </c>
      <c r="AF188" s="207" t="inlineStr">
        <is>
          <t>2550/6/1.5</t>
        </is>
      </c>
      <c r="AG188" s="207" t="n"/>
      <c r="AH188" s="207" t="n"/>
      <c r="AI188" s="207" t="n"/>
      <c r="AJ188" s="207" t="inlineStr">
        <is>
          <t>2.025*15</t>
        </is>
      </c>
      <c r="AK188" s="207" t="n"/>
      <c r="AL188" s="207" t="n"/>
      <c r="AM188" s="207" t="n">
        <v>25</v>
      </c>
      <c r="AN188" s="207" t="n">
        <v>2.5</v>
      </c>
      <c r="AO188" s="207" t="n">
        <v>30</v>
      </c>
      <c r="AP188" s="207" t="n">
        <v>52</v>
      </c>
      <c r="AQ188" s="207" t="n">
        <v>0</v>
      </c>
      <c r="AR188" s="207" t="n">
        <v>0</v>
      </c>
      <c r="AS188" s="207" t="n">
        <v>0</v>
      </c>
      <c r="AT188" s="207" t="n">
        <v>0</v>
      </c>
      <c r="AU188" s="207" t="n">
        <v>0</v>
      </c>
      <c r="AV188" s="207">
        <f>100</f>
        <v/>
      </c>
      <c r="AW188" s="207" t="n">
        <v>0</v>
      </c>
      <c r="AX188" s="208" t="n">
        <v>1</v>
      </c>
      <c r="AY188" s="209">
        <f>L188*AX188+AP188+AQ188+AR188+AV188+AW188+AS188+AT188+AU188</f>
        <v/>
      </c>
      <c r="AZ188" s="207" t="n">
        <v>16400</v>
      </c>
      <c r="BA188" s="207" t="n">
        <v>0</v>
      </c>
      <c r="BB188" s="207">
        <f>AZ188*0.006</f>
        <v/>
      </c>
      <c r="BC188" s="209">
        <f>AZ188+BA188-BB188</f>
        <v/>
      </c>
      <c r="BD188" s="207" t="n">
        <v>0</v>
      </c>
      <c r="BE188" s="207" t="n">
        <v>0</v>
      </c>
      <c r="BF188" s="209">
        <f>BD188+BE188</f>
        <v/>
      </c>
      <c r="BG188" s="209">
        <f>BC188-AY188+BF188</f>
        <v/>
      </c>
      <c r="BH188" s="87" t="inlineStr">
        <is>
          <t>孙先生</t>
        </is>
      </c>
      <c r="BI188" s="210" t="inlineStr">
        <is>
          <t>浙江省 杭州市 拱墅区 康桥街道锦翠金宸府19栋402室</t>
        </is>
      </c>
      <c r="BJ188" s="86" t="inlineStr">
        <is>
          <t>18413212041-5305</t>
        </is>
      </c>
      <c r="BK188" s="86" t="n"/>
      <c r="BL188" s="210">
        <f>BC188</f>
        <v/>
      </c>
      <c r="BM188" s="93" t="n"/>
      <c r="BN188" s="94" t="n"/>
      <c r="BO188" s="93" t="n"/>
      <c r="BP188" s="86" t="n"/>
      <c r="BQ188" s="96" t="n"/>
      <c r="BR188" s="96" t="n"/>
      <c r="BS188" s="97" t="n"/>
      <c r="BT188" s="96" t="n"/>
      <c r="BU188" s="97" t="inlineStr">
        <is>
          <t>孙先生</t>
        </is>
      </c>
      <c r="BV188" s="96" t="n"/>
      <c r="BW188" s="97" t="n"/>
      <c r="BX188" s="97" t="n"/>
      <c r="BY188" s="97" t="n"/>
      <c r="BZ188" s="97" t="n"/>
      <c r="CA188" s="98" t="n"/>
      <c r="CH188" s="2" t="n"/>
      <c r="CI188" s="14">
        <f>CJ188&amp;CK188</f>
        <v/>
      </c>
      <c r="CY188" s="25" t="n"/>
      <c r="DA188" s="25" t="n"/>
      <c r="DC188" s="26" t="n"/>
      <c r="DD188" s="26" t="n"/>
      <c r="DE188" s="26" t="n"/>
      <c r="DF188" s="26" t="n"/>
      <c r="DG188" s="26" t="n"/>
      <c r="DH188" s="27" t="n"/>
      <c r="DJ188" s="211" t="inlineStr">
        <is>
          <t>订单表中未找到</t>
        </is>
      </c>
      <c r="DK188" t="inlineStr">
        <is>
          <t>—</t>
        </is>
      </c>
      <c r="DL188" t="inlineStr">
        <is>
          <t>—</t>
        </is>
      </c>
    </row>
    <row r="189" ht="15.75" customHeight="1" s="187">
      <c r="A189" s="84" t="n">
        <v>45850</v>
      </c>
      <c r="B189" s="206" t="inlineStr">
        <is>
          <t>已收货</t>
        </is>
      </c>
      <c r="C189" s="86" t="inlineStr">
        <is>
          <t>2823966552061496360</t>
        </is>
      </c>
      <c r="D189" s="87" t="inlineStr">
        <is>
          <t>丁海生</t>
        </is>
      </c>
      <c r="E189" s="87" t="n"/>
      <c r="F189" s="87" t="n"/>
      <c r="G189" s="87" t="inlineStr">
        <is>
          <t>黑胡桃岩板餐桌2米，定制（可可蛋奶岩板：200*80*76）</t>
        </is>
      </c>
      <c r="H189" s="86" t="inlineStr">
        <is>
          <t>黑胡桃木岩板餐桌</t>
        </is>
      </c>
      <c r="I189" s="89" t="inlineStr">
        <is>
          <t>200cm*80cm</t>
        </is>
      </c>
      <c r="J189" s="87" t="inlineStr">
        <is>
          <t>已结算</t>
        </is>
      </c>
      <c r="K189" s="86" t="inlineStr">
        <is>
          <t>江西</t>
        </is>
      </c>
      <c r="L189" s="207">
        <f>SUM(M189:AO189)</f>
        <v/>
      </c>
      <c r="M189" s="207">
        <f>2400</f>
        <v/>
      </c>
      <c r="N189" s="207" t="n"/>
      <c r="O189" s="207" t="n"/>
      <c r="P189" s="207" t="n"/>
      <c r="Q189" s="207" t="n"/>
      <c r="R189" s="207" t="n">
        <v>480</v>
      </c>
      <c r="S189" s="207" t="n"/>
      <c r="T189" s="207" t="n"/>
      <c r="U189" s="207" t="n"/>
      <c r="V189" s="207" t="n"/>
      <c r="W189" s="207" t="n"/>
      <c r="X189" s="207" t="n"/>
      <c r="Y189" s="207" t="n"/>
      <c r="Z189" s="207" t="n"/>
      <c r="AA189" s="207" t="n"/>
      <c r="AB189" s="207" t="n"/>
      <c r="AC189" s="207" t="n"/>
      <c r="AD189" s="207" t="n">
        <v>2.5</v>
      </c>
      <c r="AE189" s="207" t="n"/>
      <c r="AF189" s="207" t="n"/>
      <c r="AG189" s="207" t="n"/>
      <c r="AH189" s="207" t="n"/>
      <c r="AI189" s="207" t="n"/>
      <c r="AJ189" s="207" t="n"/>
      <c r="AK189" s="207" t="n"/>
      <c r="AL189" s="207" t="n"/>
      <c r="AM189" s="207" t="n">
        <v>190</v>
      </c>
      <c r="AN189" s="207" t="n"/>
      <c r="AO189" s="207" t="n"/>
      <c r="AP189" s="207" t="n">
        <v>269</v>
      </c>
      <c r="AQ189" s="207" t="n">
        <v>84</v>
      </c>
      <c r="AR189" s="207" t="n">
        <v>88</v>
      </c>
      <c r="AS189" s="207" t="n">
        <v>0</v>
      </c>
      <c r="AT189" s="207" t="n">
        <v>180</v>
      </c>
      <c r="AU189" s="207" t="n">
        <v>0</v>
      </c>
      <c r="AV189" s="207" t="n">
        <v>28</v>
      </c>
      <c r="AW189" s="207" t="n">
        <v>50</v>
      </c>
      <c r="AX189" s="208" t="n">
        <v>1</v>
      </c>
      <c r="AY189" s="209">
        <f>L189*AX189+AP189+AQ189+AR189+AV189+AW189+AS189+AT189+AU189</f>
        <v/>
      </c>
      <c r="AZ189" s="207" t="n">
        <v>4400</v>
      </c>
      <c r="BA189" s="207" t="n">
        <v>0</v>
      </c>
      <c r="BB189" s="207">
        <f>AZ189*0.006</f>
        <v/>
      </c>
      <c r="BC189" s="209">
        <f>AZ189+BA189-BB189</f>
        <v/>
      </c>
      <c r="BD189" s="207" t="n">
        <v>0</v>
      </c>
      <c r="BE189" s="207" t="n">
        <v>0</v>
      </c>
      <c r="BF189" s="209">
        <f>BD189+BE189</f>
        <v/>
      </c>
      <c r="BG189" s="209">
        <f>BC189-AY189+BF189</f>
        <v/>
      </c>
      <c r="BH189" s="87" t="inlineStr">
        <is>
          <t>丁海生</t>
        </is>
      </c>
      <c r="BI189" s="210" t="inlineStr">
        <is>
          <t>浙江省 宁波市 镇海区 骆驼街道金华北路和镇骆西路三里风荷府4号8单元2001室</t>
        </is>
      </c>
      <c r="BJ189" s="86" t="inlineStr">
        <is>
          <t>14757344386-2125</t>
        </is>
      </c>
      <c r="BK189" s="86" t="n"/>
      <c r="BL189" s="210">
        <f>BC189</f>
        <v/>
      </c>
      <c r="BM189" s="93" t="n"/>
      <c r="BN189" s="94" t="n"/>
      <c r="BO189" s="93" t="n"/>
      <c r="BP189" s="86" t="n"/>
      <c r="BQ189" s="96" t="n"/>
      <c r="BR189" s="96" t="n"/>
      <c r="BS189" s="97" t="n"/>
      <c r="BT189" s="96" t="n"/>
      <c r="BU189" s="97" t="n"/>
      <c r="BV189" s="96" t="n"/>
      <c r="BW189" s="97" t="n"/>
      <c r="BX189" s="97" t="n"/>
      <c r="BY189" s="97" t="n"/>
      <c r="BZ189" s="97" t="n"/>
      <c r="CA189" s="98" t="n"/>
      <c r="CH189" s="2" t="n"/>
      <c r="CI189" s="14">
        <f>CJ189&amp;CK189</f>
        <v/>
      </c>
      <c r="CY189" s="25" t="n"/>
      <c r="DA189" s="25" t="n"/>
      <c r="DC189" s="26" t="n"/>
      <c r="DD189" s="26" t="n"/>
      <c r="DE189" s="26" t="n"/>
      <c r="DF189" s="26" t="n"/>
      <c r="DG189" s="26" t="n"/>
      <c r="DH189" s="27" t="n"/>
      <c r="DJ189" s="211" t="inlineStr">
        <is>
          <t>订单表中未找到</t>
        </is>
      </c>
      <c r="DK189" t="inlineStr">
        <is>
          <t>—</t>
        </is>
      </c>
      <c r="DL189" t="inlineStr">
        <is>
          <t>—</t>
        </is>
      </c>
    </row>
    <row r="190" ht="15.75" customHeight="1" s="187">
      <c r="A190" s="84" t="n">
        <v>45855</v>
      </c>
      <c r="B190" s="206" t="inlineStr">
        <is>
          <t>已收货</t>
        </is>
      </c>
      <c r="C190" s="86" t="inlineStr">
        <is>
          <t>4635418069906417215</t>
        </is>
      </c>
      <c r="D190" s="86" t="inlineStr">
        <is>
          <t>鹿小鸭</t>
        </is>
      </c>
      <c r="E190" s="87" t="n"/>
      <c r="F190" s="87" t="n"/>
      <c r="G190" s="87" t="inlineStr">
        <is>
          <t>樱桃木款洞石背板2米长，1.7高，无顶柜，下柜深度45cm，背板追加一个木隔板</t>
        </is>
      </c>
      <c r="H190" s="87" t="inlineStr">
        <is>
          <t>洞石餐边柜</t>
        </is>
      </c>
      <c r="I190" s="89" t="n">
        <v>2000</v>
      </c>
      <c r="J190" s="87" t="inlineStr">
        <is>
          <t>已结算</t>
        </is>
      </c>
      <c r="K190" s="86" t="inlineStr">
        <is>
          <t>江西</t>
        </is>
      </c>
      <c r="L190" s="207">
        <f>4600+52*2+360+55+340+618.08+2040/6/1.5+100+92+22*8</f>
        <v/>
      </c>
      <c r="M190" s="207">
        <f>4600</f>
        <v/>
      </c>
      <c r="N190" s="207" t="inlineStr">
        <is>
          <t>52*2</t>
        </is>
      </c>
      <c r="O190" s="207" t="n">
        <v>360</v>
      </c>
      <c r="P190" s="207" t="n">
        <v>55</v>
      </c>
      <c r="Q190" s="207" t="n"/>
      <c r="R190" s="207" t="n">
        <v>340</v>
      </c>
      <c r="S190" s="207" t="n">
        <v>618.08</v>
      </c>
      <c r="T190" s="207" t="inlineStr">
        <is>
          <t>2040/6/1.5</t>
        </is>
      </c>
      <c r="U190" s="207" t="n"/>
      <c r="V190" s="207" t="n"/>
      <c r="W190" s="207" t="n">
        <v>100</v>
      </c>
      <c r="X190" s="207" t="n">
        <v>92</v>
      </c>
      <c r="Y190" s="207" t="inlineStr">
        <is>
          <t>22*8</t>
        </is>
      </c>
      <c r="Z190" s="207" t="n"/>
      <c r="AA190" s="207" t="n"/>
      <c r="AB190" s="207" t="n"/>
      <c r="AC190" s="207" t="n"/>
      <c r="AD190" s="207" t="n"/>
      <c r="AE190" s="207" t="n"/>
      <c r="AF190" s="207" t="n"/>
      <c r="AG190" s="207" t="n"/>
      <c r="AH190" s="207" t="n"/>
      <c r="AI190" s="207" t="n"/>
      <c r="AJ190" s="207" t="n"/>
      <c r="AK190" s="207" t="n"/>
      <c r="AL190" s="207" t="n"/>
      <c r="AM190" s="207" t="n"/>
      <c r="AN190" s="207" t="n"/>
      <c r="AO190" s="207" t="n"/>
      <c r="AP190" s="207" t="n"/>
      <c r="AQ190" s="207" t="n">
        <v>80</v>
      </c>
      <c r="AR190" s="207" t="n">
        <v>200</v>
      </c>
      <c r="AS190" s="207" t="n">
        <v>0</v>
      </c>
      <c r="AT190" s="207" t="n">
        <v>0</v>
      </c>
      <c r="AU190" s="207" t="n">
        <v>0</v>
      </c>
      <c r="AV190" s="207" t="n">
        <v>100</v>
      </c>
      <c r="AW190" s="207" t="n">
        <v>0</v>
      </c>
      <c r="AX190" s="208" t="n">
        <v>1</v>
      </c>
      <c r="AY190" s="209">
        <f>L190*AX190+AP190+AQ190+AR190+AV190+AW190+AS190+AT190+AU190</f>
        <v/>
      </c>
      <c r="AZ190" s="207" t="n">
        <v>10719</v>
      </c>
      <c r="BA190" s="207" t="n">
        <v>0</v>
      </c>
      <c r="BB190" s="207">
        <f>AZ190*0.006</f>
        <v/>
      </c>
      <c r="BC190" s="209">
        <f>AZ190+BA190-BB190</f>
        <v/>
      </c>
      <c r="BD190" s="207" t="n">
        <v>0</v>
      </c>
      <c r="BE190" s="207" t="n">
        <v>0</v>
      </c>
      <c r="BF190" s="209">
        <f>BD190+BE190</f>
        <v/>
      </c>
      <c r="BG190" s="209">
        <f>BC190-AY190+BF190</f>
        <v/>
      </c>
      <c r="BH190" s="86" t="inlineStr">
        <is>
          <t>鹿小鸭</t>
        </is>
      </c>
      <c r="BI190" s="210" t="inlineStr">
        <is>
          <t>北京 北京市 东城区 东直门街道香河园路1号万国城moma12号楼1603室</t>
        </is>
      </c>
      <c r="BJ190" s="210" t="inlineStr">
        <is>
          <t>13141001147-5032</t>
        </is>
      </c>
      <c r="BK190" s="86" t="n"/>
      <c r="BL190" s="210" t="n"/>
      <c r="BM190" s="93" t="n"/>
      <c r="BN190" s="94" t="n"/>
      <c r="BO190" s="93" t="n"/>
      <c r="BP190" s="86" t="n"/>
      <c r="BQ190" s="96" t="n"/>
      <c r="BR190" s="96" t="n"/>
      <c r="BS190" s="97" t="n"/>
      <c r="BT190" s="96" t="n"/>
      <c r="BU190" s="97" t="n"/>
      <c r="BV190" s="96" t="n"/>
      <c r="BW190" s="97" t="n"/>
      <c r="BX190" s="97" t="n"/>
      <c r="BY190" s="97" t="n"/>
      <c r="BZ190" s="97" t="n"/>
      <c r="CA190" s="98" t="n"/>
      <c r="CH190" s="2" t="n"/>
      <c r="CI190" s="14" t="n"/>
      <c r="CY190" s="25" t="n"/>
      <c r="DA190" s="25" t="n"/>
      <c r="DC190" s="26" t="n"/>
      <c r="DD190" s="26" t="n"/>
      <c r="DE190" s="26" t="n"/>
      <c r="DF190" s="26" t="n"/>
      <c r="DG190" s="26" t="n"/>
      <c r="DH190" s="27" t="n"/>
      <c r="DJ190" s="211" t="inlineStr">
        <is>
          <t>订单表中未找到</t>
        </is>
      </c>
      <c r="DK190" t="inlineStr">
        <is>
          <t>—</t>
        </is>
      </c>
      <c r="DL190" t="inlineStr">
        <is>
          <t>—</t>
        </is>
      </c>
    </row>
    <row r="191" ht="15.75" customHeight="1" s="187">
      <c r="A191" s="84" t="n">
        <v>45856</v>
      </c>
      <c r="B191" s="206" t="inlineStr">
        <is>
          <t>已收货</t>
        </is>
      </c>
      <c r="C191" s="86" t="inlineStr">
        <is>
          <t>2836400379682254163</t>
        </is>
      </c>
      <c r="D191" s="86" t="inlineStr">
        <is>
          <t>李增洁</t>
        </is>
      </c>
      <c r="E191" s="87" t="n"/>
      <c r="F191" s="87" t="n"/>
      <c r="G191" s="87" t="inlineStr">
        <is>
          <t>砂白色1.6米岩板餐桌</t>
        </is>
      </c>
      <c r="H191" s="87" t="inlineStr">
        <is>
          <t>榉木餐桌</t>
        </is>
      </c>
      <c r="I191" s="218" t="inlineStr">
        <is>
          <t>160cm*85cm</t>
        </is>
      </c>
      <c r="J191" s="87" t="inlineStr">
        <is>
          <t>已结算</t>
        </is>
      </c>
      <c r="K191" s="86" t="inlineStr">
        <is>
          <t>江西</t>
        </is>
      </c>
      <c r="L191" s="207">
        <f>SUM(M191:AO191)</f>
        <v/>
      </c>
      <c r="M191" s="207">
        <f>1520</f>
        <v/>
      </c>
      <c r="N191" s="207" t="n"/>
      <c r="O191" s="207" t="n"/>
      <c r="P191" s="207" t="n"/>
      <c r="Q191" s="207" t="n"/>
      <c r="R191" s="207" t="n">
        <v>220</v>
      </c>
      <c r="S191" s="207" t="n"/>
      <c r="T191" s="207" t="n"/>
      <c r="U191" s="207" t="n"/>
      <c r="V191" s="207" t="n"/>
      <c r="W191" s="207" t="n"/>
      <c r="X191" s="207" t="n"/>
      <c r="Y191" s="207" t="n"/>
      <c r="Z191" s="207" t="n"/>
      <c r="AA191" s="207" t="n"/>
      <c r="AB191" s="207" t="n"/>
      <c r="AC191" s="207" t="n"/>
      <c r="AD191" s="207" t="n">
        <v>2.5</v>
      </c>
      <c r="AE191" s="207" t="n"/>
      <c r="AF191" s="207" t="n"/>
      <c r="AG191" s="207" t="n"/>
      <c r="AH191" s="207" t="n"/>
      <c r="AI191" s="207" t="n"/>
      <c r="AJ191" s="207" t="n"/>
      <c r="AK191" s="207" t="n"/>
      <c r="AL191" s="207" t="n"/>
      <c r="AM191" s="207" t="n">
        <v>180</v>
      </c>
      <c r="AN191" s="207" t="n"/>
      <c r="AO191" s="207" t="n"/>
      <c r="AP191" s="207">
        <f>297-AQ191</f>
        <v/>
      </c>
      <c r="AQ191" s="207" t="n">
        <v>30</v>
      </c>
      <c r="AR191" s="207" t="n">
        <v>70</v>
      </c>
      <c r="AS191" s="207" t="n">
        <v>0</v>
      </c>
      <c r="AT191" s="207" t="n">
        <v>0</v>
      </c>
      <c r="AU191" s="207" t="n">
        <v>0</v>
      </c>
      <c r="AV191" s="207" t="n">
        <v>19</v>
      </c>
      <c r="AW191" s="207" t="n">
        <v>0</v>
      </c>
      <c r="AX191" s="208" t="n">
        <v>1</v>
      </c>
      <c r="AY191" s="209">
        <f>L191*AX191+AP191+AQ191+AR191+AV191+AW191+AS191+AT191+AU191</f>
        <v/>
      </c>
      <c r="AZ191" s="207" t="n">
        <v>2782.06</v>
      </c>
      <c r="BA191" s="207" t="n">
        <v>0</v>
      </c>
      <c r="BB191" s="207">
        <f>AZ191*0.006</f>
        <v/>
      </c>
      <c r="BC191" s="209">
        <f>AZ191+BA191-BB191</f>
        <v/>
      </c>
      <c r="BD191" s="207" t="n">
        <v>0</v>
      </c>
      <c r="BE191" s="207" t="n">
        <v>0</v>
      </c>
      <c r="BF191" s="209">
        <f>BD191+BE191</f>
        <v/>
      </c>
      <c r="BG191" s="209">
        <f>BC191-AY191+BF191</f>
        <v/>
      </c>
      <c r="BH191" s="86" t="inlineStr">
        <is>
          <t>李增洁</t>
        </is>
      </c>
      <c r="BI191" s="210" t="inlineStr">
        <is>
          <t>海南省 海口市 美兰区 白沙街道玉海豪庭3号楼1单元601号</t>
        </is>
      </c>
      <c r="BJ191" s="210" t="inlineStr">
        <is>
          <t>17589171914-2292</t>
        </is>
      </c>
      <c r="BK191" s="86" t="n"/>
      <c r="BL191" s="210" t="n"/>
      <c r="BM191" s="93" t="n"/>
      <c r="BN191" s="94" t="n"/>
      <c r="BO191" s="93" t="n"/>
      <c r="BP191" s="86" t="n"/>
      <c r="BQ191" s="96" t="n"/>
      <c r="BR191" s="96" t="n"/>
      <c r="BS191" s="97" t="n"/>
      <c r="BT191" s="96" t="n"/>
      <c r="BU191" s="97" t="n"/>
      <c r="BV191" s="96" t="n"/>
      <c r="BW191" s="97" t="n"/>
      <c r="BX191" s="97" t="n"/>
      <c r="BY191" s="97" t="n"/>
      <c r="BZ191" s="97" t="n"/>
      <c r="CA191" s="98" t="n"/>
      <c r="CH191" s="2" t="n"/>
      <c r="CI191" s="14" t="n"/>
      <c r="CY191" s="25" t="n"/>
      <c r="DA191" s="25" t="n"/>
      <c r="DC191" s="26" t="n"/>
      <c r="DD191" s="26" t="n"/>
      <c r="DE191" s="26" t="n"/>
      <c r="DF191" s="26" t="n"/>
      <c r="DG191" s="26" t="n"/>
      <c r="DH191" s="27" t="n"/>
      <c r="DJ191" s="211" t="inlineStr">
        <is>
          <t>订单表中未找到</t>
        </is>
      </c>
      <c r="DK191" t="inlineStr">
        <is>
          <t>—</t>
        </is>
      </c>
      <c r="DL191" t="inlineStr">
        <is>
          <t>—</t>
        </is>
      </c>
    </row>
    <row r="192" ht="15.75" customHeight="1" s="187">
      <c r="A192" s="84" t="n">
        <v>45857</v>
      </c>
      <c r="B192" s="206" t="inlineStr">
        <is>
          <t>已收货</t>
        </is>
      </c>
      <c r="C192" s="86" t="inlineStr">
        <is>
          <t>2836912334073082291</t>
        </is>
      </c>
      <c r="D192" s="86" t="inlineStr">
        <is>
          <t>陈逸翔</t>
        </is>
      </c>
      <c r="E192" s="87" t="n"/>
      <c r="F192" s="87" t="n"/>
      <c r="G192" s="87" t="inlineStr">
        <is>
          <t>榉木餐边柜：1.2</t>
        </is>
      </c>
      <c r="H192" s="207" t="inlineStr">
        <is>
          <t>榉木餐边柜</t>
        </is>
      </c>
      <c r="I192" s="89" t="n"/>
      <c r="J192" s="87" t="inlineStr">
        <is>
          <t>已结算</t>
        </is>
      </c>
      <c r="K192" s="86" t="inlineStr">
        <is>
          <t>江西</t>
        </is>
      </c>
      <c r="L192" s="207">
        <f>3500+320+200+52+22*4+68+752+24</f>
        <v/>
      </c>
      <c r="M192" s="207">
        <f>3500</f>
        <v/>
      </c>
      <c r="N192" s="207" t="n">
        <v>320</v>
      </c>
      <c r="O192" s="207" t="n">
        <v>200</v>
      </c>
      <c r="P192" s="207" t="n">
        <v>52</v>
      </c>
      <c r="Q192" s="207" t="n"/>
      <c r="R192" s="207" t="inlineStr">
        <is>
          <t>22*4</t>
        </is>
      </c>
      <c r="S192" s="207" t="n">
        <v>68</v>
      </c>
      <c r="T192" s="207" t="n">
        <v>752</v>
      </c>
      <c r="U192" s="207" t="n"/>
      <c r="V192" s="207" t="n"/>
      <c r="W192" s="207" t="n">
        <v>24</v>
      </c>
      <c r="X192" s="207" t="n"/>
      <c r="Y192" s="207" t="n"/>
      <c r="Z192" s="207" t="n"/>
      <c r="AA192" s="207" t="n"/>
      <c r="AB192" s="207" t="n"/>
      <c r="AC192" s="207" t="n"/>
      <c r="AD192" s="207" t="n"/>
      <c r="AE192" s="207" t="n"/>
      <c r="AF192" s="207" t="n"/>
      <c r="AG192" s="207" t="n"/>
      <c r="AH192" s="207" t="n"/>
      <c r="AI192" s="207" t="n"/>
      <c r="AJ192" s="207" t="n"/>
      <c r="AK192" s="207" t="n"/>
      <c r="AL192" s="207" t="n"/>
      <c r="AM192" s="207" t="n">
        <v>320</v>
      </c>
      <c r="AN192" s="207" t="n"/>
      <c r="AO192" s="207" t="n"/>
      <c r="AP192" s="207">
        <f>284-AQ192</f>
        <v/>
      </c>
      <c r="AQ192" s="207" t="n">
        <v>68</v>
      </c>
      <c r="AR192" s="207" t="n">
        <v>99</v>
      </c>
      <c r="AS192" s="207" t="n">
        <v>0</v>
      </c>
      <c r="AT192" s="207" t="n">
        <v>0</v>
      </c>
      <c r="AU192" s="207" t="n">
        <v>0</v>
      </c>
      <c r="AV192" s="207" t="n">
        <v>79</v>
      </c>
      <c r="AW192" s="207" t="n">
        <v>0</v>
      </c>
      <c r="AX192" s="208" t="n">
        <v>1</v>
      </c>
      <c r="AY192" s="209">
        <f>L192*AX192+AP192+AQ192+AR192+AV192+AW192+AS192+AT192+AU192</f>
        <v/>
      </c>
      <c r="AZ192" s="207" t="n">
        <v>7726.47</v>
      </c>
      <c r="BA192" s="207" t="n">
        <v>0</v>
      </c>
      <c r="BB192" s="207">
        <f>AZ192*0.006</f>
        <v/>
      </c>
      <c r="BC192" s="209">
        <f>AZ192+BA192-BB192</f>
        <v/>
      </c>
      <c r="BD192" s="207" t="n">
        <v>0</v>
      </c>
      <c r="BE192" s="207" t="n">
        <v>0</v>
      </c>
      <c r="BF192" s="209">
        <f>BD192+BE192</f>
        <v/>
      </c>
      <c r="BG192" s="209">
        <f>BC192-AY192+BF192</f>
        <v/>
      </c>
      <c r="BH192" s="86" t="inlineStr">
        <is>
          <t>陈逸翔</t>
        </is>
      </c>
      <c r="BI192" s="210" t="inlineStr">
        <is>
          <t>浙江省 衢州市 柯城区 白云街道 云澜府25幢1单元501</t>
        </is>
      </c>
      <c r="BJ192" s="210" t="inlineStr">
        <is>
          <t>18413290012-4008</t>
        </is>
      </c>
      <c r="BK192" s="86" t="n"/>
      <c r="BL192" s="210" t="n"/>
      <c r="BM192" s="93" t="n"/>
      <c r="BN192" s="94" t="n"/>
      <c r="BO192" s="93" t="n"/>
      <c r="BP192" s="86" t="n"/>
      <c r="BQ192" s="96" t="n"/>
      <c r="BR192" s="96" t="n"/>
      <c r="BS192" s="97" t="n"/>
      <c r="BT192" s="96" t="n"/>
      <c r="BU192" s="97" t="n"/>
      <c r="BV192" s="96" t="n"/>
      <c r="BW192" s="97" t="n"/>
      <c r="BX192" s="97" t="n"/>
      <c r="BY192" s="97" t="n"/>
      <c r="BZ192" s="97" t="n"/>
      <c r="CA192" s="98" t="n"/>
      <c r="CH192" s="2" t="n"/>
      <c r="CI192" s="14" t="n"/>
      <c r="CY192" s="25" t="n"/>
      <c r="DA192" s="25" t="n"/>
      <c r="DC192" s="26" t="n"/>
      <c r="DD192" s="26" t="n"/>
      <c r="DE192" s="26" t="n"/>
      <c r="DF192" s="26" t="n"/>
      <c r="DG192" s="26" t="n"/>
      <c r="DH192" s="27" t="n"/>
      <c r="DJ192" s="211" t="inlineStr">
        <is>
          <t>订单表中未找到</t>
        </is>
      </c>
      <c r="DK192" t="inlineStr">
        <is>
          <t>—</t>
        </is>
      </c>
      <c r="DL192" t="inlineStr">
        <is>
          <t>—</t>
        </is>
      </c>
    </row>
    <row r="193" ht="15.75" customHeight="1" s="187">
      <c r="A193" s="84" t="n">
        <v>45857</v>
      </c>
      <c r="B193" s="206" t="inlineStr">
        <is>
          <t>已收货</t>
        </is>
      </c>
      <c r="C193" s="86" t="inlineStr">
        <is>
          <t>2837909715358786675</t>
        </is>
      </c>
      <c r="D193" s="86" t="inlineStr">
        <is>
          <t>杨鹏</t>
        </is>
      </c>
      <c r="E193" s="87" t="n"/>
      <c r="F193" s="87" t="n"/>
      <c r="G193" s="87" t="inlineStr">
        <is>
          <t>砂白色1.4米岩板餐桌，定制</t>
        </is>
      </c>
      <c r="H193" s="87" t="inlineStr">
        <is>
          <t>榉木餐桌</t>
        </is>
      </c>
      <c r="I193" s="218" t="inlineStr">
        <is>
          <t>140cm*80cm</t>
        </is>
      </c>
      <c r="J193" s="87" t="inlineStr">
        <is>
          <t>已结算</t>
        </is>
      </c>
      <c r="K193" s="86" t="inlineStr">
        <is>
          <t>江西</t>
        </is>
      </c>
      <c r="L193" s="207">
        <f>SUM(M193:AO193)</f>
        <v/>
      </c>
      <c r="M193" s="207">
        <f>1480</f>
        <v/>
      </c>
      <c r="N193" s="207" t="n"/>
      <c r="O193" s="207" t="n"/>
      <c r="P193" s="207" t="n"/>
      <c r="Q193" s="207" t="n"/>
      <c r="R193" s="207" t="n">
        <v>220</v>
      </c>
      <c r="S193" s="207" t="n"/>
      <c r="T193" s="207" t="n"/>
      <c r="U193" s="207" t="n"/>
      <c r="V193" s="207" t="n"/>
      <c r="W193" s="207" t="n"/>
      <c r="X193" s="207" t="n"/>
      <c r="Y193" s="207" t="n"/>
      <c r="Z193" s="207" t="n"/>
      <c r="AA193" s="207" t="n"/>
      <c r="AB193" s="207" t="n"/>
      <c r="AC193" s="207" t="n"/>
      <c r="AD193" s="207" t="n">
        <v>2.5</v>
      </c>
      <c r="AE193" s="207" t="n"/>
      <c r="AF193" s="207" t="n"/>
      <c r="AG193" s="207" t="n"/>
      <c r="AH193" s="207" t="n"/>
      <c r="AI193" s="207" t="n"/>
      <c r="AJ193" s="207" t="n"/>
      <c r="AK193" s="207" t="n"/>
      <c r="AL193" s="207" t="n"/>
      <c r="AM193" s="207" t="n">
        <v>170</v>
      </c>
      <c r="AN193" s="207" t="n"/>
      <c r="AO193" s="207" t="n"/>
      <c r="AP193" s="207">
        <f>160-AQ193</f>
        <v/>
      </c>
      <c r="AQ193" s="207" t="n">
        <v>10</v>
      </c>
      <c r="AR193" s="207" t="n">
        <v>75</v>
      </c>
      <c r="AS193" s="207" t="n">
        <v>0</v>
      </c>
      <c r="AT193" s="207" t="n">
        <v>0</v>
      </c>
      <c r="AU193" s="207" t="n">
        <v>0</v>
      </c>
      <c r="AV193" s="207" t="n">
        <v>16</v>
      </c>
      <c r="AW193" s="207" t="n">
        <v>0</v>
      </c>
      <c r="AX193" s="208" t="n">
        <v>1</v>
      </c>
      <c r="AY193" s="209">
        <f>L193*AX193+AP193+AQ193+AR193+AV193+AW193+AS193+AT193+AU193</f>
        <v/>
      </c>
      <c r="AZ193" s="207" t="n">
        <v>2672.86</v>
      </c>
      <c r="BA193" s="207" t="n">
        <v>0</v>
      </c>
      <c r="BB193" s="207">
        <f>AZ193*0.006</f>
        <v/>
      </c>
      <c r="BC193" s="209">
        <f>AZ193+BA193-BB193</f>
        <v/>
      </c>
      <c r="BD193" s="207" t="n">
        <v>0</v>
      </c>
      <c r="BE193" s="207" t="n">
        <v>0</v>
      </c>
      <c r="BF193" s="209">
        <f>BD193+BE193</f>
        <v/>
      </c>
      <c r="BG193" s="209">
        <f>BC193-AY193+BF193</f>
        <v/>
      </c>
      <c r="BH193" s="86" t="inlineStr">
        <is>
          <t>杨鹏</t>
        </is>
      </c>
      <c r="BI193" s="210" t="inlineStr">
        <is>
          <t>广西壮族自治区 桂林市 秀峰区 甲山街道 阳江北路大龙湾15栋3单元302</t>
        </is>
      </c>
      <c r="BJ193" s="210" t="inlineStr">
        <is>
          <t>15578352246-6259</t>
        </is>
      </c>
      <c r="BK193" s="86" t="n"/>
      <c r="BL193" s="210" t="n"/>
      <c r="BM193" s="93" t="n"/>
      <c r="BN193" s="94" t="n"/>
      <c r="BO193" s="93" t="n"/>
      <c r="BP193" s="86" t="n"/>
      <c r="BQ193" s="96" t="n"/>
      <c r="BR193" s="96" t="n"/>
      <c r="BS193" s="97" t="n"/>
      <c r="BT193" s="96" t="n"/>
      <c r="BU193" s="97" t="n"/>
      <c r="BV193" s="96" t="n"/>
      <c r="BW193" s="97" t="n"/>
      <c r="BX193" s="97" t="n"/>
      <c r="BY193" s="97" t="n"/>
      <c r="BZ193" s="97" t="n"/>
      <c r="CA193" s="98" t="n"/>
      <c r="CH193" s="2" t="n"/>
      <c r="CI193" s="14" t="n"/>
      <c r="CY193" s="25" t="n"/>
      <c r="DA193" s="25" t="n"/>
      <c r="DC193" s="26" t="n"/>
      <c r="DD193" s="26" t="n"/>
      <c r="DE193" s="26" t="n"/>
      <c r="DF193" s="26" t="n"/>
      <c r="DG193" s="26" t="n"/>
      <c r="DH193" s="27" t="n"/>
      <c r="DJ193" s="211" t="inlineStr">
        <is>
          <t>订单表中未找到</t>
        </is>
      </c>
      <c r="DK193" t="inlineStr">
        <is>
          <t>—</t>
        </is>
      </c>
      <c r="DL193" t="inlineStr">
        <is>
          <t>—</t>
        </is>
      </c>
    </row>
    <row r="194" ht="15.75" customHeight="1" s="187">
      <c r="A194" s="84" t="n">
        <v>45857</v>
      </c>
      <c r="B194" s="206" t="inlineStr">
        <is>
          <t>已收货</t>
        </is>
      </c>
      <c r="C194" s="86" t="inlineStr">
        <is>
          <t>4640273568695129940</t>
        </is>
      </c>
      <c r="D194" s="207" t="inlineStr">
        <is>
          <t>王子艳</t>
        </is>
      </c>
      <c r="E194" s="87" t="inlineStr">
        <is>
          <t>已发货</t>
        </is>
      </c>
      <c r="F194" s="87" t="n"/>
      <c r="G194" s="207" t="inlineStr">
        <is>
          <t>定制2.1米洞石整柜-补差价</t>
        </is>
      </c>
      <c r="H194" s="87" t="inlineStr">
        <is>
          <t>洞石餐边柜</t>
        </is>
      </c>
      <c r="I194" s="89" t="n"/>
      <c r="J194" s="87" t="inlineStr">
        <is>
          <t>已结算</t>
        </is>
      </c>
      <c r="K194" s="86" t="inlineStr">
        <is>
          <t>江西</t>
        </is>
      </c>
      <c r="L194" s="207" t="n">
        <v>0</v>
      </c>
      <c r="M194" s="207" t="n">
        <v>0</v>
      </c>
      <c r="N194" s="207" t="n"/>
      <c r="O194" s="207" t="n"/>
      <c r="P194" s="207" t="n"/>
      <c r="Q194" s="207" t="n"/>
      <c r="R194" s="207" t="n"/>
      <c r="S194" s="207" t="n"/>
      <c r="T194" s="207" t="n"/>
      <c r="U194" s="207" t="n"/>
      <c r="V194" s="207" t="n"/>
      <c r="W194" s="207" t="n"/>
      <c r="X194" s="207" t="n"/>
      <c r="Y194" s="207" t="n"/>
      <c r="Z194" s="207" t="n"/>
      <c r="AA194" s="207" t="n"/>
      <c r="AB194" s="207" t="n"/>
      <c r="AC194" s="207" t="n"/>
      <c r="AD194" s="207" t="n"/>
      <c r="AE194" s="207" t="n"/>
      <c r="AF194" s="207" t="n"/>
      <c r="AG194" s="207" t="n"/>
      <c r="AH194" s="207" t="n"/>
      <c r="AI194" s="207" t="n"/>
      <c r="AJ194" s="207" t="n"/>
      <c r="AK194" s="207" t="n"/>
      <c r="AL194" s="207" t="n"/>
      <c r="AM194" s="207" t="n"/>
      <c r="AN194" s="207" t="n"/>
      <c r="AO194" s="207" t="n"/>
      <c r="AP194" s="207" t="n">
        <v>0</v>
      </c>
      <c r="AQ194" s="207" t="n">
        <v>0</v>
      </c>
      <c r="AR194" s="207" t="n">
        <v>0</v>
      </c>
      <c r="AS194" s="207" t="n">
        <v>0</v>
      </c>
      <c r="AT194" s="207" t="n">
        <v>0</v>
      </c>
      <c r="AU194" s="207" t="n">
        <v>0</v>
      </c>
      <c r="AV194" s="207" t="n">
        <v>0</v>
      </c>
      <c r="AW194" s="207" t="n">
        <v>0</v>
      </c>
      <c r="AX194" s="208" t="n">
        <v>1</v>
      </c>
      <c r="AY194" s="209">
        <f>L194*AX194+AP194+AQ194+AR194+AV194+AW194+AS194+AT194+AU194</f>
        <v/>
      </c>
      <c r="AZ194" s="207" t="n">
        <v>65</v>
      </c>
      <c r="BA194" s="207" t="n">
        <v>0</v>
      </c>
      <c r="BB194" s="207">
        <f>AZ194*0.006</f>
        <v/>
      </c>
      <c r="BC194" s="209">
        <f>AZ194+BA194-BB194</f>
        <v/>
      </c>
      <c r="BD194" s="207" t="n">
        <v>0</v>
      </c>
      <c r="BE194" s="207" t="n">
        <v>0</v>
      </c>
      <c r="BF194" s="209">
        <f>BD194+BE194</f>
        <v/>
      </c>
      <c r="BG194" s="209">
        <f>BC194-AY194+BF194</f>
        <v/>
      </c>
      <c r="BH194" s="207" t="inlineStr">
        <is>
          <t>王子艳</t>
        </is>
      </c>
      <c r="BI194" s="207" t="inlineStr">
        <is>
          <t>四川省 成都市 龙泉驿区 东安街道保利云上锦苑6栋1单元302号</t>
        </is>
      </c>
      <c r="BJ194" s="207" t="inlineStr">
        <is>
          <t>18423730325-8441</t>
        </is>
      </c>
      <c r="BK194" s="87" t="n"/>
      <c r="BL194" s="210" t="n"/>
      <c r="BM194" s="93" t="n"/>
      <c r="BN194" s="94" t="n"/>
      <c r="BO194" s="93" t="n"/>
      <c r="BP194" s="86" t="n"/>
      <c r="BQ194" s="96" t="n"/>
      <c r="BR194" s="96" t="n"/>
      <c r="BS194" s="97" t="n"/>
      <c r="BT194" s="96" t="n"/>
      <c r="BU194" s="97" t="n"/>
      <c r="BV194" s="96" t="n"/>
      <c r="BW194" s="97" t="n"/>
      <c r="BX194" s="97" t="n"/>
      <c r="BY194" s="97" t="n"/>
      <c r="BZ194" s="97" t="n"/>
      <c r="CA194" s="98" t="n"/>
      <c r="CH194" s="2" t="n"/>
      <c r="CI194" s="14">
        <f>CJ194&amp;CK194</f>
        <v/>
      </c>
      <c r="CJ194" s="25" t="n"/>
      <c r="CK194" s="25" t="n"/>
      <c r="CL194" s="25" t="n"/>
      <c r="CM194" s="25" t="n"/>
      <c r="CN194" s="25" t="n"/>
      <c r="CO194" s="25" t="n"/>
      <c r="CP194" s="25" t="n"/>
      <c r="CQ194" s="25" t="n"/>
      <c r="CR194" s="25" t="n"/>
      <c r="CS194" s="25" t="n"/>
      <c r="CT194" s="25" t="n"/>
      <c r="CU194" s="25" t="n"/>
      <c r="CV194" s="25" t="n"/>
      <c r="CW194" s="25" t="n"/>
      <c r="CX194" s="25" t="n"/>
      <c r="CY194" s="25" t="n"/>
      <c r="CZ194" s="25" t="n"/>
      <c r="DC194" s="26" t="n"/>
      <c r="DD194" s="26" t="n"/>
      <c r="DE194" s="26" t="n"/>
      <c r="DF194" s="26" t="n"/>
      <c r="DG194" s="26" t="n"/>
      <c r="DH194" s="27" t="n"/>
      <c r="DJ194" s="211" t="inlineStr">
        <is>
          <t>订单表中未找到</t>
        </is>
      </c>
      <c r="DK194" t="inlineStr">
        <is>
          <t>—</t>
        </is>
      </c>
      <c r="DL194" t="inlineStr">
        <is>
          <t>—</t>
        </is>
      </c>
    </row>
    <row r="195" ht="15.75" customHeight="1" s="187">
      <c r="A195" s="84" t="n">
        <v>45860</v>
      </c>
      <c r="B195" s="206" t="inlineStr">
        <is>
          <t>已收货</t>
        </is>
      </c>
      <c r="C195" s="86" t="inlineStr">
        <is>
          <t>4645557648596959014</t>
        </is>
      </c>
      <c r="D195" s="86" t="inlineStr">
        <is>
          <t>猫十七</t>
        </is>
      </c>
      <c r="E195" s="87" t="n"/>
      <c r="F195" s="87" t="n"/>
      <c r="G195" s="87" t="inlineStr">
        <is>
          <t>砂白色1.8米岩板餐桌</t>
        </is>
      </c>
      <c r="H195" s="87" t="inlineStr">
        <is>
          <t>榉木餐桌</t>
        </is>
      </c>
      <c r="I195" s="218" t="inlineStr">
        <is>
          <t>180cm*85cm</t>
        </is>
      </c>
      <c r="J195" s="87" t="inlineStr">
        <is>
          <t>已结算</t>
        </is>
      </c>
      <c r="K195" s="86" t="inlineStr">
        <is>
          <t>江西</t>
        </is>
      </c>
      <c r="L195" s="207">
        <f>SUM(M195:AO195)</f>
        <v/>
      </c>
      <c r="M195" s="207">
        <f>1540</f>
        <v/>
      </c>
      <c r="N195" s="207" t="n"/>
      <c r="O195" s="207" t="n"/>
      <c r="P195" s="207" t="n"/>
      <c r="Q195" s="207" t="n"/>
      <c r="R195" s="207" t="n">
        <v>220</v>
      </c>
      <c r="S195" s="207" t="n"/>
      <c r="T195" s="207" t="n"/>
      <c r="U195" s="207" t="n"/>
      <c r="V195" s="207" t="n"/>
      <c r="W195" s="207" t="n"/>
      <c r="X195" s="207" t="n"/>
      <c r="Y195" s="207" t="n"/>
      <c r="Z195" s="207" t="n"/>
      <c r="AA195" s="207" t="n"/>
      <c r="AB195" s="207" t="n"/>
      <c r="AC195" s="207" t="n"/>
      <c r="AD195" s="207" t="n">
        <v>2.5</v>
      </c>
      <c r="AE195" s="207" t="n"/>
      <c r="AF195" s="207" t="n"/>
      <c r="AG195" s="207" t="n"/>
      <c r="AH195" s="207" t="n"/>
      <c r="AI195" s="207" t="n"/>
      <c r="AJ195" s="207" t="n"/>
      <c r="AK195" s="207" t="n"/>
      <c r="AL195" s="207" t="n"/>
      <c r="AM195" s="207" t="n">
        <v>180</v>
      </c>
      <c r="AN195" s="207" t="n"/>
      <c r="AO195" s="207" t="n"/>
      <c r="AP195" s="207">
        <f>121-AQ195</f>
        <v/>
      </c>
      <c r="AQ195" s="207" t="n">
        <v>10</v>
      </c>
      <c r="AR195" s="207" t="n">
        <v>80</v>
      </c>
      <c r="AS195" s="207" t="n">
        <v>0</v>
      </c>
      <c r="AT195" s="207" t="n">
        <v>0</v>
      </c>
      <c r="AU195" s="207" t="n">
        <v>0</v>
      </c>
      <c r="AV195" s="207" t="n">
        <v>0</v>
      </c>
      <c r="AW195" s="207" t="n">
        <v>125</v>
      </c>
      <c r="AX195" s="208" t="n">
        <v>1</v>
      </c>
      <c r="AY195" s="209">
        <f>L195*AX195+AP195+AQ195+AR195+AV195+AW195+AS195+AT195+AU195</f>
        <v/>
      </c>
      <c r="AZ195" s="207" t="n">
        <v>2268.5</v>
      </c>
      <c r="BA195" s="207" t="n">
        <v>0</v>
      </c>
      <c r="BB195" s="207">
        <f>AZ195*0.006</f>
        <v/>
      </c>
      <c r="BC195" s="209">
        <f>AZ195+BA195-BB195</f>
        <v/>
      </c>
      <c r="BD195" s="207" t="n">
        <v>0</v>
      </c>
      <c r="BE195" s="207" t="n">
        <v>0</v>
      </c>
      <c r="BF195" s="209">
        <f>BD195+BE195</f>
        <v/>
      </c>
      <c r="BG195" s="209">
        <f>BC195-AY195+BF195</f>
        <v/>
      </c>
      <c r="BH195" s="86" t="inlineStr">
        <is>
          <t>猫十七</t>
        </is>
      </c>
      <c r="BI195" s="210" t="inlineStr">
        <is>
          <t>江苏省 常州市 武进区 湖塘镇融创常州御园2期2栋乙单元1401</t>
        </is>
      </c>
      <c r="BJ195" s="210" t="inlineStr">
        <is>
          <t>18425149871-7489</t>
        </is>
      </c>
      <c r="BK195" s="86" t="n"/>
      <c r="BL195" s="210" t="n"/>
      <c r="BM195" s="93" t="n"/>
      <c r="BN195" s="94" t="n"/>
      <c r="BO195" s="93" t="n"/>
      <c r="BP195" s="86" t="n"/>
      <c r="BQ195" s="96" t="n"/>
      <c r="BR195" s="96" t="n"/>
      <c r="BS195" s="97" t="n"/>
      <c r="BT195" s="96" t="n"/>
      <c r="BU195" s="97" t="n"/>
      <c r="BV195" s="96" t="n"/>
      <c r="BW195" s="97" t="n"/>
      <c r="BX195" s="97" t="n"/>
      <c r="BY195" s="97" t="n"/>
      <c r="BZ195" s="97" t="n"/>
      <c r="CA195" s="98" t="n"/>
      <c r="CH195" s="2" t="n"/>
      <c r="CI195" s="14" t="n"/>
      <c r="CY195" s="25" t="n"/>
      <c r="DA195" s="25" t="n"/>
      <c r="DC195" s="26" t="n"/>
      <c r="DD195" s="26" t="n"/>
      <c r="DE195" s="26" t="n"/>
      <c r="DF195" s="26" t="n"/>
      <c r="DG195" s="26" t="n"/>
      <c r="DH195" s="27" t="n"/>
      <c r="DJ195" s="211" t="inlineStr">
        <is>
          <t>订单表中未找到</t>
        </is>
      </c>
      <c r="DK195" t="inlineStr">
        <is>
          <t>—</t>
        </is>
      </c>
      <c r="DL195" t="inlineStr">
        <is>
          <t>—</t>
        </is>
      </c>
    </row>
    <row r="196" ht="15.75" customHeight="1" s="187">
      <c r="A196" s="84" t="n">
        <v>45860</v>
      </c>
      <c r="B196" s="206" t="inlineStr">
        <is>
          <t>已收货</t>
        </is>
      </c>
      <c r="C196" s="86" t="inlineStr">
        <is>
          <t>2843111139207648265</t>
        </is>
      </c>
      <c r="D196" s="110" t="inlineStr">
        <is>
          <t>李雅</t>
        </is>
      </c>
      <c r="E196" s="87" t="inlineStr">
        <is>
          <t>已发货</t>
        </is>
      </c>
      <c r="F196" s="87" t="n"/>
      <c r="G196" s="207" t="inlineStr">
        <is>
          <t>窄柜-整柜洞石背板-1.2米</t>
        </is>
      </c>
      <c r="H196" s="207" t="inlineStr">
        <is>
          <t>樱桃木窄柜</t>
        </is>
      </c>
      <c r="I196" s="89" t="n">
        <v>1200</v>
      </c>
      <c r="J196" s="87" t="inlineStr">
        <is>
          <t>已结算</t>
        </is>
      </c>
      <c r="K196" s="86" t="inlineStr">
        <is>
          <t>庄毅</t>
        </is>
      </c>
      <c r="L196" s="207">
        <f>SUM(M196:AO196)</f>
        <v/>
      </c>
      <c r="M196" s="207">
        <f>3600</f>
        <v/>
      </c>
      <c r="N196" s="207">
        <f>1.158*260+2*55</f>
        <v/>
      </c>
      <c r="O196" s="207" t="n">
        <v>125</v>
      </c>
      <c r="P196" s="207" t="n"/>
      <c r="Q196" s="207">
        <f>38*2</f>
        <v/>
      </c>
      <c r="R196" s="207">
        <f>310+100/15</f>
        <v/>
      </c>
      <c r="S196" s="207" t="n">
        <v>62.4</v>
      </c>
      <c r="T196" s="207" t="n"/>
      <c r="U196" s="207" t="n"/>
      <c r="V196" s="207" t="n"/>
      <c r="W196" s="207" t="n">
        <v>8</v>
      </c>
      <c r="X196" s="207" t="n"/>
      <c r="Y196" s="207" t="n"/>
      <c r="Z196" s="207" t="n"/>
      <c r="AA196" s="207" t="n"/>
      <c r="AB196" s="207" t="n"/>
      <c r="AC196" s="207" t="n">
        <v>3.37</v>
      </c>
      <c r="AD196" s="207" t="n"/>
      <c r="AE196" s="207" t="n"/>
      <c r="AF196" s="207" t="n"/>
      <c r="AG196" s="207" t="n"/>
      <c r="AH196" s="207" t="n"/>
      <c r="AI196" s="207" t="n">
        <v>1.6</v>
      </c>
      <c r="AJ196" s="207" t="n">
        <v>1.1</v>
      </c>
      <c r="AK196" s="207" t="n"/>
      <c r="AL196" s="207" t="n"/>
      <c r="AM196" s="207" t="n"/>
      <c r="AN196" s="207" t="n"/>
      <c r="AO196" s="207" t="n"/>
      <c r="AP196" s="207" t="n">
        <v>436</v>
      </c>
      <c r="AQ196" s="207" t="n">
        <v>0</v>
      </c>
      <c r="AR196" s="207" t="n">
        <v>115</v>
      </c>
      <c r="AS196" s="207" t="n">
        <v>0</v>
      </c>
      <c r="AT196" s="207" t="n">
        <v>228</v>
      </c>
      <c r="AU196" s="207" t="n">
        <v>0</v>
      </c>
      <c r="AV196" s="207" t="n">
        <v>0</v>
      </c>
      <c r="AW196" s="207" t="n">
        <v>0</v>
      </c>
      <c r="AX196" s="208" t="n">
        <v>1</v>
      </c>
      <c r="AY196" s="209">
        <f>L196*AX196+AP196+AQ196+AR196+AV196+AW196+AS196+AT196+AU196</f>
        <v/>
      </c>
      <c r="AZ196" s="207" t="n">
        <v>5254.28</v>
      </c>
      <c r="BA196" s="207" t="n">
        <v>0</v>
      </c>
      <c r="BB196" s="207">
        <f>AZ196*0.006</f>
        <v/>
      </c>
      <c r="BC196" s="209">
        <f>AZ196+BA196-BB196</f>
        <v/>
      </c>
      <c r="BD196" s="207">
        <f>AT196+AU196</f>
        <v/>
      </c>
      <c r="BE196" s="207" t="n">
        <v>0</v>
      </c>
      <c r="BF196" s="209">
        <f>BD196+BE196</f>
        <v/>
      </c>
      <c r="BG196" s="209">
        <f>BC196-AY196+BF196</f>
        <v/>
      </c>
      <c r="BH196" s="87" t="inlineStr">
        <is>
          <t>李雅</t>
        </is>
      </c>
      <c r="BI196" s="210" t="inlineStr">
        <is>
          <t>北京 北京市 通州区 潞城镇含章园4区11号楼4单元401</t>
        </is>
      </c>
      <c r="BJ196" s="86" t="inlineStr">
        <is>
          <t>18400738594-3667</t>
        </is>
      </c>
      <c r="BK196" s="86" t="inlineStr">
        <is>
          <t>JDV022152808925，2件</t>
        </is>
      </c>
      <c r="BL196" s="210">
        <f>BC196</f>
        <v/>
      </c>
      <c r="BM196" s="93" t="n"/>
      <c r="BN196" s="94" t="n"/>
      <c r="BO196" s="93" t="n"/>
      <c r="BP196" s="86" t="n"/>
      <c r="BQ196" s="96" t="n"/>
      <c r="BR196" s="96" t="n"/>
      <c r="BS196" s="97" t="n"/>
      <c r="BT196" s="96" t="n"/>
      <c r="BU196" s="97" t="n"/>
      <c r="BV196" s="96" t="n"/>
      <c r="BW196" s="97" t="n"/>
      <c r="BX196" s="97" t="n"/>
      <c r="BY196" s="97" t="n"/>
      <c r="BZ196" s="97" t="n"/>
      <c r="CA196" s="98" t="n"/>
      <c r="CH196" s="2" t="n"/>
      <c r="CI196" s="14">
        <f>CJ196&amp;CK196</f>
        <v/>
      </c>
      <c r="CY196" s="25" t="n"/>
      <c r="DA196" s="25" t="n"/>
      <c r="DC196" s="26" t="n"/>
      <c r="DD196" s="26" t="n"/>
      <c r="DE196" s="26" t="n"/>
      <c r="DF196" s="26" t="n"/>
      <c r="DG196" s="26" t="n"/>
      <c r="DH196" s="27" t="n"/>
      <c r="DJ196" s="211" t="inlineStr">
        <is>
          <t>订单表中未找到</t>
        </is>
      </c>
      <c r="DK196" t="inlineStr">
        <is>
          <t>—</t>
        </is>
      </c>
      <c r="DL196" t="inlineStr">
        <is>
          <t>—</t>
        </is>
      </c>
    </row>
    <row r="197" ht="15.75" customHeight="1" s="187">
      <c r="A197" s="84" t="n">
        <v>45861</v>
      </c>
      <c r="B197" s="206" t="inlineStr">
        <is>
          <t>已收货</t>
        </is>
      </c>
      <c r="C197" s="86" t="inlineStr">
        <is>
          <t>2844803928414797769</t>
        </is>
      </c>
      <c r="D197" s="110" t="inlineStr">
        <is>
          <t>贺岚</t>
        </is>
      </c>
      <c r="E197" s="87" t="n"/>
      <c r="F197" s="87" t="n"/>
      <c r="G197" s="217" t="inlineStr">
        <is>
          <t>窄柜-整柜洞石背板-1.0米-定制</t>
        </is>
      </c>
      <c r="H197" s="207" t="inlineStr">
        <is>
          <t>樱桃木窄柜</t>
        </is>
      </c>
      <c r="I197" s="89" t="n">
        <v>1000</v>
      </c>
      <c r="J197" s="87" t="inlineStr">
        <is>
          <t>已结算</t>
        </is>
      </c>
      <c r="K197" s="86" t="inlineStr">
        <is>
          <t>庄毅</t>
        </is>
      </c>
      <c r="L197" s="207">
        <f>SUM(M197:AO197)</f>
        <v/>
      </c>
      <c r="M197" s="207">
        <f>3500</f>
        <v/>
      </c>
      <c r="N197" s="207">
        <f>0.958*260+2*55</f>
        <v/>
      </c>
      <c r="O197" s="207" t="n">
        <v>120</v>
      </c>
      <c r="P197" s="207" t="n"/>
      <c r="Q197" s="207">
        <f>19*2</f>
        <v/>
      </c>
      <c r="R197" s="207">
        <f>270+100/15</f>
        <v/>
      </c>
      <c r="S197" s="207" t="n">
        <v>59.23</v>
      </c>
      <c r="T197" s="207" t="n"/>
      <c r="U197" s="207" t="n"/>
      <c r="V197" s="207" t="n">
        <v>5</v>
      </c>
      <c r="W197" s="207" t="n"/>
      <c r="X197" s="207" t="n"/>
      <c r="Y197" s="207" t="n"/>
      <c r="Z197" s="207" t="n"/>
      <c r="AA197" s="207" t="n">
        <v>2</v>
      </c>
      <c r="AB197" s="207" t="n">
        <v>1.1</v>
      </c>
      <c r="AC197" s="207" t="n">
        <v>3.5</v>
      </c>
      <c r="AD197" s="207" t="n"/>
      <c r="AE197" s="207" t="n"/>
      <c r="AF197" s="207" t="n"/>
      <c r="AG197" s="207" t="n"/>
      <c r="AH197" s="207" t="n"/>
      <c r="AI197" s="207" t="n"/>
      <c r="AJ197" s="207" t="n"/>
      <c r="AK197" s="207" t="n"/>
      <c r="AL197" s="207" t="n"/>
      <c r="AM197" s="207" t="n"/>
      <c r="AN197" s="207" t="n"/>
      <c r="AO197" s="207" t="n"/>
      <c r="AP197" s="207" t="n">
        <v>258</v>
      </c>
      <c r="AQ197" s="207" t="n">
        <v>0</v>
      </c>
      <c r="AR197" s="207" t="n">
        <v>88</v>
      </c>
      <c r="AS197" s="207" t="n">
        <v>0</v>
      </c>
      <c r="AT197" s="207" t="n">
        <v>0</v>
      </c>
      <c r="AU197" s="207" t="n">
        <v>0</v>
      </c>
      <c r="AV197" s="207" t="n">
        <v>0</v>
      </c>
      <c r="AW197" s="207" t="n">
        <v>0</v>
      </c>
      <c r="AX197" s="208" t="n">
        <v>1</v>
      </c>
      <c r="AY197" s="209">
        <f>L197*AX197+AP197+AQ197+AR197+AV197+AW197+AS197+AT197+AU197</f>
        <v/>
      </c>
      <c r="AZ197" s="207">
        <f>5545+100</f>
        <v/>
      </c>
      <c r="BA197" s="207" t="n">
        <v>0</v>
      </c>
      <c r="BB197" s="207">
        <f>AZ197*0.006</f>
        <v/>
      </c>
      <c r="BC197" s="209">
        <f>AZ197+BA197-BB197</f>
        <v/>
      </c>
      <c r="BD197" s="207" t="n">
        <v>0</v>
      </c>
      <c r="BE197" s="207" t="n">
        <v>0</v>
      </c>
      <c r="BF197" s="209">
        <f>BD197+BE197</f>
        <v/>
      </c>
      <c r="BG197" s="209">
        <f>BC197-AY197+BF197</f>
        <v/>
      </c>
      <c r="BH197" s="87" t="inlineStr">
        <is>
          <t>贺岚</t>
        </is>
      </c>
      <c r="BI197" s="210" t="inlineStr">
        <is>
          <t xml:space="preserve">广东省 广州市 海珠区 南石头街道 星汇海珠湾E区1栋1818 </t>
        </is>
      </c>
      <c r="BJ197" s="86" t="inlineStr">
        <is>
          <t>13249627167-7448</t>
        </is>
      </c>
      <c r="BK197" s="86" t="inlineStr">
        <is>
          <t>JDV022497815015，2件</t>
        </is>
      </c>
      <c r="BL197" s="210">
        <f>BC197</f>
        <v/>
      </c>
      <c r="BM197" s="93" t="n"/>
      <c r="BN197" s="94" t="n"/>
      <c r="BO197" s="93" t="n"/>
      <c r="BP197" s="86" t="n"/>
      <c r="BQ197" s="96" t="n"/>
      <c r="BR197" s="96" t="n"/>
      <c r="BS197" s="97" t="n"/>
      <c r="BT197" s="96" t="n"/>
      <c r="BU197" s="97" t="n"/>
      <c r="BV197" s="96" t="n"/>
      <c r="BW197" s="97" t="n"/>
      <c r="BX197" s="97" t="n"/>
      <c r="BY197" s="97" t="n"/>
      <c r="BZ197" s="97" t="n"/>
      <c r="CA197" s="98" t="n"/>
      <c r="CH197" s="2" t="n"/>
      <c r="CI197" s="14">
        <f>CJ197&amp;CK197</f>
        <v/>
      </c>
      <c r="CY197" s="25" t="n"/>
      <c r="DA197" s="25" t="n"/>
      <c r="DC197" s="26" t="n"/>
      <c r="DD197" s="26" t="n"/>
      <c r="DE197" s="26" t="n"/>
      <c r="DF197" s="26" t="n"/>
      <c r="DG197" s="26" t="n"/>
      <c r="DH197" s="27" t="n"/>
      <c r="DJ197" s="211" t="inlineStr">
        <is>
          <t>订单表中未找到</t>
        </is>
      </c>
      <c r="DK197" t="inlineStr">
        <is>
          <t>—</t>
        </is>
      </c>
      <c r="DL197" t="inlineStr">
        <is>
          <t>—</t>
        </is>
      </c>
    </row>
    <row r="198" ht="15.75" customHeight="1" s="187">
      <c r="A198" s="84" t="n">
        <v>45862</v>
      </c>
      <c r="B198" s="206" t="inlineStr">
        <is>
          <t>已收货</t>
        </is>
      </c>
      <c r="C198" s="86" t="inlineStr">
        <is>
          <t>4649893093082433503</t>
        </is>
      </c>
      <c r="D198" s="110" t="inlineStr">
        <is>
          <t>陈中善</t>
        </is>
      </c>
      <c r="E198" s="87" t="n"/>
      <c r="F198" s="87" t="n"/>
      <c r="G198" s="207" t="inlineStr">
        <is>
          <t>窄柜-整柜洞石背板-1.0米</t>
        </is>
      </c>
      <c r="H198" s="207" t="inlineStr">
        <is>
          <t>樱桃木窄柜</t>
        </is>
      </c>
      <c r="I198" s="89" t="n">
        <v>1000</v>
      </c>
      <c r="J198" s="87" t="inlineStr">
        <is>
          <t>已结算</t>
        </is>
      </c>
      <c r="K198" s="86" t="inlineStr">
        <is>
          <t>庄毅</t>
        </is>
      </c>
      <c r="L198" s="207">
        <f>SUM(M198:AO198)</f>
        <v/>
      </c>
      <c r="M198" s="207">
        <f>3300</f>
        <v/>
      </c>
      <c r="N198" s="207">
        <f>0.958*260+2*55</f>
        <v/>
      </c>
      <c r="O198" s="207" t="n">
        <v>120</v>
      </c>
      <c r="P198" s="207" t="n"/>
      <c r="Q198" s="207">
        <f>19*2</f>
        <v/>
      </c>
      <c r="R198" s="207">
        <f>0.48*1*160+30</f>
        <v/>
      </c>
      <c r="S198" s="207" t="n">
        <v>59.23</v>
      </c>
      <c r="T198" s="207" t="n"/>
      <c r="U198" s="207" t="n"/>
      <c r="V198" s="207" t="n">
        <v>5</v>
      </c>
      <c r="W198" s="207" t="n"/>
      <c r="X198" s="207" t="n"/>
      <c r="Y198" s="207" t="n"/>
      <c r="Z198" s="207" t="n"/>
      <c r="AA198" s="207" t="n">
        <v>2</v>
      </c>
      <c r="AB198" s="207" t="n">
        <v>1.1</v>
      </c>
      <c r="AC198" s="207" t="n">
        <v>3.5</v>
      </c>
      <c r="AD198" s="207" t="n"/>
      <c r="AE198" s="207" t="n"/>
      <c r="AF198" s="207" t="n"/>
      <c r="AG198" s="207" t="n"/>
      <c r="AH198" s="207" t="n"/>
      <c r="AI198" s="207" t="n"/>
      <c r="AJ198" s="207" t="n"/>
      <c r="AK198" s="207" t="n"/>
      <c r="AL198" s="207" t="n"/>
      <c r="AM198" s="207" t="n"/>
      <c r="AN198" s="207" t="n"/>
      <c r="AO198" s="207" t="n"/>
      <c r="AP198" s="207" t="n">
        <v>246</v>
      </c>
      <c r="AQ198" s="207" t="n">
        <v>0</v>
      </c>
      <c r="AR198" s="207" t="n">
        <v>0</v>
      </c>
      <c r="AS198" s="207" t="n">
        <v>0</v>
      </c>
      <c r="AT198" s="207" t="n">
        <v>0</v>
      </c>
      <c r="AU198" s="207" t="n">
        <v>0</v>
      </c>
      <c r="AV198" s="207" t="n">
        <v>0</v>
      </c>
      <c r="AW198" s="207" t="n">
        <v>0</v>
      </c>
      <c r="AX198" s="208" t="n">
        <v>1</v>
      </c>
      <c r="AY198" s="209">
        <f>L198*AX198+AP198+AQ198+AR198+AV198+AW198+AS198+AT198+AU198</f>
        <v/>
      </c>
      <c r="AZ198" s="207" t="n">
        <v>5056.64</v>
      </c>
      <c r="BA198" s="207" t="n">
        <v>0</v>
      </c>
      <c r="BB198" s="207">
        <f>AZ198*0.006</f>
        <v/>
      </c>
      <c r="BC198" s="209">
        <f>AZ198+BA198-BB198</f>
        <v/>
      </c>
      <c r="BD198" s="207" t="n">
        <v>0</v>
      </c>
      <c r="BE198" s="207" t="n">
        <v>0</v>
      </c>
      <c r="BF198" s="209">
        <f>BD198+BE198</f>
        <v/>
      </c>
      <c r="BG198" s="209">
        <f>BC198-AY198+BF198</f>
        <v/>
      </c>
      <c r="BH198" s="87" t="inlineStr">
        <is>
          <t>陈中善 97706 Josephine Chen</t>
        </is>
      </c>
      <c r="BI198" s="210" t="inlineStr">
        <is>
          <t>广东省 中山市  三乡镇广星路8号广星智能科技园C栋峰琳物流NZ仓会员:陈中善 97706</t>
        </is>
      </c>
      <c r="BJ198" s="86" t="inlineStr">
        <is>
          <t>13048071056-9143</t>
        </is>
      </c>
      <c r="BK198" s="86" t="inlineStr">
        <is>
          <t>JDV022277261510，2件</t>
        </is>
      </c>
      <c r="BL198" s="210">
        <f>BC198</f>
        <v/>
      </c>
      <c r="BM198" s="93" t="n"/>
      <c r="BN198" s="94" t="n"/>
      <c r="BO198" s="93" t="n"/>
      <c r="BP198" s="86" t="n"/>
      <c r="BQ198" s="96" t="n"/>
      <c r="BR198" s="96" t="n"/>
      <c r="BS198" s="97" t="n"/>
      <c r="BT198" s="96" t="n"/>
      <c r="BU198" s="97" t="n"/>
      <c r="BV198" s="96" t="n"/>
      <c r="BW198" s="97" t="n"/>
      <c r="BX198" s="97" t="n"/>
      <c r="BY198" s="97" t="n"/>
      <c r="BZ198" s="97" t="n"/>
      <c r="CA198" s="98" t="n"/>
      <c r="CH198" s="2" t="n"/>
      <c r="CI198" s="14">
        <f>CJ198&amp;CK198</f>
        <v/>
      </c>
      <c r="CY198" s="25" t="n"/>
      <c r="DA198" s="25" t="n"/>
      <c r="DC198" s="26" t="n"/>
      <c r="DD198" s="26" t="n"/>
      <c r="DE198" s="26" t="n"/>
      <c r="DF198" s="26" t="n"/>
      <c r="DG198" s="26" t="n"/>
      <c r="DH198" s="27" t="n"/>
      <c r="DJ198" s="211" t="inlineStr">
        <is>
          <t>订单表中未找到</t>
        </is>
      </c>
      <c r="DK198" t="inlineStr">
        <is>
          <t>—</t>
        </is>
      </c>
      <c r="DL198" t="inlineStr">
        <is>
          <t>—</t>
        </is>
      </c>
    </row>
    <row r="199" ht="17.25" customHeight="1" s="187">
      <c r="A199" s="84" t="n">
        <v>45862</v>
      </c>
      <c r="B199" s="206" t="inlineStr">
        <is>
          <t>已收货</t>
        </is>
      </c>
      <c r="C199" s="86" t="inlineStr">
        <is>
          <t>2847008028687462250</t>
        </is>
      </c>
      <c r="D199" s="110" t="inlineStr">
        <is>
          <t>冯女士</t>
        </is>
      </c>
      <c r="E199" s="87" t="inlineStr">
        <is>
          <t>已发货</t>
        </is>
      </c>
      <c r="F199" s="87" t="n"/>
      <c r="G199" s="87" t="inlineStr">
        <is>
          <t>砂白色1.3米岩板餐桌，定制</t>
        </is>
      </c>
      <c r="H199" s="87" t="inlineStr">
        <is>
          <t>榉木餐桌</t>
        </is>
      </c>
      <c r="I199" s="89" t="inlineStr">
        <is>
          <t>130cm*75cm</t>
        </is>
      </c>
      <c r="J199" s="87" t="inlineStr">
        <is>
          <t>已结算</t>
        </is>
      </c>
      <c r="K199" s="86" t="inlineStr">
        <is>
          <t>庄毅</t>
        </is>
      </c>
      <c r="L199" s="207">
        <f>SUM(M199:AO199)</f>
        <v/>
      </c>
      <c r="M199" s="207">
        <f>1450</f>
        <v/>
      </c>
      <c r="N199" s="207" t="n"/>
      <c r="O199" s="207" t="n"/>
      <c r="P199" s="207" t="n"/>
      <c r="Q199" s="207" t="n"/>
      <c r="R199" s="207">
        <f>180*1.3*0.75</f>
        <v/>
      </c>
      <c r="S199" s="207" t="n"/>
      <c r="T199" s="207" t="n"/>
      <c r="U199" s="207" t="n"/>
      <c r="V199" s="207" t="n"/>
      <c r="W199" s="207" t="n"/>
      <c r="X199" s="207" t="n"/>
      <c r="Y199" s="207" t="n"/>
      <c r="Z199" s="207" t="n"/>
      <c r="AA199" s="207" t="n"/>
      <c r="AB199" s="207" t="n"/>
      <c r="AC199" s="207" t="n"/>
      <c r="AD199" s="207" t="n">
        <v>2.5</v>
      </c>
      <c r="AE199" s="207" t="n"/>
      <c r="AF199" s="207" t="n"/>
      <c r="AG199" s="207" t="n"/>
      <c r="AH199" s="207" t="n"/>
      <c r="AI199" s="207" t="n"/>
      <c r="AJ199" s="207" t="n"/>
      <c r="AK199" s="207" t="n"/>
      <c r="AL199" s="207" t="n"/>
      <c r="AM199" s="207" t="n"/>
      <c r="AN199" s="207" t="n"/>
      <c r="AO199" s="207" t="n"/>
      <c r="AP199" s="207" t="n">
        <v>324</v>
      </c>
      <c r="AQ199" s="207" t="n">
        <v>0</v>
      </c>
      <c r="AR199" s="207" t="n">
        <v>133</v>
      </c>
      <c r="AS199" s="207" t="n">
        <v>0</v>
      </c>
      <c r="AT199" s="207" t="n">
        <v>0</v>
      </c>
      <c r="AU199" s="207" t="n">
        <v>0</v>
      </c>
      <c r="AV199" s="207" t="n">
        <v>0</v>
      </c>
      <c r="AW199" s="207" t="n">
        <v>0</v>
      </c>
      <c r="AX199" s="208" t="n">
        <v>1</v>
      </c>
      <c r="AY199" s="209">
        <f>L199*AX199+AP199+AQ199+AR199+AV199+AW199+AS199+AT199+AU199</f>
        <v/>
      </c>
      <c r="AZ199" s="207" t="n">
        <v>2703</v>
      </c>
      <c r="BA199" s="207" t="n">
        <v>0</v>
      </c>
      <c r="BB199" s="207">
        <f>AZ199*0.006</f>
        <v/>
      </c>
      <c r="BC199" s="209">
        <f>AZ199+BA199-BB199</f>
        <v/>
      </c>
      <c r="BD199" s="207" t="n">
        <v>0</v>
      </c>
      <c r="BE199" s="207" t="n">
        <v>0</v>
      </c>
      <c r="BF199" s="209">
        <f>BD199+BE199</f>
        <v/>
      </c>
      <c r="BG199" s="209">
        <f>BC199-AY199+BF199</f>
        <v/>
      </c>
      <c r="BH199" s="87" t="inlineStr">
        <is>
          <t>冯女士</t>
        </is>
      </c>
      <c r="BI199" s="210" t="inlineStr">
        <is>
          <t xml:space="preserve">北京 北京市 朝阳区 大屯街道 慧忠里小区415号楼11层1102 </t>
        </is>
      </c>
      <c r="BJ199" s="86" t="inlineStr">
        <is>
          <t>13439867112-1098</t>
        </is>
      </c>
      <c r="BK199" s="86" t="inlineStr">
        <is>
          <t>JDV022363769500，2件</t>
        </is>
      </c>
      <c r="BL199" s="210">
        <f>BC199</f>
        <v/>
      </c>
      <c r="BM199" s="93" t="n"/>
      <c r="BN199" s="94" t="n"/>
      <c r="BO199" s="93" t="n"/>
      <c r="BP199" s="86" t="n"/>
      <c r="BQ199" s="96" t="n"/>
      <c r="BR199" s="96" t="n"/>
      <c r="BS199" s="97" t="n"/>
      <c r="BT199" s="96" t="n"/>
      <c r="BU199" s="97" t="n"/>
      <c r="BV199" s="96" t="n"/>
      <c r="BW199" s="97" t="n"/>
      <c r="BX199" s="97" t="n"/>
      <c r="BY199" s="97" t="n"/>
      <c r="BZ199" s="97" t="n"/>
      <c r="CA199" s="98" t="n"/>
      <c r="CH199" s="2" t="n"/>
      <c r="CI199" s="14">
        <f>CJ199&amp;CK199</f>
        <v/>
      </c>
      <c r="CY199" s="25" t="n"/>
      <c r="DA199" s="25" t="n"/>
      <c r="DC199" s="26" t="n"/>
      <c r="DD199" s="26" t="n"/>
      <c r="DE199" s="26" t="n"/>
      <c r="DF199" s="26" t="n"/>
      <c r="DG199" s="26" t="n"/>
      <c r="DH199" s="27" t="n"/>
      <c r="DJ199" s="211" t="inlineStr">
        <is>
          <t>订单表中未找到</t>
        </is>
      </c>
      <c r="DK199" t="inlineStr">
        <is>
          <t>—</t>
        </is>
      </c>
      <c r="DL199" t="inlineStr">
        <is>
          <t>—</t>
        </is>
      </c>
    </row>
    <row r="200" ht="15.75" customHeight="1" s="187">
      <c r="A200" s="84" t="n">
        <v>45864</v>
      </c>
      <c r="B200" s="206" t="inlineStr">
        <is>
          <t>已收货</t>
        </is>
      </c>
      <c r="C200" s="86" t="inlineStr">
        <is>
          <t>4653202143004081504</t>
        </is>
      </c>
      <c r="D200" s="207" t="inlineStr">
        <is>
          <t>黄懿歆</t>
        </is>
      </c>
      <c r="E200" s="87" t="inlineStr">
        <is>
          <t>已发货</t>
        </is>
      </c>
      <c r="F200" s="87" t="n"/>
      <c r="G200" s="207" t="inlineStr">
        <is>
          <t>曜黑柜-整柜-2.1米</t>
        </is>
      </c>
      <c r="H200" s="207" t="inlineStr">
        <is>
          <t>曜黑餐边柜</t>
        </is>
      </c>
      <c r="I200" s="89" t="n">
        <v>2100</v>
      </c>
      <c r="J200" s="87" t="inlineStr">
        <is>
          <t>已结算</t>
        </is>
      </c>
      <c r="K200" s="86" t="inlineStr">
        <is>
          <t>庄毅</t>
        </is>
      </c>
      <c r="L200" s="207">
        <f>9800+657.08+2550/6/1.5+2.025*15+20+2.1*0.48*180+30+92+71+45+40</f>
        <v/>
      </c>
      <c r="M200" s="207">
        <f>9800</f>
        <v/>
      </c>
      <c r="N200" s="207">
        <f>2.058*260+2*55+12</f>
        <v/>
      </c>
      <c r="O200" s="207">
        <f>2550/6/1.5</f>
        <v/>
      </c>
      <c r="P200" s="207" t="inlineStr">
        <is>
          <t>2.025*15</t>
        </is>
      </c>
      <c r="Q200" s="207" t="n"/>
      <c r="R200" s="207" t="n">
        <v>20</v>
      </c>
      <c r="S200" s="207" t="inlineStr">
        <is>
          <t>2.1*0.48*180</t>
        </is>
      </c>
      <c r="T200" s="207" t="inlineStr">
        <is>
          <t>30*5</t>
        </is>
      </c>
      <c r="U200" s="207" t="n"/>
      <c r="V200" s="207" t="n"/>
      <c r="W200" s="207" t="n">
        <v>92</v>
      </c>
      <c r="X200" s="207" t="n">
        <v>71</v>
      </c>
      <c r="Y200" s="207" t="n">
        <v>45</v>
      </c>
      <c r="Z200" s="207" t="n"/>
      <c r="AA200" s="207" t="n"/>
      <c r="AB200" s="207" t="n"/>
      <c r="AC200" s="207" t="n"/>
      <c r="AD200" s="207" t="n"/>
      <c r="AE200" s="207" t="n">
        <v>40</v>
      </c>
      <c r="AF200" s="207" t="n"/>
      <c r="AG200" s="207" t="n"/>
      <c r="AH200" s="207" t="n"/>
      <c r="AI200" s="207" t="n"/>
      <c r="AJ200" s="207" t="n"/>
      <c r="AK200" s="207" t="n"/>
      <c r="AL200" s="207" t="n"/>
      <c r="AM200" s="207" t="n"/>
      <c r="AN200" s="207" t="n"/>
      <c r="AO200" s="207" t="n"/>
      <c r="AP200" s="207" t="n">
        <v>746</v>
      </c>
      <c r="AQ200" s="207" t="n">
        <v>0</v>
      </c>
      <c r="AR200" s="207" t="n">
        <v>160</v>
      </c>
      <c r="AS200" s="207" t="n">
        <v>0</v>
      </c>
      <c r="AT200" s="207" t="n">
        <v>0</v>
      </c>
      <c r="AU200" s="207" t="n">
        <v>0</v>
      </c>
      <c r="AV200" s="207" t="n">
        <v>0</v>
      </c>
      <c r="AW200" s="207" t="n">
        <v>100</v>
      </c>
      <c r="AX200" s="208" t="n">
        <v>1</v>
      </c>
      <c r="AY200" s="209">
        <f>L200*AX200+AP200+AQ200+AR200+AV200+AW200+AS200+AT200+AU200</f>
        <v/>
      </c>
      <c r="AZ200" s="207" t="n">
        <v>15632</v>
      </c>
      <c r="BA200" s="207" t="n">
        <v>0</v>
      </c>
      <c r="BB200" s="207">
        <f>AZ200*0.006</f>
        <v/>
      </c>
      <c r="BC200" s="209">
        <f>AZ200+BA200-BB200</f>
        <v/>
      </c>
      <c r="BD200" s="207" t="n">
        <v>0</v>
      </c>
      <c r="BE200" s="207" t="n">
        <v>0</v>
      </c>
      <c r="BF200" s="209">
        <f>BD200+BE200</f>
        <v/>
      </c>
      <c r="BG200" s="209">
        <f>BC200-AY200+BF200</f>
        <v/>
      </c>
      <c r="BH200" s="207" t="inlineStr">
        <is>
          <t>黄懿歆</t>
        </is>
      </c>
      <c r="BI200" s="207" t="inlineStr">
        <is>
          <t>贵州省 贵阳市 花溪区 溪北街道 中铁&amp;middot;阅花溪A组团12栋17楼2号</t>
        </is>
      </c>
      <c r="BJ200" s="207" t="inlineStr">
        <is>
          <t>18400319567-1665</t>
        </is>
      </c>
      <c r="BK200" s="87" t="n"/>
      <c r="BL200" s="210" t="n"/>
      <c r="BM200" s="93" t="n"/>
      <c r="BN200" s="94" t="n"/>
      <c r="BO200" s="93" t="n"/>
      <c r="BP200" s="86" t="n"/>
      <c r="BQ200" s="96" t="n"/>
      <c r="BR200" s="96" t="n"/>
      <c r="BS200" s="97" t="n"/>
      <c r="BT200" s="96" t="n"/>
      <c r="BU200" s="97" t="n"/>
      <c r="BV200" s="96" t="n"/>
      <c r="BW200" s="97" t="n"/>
      <c r="BX200" s="97" t="n"/>
      <c r="BY200" s="97" t="n"/>
      <c r="BZ200" s="97" t="n"/>
      <c r="CA200" s="98" t="n"/>
      <c r="CH200" s="2" t="n"/>
      <c r="CI200" s="14">
        <f>CJ200&amp;CK200</f>
        <v/>
      </c>
      <c r="CJ200" s="25" t="n"/>
      <c r="CK200" s="25" t="n"/>
      <c r="CL200" s="25" t="n"/>
      <c r="CM200" s="25" t="n"/>
      <c r="CN200" s="25" t="n"/>
      <c r="CO200" s="25" t="n"/>
      <c r="CP200" s="25" t="n"/>
      <c r="CQ200" s="25" t="n"/>
      <c r="CR200" s="25" t="n"/>
      <c r="CS200" s="25" t="n"/>
      <c r="CT200" s="25" t="n"/>
      <c r="CU200" s="25" t="n"/>
      <c r="CV200" s="25" t="n"/>
      <c r="CW200" s="25" t="n"/>
      <c r="CX200" s="25" t="n"/>
      <c r="CY200" s="25" t="n"/>
      <c r="CZ200" s="25" t="n"/>
      <c r="DC200" s="26" t="n"/>
      <c r="DD200" s="26" t="n"/>
      <c r="DE200" s="26" t="n"/>
      <c r="DF200" s="26" t="n"/>
      <c r="DG200" s="26" t="n"/>
      <c r="DH200" s="27" t="n"/>
      <c r="DJ200" s="211" t="inlineStr">
        <is>
          <t>订单表中未找到</t>
        </is>
      </c>
      <c r="DK200" t="inlineStr">
        <is>
          <t>—</t>
        </is>
      </c>
      <c r="DL200" t="inlineStr">
        <is>
          <t>—</t>
        </is>
      </c>
    </row>
    <row r="201" ht="17.25" customHeight="1" s="187">
      <c r="A201" s="84" t="n">
        <v>45865</v>
      </c>
      <c r="B201" s="206" t="inlineStr">
        <is>
          <t>已收货</t>
        </is>
      </c>
      <c r="C201" s="86" t="inlineStr">
        <is>
          <t>2850725424720730171</t>
        </is>
      </c>
      <c r="D201" s="110" t="inlineStr">
        <is>
          <t>从心</t>
        </is>
      </c>
      <c r="E201" s="87" t="inlineStr">
        <is>
          <t>已发货</t>
        </is>
      </c>
      <c r="F201" s="87" t="n"/>
      <c r="G201" s="207" t="inlineStr">
        <is>
          <t>窄柜-整柜洞石背板-1.2米</t>
        </is>
      </c>
      <c r="H201" s="207" t="inlineStr">
        <is>
          <t>樱桃木窄柜</t>
        </is>
      </c>
      <c r="I201" s="89" t="n">
        <v>1200</v>
      </c>
      <c r="J201" s="87" t="inlineStr">
        <is>
          <t>已结算</t>
        </is>
      </c>
      <c r="K201" s="86" t="inlineStr">
        <is>
          <t>庄毅</t>
        </is>
      </c>
      <c r="L201" s="207">
        <f>SUM(M201:AO201)</f>
        <v/>
      </c>
      <c r="M201" s="207">
        <f>3600</f>
        <v/>
      </c>
      <c r="N201" s="207">
        <f>1.158*260+2*55</f>
        <v/>
      </c>
      <c r="O201" s="207" t="n">
        <v>125</v>
      </c>
      <c r="P201" s="207" t="n"/>
      <c r="Q201" s="207">
        <f>38*2</f>
        <v/>
      </c>
      <c r="R201" s="207">
        <f>310+100/15</f>
        <v/>
      </c>
      <c r="S201" s="207" t="n">
        <v>62.4</v>
      </c>
      <c r="T201" s="207" t="n"/>
      <c r="U201" s="207" t="n"/>
      <c r="V201" s="207" t="n"/>
      <c r="W201" s="207" t="n">
        <v>8</v>
      </c>
      <c r="X201" s="207" t="n"/>
      <c r="Y201" s="207" t="n"/>
      <c r="Z201" s="207" t="n"/>
      <c r="AA201" s="207" t="n"/>
      <c r="AB201" s="207" t="n"/>
      <c r="AC201" s="207" t="n">
        <v>3.37</v>
      </c>
      <c r="AD201" s="207" t="n"/>
      <c r="AE201" s="207" t="n"/>
      <c r="AF201" s="207" t="n"/>
      <c r="AG201" s="207" t="n"/>
      <c r="AH201" s="207" t="n"/>
      <c r="AI201" s="207" t="n">
        <v>1.6</v>
      </c>
      <c r="AJ201" s="207" t="n">
        <v>1.1</v>
      </c>
      <c r="AK201" s="207" t="n"/>
      <c r="AL201" s="207" t="n"/>
      <c r="AM201" s="207" t="n"/>
      <c r="AN201" s="207" t="n"/>
      <c r="AO201" s="207" t="n"/>
      <c r="AP201" s="207" t="n">
        <v>333</v>
      </c>
      <c r="AQ201" s="207" t="n">
        <v>0</v>
      </c>
      <c r="AR201" s="207" t="n">
        <v>108</v>
      </c>
      <c r="AS201" s="207" t="n">
        <v>0</v>
      </c>
      <c r="AT201" s="207" t="n">
        <v>0</v>
      </c>
      <c r="AU201" s="207" t="n">
        <v>0</v>
      </c>
      <c r="AV201" s="207" t="n">
        <v>0</v>
      </c>
      <c r="AW201" s="207" t="n">
        <v>0</v>
      </c>
      <c r="AX201" s="208" t="n">
        <v>1</v>
      </c>
      <c r="AY201" s="209">
        <f>L201*AX201+AP201+AQ201+AR201+AV201+AW201+AS201+AT201+AU201</f>
        <v/>
      </c>
      <c r="AZ201" s="207" t="n">
        <v>5254.28</v>
      </c>
      <c r="BA201" s="207" t="n">
        <v>0</v>
      </c>
      <c r="BB201" s="207">
        <f>AZ201*0.006</f>
        <v/>
      </c>
      <c r="BC201" s="209">
        <f>AZ201+BA201-BB201</f>
        <v/>
      </c>
      <c r="BD201" s="207" t="n">
        <v>0</v>
      </c>
      <c r="BE201" s="207" t="n">
        <v>0</v>
      </c>
      <c r="BF201" s="209">
        <f>BD201+BE201</f>
        <v/>
      </c>
      <c r="BG201" s="209">
        <f>BC201-AY201+BF201</f>
        <v/>
      </c>
      <c r="BH201" s="87" t="inlineStr">
        <is>
          <t>从心</t>
        </is>
      </c>
      <c r="BI201" s="210" t="inlineStr">
        <is>
          <t>广东省 深圳市 龙华区 民治街道沙元路沙元埔42栋301</t>
        </is>
      </c>
      <c r="BJ201" s="86" t="inlineStr">
        <is>
          <t>15794964805-9011</t>
        </is>
      </c>
      <c r="BK201" s="86" t="inlineStr">
        <is>
          <t>JDV022178869745，2件</t>
        </is>
      </c>
      <c r="BL201" s="210">
        <f>BC201</f>
        <v/>
      </c>
      <c r="BM201" s="93" t="n"/>
      <c r="BN201" s="94" t="n"/>
      <c r="BO201" s="93" t="n"/>
      <c r="BP201" s="86" t="n"/>
      <c r="BQ201" s="96" t="n"/>
      <c r="BR201" s="96" t="n"/>
      <c r="BS201" s="97" t="n"/>
      <c r="BT201" s="96" t="n"/>
      <c r="BU201" s="97" t="n"/>
      <c r="BV201" s="96" t="n"/>
      <c r="BW201" s="97" t="n"/>
      <c r="BX201" s="97" t="n"/>
      <c r="BY201" s="97" t="n"/>
      <c r="BZ201" s="97" t="n"/>
      <c r="CA201" s="98" t="n"/>
      <c r="CH201" s="2" t="n"/>
      <c r="CI201" s="14">
        <f>CJ201&amp;CK201</f>
        <v/>
      </c>
      <c r="CY201" s="25" t="n"/>
      <c r="DA201" s="25" t="n"/>
      <c r="DC201" s="26" t="n"/>
      <c r="DD201" s="26" t="n"/>
      <c r="DE201" s="26" t="n"/>
      <c r="DF201" s="26" t="n"/>
      <c r="DG201" s="26" t="n"/>
      <c r="DH201" s="27" t="n"/>
      <c r="DJ201" s="211" t="inlineStr">
        <is>
          <t>订单表中未找到</t>
        </is>
      </c>
      <c r="DK201" t="inlineStr">
        <is>
          <t>—</t>
        </is>
      </c>
      <c r="DL201" t="inlineStr">
        <is>
          <t>—</t>
        </is>
      </c>
    </row>
    <row r="202" ht="17.25" customHeight="1" s="187">
      <c r="A202" s="84" t="n">
        <v>45870</v>
      </c>
      <c r="B202" s="206" t="inlineStr">
        <is>
          <t>已收货</t>
        </is>
      </c>
      <c r="C202" s="86" t="inlineStr">
        <is>
          <t>4661931314570857434</t>
        </is>
      </c>
      <c r="D202" s="110" t="inlineStr">
        <is>
          <t>施先生</t>
        </is>
      </c>
      <c r="E202" s="87" t="inlineStr">
        <is>
          <t>已发货</t>
        </is>
      </c>
      <c r="F202" s="87" t="n"/>
      <c r="G202" s="207" t="inlineStr">
        <is>
          <t>窄柜-整柜洞石背板-0.8米-定制</t>
        </is>
      </c>
      <c r="H202" s="207" t="inlineStr">
        <is>
          <t>樱桃木窄柜</t>
        </is>
      </c>
      <c r="I202" s="89" t="n">
        <v>800</v>
      </c>
      <c r="J202" s="87" t="inlineStr">
        <is>
          <t>已结算</t>
        </is>
      </c>
      <c r="K202" s="86" t="inlineStr">
        <is>
          <t>庄毅</t>
        </is>
      </c>
      <c r="L202" s="207">
        <f>SUM(M202:AO202)</f>
        <v/>
      </c>
      <c r="M202" s="207" t="n">
        <v>3200</v>
      </c>
      <c r="N202" s="207">
        <f>0.758*260+2*55</f>
        <v/>
      </c>
      <c r="O202" s="207">
        <f>115</f>
        <v/>
      </c>
      <c r="P202" s="207" t="n"/>
      <c r="Q202" s="207">
        <f>15*2</f>
        <v/>
      </c>
      <c r="R202" s="207">
        <f>230+100/15</f>
        <v/>
      </c>
      <c r="S202" s="207" t="n">
        <v>54.9</v>
      </c>
      <c r="T202" s="207" t="n"/>
      <c r="U202" s="207" t="n"/>
      <c r="V202" s="207" t="n">
        <v>4</v>
      </c>
      <c r="W202" s="207" t="n"/>
      <c r="X202" s="207" t="n"/>
      <c r="Y202" s="207" t="n"/>
      <c r="Z202" s="207" t="n"/>
      <c r="AA202" s="207" t="n"/>
      <c r="AB202" s="207" t="n"/>
      <c r="AC202" s="207" t="n">
        <v>3.5</v>
      </c>
      <c r="AD202" s="207" t="n"/>
      <c r="AE202" s="207" t="n">
        <v>3</v>
      </c>
      <c r="AF202" s="207" t="n"/>
      <c r="AG202" s="207" t="n"/>
      <c r="AH202" s="207" t="n"/>
      <c r="AI202" s="207" t="n"/>
      <c r="AJ202" s="207" t="n">
        <v>1.2</v>
      </c>
      <c r="AK202" s="207" t="n"/>
      <c r="AL202" s="207" t="n"/>
      <c r="AM202" s="207" t="n"/>
      <c r="AN202" s="207" t="n"/>
      <c r="AO202" s="207" t="n"/>
      <c r="AP202" s="207" t="n">
        <v>196</v>
      </c>
      <c r="AQ202" s="207" t="n">
        <v>0</v>
      </c>
      <c r="AR202" s="207" t="n">
        <v>130</v>
      </c>
      <c r="AS202" s="207" t="n">
        <v>0</v>
      </c>
      <c r="AT202" s="207" t="n">
        <v>0</v>
      </c>
      <c r="AU202" s="207" t="n">
        <v>0</v>
      </c>
      <c r="AV202" s="207" t="n">
        <v>0</v>
      </c>
      <c r="AW202" s="207" t="n">
        <v>0</v>
      </c>
      <c r="AX202" s="208" t="n">
        <v>1</v>
      </c>
      <c r="AY202" s="209">
        <f>L202*AX202+AP202+AQ202+AR202+AV202+AW202+AS202+AT202+AU202</f>
        <v/>
      </c>
      <c r="AZ202" s="207" t="n">
        <v>4932.75</v>
      </c>
      <c r="BA202" s="207" t="n">
        <v>0</v>
      </c>
      <c r="BB202" s="207">
        <f>AZ202*0.006</f>
        <v/>
      </c>
      <c r="BC202" s="209">
        <f>AZ202+BA202-BB202</f>
        <v/>
      </c>
      <c r="BD202" s="207" t="n">
        <v>0</v>
      </c>
      <c r="BE202" s="207" t="n">
        <v>0</v>
      </c>
      <c r="BF202" s="209">
        <f>BD202+BE202</f>
        <v/>
      </c>
      <c r="BG202" s="209">
        <f>BC202-AY202+BF202</f>
        <v/>
      </c>
      <c r="BH202" s="87" t="inlineStr">
        <is>
          <t>施先生</t>
        </is>
      </c>
      <c r="BI202" s="210" t="inlineStr">
        <is>
          <t>上海 上海市 宝山区 高境镇逸仙路1238弄43号202室</t>
        </is>
      </c>
      <c r="BJ202" s="86" t="inlineStr">
        <is>
          <t>18466693147-3200</t>
        </is>
      </c>
      <c r="BK202" s="86" t="inlineStr">
        <is>
          <t>JDV022363724581，2件</t>
        </is>
      </c>
      <c r="BL202" s="210">
        <f>BC202</f>
        <v/>
      </c>
      <c r="BM202" s="93" t="n"/>
      <c r="BN202" s="94" t="n"/>
      <c r="BO202" s="93" t="n"/>
      <c r="BP202" s="86" t="n"/>
      <c r="BQ202" s="96" t="n"/>
      <c r="BR202" s="96" t="n"/>
      <c r="BS202" s="97" t="n"/>
      <c r="BT202" s="96" t="n"/>
      <c r="BU202" s="97" t="n"/>
      <c r="BV202" s="96" t="n"/>
      <c r="BW202" s="97" t="n"/>
      <c r="BX202" s="97" t="n"/>
      <c r="BY202" s="97" t="n"/>
      <c r="BZ202" s="97" t="n"/>
      <c r="CA202" s="98" t="n"/>
      <c r="CH202" s="2" t="n"/>
      <c r="CI202" s="14">
        <f>CJ202&amp;CK202</f>
        <v/>
      </c>
      <c r="CY202" s="25" t="n"/>
      <c r="DA202" s="25" t="n"/>
      <c r="DC202" s="26" t="n"/>
      <c r="DD202" s="26" t="n"/>
      <c r="DE202" s="26" t="n"/>
      <c r="DF202" s="26" t="n"/>
      <c r="DG202" s="26" t="n"/>
      <c r="DH202" s="27" t="n"/>
      <c r="DJ202" s="211" t="inlineStr">
        <is>
          <t>订单表中未找到</t>
        </is>
      </c>
      <c r="DK202" t="inlineStr">
        <is>
          <t>—</t>
        </is>
      </c>
      <c r="DL202" t="inlineStr">
        <is>
          <t>—</t>
        </is>
      </c>
    </row>
    <row r="203" ht="17.25" customHeight="1" s="187">
      <c r="A203" s="84" t="n">
        <v>45871</v>
      </c>
      <c r="B203" s="206" t="inlineStr">
        <is>
          <t>已收货</t>
        </is>
      </c>
      <c r="C203" s="128" t="inlineStr">
        <is>
          <t>4663393239167905827</t>
        </is>
      </c>
      <c r="D203" s="110" t="inlineStr">
        <is>
          <t>许靖</t>
        </is>
      </c>
      <c r="E203" s="87" t="n"/>
      <c r="F203" s="87" t="n"/>
      <c r="G203" s="87" t="inlineStr">
        <is>
          <t>黑胡桃下柜+凳子</t>
        </is>
      </c>
      <c r="H203" s="207" t="inlineStr">
        <is>
          <t>旋转餐边柜</t>
        </is>
      </c>
      <c r="I203" s="89" t="n"/>
      <c r="J203" s="87" t="inlineStr">
        <is>
          <t>已结算</t>
        </is>
      </c>
      <c r="K203" s="86" t="inlineStr">
        <is>
          <t>江西</t>
        </is>
      </c>
      <c r="L203" s="207">
        <f>6700+1100+420+24+22*9+260*2+19</f>
        <v/>
      </c>
      <c r="M203" s="207">
        <f>6700</f>
        <v/>
      </c>
      <c r="N203" s="207" t="n">
        <v>1100</v>
      </c>
      <c r="O203" s="207" t="n">
        <v>420</v>
      </c>
      <c r="P203" s="207" t="n">
        <v>24</v>
      </c>
      <c r="Q203" s="207" t="n"/>
      <c r="R203" s="207" t="inlineStr">
        <is>
          <t>22*9</t>
        </is>
      </c>
      <c r="S203" s="207" t="inlineStr">
        <is>
          <t>260*2</t>
        </is>
      </c>
      <c r="T203" s="207" t="n">
        <v>19</v>
      </c>
      <c r="U203" s="207" t="n"/>
      <c r="V203" s="207" t="n"/>
      <c r="W203" s="207" t="n"/>
      <c r="X203" s="207" t="n"/>
      <c r="Y203" s="207" t="n"/>
      <c r="Z203" s="207" t="n"/>
      <c r="AA203" s="207" t="n"/>
      <c r="AB203" s="207" t="n"/>
      <c r="AC203" s="207" t="n"/>
      <c r="AD203" s="207" t="n"/>
      <c r="AE203" s="207" t="n"/>
      <c r="AF203" s="207" t="n"/>
      <c r="AG203" s="207" t="n"/>
      <c r="AH203" s="207" t="n"/>
      <c r="AI203" s="207" t="n"/>
      <c r="AJ203" s="207" t="n"/>
      <c r="AK203" s="207" t="n"/>
      <c r="AL203" s="207" t="n"/>
      <c r="AM203" s="207" t="n">
        <v>420</v>
      </c>
      <c r="AN203" s="207" t="n"/>
      <c r="AO203" s="207" t="n"/>
      <c r="AP203" s="207">
        <f>605-AQ203-99</f>
        <v/>
      </c>
      <c r="AQ203" s="207" t="n">
        <v>99</v>
      </c>
      <c r="AR203" s="220" t="n">
        <v>140</v>
      </c>
      <c r="AS203" s="207" t="n">
        <v>0</v>
      </c>
      <c r="AT203" s="207" t="n">
        <v>0</v>
      </c>
      <c r="AU203" s="207" t="n">
        <v>0</v>
      </c>
      <c r="AV203" s="207" t="n">
        <v>50</v>
      </c>
      <c r="AW203" s="207" t="n">
        <v>0</v>
      </c>
      <c r="AX203" s="208" t="n">
        <v>1</v>
      </c>
      <c r="AY203" s="209">
        <f>L203*AX203+AP203+AQ203+AR203+AV203+AW203+AS203+AT203+AU203</f>
        <v/>
      </c>
      <c r="AZ203" s="207">
        <f>13300+25</f>
        <v/>
      </c>
      <c r="BA203" s="207" t="n">
        <v>0</v>
      </c>
      <c r="BB203" s="207">
        <f>AZ203*0.006</f>
        <v/>
      </c>
      <c r="BC203" s="209">
        <f>AZ203+BA203-BB203</f>
        <v/>
      </c>
      <c r="BD203" s="207" t="n">
        <v>0</v>
      </c>
      <c r="BE203" s="207" t="n">
        <v>0</v>
      </c>
      <c r="BF203" s="209">
        <f>BD203+BE203</f>
        <v/>
      </c>
      <c r="BG203" s="209">
        <f>BC203-AY203+BF203</f>
        <v/>
      </c>
      <c r="BH203" s="210" t="inlineStr">
        <is>
          <t>许靖</t>
        </is>
      </c>
      <c r="BI203" s="210" t="inlineStr">
        <is>
          <t>广东省 深圳市 南山区 南头街道深圳市南山区桃园路前海花园9栋4单元708</t>
        </is>
      </c>
      <c r="BJ203" s="210" t="inlineStr">
        <is>
          <t>13138896880-2514</t>
        </is>
      </c>
      <c r="BK203" s="86" t="n"/>
      <c r="BL203" s="210" t="n"/>
      <c r="BM203" s="93" t="n"/>
      <c r="BN203" s="94" t="n"/>
      <c r="BO203" s="93" t="n"/>
      <c r="BP203" s="86" t="n"/>
      <c r="BQ203" s="96" t="n"/>
      <c r="BR203" s="96" t="n"/>
      <c r="BS203" s="97" t="n"/>
      <c r="BT203" s="96" t="n"/>
      <c r="BU203" s="97" t="n"/>
      <c r="BV203" s="96" t="n"/>
      <c r="BW203" s="97" t="n"/>
      <c r="BX203" s="97" t="n"/>
      <c r="BY203" s="97" t="n"/>
      <c r="BZ203" s="97" t="n"/>
      <c r="CA203" s="98" t="n"/>
      <c r="CH203" s="2" t="n"/>
      <c r="CI203" s="14" t="n"/>
      <c r="CY203" s="25" t="n"/>
      <c r="DA203" s="25" t="n"/>
      <c r="DC203" s="26" t="n"/>
      <c r="DD203" s="26" t="n"/>
      <c r="DE203" s="26" t="n"/>
      <c r="DF203" s="26" t="n"/>
      <c r="DG203" s="26" t="n"/>
      <c r="DH203" s="27" t="n"/>
      <c r="DJ203" s="211" t="inlineStr">
        <is>
          <t>订单表中未找到</t>
        </is>
      </c>
      <c r="DK203" t="inlineStr">
        <is>
          <t>—</t>
        </is>
      </c>
      <c r="DL203" t="inlineStr">
        <is>
          <t>—</t>
        </is>
      </c>
    </row>
    <row r="204" ht="17.25" customHeight="1" s="187">
      <c r="A204" s="84" t="n">
        <v>45871</v>
      </c>
      <c r="B204" s="206" t="inlineStr">
        <is>
          <t>已收货</t>
        </is>
      </c>
      <c r="C204" s="86" t="inlineStr">
        <is>
          <t>2859737161775351486</t>
        </is>
      </c>
      <c r="D204" s="110" t="inlineStr">
        <is>
          <t>孙先生</t>
        </is>
      </c>
      <c r="E204" s="87" t="n"/>
      <c r="F204" s="87" t="n"/>
      <c r="G204" s="87" t="inlineStr">
        <is>
          <t>樱桃木洞石岩板桌1.95米-定制</t>
        </is>
      </c>
      <c r="H204" s="207" t="inlineStr">
        <is>
          <t>樱桃木岩板餐桌2025</t>
        </is>
      </c>
      <c r="I204" s="218" t="inlineStr">
        <is>
          <t>195cm*85cm</t>
        </is>
      </c>
      <c r="J204" s="87" t="inlineStr">
        <is>
          <t>已结算</t>
        </is>
      </c>
      <c r="K204" s="86" t="inlineStr">
        <is>
          <t>庄毅</t>
        </is>
      </c>
      <c r="L204" s="207">
        <f>1380+265.2+2.5</f>
        <v/>
      </c>
      <c r="M204" s="207">
        <f>1380</f>
        <v/>
      </c>
      <c r="N204" s="207" t="n"/>
      <c r="O204" s="207" t="n"/>
      <c r="P204" s="207" t="n"/>
      <c r="Q204" s="207" t="n"/>
      <c r="R204" s="207" t="n">
        <v>265.2</v>
      </c>
      <c r="S204" s="207" t="n"/>
      <c r="T204" s="207" t="n"/>
      <c r="U204" s="207" t="n"/>
      <c r="V204" s="207" t="n"/>
      <c r="W204" s="207" t="n"/>
      <c r="X204" s="207" t="n"/>
      <c r="Y204" s="207" t="n"/>
      <c r="Z204" s="207" t="n"/>
      <c r="AA204" s="207" t="n"/>
      <c r="AB204" s="207" t="n"/>
      <c r="AC204" s="207" t="n"/>
      <c r="AD204" s="207" t="n">
        <v>2.5</v>
      </c>
      <c r="AE204" s="207" t="n"/>
      <c r="AF204" s="207" t="n"/>
      <c r="AG204" s="207" t="n"/>
      <c r="AH204" s="207" t="n"/>
      <c r="AI204" s="207" t="n"/>
      <c r="AJ204" s="207" t="n"/>
      <c r="AK204" s="207" t="n"/>
      <c r="AL204" s="207" t="n"/>
      <c r="AM204" s="207" t="n"/>
      <c r="AN204" s="207" t="n"/>
      <c r="AO204" s="207" t="n"/>
      <c r="AP204" s="207" t="n">
        <v>552</v>
      </c>
      <c r="AQ204" s="207" t="n">
        <v>0</v>
      </c>
      <c r="AR204" s="207">
        <f>71+70</f>
        <v/>
      </c>
      <c r="AS204" s="207" t="n">
        <v>220</v>
      </c>
      <c r="AT204" s="207" t="n">
        <v>0</v>
      </c>
      <c r="AU204" s="207" t="n">
        <v>0</v>
      </c>
      <c r="AV204" s="207" t="n">
        <v>0</v>
      </c>
      <c r="AW204" s="207">
        <f>150</f>
        <v/>
      </c>
      <c r="AX204" s="208" t="n">
        <v>1</v>
      </c>
      <c r="AY204" s="209">
        <f>L204*AX204+AP204+AQ204+AR204+AV204+AW204+AS204+AT204+AU204</f>
        <v/>
      </c>
      <c r="AZ204" s="207" t="n">
        <v>3227</v>
      </c>
      <c r="BA204" s="207" t="n">
        <v>0</v>
      </c>
      <c r="BB204" s="207">
        <f>AZ204*0.006</f>
        <v/>
      </c>
      <c r="BC204" s="209">
        <f>AZ204+BA204-BB204</f>
        <v/>
      </c>
      <c r="BD204" s="207" t="n">
        <v>220</v>
      </c>
      <c r="BE204" s="207" t="n">
        <v>0</v>
      </c>
      <c r="BF204" s="209">
        <f>BD204+BE204</f>
        <v/>
      </c>
      <c r="BG204" s="209">
        <f>BC204-AY204+BF204</f>
        <v/>
      </c>
      <c r="BH204" s="87" t="inlineStr">
        <is>
          <t>孙先生</t>
        </is>
      </c>
      <c r="BI204" s="210" t="inlineStr">
        <is>
          <t>江苏省 苏州市 虎丘区 狮山街道 淮海街182号大悦风华苑3幢601户</t>
        </is>
      </c>
      <c r="BJ204" s="86" t="inlineStr">
        <is>
          <t>17895041792-9731</t>
        </is>
      </c>
      <c r="BK204" s="86" t="inlineStr">
        <is>
          <t>JDV022390396801，2件</t>
        </is>
      </c>
      <c r="BL204" s="210">
        <f>BC204</f>
        <v/>
      </c>
      <c r="BM204" s="93" t="n"/>
      <c r="BN204" s="94" t="n"/>
      <c r="BO204" s="93" t="n"/>
      <c r="BP204" s="86" t="n"/>
      <c r="BQ204" s="96" t="n"/>
      <c r="BR204" s="96" t="n"/>
      <c r="BS204" s="97" t="n"/>
      <c r="BT204" s="96" t="n"/>
      <c r="BU204" s="97" t="n"/>
      <c r="BV204" s="96" t="n"/>
      <c r="BW204" s="97" t="n"/>
      <c r="BX204" s="97" t="n"/>
      <c r="BY204" s="97" t="n"/>
      <c r="BZ204" s="97" t="n"/>
      <c r="CA204" s="98" t="n"/>
      <c r="CH204" s="2" t="n"/>
      <c r="CI204" s="14">
        <f>CJ204&amp;CK204</f>
        <v/>
      </c>
      <c r="CY204" s="25" t="n"/>
      <c r="DA204" s="25" t="n"/>
      <c r="DC204" s="26" t="n"/>
      <c r="DD204" s="26" t="n"/>
      <c r="DE204" s="26" t="n"/>
      <c r="DF204" s="26" t="n"/>
      <c r="DG204" s="26" t="n"/>
      <c r="DH204" s="27" t="n"/>
      <c r="DJ204" s="211" t="inlineStr">
        <is>
          <t>订单表中未找到</t>
        </is>
      </c>
      <c r="DK204" t="inlineStr">
        <is>
          <t>—</t>
        </is>
      </c>
      <c r="DL204" t="inlineStr">
        <is>
          <t>—</t>
        </is>
      </c>
    </row>
    <row r="205" ht="17.25" customHeight="1" s="187">
      <c r="A205" s="84" t="n">
        <v>45872</v>
      </c>
      <c r="B205" s="206" t="inlineStr">
        <is>
          <t>已收货</t>
        </is>
      </c>
      <c r="C205" s="86" t="inlineStr">
        <is>
          <t>2860926672808521872</t>
        </is>
      </c>
      <c r="D205" s="220" t="inlineStr">
        <is>
          <t>戚玲佩</t>
        </is>
      </c>
      <c r="E205" s="87" t="n"/>
      <c r="F205" s="87" t="n"/>
      <c r="G205" s="87" t="inlineStr">
        <is>
          <t>追加2个五孔插座</t>
        </is>
      </c>
      <c r="H205" s="87" t="inlineStr">
        <is>
          <t>配件</t>
        </is>
      </c>
      <c r="I205" s="89" t="n"/>
      <c r="J205" s="87" t="inlineStr">
        <is>
          <t>已结算</t>
        </is>
      </c>
      <c r="K205" s="86" t="inlineStr">
        <is>
          <t>其他</t>
        </is>
      </c>
      <c r="L205" s="207" t="n">
        <v>110</v>
      </c>
      <c r="M205" s="207" t="n">
        <v>110</v>
      </c>
      <c r="N205" s="207" t="n"/>
      <c r="O205" s="207" t="n"/>
      <c r="P205" s="207" t="n"/>
      <c r="Q205" s="207" t="n"/>
      <c r="R205" s="207" t="n"/>
      <c r="S205" s="207" t="n"/>
      <c r="T205" s="207" t="n"/>
      <c r="U205" s="207" t="n"/>
      <c r="V205" s="207" t="n"/>
      <c r="W205" s="207" t="n"/>
      <c r="X205" s="207" t="n"/>
      <c r="Y205" s="207" t="n"/>
      <c r="Z205" s="207" t="n"/>
      <c r="AA205" s="207" t="n"/>
      <c r="AB205" s="207" t="n"/>
      <c r="AC205" s="207" t="n"/>
      <c r="AD205" s="207" t="n"/>
      <c r="AE205" s="207" t="n"/>
      <c r="AF205" s="207" t="n"/>
      <c r="AG205" s="207" t="n"/>
      <c r="AH205" s="207" t="n"/>
      <c r="AI205" s="207" t="n"/>
      <c r="AJ205" s="207" t="n"/>
      <c r="AK205" s="207" t="n"/>
      <c r="AL205" s="207" t="n"/>
      <c r="AM205" s="207" t="n"/>
      <c r="AN205" s="207" t="n"/>
      <c r="AO205" s="207" t="n"/>
      <c r="AP205" s="207" t="n">
        <v>8</v>
      </c>
      <c r="AQ205" s="207" t="n">
        <v>0</v>
      </c>
      <c r="AR205" s="207" t="n">
        <v>0</v>
      </c>
      <c r="AS205" s="207" t="n">
        <v>0</v>
      </c>
      <c r="AT205" s="207" t="n">
        <v>0</v>
      </c>
      <c r="AU205" s="207" t="n">
        <v>0</v>
      </c>
      <c r="AV205" s="207" t="n">
        <v>0</v>
      </c>
      <c r="AW205" s="207" t="n">
        <v>0</v>
      </c>
      <c r="AX205" s="208" t="n">
        <v>1</v>
      </c>
      <c r="AY205" s="209">
        <f>L205*AX205+AP205+AQ205+AR205+AV205+AW205+AS205+AT205+AU205</f>
        <v/>
      </c>
      <c r="AZ205" s="207" t="n">
        <v>200</v>
      </c>
      <c r="BA205" s="207" t="n">
        <v>0</v>
      </c>
      <c r="BB205" s="207">
        <f>AZ205*0.006</f>
        <v/>
      </c>
      <c r="BC205" s="209">
        <f>AZ205+BA205-BB205</f>
        <v/>
      </c>
      <c r="BD205" s="207" t="n">
        <v>0</v>
      </c>
      <c r="BE205" s="207" t="n">
        <v>0</v>
      </c>
      <c r="BF205" s="209">
        <f>BD205+BE205</f>
        <v/>
      </c>
      <c r="BG205" s="209">
        <f>BC205-AY205+BF205</f>
        <v/>
      </c>
      <c r="BH205" s="210" t="inlineStr">
        <is>
          <t>戚玲佩</t>
        </is>
      </c>
      <c r="BI205" s="210" t="inlineStr">
        <is>
          <t>浙江省 温州市 鹿城区 五马街道江滨西路东江锦园10栋2401室</t>
        </is>
      </c>
      <c r="BJ205" s="210" t="inlineStr">
        <is>
          <t>18413500443-6429</t>
        </is>
      </c>
      <c r="BK205" s="86" t="n"/>
      <c r="BL205" s="210" t="n"/>
      <c r="BM205" s="93" t="n"/>
      <c r="BN205" s="94" t="n"/>
      <c r="BO205" s="93" t="n"/>
      <c r="BP205" s="86" t="n"/>
      <c r="BQ205" s="96" t="n"/>
      <c r="BR205" s="96" t="n"/>
      <c r="BS205" s="97" t="n"/>
      <c r="BT205" s="96" t="n"/>
      <c r="BU205" s="97" t="n"/>
      <c r="BV205" s="96" t="n"/>
      <c r="BW205" s="97" t="n"/>
      <c r="BX205" s="97" t="n"/>
      <c r="BY205" s="97" t="n"/>
      <c r="BZ205" s="97" t="n"/>
      <c r="CA205" s="98" t="n"/>
      <c r="CH205" s="2" t="n"/>
      <c r="CI205" s="14" t="n"/>
      <c r="CY205" s="25" t="n"/>
      <c r="DA205" s="25" t="n"/>
      <c r="DC205" s="26" t="n"/>
      <c r="DD205" s="26" t="n"/>
      <c r="DE205" s="26" t="n"/>
      <c r="DF205" s="26" t="n"/>
      <c r="DG205" s="26" t="n"/>
      <c r="DH205" s="27" t="n"/>
      <c r="DJ205" s="211" t="inlineStr">
        <is>
          <t>订单表中未找到</t>
        </is>
      </c>
      <c r="DK205" t="inlineStr">
        <is>
          <t>—</t>
        </is>
      </c>
      <c r="DL205" t="inlineStr">
        <is>
          <t>—</t>
        </is>
      </c>
    </row>
    <row r="206" ht="15.75" customHeight="1" s="187">
      <c r="A206" s="84" t="n">
        <v>45872</v>
      </c>
      <c r="B206" s="206" t="inlineStr">
        <is>
          <t>已收货</t>
        </is>
      </c>
      <c r="C206" s="86" t="inlineStr">
        <is>
          <t>2861164995604134257</t>
        </is>
      </c>
      <c r="D206" s="86" t="inlineStr">
        <is>
          <t>周</t>
        </is>
      </c>
      <c r="E206" s="87" t="n"/>
      <c r="F206" s="87" t="n"/>
      <c r="G206" s="87" t="inlineStr">
        <is>
          <t>左旋樱桃木1.6柜+1.2双腿桌</t>
        </is>
      </c>
      <c r="H206" s="87" t="inlineStr">
        <is>
          <t>旋转餐边柜</t>
        </is>
      </c>
      <c r="I206" s="89" t="n">
        <v>1600</v>
      </c>
      <c r="J206" s="87" t="inlineStr">
        <is>
          <t>已结算</t>
        </is>
      </c>
      <c r="K206" s="86" t="inlineStr">
        <is>
          <t>江西</t>
        </is>
      </c>
      <c r="L206" s="207">
        <f>5700+260+24+52+118+22+270+10+22*9+195+525</f>
        <v/>
      </c>
      <c r="M206" s="207">
        <f>5700</f>
        <v/>
      </c>
      <c r="N206" s="207" t="n"/>
      <c r="O206" s="207" t="n"/>
      <c r="P206" s="207" t="n"/>
      <c r="Q206" s="207" t="n"/>
      <c r="R206" s="207" t="n"/>
      <c r="S206" s="207" t="n">
        <v>22</v>
      </c>
      <c r="T206" s="207" t="n">
        <v>270</v>
      </c>
      <c r="U206" s="207" t="n"/>
      <c r="V206" s="207" t="n"/>
      <c r="W206" s="207" t="n">
        <v>10</v>
      </c>
      <c r="X206" s="207">
        <f>22*9</f>
        <v/>
      </c>
      <c r="Y206" s="207" t="n">
        <v>195</v>
      </c>
      <c r="Z206" s="207" t="n"/>
      <c r="AA206" s="207" t="n"/>
      <c r="AB206" s="207" t="n"/>
      <c r="AC206" s="207" t="n"/>
      <c r="AD206" s="207" t="n"/>
      <c r="AE206" s="207" t="n">
        <v>525</v>
      </c>
      <c r="AF206" s="207" t="n"/>
      <c r="AG206" s="207" t="n"/>
      <c r="AH206" s="207" t="n"/>
      <c r="AI206" s="207" t="n"/>
      <c r="AJ206" s="207" t="n"/>
      <c r="AK206" s="207" t="n"/>
      <c r="AL206" s="207" t="n"/>
      <c r="AM206" s="207" t="n">
        <v>195</v>
      </c>
      <c r="AN206" s="207" t="n"/>
      <c r="AO206" s="207" t="n"/>
      <c r="AP206" s="207" t="n">
        <v>380</v>
      </c>
      <c r="AQ206" s="207" t="n">
        <v>0</v>
      </c>
      <c r="AR206" s="207" t="n">
        <v>0</v>
      </c>
      <c r="AS206" s="207" t="n">
        <v>0</v>
      </c>
      <c r="AT206" s="207" t="n">
        <v>0</v>
      </c>
      <c r="AU206" s="207" t="n">
        <v>0</v>
      </c>
      <c r="AV206" s="207" t="n">
        <v>107</v>
      </c>
      <c r="AW206" s="207" t="n">
        <v>0</v>
      </c>
      <c r="AX206" s="208" t="n">
        <v>1</v>
      </c>
      <c r="AY206" s="209">
        <f>L206*AX206+AP206+AQ206+AR206+AV206+AW206+AS206+AT206+AU206</f>
        <v/>
      </c>
      <c r="AZ206" s="207">
        <f>11442.54+70</f>
        <v/>
      </c>
      <c r="BA206" s="207" t="n">
        <v>0</v>
      </c>
      <c r="BB206" s="207">
        <f>AZ206*0.006</f>
        <v/>
      </c>
      <c r="BC206" s="209">
        <f>AZ206+BA206-BB206</f>
        <v/>
      </c>
      <c r="BD206" s="207" t="n">
        <v>0</v>
      </c>
      <c r="BE206" s="207" t="n">
        <v>0</v>
      </c>
      <c r="BF206" s="209">
        <f>BD206+BE206</f>
        <v/>
      </c>
      <c r="BG206" s="209">
        <f>BC206-AY206+BF206</f>
        <v/>
      </c>
      <c r="BH206" s="86" t="inlineStr">
        <is>
          <t>周</t>
        </is>
      </c>
      <c r="BI206" s="210" t="inlineStr">
        <is>
          <t>浙江省 杭州市 余杭区 五常街道荆山翠谷90号楼-1101</t>
        </is>
      </c>
      <c r="BJ206" s="210" t="inlineStr">
        <is>
          <t>18468359566-3707</t>
        </is>
      </c>
      <c r="BK206" s="86" t="n"/>
      <c r="BL206" s="210" t="n"/>
      <c r="BM206" s="93" t="n"/>
      <c r="BN206" s="94" t="n"/>
      <c r="BO206" s="93" t="n"/>
      <c r="BP206" s="86" t="n"/>
      <c r="BQ206" s="96" t="n"/>
      <c r="BR206" s="96" t="n"/>
      <c r="BS206" s="97" t="n"/>
      <c r="BT206" s="96" t="n"/>
      <c r="BU206" s="97" t="n"/>
      <c r="BV206" s="96" t="n"/>
      <c r="BW206" s="97" t="n"/>
      <c r="BX206" s="97" t="n"/>
      <c r="BY206" s="97" t="n"/>
      <c r="BZ206" s="97" t="n"/>
      <c r="CA206" s="98" t="n"/>
      <c r="CH206" s="2" t="n"/>
      <c r="CI206" s="14" t="n"/>
      <c r="CY206" s="25" t="n"/>
      <c r="DA206" s="25" t="n"/>
      <c r="DC206" s="26" t="n"/>
      <c r="DD206" s="26" t="n"/>
      <c r="DE206" s="26" t="n"/>
      <c r="DF206" s="26" t="n"/>
      <c r="DG206" s="26" t="n"/>
      <c r="DH206" s="27" t="n"/>
      <c r="DJ206" s="211" t="inlineStr">
        <is>
          <t>订单表中未找到</t>
        </is>
      </c>
      <c r="DK206" t="inlineStr">
        <is>
          <t>—</t>
        </is>
      </c>
      <c r="DL206" t="inlineStr">
        <is>
          <t>—</t>
        </is>
      </c>
    </row>
    <row r="207" ht="17.25" customHeight="1" s="187">
      <c r="A207" s="84" t="n">
        <v>45873</v>
      </c>
      <c r="B207" s="206" t="inlineStr">
        <is>
          <t>已收货</t>
        </is>
      </c>
      <c r="C207" s="86" t="inlineStr">
        <is>
          <t>2862523020679362582</t>
        </is>
      </c>
      <c r="D207" s="110" t="inlineStr">
        <is>
          <t>林静超</t>
        </is>
      </c>
      <c r="E207" s="87" t="inlineStr">
        <is>
          <t>已发货</t>
        </is>
      </c>
      <c r="F207" s="87" t="n"/>
      <c r="G207" s="207" t="inlineStr">
        <is>
          <t>窄柜-整柜洞石背板-0.8米</t>
        </is>
      </c>
      <c r="H207" s="207" t="inlineStr">
        <is>
          <t>樱桃木窄柜</t>
        </is>
      </c>
      <c r="I207" s="89" t="n">
        <v>800</v>
      </c>
      <c r="J207" s="87" t="inlineStr">
        <is>
          <t>已结算</t>
        </is>
      </c>
      <c r="K207" s="86" t="inlineStr">
        <is>
          <t>庄毅</t>
        </is>
      </c>
      <c r="L207" s="207">
        <f>SUM(M207:AO207)</f>
        <v/>
      </c>
      <c r="M207" s="207" t="n">
        <v>3100</v>
      </c>
      <c r="N207" s="207">
        <f>0.758*260+2*55</f>
        <v/>
      </c>
      <c r="O207" s="207">
        <f>115</f>
        <v/>
      </c>
      <c r="P207" s="207" t="n"/>
      <c r="Q207" s="207">
        <f>15*2</f>
        <v/>
      </c>
      <c r="R207" s="207">
        <f>230+100/15</f>
        <v/>
      </c>
      <c r="S207" s="207" t="n">
        <v>54.9</v>
      </c>
      <c r="T207" s="207" t="n"/>
      <c r="U207" s="207" t="n"/>
      <c r="V207" s="207" t="n">
        <v>4</v>
      </c>
      <c r="W207" s="207" t="n"/>
      <c r="X207" s="207" t="n"/>
      <c r="Y207" s="207" t="n"/>
      <c r="Z207" s="207" t="n"/>
      <c r="AA207" s="207" t="n"/>
      <c r="AB207" s="207" t="n"/>
      <c r="AC207" s="207" t="n">
        <v>3.5</v>
      </c>
      <c r="AD207" s="207" t="n"/>
      <c r="AE207" s="207" t="n">
        <v>3</v>
      </c>
      <c r="AF207" s="207" t="n"/>
      <c r="AG207" s="207" t="n"/>
      <c r="AH207" s="207" t="n"/>
      <c r="AI207" s="207" t="n"/>
      <c r="AJ207" s="207" t="n">
        <v>1.2</v>
      </c>
      <c r="AK207" s="207" t="n"/>
      <c r="AL207" s="207" t="n"/>
      <c r="AM207" s="207" t="n"/>
      <c r="AN207" s="207" t="n"/>
      <c r="AO207" s="207" t="n"/>
      <c r="AP207" s="207" t="n">
        <v>231</v>
      </c>
      <c r="AQ207" s="207" t="n">
        <v>0</v>
      </c>
      <c r="AR207" s="207" t="n">
        <v>85</v>
      </c>
      <c r="AS207" s="207" t="n">
        <v>0</v>
      </c>
      <c r="AT207" s="207" t="n">
        <v>0</v>
      </c>
      <c r="AU207" s="207" t="n">
        <v>0</v>
      </c>
      <c r="AV207" s="207" t="n">
        <v>0</v>
      </c>
      <c r="AW207" s="207" t="n">
        <v>0</v>
      </c>
      <c r="AX207" s="208" t="n">
        <v>1</v>
      </c>
      <c r="AY207" s="209">
        <f>L207*AX207+AP207+AQ207+AR207+AV207+AW207+AS207+AT207+AU207</f>
        <v/>
      </c>
      <c r="AZ207" s="207" t="n">
        <v>4838.75</v>
      </c>
      <c r="BA207" s="207" t="n">
        <v>0</v>
      </c>
      <c r="BB207" s="207">
        <f>AZ207*0.006</f>
        <v/>
      </c>
      <c r="BC207" s="209">
        <f>AZ207+BA207-BB207</f>
        <v/>
      </c>
      <c r="BD207" s="207" t="n">
        <v>0</v>
      </c>
      <c r="BE207" s="207" t="n">
        <v>0</v>
      </c>
      <c r="BF207" s="209">
        <f>BD207+BE207</f>
        <v/>
      </c>
      <c r="BG207" s="209">
        <f>BC207-AY207+BF207</f>
        <v/>
      </c>
      <c r="BH207" s="87" t="inlineStr">
        <is>
          <t>林静超</t>
        </is>
      </c>
      <c r="BI207" s="210" t="inlineStr">
        <is>
          <t xml:space="preserve">江苏省 苏州市 虎丘区 东渚街道 大悦澜庭2栋1304 </t>
        </is>
      </c>
      <c r="BJ207" s="86" t="inlineStr">
        <is>
          <t>17895043554-3428</t>
        </is>
      </c>
      <c r="BK207" s="86" t="inlineStr">
        <is>
          <t>JDV022836472441，2件</t>
        </is>
      </c>
      <c r="BL207" s="210">
        <f>BC207</f>
        <v/>
      </c>
      <c r="BM207" s="93" t="n"/>
      <c r="BN207" s="94" t="n"/>
      <c r="BO207" s="93" t="n"/>
      <c r="BP207" s="86" t="n"/>
      <c r="BQ207" s="96" t="n"/>
      <c r="BR207" s="96" t="n"/>
      <c r="BS207" s="97" t="n"/>
      <c r="BT207" s="96" t="n"/>
      <c r="BU207" s="97" t="n"/>
      <c r="BV207" s="96" t="n"/>
      <c r="BW207" s="97" t="n"/>
      <c r="BX207" s="97" t="n"/>
      <c r="BY207" s="97" t="n"/>
      <c r="BZ207" s="97" t="n"/>
      <c r="CA207" s="98" t="n"/>
      <c r="CH207" s="2" t="n"/>
      <c r="CI207" s="14">
        <f>CJ207&amp;CK207</f>
        <v/>
      </c>
      <c r="CY207" s="25" t="n"/>
      <c r="DA207" s="25" t="n"/>
      <c r="DC207" s="26" t="n"/>
      <c r="DD207" s="26" t="n"/>
      <c r="DE207" s="26" t="n"/>
      <c r="DF207" s="26" t="n"/>
      <c r="DG207" s="26" t="n"/>
      <c r="DH207" s="27" t="n"/>
      <c r="DJ207" s="211" t="inlineStr">
        <is>
          <t>订单表中未找到</t>
        </is>
      </c>
      <c r="DK207" t="inlineStr">
        <is>
          <t>—</t>
        </is>
      </c>
      <c r="DL207" t="inlineStr">
        <is>
          <t>—</t>
        </is>
      </c>
    </row>
    <row r="208" ht="16.9" customHeight="1" s="187">
      <c r="A208" s="84" t="n">
        <v>45874</v>
      </c>
      <c r="B208" s="206" t="inlineStr">
        <is>
          <t>已收货</t>
        </is>
      </c>
      <c r="C208" s="86" t="inlineStr">
        <is>
          <t>4668641678876832005</t>
        </is>
      </c>
      <c r="D208" s="110" t="inlineStr">
        <is>
          <t>江松</t>
        </is>
      </c>
      <c r="E208" s="87" t="inlineStr">
        <is>
          <t>已发货</t>
        </is>
      </c>
      <c r="F208" s="87" t="n"/>
      <c r="G208" s="87" t="inlineStr">
        <is>
          <t>洞石柜1.5米定制</t>
        </is>
      </c>
      <c r="H208" s="87" t="inlineStr">
        <is>
          <t>洞石餐边柜</t>
        </is>
      </c>
      <c r="I208" s="89" t="n">
        <v>1500</v>
      </c>
      <c r="J208" s="87" t="inlineStr">
        <is>
          <t>已结算</t>
        </is>
      </c>
      <c r="K208" s="86" t="inlineStr">
        <is>
          <t>庄毅</t>
        </is>
      </c>
      <c r="L208" s="207">
        <f>5360+30*2+12+18+2040/6/1.5+76+1.5*0.58*160+(1.5+0.58*2)*60+10+20+501.08+10+40+14</f>
        <v/>
      </c>
      <c r="M208" s="207">
        <f>5360</f>
        <v/>
      </c>
      <c r="N208" s="207">
        <f>1.458*260+2*55+12</f>
        <v/>
      </c>
      <c r="O208" s="207">
        <f>2040/6/1.5</f>
        <v/>
      </c>
      <c r="P208" s="207" t="n"/>
      <c r="Q208" s="207">
        <f>38*2</f>
        <v/>
      </c>
      <c r="R208" s="207">
        <f>2040/6/1.5</f>
        <v/>
      </c>
      <c r="S208" s="207" t="n">
        <v>76</v>
      </c>
      <c r="T208" s="207" t="inlineStr">
        <is>
          <t>1.5*0.58*160</t>
        </is>
      </c>
      <c r="U208" s="207" t="n"/>
      <c r="V208" s="207" t="n"/>
      <c r="W208" s="207" t="inlineStr">
        <is>
          <t>(1.5</t>
        </is>
      </c>
      <c r="X208" s="207" t="inlineStr">
        <is>
          <t>0.58*2)*60</t>
        </is>
      </c>
      <c r="Y208" s="207" t="n">
        <v>10</v>
      </c>
      <c r="Z208" s="207">
        <f>3.5+14</f>
        <v/>
      </c>
      <c r="AA208" s="207" t="n"/>
      <c r="AB208" s="207" t="n"/>
      <c r="AC208" s="207" t="n">
        <v>7</v>
      </c>
      <c r="AD208" s="207" t="n"/>
      <c r="AE208" s="207" t="n">
        <v>20</v>
      </c>
      <c r="AF208" s="207" t="n">
        <v>10</v>
      </c>
      <c r="AG208" s="207" t="n"/>
      <c r="AH208" s="207" t="n"/>
      <c r="AI208" s="207" t="n"/>
      <c r="AJ208" s="207" t="n">
        <v>40</v>
      </c>
      <c r="AK208" s="207" t="n"/>
      <c r="AL208" s="207" t="n"/>
      <c r="AM208" s="207" t="n"/>
      <c r="AN208" s="207" t="n"/>
      <c r="AO208" s="207" t="n"/>
      <c r="AP208" s="207" t="n">
        <v>504</v>
      </c>
      <c r="AQ208" s="207" t="n">
        <v>0</v>
      </c>
      <c r="AR208" s="207" t="n">
        <v>210</v>
      </c>
      <c r="AS208" s="207" t="n">
        <v>0</v>
      </c>
      <c r="AT208" s="207" t="n">
        <v>0</v>
      </c>
      <c r="AU208" s="207" t="n">
        <v>0</v>
      </c>
      <c r="AV208" s="207" t="n">
        <v>0</v>
      </c>
      <c r="AW208" s="207" t="n">
        <v>0</v>
      </c>
      <c r="AX208" s="208" t="n">
        <v>1</v>
      </c>
      <c r="AY208" s="209">
        <f>L208*AX208+AP208+AQ208+AR208+AV208+AW208+AS208+AT208+AU208</f>
        <v/>
      </c>
      <c r="AZ208" s="207">
        <f>10872+75</f>
        <v/>
      </c>
      <c r="BA208" s="207" t="n">
        <v>0</v>
      </c>
      <c r="BB208" s="207">
        <f>AZ208*0.006</f>
        <v/>
      </c>
      <c r="BC208" s="209">
        <f>AZ208+BA208-BB208</f>
        <v/>
      </c>
      <c r="BD208" s="207" t="n">
        <v>0</v>
      </c>
      <c r="BE208" s="207" t="n">
        <v>0</v>
      </c>
      <c r="BF208" s="209">
        <f>BD208+BE208</f>
        <v/>
      </c>
      <c r="BG208" s="209">
        <f>BC208-AY208+BF208</f>
        <v/>
      </c>
      <c r="BH208" s="87" t="inlineStr">
        <is>
          <t>江松</t>
        </is>
      </c>
      <c r="BI208" s="210" t="inlineStr">
        <is>
          <t xml:space="preserve">湖北省 武汉市 江岸区 车站街道 车站街办事处 京汉大道1238号(公安路路口)中城国际3栋2608室 </t>
        </is>
      </c>
      <c r="BJ208" s="86" t="inlineStr">
        <is>
          <t>15623546065-5731</t>
        </is>
      </c>
      <c r="BK208" s="86" t="inlineStr">
        <is>
          <t>JDV023099393697，3件</t>
        </is>
      </c>
      <c r="BL208" s="210">
        <f>BC208</f>
        <v/>
      </c>
      <c r="BM208" s="93" t="n"/>
      <c r="BN208" s="94" t="n"/>
      <c r="BO208" s="93" t="n"/>
      <c r="BP208" s="86" t="n"/>
      <c r="BQ208" s="96" t="n"/>
      <c r="BR208" s="96" t="n"/>
      <c r="BS208" s="97" t="n"/>
      <c r="BT208" s="96" t="n"/>
      <c r="BU208" s="97" t="n"/>
      <c r="BV208" s="96" t="n"/>
      <c r="BW208" s="97" t="n"/>
      <c r="BX208" s="97" t="n"/>
      <c r="BY208" s="97" t="n"/>
      <c r="BZ208" s="97" t="n"/>
      <c r="CA208" s="98" t="n"/>
      <c r="CH208" s="2" t="n"/>
      <c r="CI208" s="14">
        <f>CJ208&amp;CK208</f>
        <v/>
      </c>
      <c r="CY208" s="25" t="n"/>
      <c r="DA208" s="25" t="n"/>
      <c r="DC208" s="26" t="n"/>
      <c r="DD208" s="26" t="n"/>
      <c r="DE208" s="26" t="n"/>
      <c r="DF208" s="26" t="n"/>
      <c r="DG208" s="26" t="n"/>
      <c r="DH208" s="27" t="n"/>
      <c r="DJ208" s="211" t="inlineStr">
        <is>
          <t>订单表中未找到</t>
        </is>
      </c>
      <c r="DK208" t="inlineStr">
        <is>
          <t>—</t>
        </is>
      </c>
      <c r="DL208" t="inlineStr">
        <is>
          <t>—</t>
        </is>
      </c>
    </row>
    <row r="209" ht="17.25" customHeight="1" s="187">
      <c r="A209" s="84" t="n">
        <v>45876</v>
      </c>
      <c r="B209" s="206" t="inlineStr">
        <is>
          <t>已收货</t>
        </is>
      </c>
      <c r="C209" s="128" t="inlineStr">
        <is>
          <t>2866982774920013894</t>
        </is>
      </c>
      <c r="D209" s="110" t="inlineStr">
        <is>
          <t>杜佳琪</t>
        </is>
      </c>
      <c r="E209" s="87" t="n"/>
      <c r="F209" s="87" t="n"/>
      <c r="G209" s="87" t="inlineStr">
        <is>
          <t>洞石柜：1.8*0.5*2.1  2个插座</t>
        </is>
      </c>
      <c r="H209" s="87" t="inlineStr">
        <is>
          <t>洞石餐边柜</t>
        </is>
      </c>
      <c r="I209" s="89" t="n">
        <v>1800</v>
      </c>
      <c r="J209" s="87" t="inlineStr">
        <is>
          <t>已结算</t>
        </is>
      </c>
      <c r="K209" s="86" t="inlineStr">
        <is>
          <t>庄毅</t>
        </is>
      </c>
      <c r="L209" s="207">
        <f>6000+40*2+2040/6/1.5+80+1.8*0.5*160+(1.8+0.5*2)*60+33+20+10+14+501.08+10</f>
        <v/>
      </c>
      <c r="M209" s="207">
        <f>6000</f>
        <v/>
      </c>
      <c r="N209" s="207" t="n"/>
      <c r="O209" s="207">
        <f>2040/6/1.5</f>
        <v/>
      </c>
      <c r="P209" s="207" t="n">
        <v>80</v>
      </c>
      <c r="Q209" s="207">
        <f>40*2</f>
        <v/>
      </c>
      <c r="R209" s="207">
        <f>1.8*0.5*160+(1.8+0.5*2)*60+30</f>
        <v/>
      </c>
      <c r="S209" s="207" t="n"/>
      <c r="T209" s="207" t="n"/>
      <c r="U209" s="207" t="n"/>
      <c r="V209" s="207" t="n"/>
      <c r="W209" s="207" t="n">
        <v>33</v>
      </c>
      <c r="X209" s="207" t="n">
        <v>20</v>
      </c>
      <c r="Y209" s="207" t="n">
        <v>10</v>
      </c>
      <c r="Z209" s="207" t="n"/>
      <c r="AA209" s="207" t="n"/>
      <c r="AB209" s="207" t="n"/>
      <c r="AC209" s="207" t="n"/>
      <c r="AD209" s="207" t="n">
        <v>501.08</v>
      </c>
      <c r="AE209" s="207" t="n">
        <v>14</v>
      </c>
      <c r="AF209" s="207" t="n">
        <v>10</v>
      </c>
      <c r="AG209" s="207" t="n"/>
      <c r="AH209" s="207" t="n"/>
      <c r="AI209" s="207" t="n"/>
      <c r="AJ209" s="207" t="n"/>
      <c r="AK209" s="207" t="n"/>
      <c r="AL209" s="207" t="n"/>
      <c r="AM209" s="207" t="n"/>
      <c r="AN209" s="207" t="n"/>
      <c r="AO209" s="207" t="n"/>
      <c r="AP209" s="207" t="n">
        <v>1116</v>
      </c>
      <c r="AQ209" s="207" t="n">
        <v>0</v>
      </c>
      <c r="AR209" s="207" t="n">
        <v>158</v>
      </c>
      <c r="AS209" s="207" t="n">
        <v>0</v>
      </c>
      <c r="AT209" s="207" t="n">
        <v>0</v>
      </c>
      <c r="AU209" s="207" t="n">
        <v>0</v>
      </c>
      <c r="AV209" s="207" t="n">
        <v>0</v>
      </c>
      <c r="AW209" s="207" t="n">
        <v>0</v>
      </c>
      <c r="AX209" s="208" t="n">
        <v>1</v>
      </c>
      <c r="AY209" s="209">
        <f>L209*AX209+AP209+AQ209+AR209+AV209+AW209+AS209+AT209+AU209</f>
        <v/>
      </c>
      <c r="AZ209" s="207">
        <f>10879.73+186.56+420</f>
        <v/>
      </c>
      <c r="BA209" s="207" t="n">
        <v>0</v>
      </c>
      <c r="BB209" s="207">
        <f>AZ209*0.006</f>
        <v/>
      </c>
      <c r="BC209" s="209">
        <f>AZ209+BA209-BB209</f>
        <v/>
      </c>
      <c r="BD209" s="207" t="n">
        <v>0</v>
      </c>
      <c r="BE209" s="207" t="n">
        <v>0</v>
      </c>
      <c r="BF209" s="209">
        <f>BD209+BE209</f>
        <v/>
      </c>
      <c r="BG209" s="209">
        <f>BC209-AY209+BF209</f>
        <v/>
      </c>
      <c r="BH209" s="86" t="inlineStr">
        <is>
          <t>杜佳琪</t>
        </is>
      </c>
      <c r="BI209" s="210" t="inlineStr">
        <is>
          <t>山西省 太原市 小店区 坞城街道千禧锦绣苑北区</t>
        </is>
      </c>
      <c r="BJ209" s="210" t="inlineStr">
        <is>
          <t>13240454959-8127</t>
        </is>
      </c>
      <c r="BK209" s="86" t="n"/>
      <c r="BL209" s="210" t="n"/>
      <c r="BM209" s="93" t="n"/>
      <c r="BN209" s="94" t="n"/>
      <c r="BO209" s="93" t="n"/>
      <c r="BP209" s="86" t="n"/>
      <c r="BQ209" s="96" t="n"/>
      <c r="BR209" s="96" t="n"/>
      <c r="BS209" s="97" t="n"/>
      <c r="BT209" s="96" t="n"/>
      <c r="BU209" s="97" t="n"/>
      <c r="BV209" s="96" t="n"/>
      <c r="BW209" s="97" t="n"/>
      <c r="BX209" s="97" t="n"/>
      <c r="BY209" s="97" t="n"/>
      <c r="BZ209" s="97" t="n"/>
      <c r="CA209" s="98" t="n"/>
      <c r="CH209" s="2" t="n"/>
      <c r="CI209" s="14" t="n"/>
      <c r="CY209" s="25" t="n"/>
      <c r="DA209" s="25" t="n"/>
      <c r="DC209" s="26" t="n"/>
      <c r="DD209" s="26" t="n"/>
      <c r="DE209" s="26" t="n"/>
      <c r="DF209" s="26" t="n"/>
      <c r="DG209" s="26" t="n"/>
      <c r="DH209" s="27" t="n"/>
      <c r="DJ209" s="211" t="inlineStr">
        <is>
          <t>订单表中未找到</t>
        </is>
      </c>
      <c r="DK209" t="inlineStr">
        <is>
          <t>—</t>
        </is>
      </c>
      <c r="DL209" t="inlineStr">
        <is>
          <t>—</t>
        </is>
      </c>
    </row>
    <row r="210" ht="17.25" customHeight="1" s="187">
      <c r="A210" s="84" t="n">
        <v>45876</v>
      </c>
      <c r="B210" s="206" t="inlineStr">
        <is>
          <t>已收货</t>
        </is>
      </c>
      <c r="C210" s="86" t="inlineStr">
        <is>
          <t>2865848916011992459</t>
        </is>
      </c>
      <c r="D210" s="110" t="inlineStr">
        <is>
          <t>何文涛</t>
        </is>
      </c>
      <c r="E210" s="87" t="n"/>
      <c r="F210" s="87" t="n"/>
      <c r="G210" s="207" t="inlineStr">
        <is>
          <t>窄柜-整柜洞石背板-1.0米</t>
        </is>
      </c>
      <c r="H210" s="207" t="inlineStr">
        <is>
          <t>樱桃木窄柜</t>
        </is>
      </c>
      <c r="I210" s="89" t="n">
        <v>1000</v>
      </c>
      <c r="J210" s="87" t="inlineStr">
        <is>
          <t>已结算</t>
        </is>
      </c>
      <c r="K210" s="86" t="inlineStr">
        <is>
          <t>庄毅</t>
        </is>
      </c>
      <c r="L210" s="207">
        <f>SUM(M210:AO210)</f>
        <v/>
      </c>
      <c r="M210" s="207">
        <f>3300</f>
        <v/>
      </c>
      <c r="N210" s="207">
        <f>0.958*260+2*55</f>
        <v/>
      </c>
      <c r="O210" s="207" t="n">
        <v>120</v>
      </c>
      <c r="P210" s="207" t="n"/>
      <c r="Q210" s="207">
        <f>19*2</f>
        <v/>
      </c>
      <c r="R210" s="207">
        <f>0.48*1*160+30</f>
        <v/>
      </c>
      <c r="S210" s="207" t="n">
        <v>59.23</v>
      </c>
      <c r="T210" s="207" t="n"/>
      <c r="U210" s="207" t="n"/>
      <c r="V210" s="207" t="n">
        <v>5</v>
      </c>
      <c r="W210" s="207" t="n"/>
      <c r="X210" s="207" t="n"/>
      <c r="Y210" s="207" t="n"/>
      <c r="Z210" s="207" t="n"/>
      <c r="AA210" s="207" t="n">
        <v>2</v>
      </c>
      <c r="AB210" s="207" t="n">
        <v>1.1</v>
      </c>
      <c r="AC210" s="207" t="n">
        <v>3.5</v>
      </c>
      <c r="AD210" s="207" t="n"/>
      <c r="AE210" s="207" t="n"/>
      <c r="AF210" s="207" t="n"/>
      <c r="AG210" s="207" t="n"/>
      <c r="AH210" s="207" t="n"/>
      <c r="AI210" s="207" t="n"/>
      <c r="AJ210" s="207" t="n"/>
      <c r="AK210" s="207" t="n"/>
      <c r="AL210" s="207" t="n"/>
      <c r="AM210" s="207" t="n"/>
      <c r="AN210" s="207" t="n"/>
      <c r="AO210" s="207" t="n"/>
      <c r="AP210" s="207" t="n">
        <v>257</v>
      </c>
      <c r="AQ210" s="207" t="n">
        <v>0</v>
      </c>
      <c r="AR210" s="207" t="n">
        <v>79</v>
      </c>
      <c r="AS210" s="207" t="n">
        <v>0</v>
      </c>
      <c r="AT210" s="207" t="n">
        <v>0</v>
      </c>
      <c r="AU210" s="207" t="n">
        <v>0</v>
      </c>
      <c r="AV210" s="207" t="n">
        <v>0</v>
      </c>
      <c r="AW210" s="207" t="n">
        <v>0</v>
      </c>
      <c r="AX210" s="208" t="n">
        <v>1</v>
      </c>
      <c r="AY210" s="209">
        <f>L210*AX210+AP210+AQ210+AR210+AV210+AW210+AS210+AT210+AU210</f>
        <v/>
      </c>
      <c r="AZ210" s="207" t="n">
        <v>5055.78</v>
      </c>
      <c r="BA210" s="207" t="n">
        <v>0</v>
      </c>
      <c r="BB210" s="207">
        <f>AZ210*0.006</f>
        <v/>
      </c>
      <c r="BC210" s="209">
        <f>AZ210+BA210-BB210</f>
        <v/>
      </c>
      <c r="BD210" s="207" t="n">
        <v>0</v>
      </c>
      <c r="BE210" s="207" t="n">
        <v>0</v>
      </c>
      <c r="BF210" s="209">
        <f>BD210+BE210</f>
        <v/>
      </c>
      <c r="BG210" s="209">
        <f>BC210-AY210+BF210</f>
        <v/>
      </c>
      <c r="BH210" s="87" t="inlineStr">
        <is>
          <t>何文涛</t>
        </is>
      </c>
      <c r="BI210" s="210" t="inlineStr">
        <is>
          <t xml:space="preserve">上海 上海市 金山区 漕泾镇 漕廊公路985弄1区11号201室 </t>
        </is>
      </c>
      <c r="BJ210" s="86" t="inlineStr">
        <is>
          <t>18466626621-5066</t>
        </is>
      </c>
      <c r="BK210" s="86" t="inlineStr">
        <is>
          <t>JDV022813144963，2件</t>
        </is>
      </c>
      <c r="BL210" s="210">
        <f>BC210</f>
        <v/>
      </c>
      <c r="BM210" s="93" t="n"/>
      <c r="BN210" s="94" t="n"/>
      <c r="BO210" s="93" t="n"/>
      <c r="BP210" s="86" t="n"/>
      <c r="BQ210" s="96" t="n"/>
      <c r="BR210" s="96" t="n"/>
      <c r="BS210" s="97" t="n"/>
      <c r="BT210" s="96" t="n"/>
      <c r="BU210" s="97" t="n"/>
      <c r="BV210" s="96" t="n"/>
      <c r="BW210" s="97" t="n"/>
      <c r="BX210" s="97" t="n"/>
      <c r="BY210" s="97" t="n"/>
      <c r="BZ210" s="97" t="n"/>
      <c r="CA210" s="98" t="n"/>
      <c r="CH210" s="2" t="n"/>
      <c r="CI210" s="14">
        <f>CJ210&amp;CK210</f>
        <v/>
      </c>
      <c r="CY210" s="25" t="n"/>
      <c r="DA210" s="25" t="n"/>
      <c r="DC210" s="26" t="n"/>
      <c r="DD210" s="26" t="n"/>
      <c r="DE210" s="26" t="n"/>
      <c r="DF210" s="26" t="n"/>
      <c r="DG210" s="26" t="n"/>
      <c r="DH210" s="27" t="n"/>
      <c r="DJ210" s="211" t="inlineStr">
        <is>
          <t>订单表中未找到</t>
        </is>
      </c>
      <c r="DK210" t="inlineStr">
        <is>
          <t>—</t>
        </is>
      </c>
      <c r="DL210" t="inlineStr">
        <is>
          <t>—</t>
        </is>
      </c>
    </row>
    <row r="211" ht="15.75" customHeight="1" s="187">
      <c r="A211" s="84" t="n">
        <v>45876</v>
      </c>
      <c r="B211" s="206" t="inlineStr">
        <is>
          <t>已收货</t>
        </is>
      </c>
      <c r="C211" s="128" t="inlineStr">
        <is>
          <t>2866821062218193873</t>
        </is>
      </c>
      <c r="D211" s="86" t="inlineStr">
        <is>
          <t>张师傅</t>
        </is>
      </c>
      <c r="E211" s="87" t="n"/>
      <c r="F211" s="87" t="n"/>
      <c r="G211" s="87" t="inlineStr">
        <is>
          <t>左旋樱桃木1.6柜+1.2单腿桌，白色岩板  二次上门，师傅没收</t>
        </is>
      </c>
      <c r="H211" s="220" t="inlineStr">
        <is>
          <t>旋转餐边柜</t>
        </is>
      </c>
      <c r="I211" s="89" t="n">
        <v>1600</v>
      </c>
      <c r="J211" s="87" t="inlineStr">
        <is>
          <t>已结算,茶色玻璃</t>
        </is>
      </c>
      <c r="K211" s="86" t="inlineStr">
        <is>
          <t>江西</t>
        </is>
      </c>
      <c r="L211" s="207">
        <f>5600+240+24+52+118+22+270+10+22*9+160+525</f>
        <v/>
      </c>
      <c r="M211" s="207">
        <f>5600</f>
        <v/>
      </c>
      <c r="N211" s="207" t="n"/>
      <c r="O211" s="207" t="n"/>
      <c r="P211" s="207" t="n"/>
      <c r="Q211" s="207" t="n"/>
      <c r="R211" s="207" t="n"/>
      <c r="S211" s="207" t="n">
        <v>22</v>
      </c>
      <c r="T211" s="207" t="n">
        <v>270</v>
      </c>
      <c r="U211" s="207" t="n"/>
      <c r="V211" s="207" t="n"/>
      <c r="W211" s="207" t="n">
        <v>10</v>
      </c>
      <c r="X211" s="207">
        <f>22*9</f>
        <v/>
      </c>
      <c r="Y211" s="207" t="n">
        <v>160</v>
      </c>
      <c r="Z211" s="207" t="n"/>
      <c r="AA211" s="207" t="n"/>
      <c r="AB211" s="207" t="n"/>
      <c r="AC211" s="207" t="n"/>
      <c r="AD211" s="207" t="n"/>
      <c r="AE211" s="207" t="n">
        <v>525</v>
      </c>
      <c r="AF211" s="207" t="n"/>
      <c r="AG211" s="207" t="n"/>
      <c r="AH211" s="207" t="n"/>
      <c r="AI211" s="207" t="n"/>
      <c r="AJ211" s="207" t="n"/>
      <c r="AK211" s="207" t="n"/>
      <c r="AL211" s="207" t="n"/>
      <c r="AM211" s="207" t="n">
        <v>160</v>
      </c>
      <c r="AN211" s="207" t="n"/>
      <c r="AO211" s="207" t="n"/>
      <c r="AP211" s="207" t="n">
        <v>290</v>
      </c>
      <c r="AQ211" s="207" t="n">
        <v>0</v>
      </c>
      <c r="AR211" s="207" t="n">
        <v>500</v>
      </c>
      <c r="AS211" s="207" t="n">
        <v>0</v>
      </c>
      <c r="AT211" s="207" t="n">
        <v>0</v>
      </c>
      <c r="AU211" s="207" t="n">
        <v>0</v>
      </c>
      <c r="AV211" s="207" t="n">
        <v>107</v>
      </c>
      <c r="AW211" s="207" t="n">
        <v>0</v>
      </c>
      <c r="AX211" s="208" t="n">
        <v>1</v>
      </c>
      <c r="AY211" s="209">
        <f>L211*AX211+AP211+AQ211+AR211+AV211+AW211+AS211+AT211+AU211</f>
        <v/>
      </c>
      <c r="AZ211" s="207" t="n">
        <v>9641.92</v>
      </c>
      <c r="BA211" s="207" t="n">
        <v>0</v>
      </c>
      <c r="BB211" s="207">
        <f>AZ211*0.006</f>
        <v/>
      </c>
      <c r="BC211" s="209">
        <f>AZ211+BA211-BB211</f>
        <v/>
      </c>
      <c r="BD211" s="207" t="n">
        <v>0</v>
      </c>
      <c r="BE211" s="207" t="n">
        <v>0</v>
      </c>
      <c r="BF211" s="209">
        <f>BD211+BE211</f>
        <v/>
      </c>
      <c r="BG211" s="209">
        <f>BC211-AY211+BF211</f>
        <v/>
      </c>
      <c r="BH211" s="86" t="inlineStr">
        <is>
          <t>张师傅</t>
        </is>
      </c>
      <c r="BI211" s="210" t="inlineStr">
        <is>
          <t>上海 上海市 普陀区 长寿路街道武宁路300弄5幢武宁路300弄14号2807室</t>
        </is>
      </c>
      <c r="BJ211" s="210" t="inlineStr">
        <is>
          <t>18466681171-1547</t>
        </is>
      </c>
      <c r="BK211" s="86" t="n"/>
      <c r="BL211" s="210" t="n"/>
      <c r="BM211" s="93" t="n"/>
      <c r="BN211" s="94" t="n"/>
      <c r="BO211" s="93" t="n"/>
      <c r="BP211" s="86" t="n"/>
      <c r="BQ211" s="96" t="n"/>
      <c r="BR211" s="96" t="n"/>
      <c r="BS211" s="97" t="n"/>
      <c r="BT211" s="96" t="n"/>
      <c r="BU211" s="97" t="n"/>
      <c r="BV211" s="96" t="n"/>
      <c r="BW211" s="97" t="n"/>
      <c r="BX211" s="97" t="n"/>
      <c r="BY211" s="97" t="n"/>
      <c r="BZ211" s="97" t="n"/>
      <c r="CA211" s="98" t="n"/>
      <c r="CH211" s="2" t="n"/>
      <c r="CI211" s="14" t="n"/>
      <c r="CY211" s="25" t="n"/>
      <c r="DA211" s="25" t="n"/>
      <c r="DC211" s="26" t="n"/>
      <c r="DD211" s="26" t="n"/>
      <c r="DE211" s="26" t="n"/>
      <c r="DF211" s="26" t="n"/>
      <c r="DG211" s="26" t="n"/>
      <c r="DH211" s="27" t="n"/>
      <c r="DJ211" s="211" t="inlineStr">
        <is>
          <t>订单表中未找到</t>
        </is>
      </c>
      <c r="DK211" t="inlineStr">
        <is>
          <t>—</t>
        </is>
      </c>
      <c r="DL211" t="inlineStr">
        <is>
          <t>—</t>
        </is>
      </c>
    </row>
    <row r="212" ht="17.25" customHeight="1" s="187">
      <c r="A212" s="84" t="n">
        <v>45876</v>
      </c>
      <c r="B212" s="206" t="inlineStr">
        <is>
          <t>已收货</t>
        </is>
      </c>
      <c r="C212" s="86" t="inlineStr">
        <is>
          <t>2867408616966475858</t>
        </is>
      </c>
      <c r="D212" s="110" t="inlineStr">
        <is>
          <t>吴女士</t>
        </is>
      </c>
      <c r="E212" s="87" t="inlineStr">
        <is>
          <t>已发货</t>
        </is>
      </c>
      <c r="F212" s="87" t="n"/>
      <c r="G212" s="87" t="inlineStr">
        <is>
          <t>砂白色1.6米岩板餐桌</t>
        </is>
      </c>
      <c r="H212" s="87" t="inlineStr">
        <is>
          <t>榉木餐桌</t>
        </is>
      </c>
      <c r="I212" s="218" t="inlineStr">
        <is>
          <t>160cm*85cm</t>
        </is>
      </c>
      <c r="J212" s="87" t="inlineStr">
        <is>
          <t>已结算</t>
        </is>
      </c>
      <c r="K212" s="86" t="inlineStr">
        <is>
          <t>庄毅</t>
        </is>
      </c>
      <c r="L212" s="207">
        <f>SUM(M212:AO212)</f>
        <v/>
      </c>
      <c r="M212" s="207">
        <f>1530</f>
        <v/>
      </c>
      <c r="N212" s="207" t="n"/>
      <c r="O212" s="207" t="n"/>
      <c r="P212" s="207" t="n"/>
      <c r="Q212" s="207" t="n"/>
      <c r="R212" s="207">
        <f>180*1.6*0.85</f>
        <v/>
      </c>
      <c r="S212" s="207" t="n"/>
      <c r="T212" s="207" t="n"/>
      <c r="U212" s="207" t="n"/>
      <c r="V212" s="207" t="n"/>
      <c r="W212" s="207" t="n"/>
      <c r="X212" s="207" t="n"/>
      <c r="Y212" s="207" t="n"/>
      <c r="Z212" s="207" t="n"/>
      <c r="AA212" s="207" t="n"/>
      <c r="AB212" s="207" t="n"/>
      <c r="AC212" s="207" t="n"/>
      <c r="AD212" s="207" t="n">
        <v>2.5</v>
      </c>
      <c r="AE212" s="207" t="n"/>
      <c r="AF212" s="207" t="n"/>
      <c r="AG212" s="207" t="n"/>
      <c r="AH212" s="207" t="n"/>
      <c r="AI212" s="207" t="n"/>
      <c r="AJ212" s="207" t="n"/>
      <c r="AK212" s="207" t="n"/>
      <c r="AL212" s="207" t="n"/>
      <c r="AM212" s="207" t="n"/>
      <c r="AN212" s="207" t="n"/>
      <c r="AO212" s="207" t="n"/>
      <c r="AP212" s="207" t="n">
        <v>318</v>
      </c>
      <c r="AQ212" s="207" t="n">
        <v>0</v>
      </c>
      <c r="AR212" s="207" t="n">
        <v>86</v>
      </c>
      <c r="AS212" s="207" t="n">
        <v>0</v>
      </c>
      <c r="AT212" s="207" t="n">
        <v>0</v>
      </c>
      <c r="AU212" s="207" t="n">
        <v>0</v>
      </c>
      <c r="AV212" s="207" t="n">
        <v>0</v>
      </c>
      <c r="AW212" s="207" t="n">
        <v>133.1</v>
      </c>
      <c r="AX212" s="208" t="n">
        <v>1</v>
      </c>
      <c r="AY212" s="209">
        <f>L212*AX212+AP212+AQ212+AR212+AV212+AW212+AS212+AT212+AU212</f>
        <v/>
      </c>
      <c r="AZ212" s="207" t="n">
        <v>2948.41</v>
      </c>
      <c r="BA212" s="207" t="n">
        <v>0</v>
      </c>
      <c r="BB212" s="207">
        <f>AZ212*0.006</f>
        <v/>
      </c>
      <c r="BC212" s="209">
        <f>AZ212+BA212-BB212</f>
        <v/>
      </c>
      <c r="BD212" s="207" t="n">
        <v>0</v>
      </c>
      <c r="BE212" s="207" t="n">
        <v>0</v>
      </c>
      <c r="BF212" s="209">
        <f>BD212+BE212</f>
        <v/>
      </c>
      <c r="BG212" s="209">
        <f>BC212-AY212+BF212</f>
        <v/>
      </c>
      <c r="BH212" s="87" t="inlineStr">
        <is>
          <t>吴女士</t>
        </is>
      </c>
      <c r="BI212" s="210" t="inlineStr">
        <is>
          <t>江苏省南通市 崇川区 城东街道东昇花园26号楼203室</t>
        </is>
      </c>
      <c r="BJ212" s="86" t="inlineStr">
        <is>
          <t>18468405193-4050</t>
        </is>
      </c>
      <c r="BK212" s="86" t="inlineStr">
        <is>
          <t>JDV022398033922，2件</t>
        </is>
      </c>
      <c r="BL212" s="210">
        <f>BC212</f>
        <v/>
      </c>
      <c r="BM212" s="93" t="n"/>
      <c r="BN212" s="94" t="n"/>
      <c r="BO212" s="93" t="n"/>
      <c r="BP212" s="86" t="n"/>
      <c r="BQ212" s="96" t="n"/>
      <c r="BR212" s="96" t="n"/>
      <c r="BS212" s="97" t="n"/>
      <c r="BT212" s="96" t="n"/>
      <c r="BU212" s="97" t="n"/>
      <c r="BV212" s="96" t="n"/>
      <c r="BW212" s="97" t="n"/>
      <c r="BX212" s="97" t="n"/>
      <c r="BY212" s="97" t="n"/>
      <c r="BZ212" s="97" t="n"/>
      <c r="CA212" s="98" t="n"/>
      <c r="CH212" s="2" t="n"/>
      <c r="CI212" s="14">
        <f>CJ212&amp;CK212</f>
        <v/>
      </c>
      <c r="CY212" s="25" t="n"/>
      <c r="DA212" s="25" t="n"/>
      <c r="DC212" s="26" t="n"/>
      <c r="DD212" s="26" t="n"/>
      <c r="DE212" s="26" t="n"/>
      <c r="DF212" s="26" t="n"/>
      <c r="DG212" s="26" t="n"/>
      <c r="DH212" s="27" t="n"/>
      <c r="DJ212" s="211" t="inlineStr">
        <is>
          <t>订单表中未找到</t>
        </is>
      </c>
      <c r="DK212" t="inlineStr">
        <is>
          <t>—</t>
        </is>
      </c>
      <c r="DL212" t="inlineStr">
        <is>
          <t>—</t>
        </is>
      </c>
    </row>
    <row r="213" ht="17.25" customHeight="1" s="187">
      <c r="A213" s="84" t="n">
        <v>45878</v>
      </c>
      <c r="B213" s="206" t="inlineStr">
        <is>
          <t>已收货</t>
        </is>
      </c>
      <c r="C213" s="86" t="inlineStr">
        <is>
          <t>4676040003803393217</t>
        </is>
      </c>
      <c r="D213" s="86" t="inlineStr">
        <is>
          <t>杜文静</t>
        </is>
      </c>
      <c r="E213" s="87" t="n"/>
      <c r="F213" s="87" t="n"/>
      <c r="G213" s="207" t="inlineStr">
        <is>
          <t>窄柜-整柜洞石背板-1.0米</t>
        </is>
      </c>
      <c r="H213" s="87" t="inlineStr">
        <is>
          <t>樱桃木窄柜</t>
        </is>
      </c>
      <c r="I213" s="89" t="n">
        <v>1000</v>
      </c>
      <c r="J213" s="87" t="inlineStr">
        <is>
          <t>已结算</t>
        </is>
      </c>
      <c r="K213" s="86" t="inlineStr">
        <is>
          <t>庄毅</t>
        </is>
      </c>
      <c r="L213" s="207">
        <f>SUM(M213:AO213)</f>
        <v/>
      </c>
      <c r="M213" s="207">
        <f>3300</f>
        <v/>
      </c>
      <c r="N213" s="207">
        <f>0.958*260+2*55</f>
        <v/>
      </c>
      <c r="O213" s="207" t="n">
        <v>120</v>
      </c>
      <c r="P213" s="207" t="n"/>
      <c r="Q213" s="207">
        <f>19*2</f>
        <v/>
      </c>
      <c r="R213" s="207">
        <f>270+100/15</f>
        <v/>
      </c>
      <c r="S213" s="207" t="n">
        <v>59.23</v>
      </c>
      <c r="T213" s="207" t="n"/>
      <c r="U213" s="207" t="n"/>
      <c r="V213" s="207" t="n">
        <v>5</v>
      </c>
      <c r="W213" s="207" t="n"/>
      <c r="X213" s="207" t="n"/>
      <c r="Y213" s="207" t="n"/>
      <c r="Z213" s="207" t="n"/>
      <c r="AA213" s="207" t="n">
        <v>2</v>
      </c>
      <c r="AB213" s="207" t="n">
        <v>1.1</v>
      </c>
      <c r="AC213" s="207" t="n">
        <v>3.5</v>
      </c>
      <c r="AD213" s="207" t="n"/>
      <c r="AE213" s="207" t="n"/>
      <c r="AF213" s="207" t="n"/>
      <c r="AG213" s="207" t="n"/>
      <c r="AH213" s="207" t="n"/>
      <c r="AI213" s="207" t="n"/>
      <c r="AJ213" s="207" t="n"/>
      <c r="AK213" s="207" t="n"/>
      <c r="AL213" s="207" t="n"/>
      <c r="AM213" s="207" t="n"/>
      <c r="AN213" s="207" t="n"/>
      <c r="AO213" s="207" t="n"/>
      <c r="AP213" s="207" t="n">
        <v>402</v>
      </c>
      <c r="AQ213" s="207" t="n">
        <v>0</v>
      </c>
      <c r="AR213" s="207" t="n">
        <v>0</v>
      </c>
      <c r="AS213" s="207" t="n">
        <v>0</v>
      </c>
      <c r="AT213" s="207" t="n">
        <v>0</v>
      </c>
      <c r="AU213" s="207" t="n">
        <v>0</v>
      </c>
      <c r="AV213" s="207" t="n">
        <v>0</v>
      </c>
      <c r="AW213" s="207" t="n">
        <v>255</v>
      </c>
      <c r="AX213" s="208" t="n">
        <v>1</v>
      </c>
      <c r="AY213" s="209">
        <f>L213*AX213+AP213+AQ213+AR213+AV213+AW213+AS213+AT213+AU213</f>
        <v/>
      </c>
      <c r="AZ213" s="207" t="n">
        <v>5055.78</v>
      </c>
      <c r="BA213" s="207" t="n">
        <v>0</v>
      </c>
      <c r="BB213" s="207">
        <f>AZ213*0.006</f>
        <v/>
      </c>
      <c r="BC213" s="209">
        <f>AZ213+BA213-BB213</f>
        <v/>
      </c>
      <c r="BD213" s="207" t="n">
        <v>0</v>
      </c>
      <c r="BE213" s="207" t="n">
        <v>0</v>
      </c>
      <c r="BF213" s="209">
        <f>BD213+BE213</f>
        <v/>
      </c>
      <c r="BG213" s="209">
        <f>BC213-AY213+BF213</f>
        <v/>
      </c>
      <c r="BH213" s="86" t="inlineStr">
        <is>
          <t>杜文静</t>
        </is>
      </c>
      <c r="BI213" s="210" t="inlineStr">
        <is>
          <t>北京 北京市 怀柔区 九渡河镇怀柔区 黄花镇村北洞44号1门-秋日黄昏</t>
        </is>
      </c>
      <c r="BJ213" s="210" t="inlineStr">
        <is>
          <t>13161477844-8208</t>
        </is>
      </c>
      <c r="BK213" s="86" t="n"/>
      <c r="BL213" s="210" t="n"/>
      <c r="BM213" s="93" t="n"/>
      <c r="BN213" s="94" t="n"/>
      <c r="BO213" s="93" t="n"/>
      <c r="BP213" s="86" t="n"/>
      <c r="BQ213" s="96" t="n"/>
      <c r="BR213" s="96" t="n"/>
      <c r="BS213" s="97" t="n"/>
      <c r="BT213" s="96" t="n"/>
      <c r="BU213" s="97" t="n"/>
      <c r="BV213" s="96" t="n"/>
      <c r="BW213" s="97" t="n"/>
      <c r="BX213" s="97" t="n"/>
      <c r="BY213" s="97" t="n"/>
      <c r="BZ213" s="97" t="n"/>
      <c r="CA213" s="98" t="n"/>
      <c r="CH213" s="2" t="n"/>
      <c r="CI213" s="14">
        <f>CJ213&amp;CK213</f>
        <v/>
      </c>
      <c r="CJ213" s="25" t="n"/>
      <c r="CK213" s="25" t="n"/>
      <c r="CL213" s="25" t="n"/>
      <c r="CM213" s="25" t="n"/>
      <c r="CN213" s="25" t="n"/>
      <c r="CO213" s="25" t="n"/>
      <c r="CP213" s="25" t="n"/>
      <c r="CQ213" s="25" t="n"/>
      <c r="CR213" s="25" t="n"/>
      <c r="CS213" s="25" t="n"/>
      <c r="CT213" s="25" t="n"/>
      <c r="CU213" s="25" t="n"/>
      <c r="CV213" s="25" t="n"/>
      <c r="CW213" s="25" t="n"/>
      <c r="CX213" s="25" t="n"/>
      <c r="CY213" s="25" t="n"/>
      <c r="CZ213" s="25" t="n"/>
      <c r="DC213" s="26" t="n"/>
      <c r="DD213" s="26" t="n"/>
      <c r="DE213" s="26" t="n"/>
      <c r="DF213" s="26" t="n"/>
      <c r="DG213" s="26" t="n"/>
      <c r="DH213" s="27" t="n"/>
      <c r="DJ213" s="211" t="inlineStr">
        <is>
          <t>订单表中未找到</t>
        </is>
      </c>
      <c r="DK213" t="inlineStr">
        <is>
          <t>—</t>
        </is>
      </c>
      <c r="DL213" t="inlineStr">
        <is>
          <t>—</t>
        </is>
      </c>
    </row>
    <row r="214" ht="15.75" customHeight="1" s="187">
      <c r="A214" s="84" t="n">
        <v>45879</v>
      </c>
      <c r="B214" s="206" t="inlineStr">
        <is>
          <t>已收货</t>
        </is>
      </c>
      <c r="C214" s="86" t="inlineStr">
        <is>
          <t>4690353243151865337</t>
        </is>
      </c>
      <c r="D214" s="110" t="inlineStr">
        <is>
          <t>李爱华</t>
        </is>
      </c>
      <c r="E214" s="87" t="inlineStr">
        <is>
          <t>已发货</t>
        </is>
      </c>
      <c r="F214" s="87" t="n"/>
      <c r="G214" s="87" t="inlineStr">
        <is>
          <t>砂白色1.8米岩板餐桌</t>
        </is>
      </c>
      <c r="H214" s="87" t="inlineStr">
        <is>
          <t>榉木餐桌</t>
        </is>
      </c>
      <c r="I214" s="218" t="inlineStr">
        <is>
          <t>180cm*85cm</t>
        </is>
      </c>
      <c r="J214" s="87" t="inlineStr">
        <is>
          <t>已结算</t>
        </is>
      </c>
      <c r="K214" s="86" t="inlineStr">
        <is>
          <t>庄毅</t>
        </is>
      </c>
      <c r="L214" s="207">
        <f>SUM(M214:AO214)</f>
        <v/>
      </c>
      <c r="M214" s="207">
        <f>1580</f>
        <v/>
      </c>
      <c r="N214" s="207" t="n"/>
      <c r="O214" s="207" t="n"/>
      <c r="P214" s="207" t="n"/>
      <c r="Q214" s="207" t="n"/>
      <c r="R214" s="207">
        <f>180*1.8*0.85</f>
        <v/>
      </c>
      <c r="S214" s="207" t="n"/>
      <c r="T214" s="207" t="n"/>
      <c r="U214" s="207" t="n"/>
      <c r="V214" s="207" t="n"/>
      <c r="W214" s="207" t="n"/>
      <c r="X214" s="207" t="n"/>
      <c r="Y214" s="207" t="n"/>
      <c r="Z214" s="207" t="n"/>
      <c r="AA214" s="207" t="n"/>
      <c r="AB214" s="207" t="n"/>
      <c r="AC214" s="207" t="n"/>
      <c r="AD214" s="207" t="n">
        <v>2.5</v>
      </c>
      <c r="AE214" s="207" t="n"/>
      <c r="AF214" s="207" t="n"/>
      <c r="AG214" s="207" t="n"/>
      <c r="AH214" s="207" t="n"/>
      <c r="AI214" s="207" t="n"/>
      <c r="AJ214" s="207" t="n"/>
      <c r="AK214" s="207" t="n"/>
      <c r="AL214" s="207" t="n"/>
      <c r="AM214" s="207" t="n"/>
      <c r="AN214" s="207" t="n"/>
      <c r="AO214" s="207" t="n"/>
      <c r="AP214" s="207" t="n">
        <v>506</v>
      </c>
      <c r="AQ214" s="207" t="n">
        <v>0</v>
      </c>
      <c r="AR214" s="207" t="n">
        <v>90</v>
      </c>
      <c r="AS214" s="207" t="n">
        <v>0</v>
      </c>
      <c r="AT214" s="207" t="n">
        <v>0</v>
      </c>
      <c r="AU214" s="207" t="n">
        <v>0</v>
      </c>
      <c r="AV214" s="207" t="n">
        <v>0</v>
      </c>
      <c r="AW214" s="207" t="n">
        <v>0</v>
      </c>
      <c r="AX214" s="208" t="n">
        <v>1</v>
      </c>
      <c r="AY214" s="209">
        <f>L214*AX214+AP214+AQ214+AR214+AV214+AW214+AS214+AT214+AU214</f>
        <v/>
      </c>
      <c r="AZ214" s="207" t="n">
        <v>2929.98</v>
      </c>
      <c r="BA214" s="207" t="n">
        <v>0</v>
      </c>
      <c r="BB214" s="207">
        <f>AZ214*0.006</f>
        <v/>
      </c>
      <c r="BC214" s="209">
        <f>AZ214+BA214-BB214</f>
        <v/>
      </c>
      <c r="BD214" s="207" t="n">
        <v>0</v>
      </c>
      <c r="BE214" s="207" t="n">
        <v>0</v>
      </c>
      <c r="BF214" s="209">
        <f>BD214+BE214</f>
        <v/>
      </c>
      <c r="BG214" s="209">
        <f>BC214-AY214+BF214</f>
        <v/>
      </c>
      <c r="BH214" s="87" t="inlineStr">
        <is>
          <t>李爱华</t>
        </is>
      </c>
      <c r="BI214" s="210" t="inlineStr">
        <is>
          <t xml:space="preserve">江苏省 苏州市 吴中区 郭巷街道 中海独墅岛3期231幢 2901 </t>
        </is>
      </c>
      <c r="BJ214" s="86" t="inlineStr">
        <is>
          <t>15784504130-8835</t>
        </is>
      </c>
      <c r="BK214" s="86" t="inlineStr">
        <is>
          <t>JDV022612557429，2件</t>
        </is>
      </c>
      <c r="BL214" s="210">
        <f>BC214</f>
        <v/>
      </c>
      <c r="BM214" s="93" t="n"/>
      <c r="BN214" s="94" t="n"/>
      <c r="BO214" s="93" t="n"/>
      <c r="BP214" s="86" t="n"/>
      <c r="BQ214" s="96" t="n"/>
      <c r="BR214" s="96" t="n"/>
      <c r="BS214" s="97" t="n"/>
      <c r="BT214" s="96" t="n"/>
      <c r="BU214" s="97" t="n"/>
      <c r="BV214" s="96" t="n"/>
      <c r="BW214" s="97" t="n"/>
      <c r="BX214" s="97" t="n"/>
      <c r="BY214" s="97" t="n"/>
      <c r="BZ214" s="97" t="n"/>
      <c r="CA214" s="98" t="n"/>
      <c r="CH214" s="2" t="n"/>
      <c r="CI214" s="14">
        <f>CJ214&amp;CK214</f>
        <v/>
      </c>
      <c r="CJ214" s="25" t="n"/>
      <c r="CK214" s="25" t="n"/>
      <c r="CL214" s="25" t="n"/>
      <c r="CM214" s="25" t="n"/>
      <c r="CN214" s="25" t="n"/>
      <c r="CO214" s="25" t="n"/>
      <c r="CR214" s="25" t="n"/>
      <c r="CS214" s="25" t="n"/>
      <c r="CT214" s="25" t="n"/>
      <c r="CU214" s="25" t="n"/>
      <c r="CV214" s="25" t="n"/>
      <c r="CW214" s="25" t="n"/>
      <c r="CX214" s="25" t="n"/>
      <c r="CY214" s="25" t="n"/>
      <c r="CZ214" s="25" t="n"/>
      <c r="DC214" s="26" t="n"/>
      <c r="DD214" s="26" t="n"/>
      <c r="DE214" s="26" t="n"/>
      <c r="DF214" s="26" t="n"/>
      <c r="DG214" s="26" t="n"/>
      <c r="DH214" s="27" t="n"/>
      <c r="DJ214" s="211" t="inlineStr">
        <is>
          <t>订单表中未找到</t>
        </is>
      </c>
      <c r="DK214" t="inlineStr">
        <is>
          <t>—</t>
        </is>
      </c>
      <c r="DL214" t="inlineStr">
        <is>
          <t>—</t>
        </is>
      </c>
    </row>
    <row r="215" ht="15.75" customHeight="1" s="187">
      <c r="A215" s="84" t="n">
        <v>45881</v>
      </c>
      <c r="B215" s="206" t="inlineStr">
        <is>
          <t>已收货</t>
        </is>
      </c>
      <c r="C215" s="86" t="inlineStr">
        <is>
          <t>2874717519082446657</t>
        </is>
      </c>
      <c r="D215" s="110" t="inlineStr">
        <is>
          <t>徐炜玮</t>
        </is>
      </c>
      <c r="E215" s="87" t="inlineStr">
        <is>
          <t>已发货</t>
        </is>
      </c>
      <c r="F215" s="87" t="n"/>
      <c r="G215" s="207" t="inlineStr">
        <is>
          <t>窄柜-整柜洞石背板-0.8米</t>
        </is>
      </c>
      <c r="H215" s="207" t="inlineStr">
        <is>
          <t>樱桃木窄柜</t>
        </is>
      </c>
      <c r="I215" s="89" t="n">
        <v>800</v>
      </c>
      <c r="J215" s="87" t="inlineStr">
        <is>
          <t>已结算</t>
        </is>
      </c>
      <c r="K215" s="86" t="inlineStr">
        <is>
          <t>庄毅</t>
        </is>
      </c>
      <c r="L215" s="207">
        <f>SUM(M215:AO215)</f>
        <v/>
      </c>
      <c r="M215" s="207" t="n">
        <v>3100</v>
      </c>
      <c r="N215" s="207">
        <f>0.758*260+2*55</f>
        <v/>
      </c>
      <c r="O215" s="207">
        <f>115</f>
        <v/>
      </c>
      <c r="P215" s="207" t="n"/>
      <c r="Q215" s="207">
        <f>15*2</f>
        <v/>
      </c>
      <c r="R215" s="207">
        <f>230+100/15</f>
        <v/>
      </c>
      <c r="S215" s="207" t="n">
        <v>54.9</v>
      </c>
      <c r="T215" s="207" t="n"/>
      <c r="U215" s="207" t="n"/>
      <c r="V215" s="207" t="n">
        <v>4</v>
      </c>
      <c r="W215" s="207" t="n"/>
      <c r="X215" s="207" t="n"/>
      <c r="Y215" s="207" t="n"/>
      <c r="Z215" s="207" t="n"/>
      <c r="AA215" s="207" t="n"/>
      <c r="AB215" s="207" t="n"/>
      <c r="AC215" s="207" t="n">
        <v>3.5</v>
      </c>
      <c r="AD215" s="207" t="n"/>
      <c r="AE215" s="207" t="n">
        <v>3</v>
      </c>
      <c r="AF215" s="207" t="n"/>
      <c r="AG215" s="207" t="n"/>
      <c r="AH215" s="207" t="n"/>
      <c r="AI215" s="207" t="n"/>
      <c r="AJ215" s="207" t="n">
        <v>1.2</v>
      </c>
      <c r="AK215" s="207" t="n"/>
      <c r="AL215" s="207" t="n"/>
      <c r="AM215" s="207" t="n"/>
      <c r="AN215" s="207" t="n"/>
      <c r="AO215" s="207" t="n"/>
      <c r="AP215" s="207" t="n">
        <v>188</v>
      </c>
      <c r="AQ215" s="207" t="n">
        <v>0</v>
      </c>
      <c r="AR215" s="207" t="n">
        <v>80</v>
      </c>
      <c r="AS215" s="207" t="n">
        <v>0</v>
      </c>
      <c r="AT215" s="207" t="n">
        <v>0</v>
      </c>
      <c r="AU215" s="207" t="n">
        <v>0</v>
      </c>
      <c r="AV215" s="207" t="n">
        <v>0</v>
      </c>
      <c r="AW215" s="207" t="n">
        <v>0</v>
      </c>
      <c r="AX215" s="208" t="n">
        <v>1</v>
      </c>
      <c r="AY215" s="209">
        <f>L215*AX215+AP215+AQ215+AR215+AV215+AW215+AS215+AT215+AU215</f>
        <v/>
      </c>
      <c r="AZ215" s="207" t="n">
        <v>4843.75</v>
      </c>
      <c r="BA215" s="207" t="n">
        <v>0</v>
      </c>
      <c r="BB215" s="207">
        <f>AZ215*0.006</f>
        <v/>
      </c>
      <c r="BC215" s="209">
        <f>AZ215+BA215-BB215</f>
        <v/>
      </c>
      <c r="BD215" s="207" t="n">
        <v>0</v>
      </c>
      <c r="BE215" s="207" t="n">
        <v>0</v>
      </c>
      <c r="BF215" s="209">
        <f>BD215+BE215</f>
        <v/>
      </c>
      <c r="BG215" s="209">
        <f>BC215-AY215+BF215</f>
        <v/>
      </c>
      <c r="BH215" s="87" t="inlineStr">
        <is>
          <t>徐炜玮</t>
        </is>
      </c>
      <c r="BI215" s="210" t="inlineStr">
        <is>
          <t>江苏省 南京市 建邺区 莫愁湖街道 云锦美地汇锦苑4幢1单元502室</t>
        </is>
      </c>
      <c r="BJ215" s="86" t="inlineStr">
        <is>
          <t>15780616203-9800</t>
        </is>
      </c>
      <c r="BK215" s="86" t="inlineStr">
        <is>
          <t>JDV022837834473，2件</t>
        </is>
      </c>
      <c r="BL215" s="210">
        <f>BC215</f>
        <v/>
      </c>
      <c r="BM215" s="93" t="n"/>
      <c r="BN215" s="94" t="n"/>
      <c r="BO215" s="93" t="n"/>
      <c r="BP215" s="86" t="n"/>
      <c r="BQ215" s="96" t="n"/>
      <c r="BR215" s="96" t="n"/>
      <c r="BS215" s="97" t="n"/>
      <c r="BT215" s="96" t="n"/>
      <c r="BU215" s="97" t="n"/>
      <c r="BV215" s="96" t="n"/>
      <c r="BW215" s="97" t="n"/>
      <c r="BX215" s="97" t="n"/>
      <c r="BY215" s="97" t="n"/>
      <c r="BZ215" s="97" t="n"/>
      <c r="CA215" s="98" t="n"/>
      <c r="CH215" s="2" t="n"/>
      <c r="CI215" s="14">
        <f>CJ215&amp;CK215</f>
        <v/>
      </c>
      <c r="CJ215" s="25" t="n"/>
      <c r="CK215" s="25" t="n"/>
      <c r="CL215" s="25" t="n"/>
      <c r="CM215" s="25" t="n"/>
      <c r="CN215" s="25" t="n"/>
      <c r="CO215" s="25" t="n"/>
      <c r="CP215" s="25" t="n"/>
      <c r="CQ215" s="25" t="n"/>
      <c r="CR215" s="25" t="n"/>
      <c r="CS215" s="25" t="n"/>
      <c r="CT215" s="25" t="n"/>
      <c r="CU215" s="25" t="n"/>
      <c r="CV215" s="25" t="n"/>
      <c r="CW215" s="25" t="n"/>
      <c r="CX215" s="25" t="n"/>
      <c r="CY215" s="25" t="n"/>
      <c r="CZ215" s="25" t="n"/>
      <c r="DC215" s="26" t="n"/>
      <c r="DD215" s="26" t="n"/>
      <c r="DE215" s="26" t="n"/>
      <c r="DF215" s="26" t="n"/>
      <c r="DG215" s="26" t="n"/>
      <c r="DH215" s="27" t="n"/>
      <c r="DJ215" s="211" t="inlineStr">
        <is>
          <t>订单表中未找到</t>
        </is>
      </c>
      <c r="DK215" t="inlineStr">
        <is>
          <t>—</t>
        </is>
      </c>
      <c r="DL215" t="inlineStr">
        <is>
          <t>—</t>
        </is>
      </c>
    </row>
    <row r="216" ht="15.75" customHeight="1" s="187">
      <c r="A216" s="84" t="n">
        <v>45882</v>
      </c>
      <c r="B216" s="206" t="inlineStr">
        <is>
          <t>已收货</t>
        </is>
      </c>
      <c r="C216" s="86" t="inlineStr">
        <is>
          <t>4681631559783738238</t>
        </is>
      </c>
      <c r="D216" s="110" t="inlineStr">
        <is>
          <t>张</t>
        </is>
      </c>
      <c r="E216" s="87" t="n"/>
      <c r="F216" s="87" t="n"/>
      <c r="G216" s="207" t="inlineStr">
        <is>
          <t>曜黑柜-整柜-2.1米</t>
        </is>
      </c>
      <c r="H216" s="220" t="inlineStr">
        <is>
          <t>曜黑餐边柜</t>
        </is>
      </c>
      <c r="I216" s="89" t="n">
        <v>2100</v>
      </c>
      <c r="J216" s="87" t="inlineStr">
        <is>
          <t>已结算</t>
        </is>
      </c>
      <c r="K216" s="86" t="inlineStr">
        <is>
          <t>庄毅</t>
        </is>
      </c>
      <c r="L216" s="207">
        <f>11500+657.08+2550/6/1.5+2.025*15+20+2.1*0.48*180+30*5+92+71+45+40+30*5</f>
        <v/>
      </c>
      <c r="M216" s="207">
        <f>11500</f>
        <v/>
      </c>
      <c r="N216" s="207">
        <f>2.058*260+2*55+12</f>
        <v/>
      </c>
      <c r="O216" s="207">
        <f>2550/6/1.5</f>
        <v/>
      </c>
      <c r="P216" s="207" t="inlineStr">
        <is>
          <t>2.025*15</t>
        </is>
      </c>
      <c r="Q216" s="207" t="n"/>
      <c r="R216" s="207" t="n">
        <v>20</v>
      </c>
      <c r="S216" s="207" t="inlineStr">
        <is>
          <t>2.1*0.48*180</t>
        </is>
      </c>
      <c r="T216" s="207" t="inlineStr">
        <is>
          <t>30*5</t>
        </is>
      </c>
      <c r="U216" s="207" t="n"/>
      <c r="V216" s="207" t="n"/>
      <c r="W216" s="207" t="n">
        <v>92</v>
      </c>
      <c r="X216" s="207" t="n">
        <v>71</v>
      </c>
      <c r="Y216" s="207" t="n">
        <v>45</v>
      </c>
      <c r="Z216" s="207" t="n"/>
      <c r="AA216" s="207" t="n"/>
      <c r="AB216" s="207" t="n"/>
      <c r="AC216" s="207" t="n"/>
      <c r="AD216" s="207" t="inlineStr">
        <is>
          <t>30*5</t>
        </is>
      </c>
      <c r="AE216" s="207" t="n">
        <v>40</v>
      </c>
      <c r="AF216" s="207" t="n"/>
      <c r="AG216" s="207" t="n"/>
      <c r="AH216" s="207" t="n"/>
      <c r="AI216" s="207" t="n"/>
      <c r="AJ216" s="207" t="n"/>
      <c r="AK216" s="207" t="n"/>
      <c r="AL216" s="207" t="n"/>
      <c r="AM216" s="207" t="n"/>
      <c r="AN216" s="207" t="n"/>
      <c r="AO216" s="207" t="n"/>
      <c r="AP216" s="207" t="n">
        <v>667</v>
      </c>
      <c r="AQ216" s="207" t="n">
        <v>0</v>
      </c>
      <c r="AR216" s="207" t="n">
        <v>160</v>
      </c>
      <c r="AS216" s="207" t="n"/>
      <c r="AT216" s="207" t="n">
        <v>150</v>
      </c>
      <c r="AU216" s="207" t="n"/>
      <c r="AV216" s="207" t="n"/>
      <c r="AW216" s="207">
        <f>130+842</f>
        <v/>
      </c>
      <c r="AX216" s="208" t="n">
        <v>1</v>
      </c>
      <c r="AY216" s="209">
        <f>L216*AX216+AP216+AQ216+AR216+AV216+AW216+AS216+AT216+AU216</f>
        <v/>
      </c>
      <c r="AZ216" s="207">
        <f>16638.08+2578</f>
        <v/>
      </c>
      <c r="BA216" s="207" t="n">
        <v>0</v>
      </c>
      <c r="BB216" s="207">
        <f>AZ216*0.006</f>
        <v/>
      </c>
      <c r="BC216" s="209">
        <f>AZ216+BA216-BB216</f>
        <v/>
      </c>
      <c r="BD216" s="207" t="n">
        <v>0</v>
      </c>
      <c r="BE216" s="207" t="n">
        <v>0</v>
      </c>
      <c r="BF216" s="209">
        <f>BD216+BE216</f>
        <v/>
      </c>
      <c r="BG216" s="209">
        <f>BC216-AY216+BF216</f>
        <v/>
      </c>
      <c r="BH216" s="86" t="inlineStr">
        <is>
          <t>张</t>
        </is>
      </c>
      <c r="BI216" s="210" t="inlineStr">
        <is>
          <t>四川省 成都市 成华区 府青路街道 首钢璟辰里4栋</t>
        </is>
      </c>
      <c r="BJ216" s="210" t="inlineStr">
        <is>
          <t>13164447061-4322</t>
        </is>
      </c>
      <c r="BK216" s="86" t="n"/>
      <c r="BL216" s="210">
        <f>BC216</f>
        <v/>
      </c>
      <c r="BM216" s="93" t="n"/>
      <c r="BN216" s="94" t="n"/>
      <c r="BO216" s="93" t="n"/>
      <c r="BP216" s="86" t="n"/>
      <c r="BQ216" s="96" t="n"/>
      <c r="BR216" s="96" t="n"/>
      <c r="BS216" s="97" t="n"/>
      <c r="BT216" s="96" t="n"/>
      <c r="BU216" s="97" t="n"/>
      <c r="BV216" s="96" t="n"/>
      <c r="BW216" s="97" t="n"/>
      <c r="BX216" s="97" t="n"/>
      <c r="BY216" s="97" t="n"/>
      <c r="BZ216" s="97" t="n"/>
      <c r="CA216" s="98" t="n"/>
      <c r="CH216" s="2" t="n"/>
      <c r="CI216" s="14" t="n"/>
      <c r="CJ216" s="25" t="n"/>
      <c r="CK216" s="25" t="n"/>
      <c r="CL216" s="25" t="n"/>
      <c r="CM216" s="25" t="n"/>
      <c r="CN216" s="25" t="n"/>
      <c r="CO216" s="25" t="n"/>
      <c r="CP216" s="25" t="n"/>
      <c r="CQ216" s="25" t="n"/>
      <c r="CR216" s="25" t="n"/>
      <c r="CS216" s="25" t="n"/>
      <c r="CT216" s="25" t="n"/>
      <c r="CU216" s="25" t="n"/>
      <c r="CV216" s="25" t="n"/>
      <c r="CW216" s="25" t="n"/>
      <c r="CX216" s="25" t="n"/>
      <c r="CY216" s="25" t="n"/>
      <c r="CZ216" s="25" t="n"/>
      <c r="DC216" s="26" t="n"/>
      <c r="DD216" s="26" t="n"/>
      <c r="DE216" s="26" t="n"/>
      <c r="DF216" s="26" t="n"/>
      <c r="DG216" s="26" t="n"/>
      <c r="DH216" s="27" t="n"/>
      <c r="DJ216" s="211" t="inlineStr">
        <is>
          <t>订单表中未找到</t>
        </is>
      </c>
      <c r="DK216" t="inlineStr">
        <is>
          <t>—</t>
        </is>
      </c>
      <c r="DL216" t="inlineStr">
        <is>
          <t>—</t>
        </is>
      </c>
    </row>
    <row r="217" ht="15.75" customHeight="1" s="187">
      <c r="A217" s="84" t="n">
        <v>45882</v>
      </c>
      <c r="B217" s="206" t="inlineStr">
        <is>
          <t>已收货</t>
        </is>
      </c>
      <c r="C217" s="86" t="inlineStr">
        <is>
          <t>4682100744200873811</t>
        </is>
      </c>
      <c r="D217" s="110" t="inlineStr">
        <is>
          <t>李大山</t>
        </is>
      </c>
      <c r="E217" s="87" t="inlineStr">
        <is>
          <t>已发货</t>
        </is>
      </c>
      <c r="F217" s="87" t="n"/>
      <c r="G217" s="87" t="inlineStr">
        <is>
          <t>砂白色1.8米岩板餐桌</t>
        </is>
      </c>
      <c r="H217" s="207" t="inlineStr">
        <is>
          <t>榉木餐桌</t>
        </is>
      </c>
      <c r="I217" s="218" t="inlineStr">
        <is>
          <t>180cm*85cm</t>
        </is>
      </c>
      <c r="J217" s="87" t="inlineStr">
        <is>
          <t>已结算</t>
        </is>
      </c>
      <c r="K217" s="86" t="inlineStr">
        <is>
          <t>庄毅</t>
        </is>
      </c>
      <c r="L217" s="207">
        <f>SUM(M217:AO217)</f>
        <v/>
      </c>
      <c r="M217" s="207">
        <f>1580</f>
        <v/>
      </c>
      <c r="N217" s="207" t="n"/>
      <c r="O217" s="207" t="n"/>
      <c r="P217" s="207" t="n"/>
      <c r="Q217" s="207" t="n"/>
      <c r="R217" s="207">
        <f>180*1.8*0.85</f>
        <v/>
      </c>
      <c r="S217" s="207" t="n"/>
      <c r="T217" s="207" t="n"/>
      <c r="U217" s="207" t="n"/>
      <c r="V217" s="207" t="n"/>
      <c r="W217" s="207" t="n"/>
      <c r="X217" s="207" t="n"/>
      <c r="Y217" s="207" t="n"/>
      <c r="Z217" s="207" t="n"/>
      <c r="AA217" s="207" t="n"/>
      <c r="AB217" s="207" t="n"/>
      <c r="AC217" s="207" t="n"/>
      <c r="AD217" s="207" t="n">
        <v>2.5</v>
      </c>
      <c r="AE217" s="207" t="n"/>
      <c r="AF217" s="207" t="n"/>
      <c r="AG217" s="207" t="n"/>
      <c r="AH217" s="207" t="n"/>
      <c r="AI217" s="207" t="n"/>
      <c r="AJ217" s="207" t="n"/>
      <c r="AK217" s="207" t="n"/>
      <c r="AL217" s="207" t="n"/>
      <c r="AM217" s="207" t="n"/>
      <c r="AN217" s="207" t="n"/>
      <c r="AO217" s="207" t="n"/>
      <c r="AP217" s="207" t="n">
        <v>403</v>
      </c>
      <c r="AQ217" s="207" t="n">
        <v>0</v>
      </c>
      <c r="AR217" s="207" t="n">
        <v>78</v>
      </c>
      <c r="AS217" s="207" t="n">
        <v>0</v>
      </c>
      <c r="AT217" s="207" t="n">
        <v>0</v>
      </c>
      <c r="AU217" s="207" t="n">
        <v>0</v>
      </c>
      <c r="AV217" s="207" t="n">
        <v>0</v>
      </c>
      <c r="AW217" s="207" t="n">
        <v>0</v>
      </c>
      <c r="AX217" s="208" t="n">
        <v>1</v>
      </c>
      <c r="AY217" s="209">
        <f>L217*AX217+AP217+AQ217+AR217+AV217+AW217+AS217+AT217+AU217</f>
        <v/>
      </c>
      <c r="AZ217" s="207" t="n">
        <v>2910.5</v>
      </c>
      <c r="BA217" s="207" t="n">
        <v>0</v>
      </c>
      <c r="BB217" s="207">
        <f>AZ217*0.006</f>
        <v/>
      </c>
      <c r="BC217" s="209">
        <f>AZ217+BA217-BB217</f>
        <v/>
      </c>
      <c r="BD217" s="207" t="n">
        <v>0</v>
      </c>
      <c r="BE217" s="207" t="n">
        <v>0</v>
      </c>
      <c r="BF217" s="209">
        <f>BD217+BE217</f>
        <v/>
      </c>
      <c r="BG217" s="209">
        <f>BC217-AY217+BF217</f>
        <v/>
      </c>
      <c r="BH217" s="87" t="inlineStr">
        <is>
          <t>李大山</t>
        </is>
      </c>
      <c r="BI217" s="210" t="inlineStr">
        <is>
          <t>广西壮族自治区 玉林市 容县 容州镇广西壮族自治区玉林市容县百景园十三栋二单元701</t>
        </is>
      </c>
      <c r="BJ217" s="86" t="inlineStr">
        <is>
          <t>13263754281-7656</t>
        </is>
      </c>
      <c r="BK217" s="86" t="inlineStr">
        <is>
          <t>JDV022649747684，2件</t>
        </is>
      </c>
      <c r="BL217" s="210">
        <f>BC217</f>
        <v/>
      </c>
      <c r="BM217" s="93" t="n"/>
      <c r="BN217" s="94" t="n"/>
      <c r="BO217" s="93" t="n"/>
      <c r="BP217" s="86" t="n"/>
      <c r="BQ217" s="96" t="n"/>
      <c r="BR217" s="96" t="n"/>
      <c r="BS217" s="97" t="n"/>
      <c r="BT217" s="96" t="n"/>
      <c r="BU217" s="97" t="n"/>
      <c r="BV217" s="96" t="n"/>
      <c r="BW217" s="97" t="n"/>
      <c r="BX217" s="97" t="n"/>
      <c r="BY217" s="97" t="n"/>
      <c r="BZ217" s="97" t="n"/>
      <c r="CA217" s="98" t="n"/>
      <c r="CH217" s="2" t="n"/>
      <c r="CI217" s="14">
        <f>CJ217&amp;CK217</f>
        <v/>
      </c>
      <c r="CJ217" s="25" t="n"/>
      <c r="CK217" s="25" t="n"/>
      <c r="CL217" s="25" t="n"/>
      <c r="CM217" s="25" t="n"/>
      <c r="CN217" s="25" t="n"/>
      <c r="CO217" s="25" t="n"/>
      <c r="CP217" s="25" t="n"/>
      <c r="CQ217" s="25" t="n"/>
      <c r="CR217" s="25" t="n"/>
      <c r="CS217" s="25" t="n"/>
      <c r="CT217" s="25" t="n"/>
      <c r="CU217" s="25" t="n"/>
      <c r="CV217" s="25" t="n"/>
      <c r="CW217" s="25" t="n"/>
      <c r="CX217" s="25" t="n"/>
      <c r="CY217" s="25" t="n"/>
      <c r="CZ217" s="25" t="n"/>
      <c r="DC217" s="26" t="n"/>
      <c r="DD217" s="26" t="n"/>
      <c r="DE217" s="26" t="n"/>
      <c r="DF217" s="26" t="n"/>
      <c r="DG217" s="26" t="n"/>
      <c r="DH217" s="27" t="n"/>
      <c r="DJ217" s="211" t="inlineStr">
        <is>
          <t>订单表中未找到</t>
        </is>
      </c>
      <c r="DK217" t="inlineStr">
        <is>
          <t>—</t>
        </is>
      </c>
      <c r="DL217" t="inlineStr">
        <is>
          <t>—</t>
        </is>
      </c>
    </row>
    <row r="218" ht="15.75" customHeight="1" s="187">
      <c r="A218" s="84" t="n">
        <v>45884</v>
      </c>
      <c r="B218" s="206" t="inlineStr">
        <is>
          <t>已收货</t>
        </is>
      </c>
      <c r="C218" s="86" t="inlineStr">
        <is>
          <t>4684973366467768726</t>
        </is>
      </c>
      <c r="D218" s="110" t="inlineStr">
        <is>
          <t>李丽</t>
        </is>
      </c>
      <c r="E218" s="87" t="inlineStr">
        <is>
          <t>已发货</t>
        </is>
      </c>
      <c r="F218" s="87" t="n"/>
      <c r="G218" s="207" t="inlineStr">
        <is>
          <t>窄柜-整柜洞石背板-1.2米</t>
        </is>
      </c>
      <c r="H218" s="207" t="inlineStr">
        <is>
          <t>樱桃木窄柜</t>
        </is>
      </c>
      <c r="I218" s="89" t="n">
        <v>1200</v>
      </c>
      <c r="J218" s="87" t="inlineStr">
        <is>
          <t>已结算</t>
        </is>
      </c>
      <c r="K218" s="86" t="inlineStr">
        <is>
          <t>庄毅</t>
        </is>
      </c>
      <c r="L218" s="207">
        <f>3600+115+1.16+3.37+1.1+1.03+76/2+8+411.08+3+10+62.4+160*1.2*0.48+5*30</f>
        <v/>
      </c>
      <c r="M218" s="207">
        <f>3600</f>
        <v/>
      </c>
      <c r="N218" s="207">
        <f>1.158*260+2*55</f>
        <v/>
      </c>
      <c r="O218" s="207" t="n">
        <v>125</v>
      </c>
      <c r="P218" s="207" t="n"/>
      <c r="Q218" s="207">
        <f>38*2</f>
        <v/>
      </c>
      <c r="R218" s="207">
        <f>310+100/15</f>
        <v/>
      </c>
      <c r="S218" s="207" t="n">
        <v>62.4</v>
      </c>
      <c r="T218" s="207" t="n"/>
      <c r="U218" s="207" t="n"/>
      <c r="V218" s="207" t="n"/>
      <c r="W218" s="207" t="n">
        <v>8</v>
      </c>
      <c r="X218" s="207" t="n"/>
      <c r="Y218" s="207" t="n">
        <v>3</v>
      </c>
      <c r="Z218" s="207" t="n"/>
      <c r="AA218" s="207" t="n"/>
      <c r="AB218" s="207" t="n"/>
      <c r="AC218" s="207" t="n">
        <v>3.37</v>
      </c>
      <c r="AD218" s="207" t="n"/>
      <c r="AE218" s="207" t="n"/>
      <c r="AF218" s="207" t="n"/>
      <c r="AG218" s="207" t="n"/>
      <c r="AH218" s="207" t="n"/>
      <c r="AI218" s="207" t="n">
        <v>1.16</v>
      </c>
      <c r="AJ218" s="207" t="n">
        <v>1.1</v>
      </c>
      <c r="AK218" s="207" t="n">
        <v>10</v>
      </c>
      <c r="AL218" s="207" t="n"/>
      <c r="AM218" s="207" t="n"/>
      <c r="AN218" s="207" t="n"/>
      <c r="AO218" s="207" t="n"/>
      <c r="AP218" s="207" t="n">
        <v>296</v>
      </c>
      <c r="AQ218" s="207" t="n">
        <v>0</v>
      </c>
      <c r="AR218" s="207" t="n">
        <v>100</v>
      </c>
      <c r="AS218" s="207" t="n">
        <v>0</v>
      </c>
      <c r="AT218" s="207" t="n">
        <v>0</v>
      </c>
      <c r="AU218" s="207" t="n">
        <v>0</v>
      </c>
      <c r="AV218" s="207" t="n">
        <v>0</v>
      </c>
      <c r="AW218" s="207" t="n">
        <v>0</v>
      </c>
      <c r="AX218" s="208" t="n">
        <v>1</v>
      </c>
      <c r="AY218" s="209">
        <f>L218*AX218+AP218+AQ218+AR218+AV218+AW218+AS218+AT218+AU218</f>
        <v/>
      </c>
      <c r="AZ218" s="207" t="n">
        <v>5254.28</v>
      </c>
      <c r="BA218" s="207" t="n">
        <v>0</v>
      </c>
      <c r="BB218" s="207">
        <f>AZ218*0.006</f>
        <v/>
      </c>
      <c r="BC218" s="209">
        <f>AZ218+BA218-BB218</f>
        <v/>
      </c>
      <c r="BD218" s="207" t="n">
        <v>0</v>
      </c>
      <c r="BE218" s="207" t="n">
        <v>0</v>
      </c>
      <c r="BF218" s="209">
        <f>BD218+BE218</f>
        <v/>
      </c>
      <c r="BG218" s="209">
        <f>BC218-AY218+BF218</f>
        <v/>
      </c>
      <c r="BH218" s="87" t="inlineStr">
        <is>
          <t>李丽</t>
        </is>
      </c>
      <c r="BI218" s="210" t="inlineStr">
        <is>
          <t>江苏省 南京市 栖霞区 燕子矶街道 兰庭花境苑2-2201</t>
        </is>
      </c>
      <c r="BJ218" s="86" t="inlineStr">
        <is>
          <t>18761876873</t>
        </is>
      </c>
      <c r="BK218" s="86" t="inlineStr">
        <is>
          <t>JDV023092942067，2件</t>
        </is>
      </c>
      <c r="BL218" s="210">
        <f>BC218</f>
        <v/>
      </c>
      <c r="BM218" s="93" t="n"/>
      <c r="BN218" s="94" t="n"/>
      <c r="BO218" s="93" t="n"/>
      <c r="BP218" s="86" t="n"/>
      <c r="BQ218" s="96" t="n"/>
      <c r="BR218" s="96" t="n"/>
      <c r="BS218" s="97" t="n"/>
      <c r="BT218" s="96" t="n"/>
      <c r="BU218" s="97" t="n"/>
      <c r="BV218" s="96" t="n"/>
      <c r="BW218" s="97" t="n"/>
      <c r="BX218" s="97" t="n"/>
      <c r="BY218" s="97" t="n"/>
      <c r="BZ218" s="97" t="n"/>
      <c r="CA218" s="98" t="n"/>
      <c r="CH218" s="2" t="n"/>
      <c r="CI218" s="14">
        <f>CJ218&amp;CK218</f>
        <v/>
      </c>
      <c r="CJ218" s="25" t="n"/>
      <c r="CK218" s="25" t="n"/>
      <c r="CL218" s="25" t="n"/>
      <c r="CM218" s="25" t="n"/>
      <c r="CN218" s="25" t="n"/>
      <c r="CO218" s="25" t="n"/>
      <c r="CP218" s="25" t="n"/>
      <c r="CQ218" s="25" t="n"/>
      <c r="CR218" s="25" t="n"/>
      <c r="CS218" s="25" t="n"/>
      <c r="CT218" s="25" t="n"/>
      <c r="CU218" s="25" t="n"/>
      <c r="CV218" s="25" t="n"/>
      <c r="CW218" s="25" t="n"/>
      <c r="CX218" s="25" t="n"/>
      <c r="CY218" s="25" t="n"/>
      <c r="CZ218" s="25" t="n"/>
      <c r="DC218" s="26" t="n"/>
      <c r="DD218" s="26" t="n"/>
      <c r="DE218" s="26" t="n"/>
      <c r="DF218" s="26" t="n"/>
      <c r="DG218" s="26" t="n"/>
      <c r="DH218" s="27" t="n"/>
      <c r="DJ218" s="211" t="inlineStr">
        <is>
          <t>订单表中未找到</t>
        </is>
      </c>
      <c r="DK218" t="inlineStr">
        <is>
          <t>—</t>
        </is>
      </c>
      <c r="DL218" t="inlineStr">
        <is>
          <t>—</t>
        </is>
      </c>
    </row>
    <row r="219" ht="15.75" customHeight="1" s="187">
      <c r="A219" s="84" t="n">
        <v>45885</v>
      </c>
      <c r="B219" s="206" t="inlineStr">
        <is>
          <t>已收货</t>
        </is>
      </c>
      <c r="C219" s="86" t="inlineStr">
        <is>
          <t>4687742703719787021</t>
        </is>
      </c>
      <c r="D219" s="110" t="inlineStr">
        <is>
          <t>冯云</t>
        </is>
      </c>
      <c r="E219" s="87" t="inlineStr">
        <is>
          <t>已发货</t>
        </is>
      </c>
      <c r="F219" s="87" t="n"/>
      <c r="G219" s="87" t="inlineStr">
        <is>
          <t>窄柜1.5米</t>
        </is>
      </c>
      <c r="H219" s="207" t="inlineStr">
        <is>
          <t>樱桃木窄柜</t>
        </is>
      </c>
      <c r="I219" s="89" t="n">
        <v>1500</v>
      </c>
      <c r="J219" s="87" t="inlineStr">
        <is>
          <t>已结算</t>
        </is>
      </c>
      <c r="K219" s="86" t="inlineStr">
        <is>
          <t>庄毅</t>
        </is>
      </c>
      <c r="L219" s="207">
        <f>4300+125+1.16+3.37+1.1+1.03+60+33+14+8+501+3+22.4+160*1.5*0.48+30*5+16+10</f>
        <v/>
      </c>
      <c r="M219" s="207">
        <f>4300</f>
        <v/>
      </c>
      <c r="N219" s="207">
        <f>1.458*260+2*55+12</f>
        <v/>
      </c>
      <c r="O219" s="207">
        <f>2040/6/1.5</f>
        <v/>
      </c>
      <c r="P219" s="207" t="n"/>
      <c r="Q219" s="207" t="n"/>
      <c r="R219" s="207">
        <f>160*1.5*0.48+30</f>
        <v/>
      </c>
      <c r="S219" s="207" t="n"/>
      <c r="T219" s="207" t="n">
        <v>60</v>
      </c>
      <c r="U219" s="207" t="n"/>
      <c r="V219" s="207" t="n"/>
      <c r="W219" s="207" t="n">
        <v>33</v>
      </c>
      <c r="X219" s="207" t="n">
        <v>14</v>
      </c>
      <c r="Y219" s="207" t="n">
        <v>8</v>
      </c>
      <c r="Z219" s="207" t="n"/>
      <c r="AA219" s="207" t="n"/>
      <c r="AB219" s="207" t="n"/>
      <c r="AC219" s="207" t="n"/>
      <c r="AD219" s="207" t="n">
        <v>3</v>
      </c>
      <c r="AE219" s="207" t="n">
        <v>501</v>
      </c>
      <c r="AF219" s="207" t="n">
        <v>22.4</v>
      </c>
      <c r="AG219" s="207" t="n"/>
      <c r="AH219" s="207" t="n"/>
      <c r="AI219" s="207" t="n">
        <v>1.16</v>
      </c>
      <c r="AJ219" s="207" t="n">
        <v>1.1</v>
      </c>
      <c r="AK219" s="207" t="n"/>
      <c r="AL219" s="207" t="n"/>
      <c r="AM219" s="207" t="n">
        <v>16</v>
      </c>
      <c r="AN219" s="207" t="n">
        <v>10</v>
      </c>
      <c r="AO219" s="207" t="n"/>
      <c r="AP219" s="207" t="n">
        <v>375</v>
      </c>
      <c r="AQ219" s="207" t="n">
        <v>0</v>
      </c>
      <c r="AR219" s="207" t="n">
        <v>0</v>
      </c>
      <c r="AS219" s="207" t="n">
        <v>0</v>
      </c>
      <c r="AT219" s="207" t="n">
        <v>0</v>
      </c>
      <c r="AU219" s="207" t="n">
        <v>0</v>
      </c>
      <c r="AV219" s="207" t="n">
        <v>0</v>
      </c>
      <c r="AW219" s="207" t="n">
        <v>0</v>
      </c>
      <c r="AX219" s="208" t="n">
        <v>1</v>
      </c>
      <c r="AY219" s="209">
        <f>L219*AX219+AP219+AQ219+AR219+AV219+AW219+AS219+AT219+AU219</f>
        <v/>
      </c>
      <c r="AZ219" s="207">
        <f>6393+265</f>
        <v/>
      </c>
      <c r="BA219" s="207" t="n">
        <v>0</v>
      </c>
      <c r="BB219" s="207">
        <f>AZ219*0.006</f>
        <v/>
      </c>
      <c r="BC219" s="209">
        <f>AZ219+BA219-BB219</f>
        <v/>
      </c>
      <c r="BD219" s="207" t="n">
        <v>0</v>
      </c>
      <c r="BE219" s="207" t="n">
        <v>0</v>
      </c>
      <c r="BF219" s="209">
        <f>BD219+BE219</f>
        <v/>
      </c>
      <c r="BG219" s="209">
        <f>BC219-AY219+BF219</f>
        <v/>
      </c>
      <c r="BH219" s="87" t="inlineStr">
        <is>
          <t>冯云</t>
        </is>
      </c>
      <c r="BI219" s="210" t="inlineStr">
        <is>
          <t>江苏省 南京市 浦口区 顶山街道中海观江樾7号楼403</t>
        </is>
      </c>
      <c r="BJ219" s="86" t="inlineStr">
        <is>
          <t>13245295044-6032</t>
        </is>
      </c>
      <c r="BK219" s="86" t="inlineStr">
        <is>
          <t>JDV023055813827，2件</t>
        </is>
      </c>
      <c r="BL219" s="210">
        <f>BC219</f>
        <v/>
      </c>
      <c r="BM219" s="93" t="n"/>
      <c r="BN219" s="94" t="n"/>
      <c r="BO219" s="93" t="n"/>
      <c r="BP219" s="86" t="n"/>
      <c r="BQ219" s="96" t="n"/>
      <c r="BR219" s="96" t="n"/>
      <c r="BS219" s="97" t="n"/>
      <c r="BT219" s="96" t="n"/>
      <c r="BU219" s="97" t="n"/>
      <c r="BV219" s="96" t="n"/>
      <c r="BW219" s="97" t="n"/>
      <c r="BX219" s="97" t="n"/>
      <c r="BY219" s="97" t="n"/>
      <c r="BZ219" s="97" t="n"/>
      <c r="CA219" s="98" t="n"/>
      <c r="CH219" s="2" t="n"/>
      <c r="CI219" s="14">
        <f>CJ219&amp;CK219</f>
        <v/>
      </c>
      <c r="CJ219" s="25" t="n"/>
      <c r="CK219" s="25" t="n"/>
      <c r="CL219" s="25" t="n"/>
      <c r="CM219" s="25" t="n"/>
      <c r="CN219" s="25" t="n"/>
      <c r="CO219" s="25" t="n"/>
      <c r="CP219" s="25" t="n"/>
      <c r="CQ219" s="25" t="n"/>
      <c r="CR219" s="25" t="n"/>
      <c r="CS219" s="25" t="n"/>
      <c r="CT219" s="25" t="n"/>
      <c r="CU219" s="25" t="n"/>
      <c r="CV219" s="25" t="n"/>
      <c r="CW219" s="25" t="n"/>
      <c r="CX219" s="25" t="n"/>
      <c r="CY219" s="25" t="n"/>
      <c r="CZ219" s="25" t="n"/>
      <c r="DC219" s="26" t="n"/>
      <c r="DD219" s="26" t="n"/>
      <c r="DE219" s="26" t="n"/>
      <c r="DF219" s="26" t="n"/>
      <c r="DG219" s="26" t="n"/>
      <c r="DH219" s="27" t="n"/>
      <c r="DJ219" s="211" t="inlineStr">
        <is>
          <t>订单表中未找到</t>
        </is>
      </c>
      <c r="DK219" t="inlineStr">
        <is>
          <t>—</t>
        </is>
      </c>
      <c r="DL219" t="inlineStr">
        <is>
          <t>—</t>
        </is>
      </c>
    </row>
    <row r="220" ht="15.75" customHeight="1" s="187">
      <c r="A220" s="84" t="n">
        <v>45887</v>
      </c>
      <c r="B220" s="206" t="inlineStr">
        <is>
          <t>已收货</t>
        </is>
      </c>
      <c r="C220" s="86" t="inlineStr">
        <is>
          <t>4689677919510774407</t>
        </is>
      </c>
      <c r="D220" s="110" t="inlineStr">
        <is>
          <t>冯艳</t>
        </is>
      </c>
      <c r="E220" s="87" t="inlineStr">
        <is>
          <t>已发货</t>
        </is>
      </c>
      <c r="F220" s="87" t="n"/>
      <c r="G220" s="207" t="inlineStr">
        <is>
          <t>窄柜-整柜洞石背板-1.2米</t>
        </is>
      </c>
      <c r="H220" s="207" t="inlineStr">
        <is>
          <t>樱桃木窄柜</t>
        </is>
      </c>
      <c r="I220" s="89" t="n">
        <v>1200</v>
      </c>
      <c r="J220" s="87" t="inlineStr">
        <is>
          <t>已结算</t>
        </is>
      </c>
      <c r="K220" s="86" t="inlineStr">
        <is>
          <t>庄毅</t>
        </is>
      </c>
      <c r="L220" s="207">
        <f>3600+115+1.16+3.37+1.1+1.03+76/2+8+411.08+3+10+62.4+160*1.2*0.48+5*30+55*2+8</f>
        <v/>
      </c>
      <c r="M220" s="207">
        <f>3600</f>
        <v/>
      </c>
      <c r="N220" s="207">
        <f>1.158*260+2*55+55*2</f>
        <v/>
      </c>
      <c r="O220" s="207" t="n">
        <v>125</v>
      </c>
      <c r="P220" s="207" t="n"/>
      <c r="Q220" s="207">
        <f>38*2</f>
        <v/>
      </c>
      <c r="R220" s="207">
        <f>310+100/15</f>
        <v/>
      </c>
      <c r="S220" s="207" t="n">
        <v>62.4</v>
      </c>
      <c r="T220" s="207" t="n"/>
      <c r="U220" s="207" t="n"/>
      <c r="V220" s="207" t="n"/>
      <c r="W220" s="207" t="n">
        <v>8</v>
      </c>
      <c r="X220" s="207" t="n"/>
      <c r="Y220" s="207" t="n">
        <v>3</v>
      </c>
      <c r="Z220" s="207" t="n"/>
      <c r="AA220" s="207" t="n"/>
      <c r="AB220" s="207" t="n"/>
      <c r="AC220" s="207" t="n">
        <v>3.37</v>
      </c>
      <c r="AD220" s="207" t="n"/>
      <c r="AE220" s="207" t="n"/>
      <c r="AF220" s="207" t="n"/>
      <c r="AG220" s="207" t="n"/>
      <c r="AH220" s="207" t="n"/>
      <c r="AI220" s="207" t="n">
        <v>1.16</v>
      </c>
      <c r="AJ220" s="207" t="n">
        <v>1.1</v>
      </c>
      <c r="AK220" s="207" t="n">
        <v>10</v>
      </c>
      <c r="AL220" s="207" t="n"/>
      <c r="AM220" s="207" t="n">
        <v>8</v>
      </c>
      <c r="AN220" s="207" t="n"/>
      <c r="AO220" s="207" t="n"/>
      <c r="AP220" s="207" t="n">
        <v>428</v>
      </c>
      <c r="AQ220" s="207" t="n">
        <v>0</v>
      </c>
      <c r="AR220" s="207" t="n">
        <v>88</v>
      </c>
      <c r="AS220" s="207" t="n">
        <v>0</v>
      </c>
      <c r="AT220" s="207" t="n">
        <v>0</v>
      </c>
      <c r="AU220" s="207" t="n">
        <v>0</v>
      </c>
      <c r="AV220" s="207" t="n">
        <v>0</v>
      </c>
      <c r="AW220" s="207" t="n">
        <v>0</v>
      </c>
      <c r="AX220" s="208" t="n">
        <v>1</v>
      </c>
      <c r="AY220" s="209">
        <f>L220*AX220+AP220+AQ220+AR220+AV220+AW220+AS220+AT220+AU220</f>
        <v/>
      </c>
      <c r="AZ220" s="207">
        <f>5258.96+210</f>
        <v/>
      </c>
      <c r="BA220" s="207" t="n">
        <v>0</v>
      </c>
      <c r="BB220" s="207">
        <f>AZ220*0.006</f>
        <v/>
      </c>
      <c r="BC220" s="209">
        <f>AZ220+BA220-BB220</f>
        <v/>
      </c>
      <c r="BD220" s="207" t="n">
        <v>0</v>
      </c>
      <c r="BE220" s="207" t="n">
        <v>0</v>
      </c>
      <c r="BF220" s="209">
        <f>BD220+BE220</f>
        <v/>
      </c>
      <c r="BG220" s="209">
        <f>BC220-AY220+BF220</f>
        <v/>
      </c>
      <c r="BH220" s="87" t="inlineStr">
        <is>
          <t>冯艳</t>
        </is>
      </c>
      <c r="BI220" s="210" t="inlineStr">
        <is>
          <t xml:space="preserve">北京 北京市 海淀区 北下关街道 大慧寺七号院1号楼四单元1层401号 </t>
        </is>
      </c>
      <c r="BJ220" s="86" t="inlineStr">
        <is>
          <t>13141374942-9717</t>
        </is>
      </c>
      <c r="BK220" s="86" t="inlineStr">
        <is>
          <t>JDV022825013893，2件</t>
        </is>
      </c>
      <c r="BL220" s="210">
        <f>BC220</f>
        <v/>
      </c>
      <c r="BM220" s="93" t="n"/>
      <c r="BN220" s="94" t="n"/>
      <c r="BO220" s="93" t="n"/>
      <c r="BP220" s="86" t="n"/>
      <c r="BQ220" s="96" t="n"/>
      <c r="BR220" s="96" t="n"/>
      <c r="BS220" s="97" t="n"/>
      <c r="BT220" s="96" t="n"/>
      <c r="BU220" s="97" t="n"/>
      <c r="BV220" s="96" t="n"/>
      <c r="BW220" s="97" t="n"/>
      <c r="BX220" s="97" t="n"/>
      <c r="BY220" s="97" t="n"/>
      <c r="BZ220" s="97" t="n"/>
      <c r="CA220" s="98" t="n"/>
      <c r="CH220" s="2" t="n"/>
      <c r="CI220" s="14">
        <f>CJ220&amp;CK220</f>
        <v/>
      </c>
      <c r="CJ220" s="25" t="n"/>
      <c r="CK220" s="25" t="n"/>
      <c r="CL220" s="25" t="n"/>
      <c r="CM220" s="25" t="n"/>
      <c r="CN220" s="25" t="n"/>
      <c r="CO220" s="25" t="n"/>
      <c r="CP220" s="25" t="n"/>
      <c r="CQ220" s="25" t="n"/>
      <c r="CR220" s="25" t="n"/>
      <c r="CS220" s="25" t="n"/>
      <c r="CT220" s="25" t="n"/>
      <c r="CU220" s="25" t="n"/>
      <c r="CV220" s="25" t="n"/>
      <c r="CW220" s="25" t="n"/>
      <c r="CX220" s="25" t="n"/>
      <c r="CY220" s="25" t="n"/>
      <c r="CZ220" s="25" t="n"/>
      <c r="DC220" s="26" t="n"/>
      <c r="DD220" s="26" t="n"/>
      <c r="DE220" s="26" t="n"/>
      <c r="DF220" s="26" t="n"/>
      <c r="DG220" s="26" t="n"/>
      <c r="DH220" s="27" t="n"/>
      <c r="DJ220" s="211" t="inlineStr">
        <is>
          <t>订单表中未找到</t>
        </is>
      </c>
      <c r="DK220" t="inlineStr">
        <is>
          <t>—</t>
        </is>
      </c>
      <c r="DL220" t="inlineStr">
        <is>
          <t>—</t>
        </is>
      </c>
    </row>
    <row r="221" ht="15.75" customHeight="1" s="187">
      <c r="A221" s="84" t="n">
        <v>45887</v>
      </c>
      <c r="B221" s="206" t="inlineStr">
        <is>
          <t>已收货</t>
        </is>
      </c>
      <c r="C221" s="86" t="inlineStr">
        <is>
          <t>4690411380523809921</t>
        </is>
      </c>
      <c r="D221" s="110" t="inlineStr">
        <is>
          <t>王先生</t>
        </is>
      </c>
      <c r="E221" s="116" t="inlineStr">
        <is>
          <t>已调整，背板单独到的，需要二次上门
洞洞板*2（第一块尺寸不对）</t>
        </is>
      </c>
      <c r="F221" s="87" t="n"/>
      <c r="G221" s="207" t="inlineStr">
        <is>
          <t>窄柜-整柜洞洞背板-0.8米-定制</t>
        </is>
      </c>
      <c r="H221" s="207" t="inlineStr">
        <is>
          <t>樱桃木窄柜</t>
        </is>
      </c>
      <c r="I221" s="89" t="n">
        <v>800</v>
      </c>
      <c r="J221" s="87" t="inlineStr">
        <is>
          <t>已结算</t>
        </is>
      </c>
      <c r="K221" s="86" t="inlineStr">
        <is>
          <t>庄毅</t>
        </is>
      </c>
      <c r="L221" s="207">
        <f>280+3150+307.08+55.9+0.8*0.5*160+30+8.5/6+1.2+3.5+2.5+4+3.5</f>
        <v/>
      </c>
      <c r="M221" s="207" t="n">
        <v>3150</v>
      </c>
      <c r="N221" s="207">
        <f>0.75*260+12+2*55</f>
        <v/>
      </c>
      <c r="O221" s="207" t="n"/>
      <c r="P221" s="207">
        <f>280</f>
        <v/>
      </c>
      <c r="Q221" s="207" t="n"/>
      <c r="R221" s="207">
        <f>0.8*0.5*160+30</f>
        <v/>
      </c>
      <c r="S221" s="207" t="n">
        <v>55.9</v>
      </c>
      <c r="T221" s="207" t="n"/>
      <c r="U221" s="207" t="n"/>
      <c r="V221" s="207" t="n">
        <v>4</v>
      </c>
      <c r="W221" s="207" t="n"/>
      <c r="X221" s="207" t="n"/>
      <c r="Y221" s="207" t="n"/>
      <c r="Z221" s="207" t="n"/>
      <c r="AA221" s="207" t="n"/>
      <c r="AB221" s="207" t="n"/>
      <c r="AC221" s="207" t="n">
        <v>3.5</v>
      </c>
      <c r="AD221" s="207" t="n"/>
      <c r="AE221" s="207" t="n">
        <v>3</v>
      </c>
      <c r="AF221" s="207" t="n"/>
      <c r="AG221" s="207" t="n"/>
      <c r="AH221" s="207" t="n"/>
      <c r="AI221" s="207" t="n"/>
      <c r="AJ221" s="207" t="n">
        <v>1.2</v>
      </c>
      <c r="AK221" s="207" t="n">
        <v>5</v>
      </c>
      <c r="AL221" s="207" t="n"/>
      <c r="AM221" s="207" t="n"/>
      <c r="AN221" s="207" t="n"/>
      <c r="AO221" s="207" t="n"/>
      <c r="AP221" s="207" t="n">
        <v>342</v>
      </c>
      <c r="AQ221" s="207" t="n">
        <v>0</v>
      </c>
      <c r="AR221" s="207" t="n">
        <v>95</v>
      </c>
      <c r="AS221" s="207" t="n">
        <v>0</v>
      </c>
      <c r="AT221" s="207" t="n">
        <v>0</v>
      </c>
      <c r="AU221" s="207" t="n">
        <v>0</v>
      </c>
      <c r="AV221" s="207" t="n">
        <v>0</v>
      </c>
      <c r="AW221" s="207" t="n">
        <v>0</v>
      </c>
      <c r="AX221" s="208" t="n">
        <v>1</v>
      </c>
      <c r="AY221" s="209">
        <f>L221*AX221+AP221+AQ221+AR221+AV221+AW221+AS221+AT221+AU221</f>
        <v/>
      </c>
      <c r="AZ221" s="207">
        <f>4620.23+75</f>
        <v/>
      </c>
      <c r="BA221" s="207" t="n">
        <v>0</v>
      </c>
      <c r="BB221" s="207">
        <f>AZ221*0.006</f>
        <v/>
      </c>
      <c r="BC221" s="209">
        <f>AZ221+BA221-BB221</f>
        <v/>
      </c>
      <c r="BD221" s="207" t="n">
        <v>0</v>
      </c>
      <c r="BE221" s="207" t="n">
        <v>0</v>
      </c>
      <c r="BF221" s="209">
        <f>BD221+BE221</f>
        <v/>
      </c>
      <c r="BG221" s="209">
        <f>BC221-AY221+BF221</f>
        <v/>
      </c>
      <c r="BH221" s="87" t="inlineStr">
        <is>
          <t>王先生</t>
        </is>
      </c>
      <c r="BI221" s="210" t="inlineStr">
        <is>
          <t>辽宁省 大连市 甘井子区 凌水街道高新园区广贤路130F广贤梁园5号楼1单元1804</t>
        </is>
      </c>
      <c r="BJ221" s="86" t="inlineStr">
        <is>
          <t>18468320457-3274</t>
        </is>
      </c>
      <c r="BK221" s="86" t="inlineStr">
        <is>
          <t>JDV022893846136，2件</t>
        </is>
      </c>
      <c r="BL221" s="210">
        <f>BC221</f>
        <v/>
      </c>
      <c r="BM221" s="93" t="n"/>
      <c r="BN221" s="94" t="n"/>
      <c r="BO221" s="93" t="n"/>
      <c r="BP221" s="86" t="n"/>
      <c r="BQ221" s="96" t="n"/>
      <c r="BR221" s="96" t="n"/>
      <c r="BS221" s="97" t="n"/>
      <c r="BT221" s="96" t="n"/>
      <c r="BU221" s="97" t="n"/>
      <c r="BV221" s="96" t="n"/>
      <c r="BW221" s="97" t="n"/>
      <c r="BX221" s="97" t="n"/>
      <c r="BY221" s="97" t="n"/>
      <c r="BZ221" s="97" t="n"/>
      <c r="CA221" s="98" t="n"/>
      <c r="CH221" s="2" t="n"/>
      <c r="CI221" s="14">
        <f>CJ221&amp;CK221</f>
        <v/>
      </c>
      <c r="CJ221" s="25" t="n"/>
      <c r="CK221" s="25" t="n"/>
      <c r="CL221" s="25" t="n"/>
      <c r="CM221" s="25" t="n"/>
      <c r="CN221" s="25" t="n"/>
      <c r="CO221" s="25" t="n"/>
      <c r="CP221" s="25" t="n"/>
      <c r="CQ221" s="25" t="n"/>
      <c r="CR221" s="25" t="n"/>
      <c r="CS221" s="25" t="n"/>
      <c r="CT221" s="25" t="n"/>
      <c r="CU221" s="25" t="n"/>
      <c r="CV221" s="25" t="n"/>
      <c r="CW221" s="25" t="n"/>
      <c r="CX221" s="25" t="n"/>
      <c r="CY221" s="25" t="n"/>
      <c r="CZ221" s="25" t="n"/>
      <c r="DC221" s="26" t="n"/>
      <c r="DD221" s="26" t="n"/>
      <c r="DE221" s="26" t="n"/>
      <c r="DF221" s="26" t="n"/>
      <c r="DG221" s="26" t="n"/>
      <c r="DH221" s="27" t="n"/>
      <c r="DJ221" s="211" t="inlineStr">
        <is>
          <t>订单表中未找到</t>
        </is>
      </c>
      <c r="DK221" t="inlineStr">
        <is>
          <t>—</t>
        </is>
      </c>
      <c r="DL221" t="inlineStr">
        <is>
          <t>—</t>
        </is>
      </c>
    </row>
    <row r="222" ht="15.75" customHeight="1" s="187">
      <c r="A222" s="84" t="n">
        <v>45887</v>
      </c>
      <c r="B222" s="206" t="inlineStr">
        <is>
          <t>已收货</t>
        </is>
      </c>
      <c r="C222" s="86" t="inlineStr">
        <is>
          <t>2883435168256012988</t>
        </is>
      </c>
      <c r="D222" s="110" t="inlineStr">
        <is>
          <t>郭女士</t>
        </is>
      </c>
      <c r="E222" s="87" t="inlineStr">
        <is>
          <t>已发货</t>
        </is>
      </c>
      <c r="F222" s="87" t="n"/>
      <c r="G222" s="87" t="inlineStr">
        <is>
          <t>砂白色1.8米岩板餐桌</t>
        </is>
      </c>
      <c r="H222" s="207" t="inlineStr">
        <is>
          <t>榉木餐桌</t>
        </is>
      </c>
      <c r="I222" s="218" t="inlineStr">
        <is>
          <t>180cm*85cm</t>
        </is>
      </c>
      <c r="J222" s="87" t="inlineStr">
        <is>
          <t>已结算</t>
        </is>
      </c>
      <c r="K222" s="86" t="inlineStr">
        <is>
          <t>庄毅</t>
        </is>
      </c>
      <c r="L222" s="207">
        <f>SUM(M222:AO222)</f>
        <v/>
      </c>
      <c r="M222" s="207">
        <f>1580</f>
        <v/>
      </c>
      <c r="N222" s="207" t="n"/>
      <c r="O222" s="207" t="n"/>
      <c r="P222" s="207" t="n"/>
      <c r="Q222" s="207" t="n"/>
      <c r="R222" s="207">
        <f>180*1.8*0.85</f>
        <v/>
      </c>
      <c r="S222" s="207" t="n"/>
      <c r="T222" s="207" t="n"/>
      <c r="U222" s="207" t="n"/>
      <c r="V222" s="207" t="n"/>
      <c r="W222" s="207" t="n"/>
      <c r="X222" s="207" t="n"/>
      <c r="Y222" s="207" t="n"/>
      <c r="Z222" s="207" t="n"/>
      <c r="AA222" s="207" t="n"/>
      <c r="AB222" s="207" t="n"/>
      <c r="AC222" s="207" t="n"/>
      <c r="AD222" s="207" t="n">
        <v>2.5</v>
      </c>
      <c r="AE222" s="207" t="n"/>
      <c r="AF222" s="207" t="n"/>
      <c r="AG222" s="207" t="n"/>
      <c r="AH222" s="207" t="n"/>
      <c r="AI222" s="207" t="n"/>
      <c r="AJ222" s="207" t="n"/>
      <c r="AK222" s="207" t="n"/>
      <c r="AL222" s="207" t="n"/>
      <c r="AM222" s="207" t="n"/>
      <c r="AN222" s="207" t="n"/>
      <c r="AO222" s="207" t="n"/>
      <c r="AP222" s="207" t="n">
        <v>563</v>
      </c>
      <c r="AQ222" s="207" t="n">
        <v>0</v>
      </c>
      <c r="AR222" s="207" t="n">
        <v>80</v>
      </c>
      <c r="AS222" s="207" t="n">
        <v>0</v>
      </c>
      <c r="AT222" s="207" t="n">
        <v>0</v>
      </c>
      <c r="AU222" s="207" t="n">
        <v>0</v>
      </c>
      <c r="AV222" s="207" t="n">
        <v>0</v>
      </c>
      <c r="AW222" s="207" t="n">
        <v>0</v>
      </c>
      <c r="AX222" s="208" t="n">
        <v>1</v>
      </c>
      <c r="AY222" s="209">
        <f>L222*AX222+AP222+AQ222+AR222+AV222+AW222+AS222+AT222+AU222</f>
        <v/>
      </c>
      <c r="AZ222" s="207" t="n">
        <v>2837.5</v>
      </c>
      <c r="BA222" s="207" t="n">
        <v>0</v>
      </c>
      <c r="BB222" s="207">
        <f>AZ222*0.006</f>
        <v/>
      </c>
      <c r="BC222" s="209">
        <f>AZ222+BA222-BB222</f>
        <v/>
      </c>
      <c r="BD222" s="207" t="n">
        <v>0</v>
      </c>
      <c r="BE222" s="207" t="n">
        <v>0</v>
      </c>
      <c r="BF222" s="209">
        <f>BD222+BE222</f>
        <v/>
      </c>
      <c r="BG222" s="209">
        <f>BC222-AY222+BF222</f>
        <v/>
      </c>
      <c r="BH222" s="87" t="inlineStr">
        <is>
          <t>郭女士</t>
        </is>
      </c>
      <c r="BI222" s="210" t="inlineStr">
        <is>
          <t>甘肃省平凉市泾川县订纪花园，区3号楼一单元</t>
        </is>
      </c>
      <c r="BJ222" s="86" t="inlineStr">
        <is>
          <t>13077941784-7999</t>
        </is>
      </c>
      <c r="BK222" s="86" t="inlineStr">
        <is>
          <t>JDVC32131939333，2件</t>
        </is>
      </c>
      <c r="BL222" s="210">
        <f>BC222</f>
        <v/>
      </c>
      <c r="BM222" s="93" t="n"/>
      <c r="BN222" s="94" t="n"/>
      <c r="BO222" s="93" t="n"/>
      <c r="BP222" s="86" t="n"/>
      <c r="BQ222" s="96" t="n"/>
      <c r="BR222" s="96" t="n"/>
      <c r="BS222" s="97" t="n"/>
      <c r="BT222" s="96" t="n"/>
      <c r="BU222" s="97" t="n"/>
      <c r="BV222" s="96" t="n"/>
      <c r="BW222" s="97" t="n"/>
      <c r="BX222" s="97" t="n"/>
      <c r="BY222" s="97" t="n"/>
      <c r="BZ222" s="97" t="n"/>
      <c r="CA222" s="98" t="n"/>
      <c r="CH222" s="2" t="n"/>
      <c r="CI222" s="14">
        <f>CJ222&amp;CK222</f>
        <v/>
      </c>
      <c r="CJ222" s="25" t="n"/>
      <c r="CK222" s="25" t="n"/>
      <c r="CL222" s="25" t="n"/>
      <c r="CM222" s="25" t="n"/>
      <c r="CN222" s="25" t="n"/>
      <c r="CO222" s="25" t="n"/>
      <c r="CP222" s="25" t="n"/>
      <c r="CQ222" s="25" t="n"/>
      <c r="CR222" s="25" t="n"/>
      <c r="CS222" s="25" t="n"/>
      <c r="CT222" s="25" t="n"/>
      <c r="CU222" s="25" t="n"/>
      <c r="CV222" s="25" t="n"/>
      <c r="CW222" s="25" t="n"/>
      <c r="CX222" s="25" t="n"/>
      <c r="CY222" s="25" t="n"/>
      <c r="CZ222" s="25" t="n"/>
      <c r="DC222" s="26" t="n"/>
      <c r="DD222" s="26" t="n"/>
      <c r="DE222" s="26" t="n"/>
      <c r="DF222" s="26" t="n"/>
      <c r="DG222" s="26" t="n"/>
      <c r="DH222" s="27" t="n"/>
      <c r="DJ222" s="211" t="inlineStr">
        <is>
          <t>订单表中未找到</t>
        </is>
      </c>
      <c r="DK222" t="inlineStr">
        <is>
          <t>—</t>
        </is>
      </c>
      <c r="DL222" t="inlineStr">
        <is>
          <t>—</t>
        </is>
      </c>
    </row>
    <row r="223" ht="15.75" customHeight="1" s="187">
      <c r="A223" s="84" t="n">
        <v>45887</v>
      </c>
      <c r="B223" s="206" t="inlineStr">
        <is>
          <t>已收货</t>
        </is>
      </c>
      <c r="C223" s="128" t="inlineStr">
        <is>
          <t>4690590842008053335</t>
        </is>
      </c>
      <c r="D223" s="86" t="inlineStr">
        <is>
          <t>刘思亦</t>
        </is>
      </c>
      <c r="E223" s="87" t="n"/>
      <c r="F223" s="87" t="n"/>
      <c r="G223" s="87" t="inlineStr">
        <is>
          <t>九斗柜-设备柜</t>
        </is>
      </c>
      <c r="H223" s="207" t="inlineStr">
        <is>
          <t>九斗柜</t>
        </is>
      </c>
      <c r="I223" s="89" t="inlineStr">
        <is>
          <t>180cm*40cm</t>
        </is>
      </c>
      <c r="J223" s="87" t="inlineStr">
        <is>
          <t>已结算</t>
        </is>
      </c>
      <c r="K223" s="86" t="inlineStr">
        <is>
          <t>江西</t>
        </is>
      </c>
      <c r="L223" s="207">
        <f>2850+90+24+140+22*9</f>
        <v/>
      </c>
      <c r="M223" s="207">
        <f>2850</f>
        <v/>
      </c>
      <c r="N223" s="207" t="n"/>
      <c r="O223" s="207" t="n">
        <v>24</v>
      </c>
      <c r="P223" s="207" t="n"/>
      <c r="Q223" s="207" t="n">
        <v>90</v>
      </c>
      <c r="R223" s="207" t="n"/>
      <c r="S223" s="207" t="n"/>
      <c r="T223" s="207" t="n"/>
      <c r="U223" s="207" t="n"/>
      <c r="V223" s="207" t="n"/>
      <c r="W223" s="207" t="n"/>
      <c r="X223" s="207">
        <f>22*9</f>
        <v/>
      </c>
      <c r="Y223" s="207" t="n"/>
      <c r="Z223" s="207" t="n"/>
      <c r="AA223" s="207" t="n"/>
      <c r="AB223" s="207" t="n"/>
      <c r="AC223" s="207" t="n"/>
      <c r="AD223" s="207" t="n"/>
      <c r="AE223" s="207" t="n"/>
      <c r="AF223" s="207" t="n"/>
      <c r="AG223" s="207" t="n"/>
      <c r="AH223" s="207" t="n"/>
      <c r="AI223" s="207" t="n"/>
      <c r="AJ223" s="207" t="n"/>
      <c r="AK223" s="207" t="n"/>
      <c r="AL223" s="207" t="n"/>
      <c r="AM223" s="207" t="n">
        <v>140</v>
      </c>
      <c r="AN223" s="207" t="n"/>
      <c r="AO223" s="207" t="n"/>
      <c r="AP223" s="207">
        <f>165-AQ223</f>
        <v/>
      </c>
      <c r="AQ223" s="207" t="n">
        <v>40</v>
      </c>
      <c r="AR223" s="207" t="n">
        <v>0</v>
      </c>
      <c r="AS223" s="207" t="n">
        <v>0</v>
      </c>
      <c r="AT223" s="207" t="n">
        <v>0</v>
      </c>
      <c r="AU223" s="207" t="n">
        <v>0</v>
      </c>
      <c r="AV223" s="207" t="n">
        <v>0</v>
      </c>
      <c r="AW223" s="207" t="n">
        <v>0</v>
      </c>
      <c r="AX223" s="208" t="n">
        <v>1</v>
      </c>
      <c r="AY223" s="209">
        <f>L223*AX223+AP223+AQ223+AR223+AV223+AW223+AS223+AT223+AU223</f>
        <v/>
      </c>
      <c r="AZ223" s="207" t="n">
        <v>3694.15</v>
      </c>
      <c r="BA223" s="207" t="n">
        <v>0</v>
      </c>
      <c r="BB223" s="207">
        <f>AZ223*0.006</f>
        <v/>
      </c>
      <c r="BC223" s="209">
        <f>AZ223+BA223-BB223</f>
        <v/>
      </c>
      <c r="BD223" s="207" t="n">
        <v>0</v>
      </c>
      <c r="BE223" s="207" t="n">
        <v>0</v>
      </c>
      <c r="BF223" s="209">
        <f>BD223+BE223</f>
        <v/>
      </c>
      <c r="BG223" s="209">
        <f>BC223-AY223+BF223</f>
        <v/>
      </c>
      <c r="BH223" s="86" t="inlineStr">
        <is>
          <t>刘思亦</t>
        </is>
      </c>
      <c r="BI223" s="210" t="inlineStr">
        <is>
          <t>江苏省 南京市 江宁区 秣陵街道 长亭街55号新城珑湾花园7-1306</t>
        </is>
      </c>
      <c r="BJ223" s="210" t="inlineStr">
        <is>
          <t>13042537124-9514</t>
        </is>
      </c>
      <c r="BK223" s="86" t="n"/>
      <c r="BL223" s="210" t="n"/>
      <c r="BM223" s="93" t="n"/>
      <c r="BN223" s="94" t="n"/>
      <c r="BO223" s="93" t="n"/>
      <c r="BP223" s="86" t="n"/>
      <c r="BQ223" s="96" t="n"/>
      <c r="BR223" s="96" t="n"/>
      <c r="BS223" s="97" t="n"/>
      <c r="BT223" s="96" t="n"/>
      <c r="BU223" s="97" t="n"/>
      <c r="BV223" s="96" t="n"/>
      <c r="BW223" s="97" t="n"/>
      <c r="BX223" s="97" t="n"/>
      <c r="BY223" s="97" t="n"/>
      <c r="BZ223" s="97" t="n"/>
      <c r="CA223" s="98" t="n"/>
      <c r="CH223" s="2" t="n"/>
      <c r="CI223" s="14" t="n"/>
      <c r="CJ223" s="25" t="n"/>
      <c r="CK223" s="25" t="n"/>
      <c r="CL223" s="25" t="n"/>
      <c r="CM223" s="25" t="n"/>
      <c r="CN223" s="25" t="n"/>
      <c r="CO223" s="25" t="n"/>
      <c r="CP223" s="25" t="n"/>
      <c r="CQ223" s="25" t="n"/>
      <c r="CR223" s="25" t="n"/>
      <c r="CS223" s="25" t="n"/>
      <c r="CT223" s="25" t="n"/>
      <c r="CU223" s="25" t="n"/>
      <c r="CV223" s="25" t="n"/>
      <c r="CW223" s="25" t="n"/>
      <c r="CX223" s="25" t="n"/>
      <c r="CY223" s="25" t="n"/>
      <c r="CZ223" s="25" t="n"/>
      <c r="DC223" s="26" t="n"/>
      <c r="DD223" s="26" t="n"/>
      <c r="DE223" s="26" t="n"/>
      <c r="DF223" s="26" t="n"/>
      <c r="DG223" s="26" t="n"/>
      <c r="DH223" s="27" t="n"/>
      <c r="DJ223" s="211" t="inlineStr">
        <is>
          <t>订单表中未找到</t>
        </is>
      </c>
      <c r="DK223" t="inlineStr">
        <is>
          <t>—</t>
        </is>
      </c>
      <c r="DL223" t="inlineStr">
        <is>
          <t>—</t>
        </is>
      </c>
    </row>
    <row r="224" ht="15.75" customHeight="1" s="187">
      <c r="A224" s="84" t="n">
        <v>45887</v>
      </c>
      <c r="B224" s="206" t="inlineStr">
        <is>
          <t>已收货</t>
        </is>
      </c>
      <c r="C224" s="128" t="inlineStr">
        <is>
          <t>4690326924289032829</t>
        </is>
      </c>
      <c r="D224" s="86" t="inlineStr">
        <is>
          <t>吳建祥</t>
        </is>
      </c>
      <c r="E224" s="116" t="inlineStr">
        <is>
          <t>已调整，产品成本+洞洞板+电力轨道+变压器+触控按钮+常规灯带+隔板灯带+岩板+岩板打孔+插座转换头+连接片</t>
        </is>
      </c>
      <c r="F224" s="87" t="n"/>
      <c r="G224" s="87" t="inlineStr">
        <is>
          <t>2.1基础柜，美版</t>
        </is>
      </c>
      <c r="H224" s="207" t="inlineStr">
        <is>
          <t>基础餐边柜</t>
        </is>
      </c>
      <c r="I224" s="89" t="n">
        <v>2100</v>
      </c>
      <c r="J224" s="87" t="inlineStr">
        <is>
          <t>已结算</t>
        </is>
      </c>
      <c r="K224" s="86" t="inlineStr">
        <is>
          <t>庄毅</t>
        </is>
      </c>
      <c r="L224" s="207">
        <f>4700+320+655+28+16+45+71+180*2.1*0.48+22+10+30*5</f>
        <v/>
      </c>
      <c r="M224" s="207">
        <f>4700</f>
        <v/>
      </c>
      <c r="N224" s="207" t="n">
        <v>320</v>
      </c>
      <c r="O224" s="207" t="n">
        <v>655</v>
      </c>
      <c r="P224" s="207" t="n">
        <v>28</v>
      </c>
      <c r="Q224" s="207" t="n"/>
      <c r="R224" s="207" t="n">
        <v>16</v>
      </c>
      <c r="S224" s="207" t="n">
        <v>45</v>
      </c>
      <c r="T224" s="207" t="n">
        <v>71</v>
      </c>
      <c r="U224" s="207" t="n"/>
      <c r="V224" s="207" t="n"/>
      <c r="W224" s="207" t="inlineStr">
        <is>
          <t>180*2.1*0.48</t>
        </is>
      </c>
      <c r="X224" s="207" t="n">
        <v>22</v>
      </c>
      <c r="Y224" s="207" t="n">
        <v>10</v>
      </c>
      <c r="Z224" s="207" t="n"/>
      <c r="AA224" s="207" t="n"/>
      <c r="AB224" s="207" t="n"/>
      <c r="AC224" s="207" t="n"/>
      <c r="AD224" s="207" t="n"/>
      <c r="AE224" s="207" t="inlineStr">
        <is>
          <t>30*5</t>
        </is>
      </c>
      <c r="AF224" s="207" t="n"/>
      <c r="AG224" s="207" t="n"/>
      <c r="AH224" s="207" t="n"/>
      <c r="AI224" s="207" t="n"/>
      <c r="AJ224" s="207" t="n"/>
      <c r="AK224" s="207" t="n"/>
      <c r="AL224" s="207" t="n"/>
      <c r="AM224" s="207" t="n"/>
      <c r="AN224" s="207" t="n"/>
      <c r="AO224" s="207" t="n"/>
      <c r="AP224" s="207" t="n">
        <v>518</v>
      </c>
      <c r="AQ224" s="207" t="n">
        <v>0</v>
      </c>
      <c r="AR224" s="207" t="n">
        <v>0</v>
      </c>
      <c r="AS224" s="207" t="n">
        <v>0</v>
      </c>
      <c r="AT224" s="207" t="n">
        <v>0</v>
      </c>
      <c r="AU224" s="207" t="n">
        <v>0</v>
      </c>
      <c r="AV224" s="207" t="n">
        <v>0</v>
      </c>
      <c r="AW224" s="207" t="n">
        <v>0</v>
      </c>
      <c r="AX224" s="208" t="n">
        <v>1</v>
      </c>
      <c r="AY224" s="209">
        <f>L224*AX224+AP224+AQ224+AR224+AV224+AW224+AS224+AT224+AU224</f>
        <v/>
      </c>
      <c r="AZ224" s="207" t="n">
        <v>8738.450000000001</v>
      </c>
      <c r="BA224" s="207" t="n">
        <v>0</v>
      </c>
      <c r="BB224" s="207">
        <f>AZ224*0.006</f>
        <v/>
      </c>
      <c r="BC224" s="209">
        <f>AZ224+BA224-BB224</f>
        <v/>
      </c>
      <c r="BD224" s="207" t="n">
        <v>0</v>
      </c>
      <c r="BE224" s="207" t="n">
        <v>0</v>
      </c>
      <c r="BF224" s="209">
        <f>BD224+BE224</f>
        <v/>
      </c>
      <c r="BG224" s="209">
        <f>BC224-AY224+BF224</f>
        <v/>
      </c>
      <c r="BH224" s="86" t="inlineStr">
        <is>
          <t>吳建祥</t>
        </is>
      </c>
      <c r="BI224" s="210" t="inlineStr">
        <is>
          <t>福建省 漳州市 龙海区 角美镇#RZHN11CQ#角美镇龙江大道菜鸟网络园区1期1号库（台湾集运）@YSQ6WJK3</t>
        </is>
      </c>
      <c r="BJ224" s="86" t="n">
        <v>17750149643</v>
      </c>
      <c r="BK224" s="86" t="n"/>
      <c r="BL224" s="210" t="n"/>
      <c r="BM224" s="93" t="n"/>
      <c r="BN224" s="94" t="n"/>
      <c r="BO224" s="93" t="n"/>
      <c r="BP224" s="86" t="n"/>
      <c r="BQ224" s="96" t="n"/>
      <c r="BR224" s="96" t="n"/>
      <c r="BS224" s="97" t="n"/>
      <c r="BT224" s="96" t="n"/>
      <c r="BU224" s="97" t="n"/>
      <c r="BV224" s="96" t="n"/>
      <c r="BW224" s="97" t="n"/>
      <c r="BX224" s="97" t="n"/>
      <c r="BY224" s="97" t="n"/>
      <c r="BZ224" s="97" t="n"/>
      <c r="CA224" s="98" t="n"/>
      <c r="CH224" s="2" t="n"/>
      <c r="CI224" s="14" t="n"/>
      <c r="CJ224" s="25" t="n"/>
      <c r="CK224" s="25" t="n"/>
      <c r="CL224" s="25" t="n"/>
      <c r="CM224" s="25" t="n"/>
      <c r="CN224" s="25" t="n"/>
      <c r="CO224" s="25" t="n"/>
      <c r="CP224" s="25" t="n"/>
      <c r="CQ224" s="25" t="n"/>
      <c r="CR224" s="25" t="n"/>
      <c r="CS224" s="25" t="n"/>
      <c r="CT224" s="25" t="n"/>
      <c r="CU224" s="25" t="n"/>
      <c r="CV224" s="25" t="n"/>
      <c r="CW224" s="25" t="n"/>
      <c r="CX224" s="25" t="n"/>
      <c r="CY224" s="25" t="n"/>
      <c r="CZ224" s="25" t="n"/>
      <c r="DC224" s="26" t="n"/>
      <c r="DD224" s="26" t="n"/>
      <c r="DE224" s="26" t="n"/>
      <c r="DF224" s="26" t="n"/>
      <c r="DG224" s="26" t="n"/>
      <c r="DH224" s="27" t="n"/>
      <c r="DJ224" s="211" t="inlineStr">
        <is>
          <t>订单表中未找到</t>
        </is>
      </c>
      <c r="DK224" t="inlineStr">
        <is>
          <t>—</t>
        </is>
      </c>
      <c r="DL224" t="inlineStr">
        <is>
          <t>—</t>
        </is>
      </c>
    </row>
    <row r="225" ht="15.75" customHeight="1" s="187">
      <c r="A225" s="84" t="n">
        <v>45888</v>
      </c>
      <c r="B225" s="206" t="inlineStr">
        <is>
          <t>已收货</t>
        </is>
      </c>
      <c r="C225" s="128" t="inlineStr">
        <is>
          <t>4691841195398554023</t>
        </is>
      </c>
      <c r="D225" s="86" t="inlineStr">
        <is>
          <t>田竺鑫</t>
        </is>
      </c>
      <c r="E225" s="87" t="n"/>
      <c r="F225" s="87" t="n"/>
      <c r="G225" s="87" t="inlineStr">
        <is>
          <t>榉木1.2米柜下柜</t>
        </is>
      </c>
      <c r="H225" s="207" t="inlineStr">
        <is>
          <t>榉木餐边柜</t>
        </is>
      </c>
      <c r="I225" s="89" t="n"/>
      <c r="J225" s="87" t="inlineStr">
        <is>
          <t>已结算</t>
        </is>
      </c>
      <c r="K225" s="86" t="inlineStr">
        <is>
          <t>江西</t>
        </is>
      </c>
      <c r="L225" s="207">
        <f>1920+22*4+200+20+190</f>
        <v/>
      </c>
      <c r="M225" s="207">
        <f>1920</f>
        <v/>
      </c>
      <c r="N225" s="207" t="inlineStr">
        <is>
          <t>22*4</t>
        </is>
      </c>
      <c r="O225" s="207" t="n">
        <v>200</v>
      </c>
      <c r="P225" s="207" t="n">
        <v>20</v>
      </c>
      <c r="Q225" s="207" t="n"/>
      <c r="R225" s="207" t="n">
        <v>190</v>
      </c>
      <c r="S225" s="207" t="n"/>
      <c r="T225" s="207" t="n"/>
      <c r="U225" s="207" t="n"/>
      <c r="V225" s="207" t="n"/>
      <c r="W225" s="207" t="n"/>
      <c r="X225" s="207" t="n"/>
      <c r="Y225" s="207" t="n"/>
      <c r="Z225" s="207" t="n"/>
      <c r="AA225" s="207" t="n"/>
      <c r="AB225" s="207" t="n"/>
      <c r="AC225" s="207" t="n"/>
      <c r="AD225" s="207" t="n"/>
      <c r="AE225" s="207" t="n"/>
      <c r="AF225" s="207" t="n"/>
      <c r="AG225" s="207" t="n"/>
      <c r="AH225" s="207" t="n"/>
      <c r="AI225" s="207" t="n"/>
      <c r="AJ225" s="207" t="n"/>
      <c r="AK225" s="207" t="n"/>
      <c r="AL225" s="207" t="n"/>
      <c r="AM225" s="207" t="n">
        <v>190</v>
      </c>
      <c r="AN225" s="207" t="n"/>
      <c r="AO225" s="207" t="n"/>
      <c r="AP225" s="207">
        <f>251-AQ225</f>
        <v/>
      </c>
      <c r="AQ225" s="207" t="n">
        <v>40</v>
      </c>
      <c r="AR225" s="207" t="n">
        <v>288</v>
      </c>
      <c r="AS225" s="207" t="n">
        <v>0</v>
      </c>
      <c r="AT225" s="207" t="n">
        <v>0</v>
      </c>
      <c r="AU225" s="207" t="n">
        <v>0</v>
      </c>
      <c r="AV225" s="207" t="n">
        <v>0</v>
      </c>
      <c r="AW225" s="207" t="n">
        <v>1099</v>
      </c>
      <c r="AX225" s="208" t="n">
        <v>1</v>
      </c>
      <c r="AY225" s="209">
        <f>L225*AX225+AP225+AQ225+AR225+AV225+AW225+AS225+AT225+AU225</f>
        <v/>
      </c>
      <c r="AZ225" s="207" t="n">
        <v>5474.56</v>
      </c>
      <c r="BA225" s="207" t="n">
        <v>0</v>
      </c>
      <c r="BB225" s="207">
        <f>AZ225*0.006</f>
        <v/>
      </c>
      <c r="BC225" s="209">
        <f>AZ225+BA225-BB225</f>
        <v/>
      </c>
      <c r="BD225" s="207" t="n">
        <v>0</v>
      </c>
      <c r="BE225" s="207" t="n">
        <v>0</v>
      </c>
      <c r="BF225" s="209">
        <f>BD225+BE225</f>
        <v/>
      </c>
      <c r="BG225" s="209">
        <f>BC225-AY225+BF225</f>
        <v/>
      </c>
      <c r="BH225" s="86" t="inlineStr">
        <is>
          <t>田竺鑫</t>
        </is>
      </c>
      <c r="BI225" s="210" t="inlineStr">
        <is>
          <t xml:space="preserve">
四川省 成都市 双流区 兴隆街道 中建鹿溪澜岸13栋1单元402 </t>
        </is>
      </c>
      <c r="BJ225" s="210" t="inlineStr">
        <is>
          <t>18418997024-5351</t>
        </is>
      </c>
      <c r="BK225" s="86" t="n"/>
      <c r="BL225" s="210" t="n"/>
      <c r="BM225" s="93" t="n"/>
      <c r="BN225" s="94" t="n"/>
      <c r="BO225" s="93" t="n"/>
      <c r="BP225" s="86" t="n"/>
      <c r="BQ225" s="96" t="n"/>
      <c r="BR225" s="96" t="n"/>
      <c r="BS225" s="97" t="n"/>
      <c r="BT225" s="96" t="n"/>
      <c r="BU225" s="97" t="n"/>
      <c r="BV225" s="96" t="n"/>
      <c r="BW225" s="97" t="n"/>
      <c r="BX225" s="97" t="n"/>
      <c r="BY225" s="97" t="n"/>
      <c r="BZ225" s="97" t="n"/>
      <c r="CA225" s="98" t="n"/>
      <c r="CH225" s="2" t="n"/>
      <c r="CI225" s="14" t="n"/>
      <c r="CJ225" s="25" t="n"/>
      <c r="CK225" s="25" t="n"/>
      <c r="CL225" s="25" t="n"/>
      <c r="CM225" s="25" t="n"/>
      <c r="CN225" s="25" t="n"/>
      <c r="CO225" s="25" t="n"/>
      <c r="CP225" s="25" t="n"/>
      <c r="CQ225" s="25" t="n"/>
      <c r="CR225" s="25" t="n"/>
      <c r="CS225" s="25" t="n"/>
      <c r="CT225" s="25" t="n"/>
      <c r="CU225" s="25" t="n"/>
      <c r="CV225" s="25" t="n"/>
      <c r="CW225" s="25" t="n"/>
      <c r="CX225" s="25" t="n"/>
      <c r="CY225" s="25" t="n"/>
      <c r="CZ225" s="25" t="n"/>
      <c r="DC225" s="26" t="n"/>
      <c r="DD225" s="26" t="n"/>
      <c r="DE225" s="26" t="n"/>
      <c r="DF225" s="26" t="n"/>
      <c r="DG225" s="26" t="n"/>
      <c r="DH225" s="27" t="n"/>
      <c r="DJ225" s="211" t="inlineStr">
        <is>
          <t>订单表中未找到</t>
        </is>
      </c>
      <c r="DK225" t="inlineStr">
        <is>
          <t>—</t>
        </is>
      </c>
      <c r="DL225" t="inlineStr">
        <is>
          <t>—</t>
        </is>
      </c>
    </row>
    <row r="226" ht="15.75" customHeight="1" s="187">
      <c r="A226" s="84" t="n">
        <v>45890</v>
      </c>
      <c r="B226" s="206" t="inlineStr">
        <is>
          <t>已收货</t>
        </is>
      </c>
      <c r="C226" s="86" t="inlineStr">
        <is>
          <t>2888009581942895598</t>
        </is>
      </c>
      <c r="D226" s="86" t="inlineStr">
        <is>
          <t>卞蕊</t>
        </is>
      </c>
      <c r="E226" s="87" t="n"/>
      <c r="F226" s="87" t="n"/>
      <c r="G226" s="87" t="inlineStr">
        <is>
          <t>组合柜，宽度29：地脚+双抽</t>
        </is>
      </c>
      <c r="H226" s="207" t="inlineStr">
        <is>
          <t>组合柜</t>
        </is>
      </c>
      <c r="I226" s="89" t="n"/>
      <c r="J226" s="87" t="inlineStr">
        <is>
          <t>已结算</t>
        </is>
      </c>
      <c r="K226" s="86" t="inlineStr">
        <is>
          <t>江西</t>
        </is>
      </c>
      <c r="L226" s="207">
        <f>850+22*2+18*2+30</f>
        <v/>
      </c>
      <c r="M226" s="207">
        <f>850</f>
        <v/>
      </c>
      <c r="N226" s="207" t="inlineStr">
        <is>
          <t>22*2</t>
        </is>
      </c>
      <c r="O226" s="207" t="inlineStr">
        <is>
          <t>18*2</t>
        </is>
      </c>
      <c r="P226" s="207" t="n">
        <v>30</v>
      </c>
      <c r="Q226" s="207" t="n"/>
      <c r="R226" s="207" t="n"/>
      <c r="S226" s="207" t="n"/>
      <c r="T226" s="207" t="n"/>
      <c r="U226" s="207" t="n"/>
      <c r="V226" s="207" t="n"/>
      <c r="W226" s="207" t="n"/>
      <c r="X226" s="207" t="n"/>
      <c r="Y226" s="207" t="n"/>
      <c r="Z226" s="207" t="n"/>
      <c r="AA226" s="207" t="n"/>
      <c r="AB226" s="207" t="n"/>
      <c r="AC226" s="207" t="n"/>
      <c r="AD226" s="207" t="n"/>
      <c r="AE226" s="207" t="n"/>
      <c r="AF226" s="207" t="n"/>
      <c r="AG226" s="207" t="n"/>
      <c r="AH226" s="207" t="n"/>
      <c r="AI226" s="207" t="n"/>
      <c r="AJ226" s="207" t="n"/>
      <c r="AK226" s="207" t="n"/>
      <c r="AL226" s="207" t="n"/>
      <c r="AM226" s="207" t="n">
        <v>30</v>
      </c>
      <c r="AN226" s="207" t="n"/>
      <c r="AO226" s="207" t="n"/>
      <c r="AP226" s="207" t="n">
        <v>87</v>
      </c>
      <c r="AQ226" s="207" t="n">
        <v>0</v>
      </c>
      <c r="AR226" s="207" t="n">
        <v>0</v>
      </c>
      <c r="AS226" s="207" t="n">
        <v>0</v>
      </c>
      <c r="AT226" s="207" t="n">
        <v>0</v>
      </c>
      <c r="AU226" s="207" t="n">
        <v>0</v>
      </c>
      <c r="AV226" s="207" t="n">
        <v>0</v>
      </c>
      <c r="AW226" s="207" t="n">
        <v>0</v>
      </c>
      <c r="AX226" s="208" t="n">
        <v>1</v>
      </c>
      <c r="AY226" s="209">
        <f>L226*AX226+AP226+AQ226+AR226+AV226+AW226+AS226+AT226+AU226</f>
        <v/>
      </c>
      <c r="AZ226" s="207" t="n">
        <v>1735</v>
      </c>
      <c r="BA226" s="207" t="n">
        <v>0</v>
      </c>
      <c r="BB226" s="207">
        <f>AZ226*0.006</f>
        <v/>
      </c>
      <c r="BC226" s="209">
        <f>AZ226+BA226-BB226</f>
        <v/>
      </c>
      <c r="BD226" s="207" t="n">
        <v>0</v>
      </c>
      <c r="BE226" s="207" t="n">
        <v>0</v>
      </c>
      <c r="BF226" s="209">
        <f>BD226+BE226</f>
        <v/>
      </c>
      <c r="BG226" s="209">
        <f>BC226-AY226+BF226</f>
        <v/>
      </c>
      <c r="BH226" s="86" t="inlineStr">
        <is>
          <t>卞蕊</t>
        </is>
      </c>
      <c r="BI226" s="210" t="inlineStr">
        <is>
          <t>上海 上海市 嘉定区 南翔镇象屿同进虹桥嘉悦府38-101</t>
        </is>
      </c>
      <c r="BJ226" s="210" t="inlineStr">
        <is>
          <t>13148163385-8936</t>
        </is>
      </c>
      <c r="BK226" s="86" t="n"/>
      <c r="BL226" s="210" t="n"/>
      <c r="BM226" s="93" t="n"/>
      <c r="BN226" s="94" t="n"/>
      <c r="BO226" s="93" t="n"/>
      <c r="BP226" s="86" t="n"/>
      <c r="BQ226" s="96" t="n"/>
      <c r="BR226" s="96" t="n"/>
      <c r="BS226" s="97" t="n"/>
      <c r="BT226" s="96" t="n"/>
      <c r="BU226" s="97" t="n"/>
      <c r="BV226" s="96" t="n"/>
      <c r="BW226" s="97" t="n"/>
      <c r="BX226" s="97" t="n"/>
      <c r="BY226" s="97" t="n"/>
      <c r="BZ226" s="97" t="n"/>
      <c r="CA226" s="98" t="n"/>
      <c r="CH226" s="2" t="n"/>
      <c r="CI226" s="14" t="n"/>
      <c r="CJ226" s="25" t="n"/>
      <c r="CK226" s="25" t="n"/>
      <c r="CL226" s="25" t="n"/>
      <c r="CM226" s="25" t="n"/>
      <c r="CN226" s="25" t="n"/>
      <c r="CO226" s="25" t="n"/>
      <c r="CP226" s="25" t="n"/>
      <c r="CQ226" s="25" t="n"/>
      <c r="CR226" s="25" t="n"/>
      <c r="CS226" s="25" t="n"/>
      <c r="CT226" s="25" t="n"/>
      <c r="CU226" s="25" t="n"/>
      <c r="CV226" s="25" t="n"/>
      <c r="CW226" s="25" t="n"/>
      <c r="CX226" s="25" t="n"/>
      <c r="CY226" s="25" t="n"/>
      <c r="CZ226" s="25" t="n"/>
      <c r="DC226" s="26" t="n"/>
      <c r="DD226" s="26" t="n"/>
      <c r="DE226" s="26" t="n"/>
      <c r="DF226" s="26" t="n"/>
      <c r="DG226" s="26" t="n"/>
      <c r="DH226" s="27" t="n"/>
      <c r="DJ226" s="211" t="inlineStr">
        <is>
          <t>订单表中未找到</t>
        </is>
      </c>
      <c r="DK226" t="inlineStr">
        <is>
          <t>—</t>
        </is>
      </c>
      <c r="DL226" t="inlineStr">
        <is>
          <t>—</t>
        </is>
      </c>
    </row>
    <row r="227" ht="15.75" customHeight="1" s="187">
      <c r="A227" s="84" t="n">
        <v>45890</v>
      </c>
      <c r="B227" s="206" t="inlineStr">
        <is>
          <t>已收货</t>
        </is>
      </c>
      <c r="C227" s="86" t="inlineStr">
        <is>
          <t>2888774760040160554</t>
        </is>
      </c>
      <c r="D227" s="110" t="inlineStr">
        <is>
          <t>小哈苗苗</t>
        </is>
      </c>
      <c r="E227" s="87" t="n"/>
      <c r="F227" s="87" t="n"/>
      <c r="G227" s="87" t="inlineStr">
        <is>
          <t>三个书柜，2.8米，等客户回复拆装还是整装</t>
        </is>
      </c>
      <c r="H227" s="207" t="inlineStr">
        <is>
          <t>书柜</t>
        </is>
      </c>
      <c r="I227" s="89" t="n"/>
      <c r="J227" s="87" t="inlineStr">
        <is>
          <t>已结算</t>
        </is>
      </c>
      <c r="K227" s="86" t="inlineStr">
        <is>
          <t>江西</t>
        </is>
      </c>
      <c r="L227" s="207">
        <f>6030+267.3+22*3+60+420</f>
        <v/>
      </c>
      <c r="M227" s="207">
        <f>6030</f>
        <v/>
      </c>
      <c r="N227" s="207" t="n">
        <v>267.3</v>
      </c>
      <c r="O227" s="207" t="inlineStr">
        <is>
          <t>22*3</t>
        </is>
      </c>
      <c r="P227" s="207" t="n">
        <v>60</v>
      </c>
      <c r="Q227" s="207" t="n"/>
      <c r="R227" s="207" t="n">
        <v>420</v>
      </c>
      <c r="S227" s="207" t="n"/>
      <c r="T227" s="207" t="n"/>
      <c r="U227" s="207" t="n"/>
      <c r="V227" s="207" t="n"/>
      <c r="W227" s="207" t="n"/>
      <c r="X227" s="207" t="n"/>
      <c r="Y227" s="207" t="n"/>
      <c r="Z227" s="207" t="n"/>
      <c r="AA227" s="207" t="n"/>
      <c r="AB227" s="207" t="n"/>
      <c r="AC227" s="207" t="n"/>
      <c r="AD227" s="207" t="n"/>
      <c r="AE227" s="207" t="n"/>
      <c r="AF227" s="207" t="n"/>
      <c r="AG227" s="207" t="n"/>
      <c r="AH227" s="207" t="n"/>
      <c r="AI227" s="207" t="n"/>
      <c r="AJ227" s="207" t="n"/>
      <c r="AK227" s="207" t="n"/>
      <c r="AL227" s="207" t="n"/>
      <c r="AM227" s="207" t="n">
        <v>420</v>
      </c>
      <c r="AN227" s="207" t="n"/>
      <c r="AO227" s="207" t="n"/>
      <c r="AP227" s="207">
        <f>819-AQ227</f>
        <v/>
      </c>
      <c r="AQ227" s="207" t="n">
        <v>126</v>
      </c>
      <c r="AR227" s="207" t="n">
        <v>178</v>
      </c>
      <c r="AS227" s="207" t="n">
        <v>0</v>
      </c>
      <c r="AT227" s="207" t="n">
        <v>0</v>
      </c>
      <c r="AU227" s="207" t="n">
        <v>0</v>
      </c>
      <c r="AV227" s="207" t="n">
        <v>0</v>
      </c>
      <c r="AW227" s="207" t="n">
        <v>0</v>
      </c>
      <c r="AX227" s="208" t="n">
        <v>1</v>
      </c>
      <c r="AY227" s="209">
        <f>L227*AX227+AP227+AQ227+AR227+AV227+AW227+AS227+AT227+AU227</f>
        <v/>
      </c>
      <c r="AZ227" s="207" t="n">
        <v>10000</v>
      </c>
      <c r="BA227" s="207" t="n">
        <v>0</v>
      </c>
      <c r="BB227" s="207">
        <f>AZ227*0.006</f>
        <v/>
      </c>
      <c r="BC227" s="209">
        <f>AZ227+BA227-BB227</f>
        <v/>
      </c>
      <c r="BD227" s="207" t="n">
        <v>0</v>
      </c>
      <c r="BE227" s="207" t="n">
        <v>0</v>
      </c>
      <c r="BF227" s="209">
        <f>BD227+BE227</f>
        <v/>
      </c>
      <c r="BG227" s="209">
        <f>BC227-AY227+BF227</f>
        <v/>
      </c>
      <c r="BH227" s="86" t="inlineStr">
        <is>
          <t>小哈苗苗</t>
        </is>
      </c>
      <c r="BI227" s="210" t="inlineStr">
        <is>
          <t>四川省 成都市 锦江区 三圣街道喜树街780号锦江城市花园1期1栋</t>
        </is>
      </c>
      <c r="BJ227" s="210" t="inlineStr">
        <is>
          <t>18418995455-7897</t>
        </is>
      </c>
      <c r="BK227" s="86" t="n"/>
      <c r="BL227" s="210">
        <f>BC227</f>
        <v/>
      </c>
      <c r="BM227" s="93" t="n"/>
      <c r="BN227" s="94" t="n"/>
      <c r="BO227" s="93" t="n"/>
      <c r="BP227" s="86" t="n"/>
      <c r="BQ227" s="96" t="n"/>
      <c r="BR227" s="96" t="n"/>
      <c r="BS227" s="97" t="n"/>
      <c r="BT227" s="96" t="n"/>
      <c r="BU227" s="97" t="n"/>
      <c r="BV227" s="96" t="n"/>
      <c r="BW227" s="97" t="n"/>
      <c r="BX227" s="97" t="n"/>
      <c r="BY227" s="97" t="n"/>
      <c r="BZ227" s="97" t="n"/>
      <c r="CA227" s="98" t="n"/>
      <c r="CH227" s="2" t="n"/>
      <c r="CI227" s="14" t="n"/>
      <c r="CJ227" s="25" t="n"/>
      <c r="CK227" s="25" t="n"/>
      <c r="CL227" s="25" t="n"/>
      <c r="CM227" s="25" t="n"/>
      <c r="CN227" s="25" t="n"/>
      <c r="CO227" s="25" t="n"/>
      <c r="CP227" s="25" t="n"/>
      <c r="CQ227" s="25" t="n"/>
      <c r="CR227" s="25" t="n"/>
      <c r="CS227" s="25" t="n"/>
      <c r="CT227" s="25" t="n"/>
      <c r="CU227" s="25" t="n"/>
      <c r="CV227" s="25" t="n"/>
      <c r="CW227" s="25" t="n"/>
      <c r="CX227" s="25" t="n"/>
      <c r="CY227" s="25" t="n"/>
      <c r="CZ227" s="25" t="n"/>
      <c r="DC227" s="26" t="n"/>
      <c r="DD227" s="26" t="n"/>
      <c r="DE227" s="26" t="n"/>
      <c r="DF227" s="26" t="n"/>
      <c r="DG227" s="26" t="n"/>
      <c r="DH227" s="27" t="n"/>
      <c r="DJ227" s="211" t="inlineStr">
        <is>
          <t>订单表中未找到</t>
        </is>
      </c>
      <c r="DK227" t="inlineStr">
        <is>
          <t>—</t>
        </is>
      </c>
      <c r="DL227" t="inlineStr">
        <is>
          <t>—</t>
        </is>
      </c>
    </row>
    <row r="228" ht="15.75" customHeight="1" s="187">
      <c r="A228" s="84" t="n">
        <v>45890</v>
      </c>
      <c r="B228" s="206" t="inlineStr">
        <is>
          <t>已收货</t>
        </is>
      </c>
      <c r="C228" s="128" t="inlineStr">
        <is>
          <t>2889078780100944455</t>
        </is>
      </c>
      <c r="D228" s="86" t="inlineStr">
        <is>
          <t>顾烨</t>
        </is>
      </c>
      <c r="E228" s="87" t="n"/>
      <c r="F228" s="87" t="n"/>
      <c r="G228" s="87" t="inlineStr">
        <is>
          <t>榉木大板餐桌+榉木长凳</t>
        </is>
      </c>
      <c r="H228" s="207" t="inlineStr">
        <is>
          <t>定制餐桌</t>
        </is>
      </c>
      <c r="I228" s="218" t="inlineStr">
        <is>
          <t>160cm*80cm</t>
        </is>
      </c>
      <c r="J228" s="87" t="inlineStr">
        <is>
          <t>已结算</t>
        </is>
      </c>
      <c r="K228" s="86" t="inlineStr">
        <is>
          <t>江西</t>
        </is>
      </c>
      <c r="L228" s="207">
        <f>SUM(M228:AO228)</f>
        <v/>
      </c>
      <c r="M228" s="207">
        <f>2500</f>
        <v/>
      </c>
      <c r="N228" s="207" t="n"/>
      <c r="O228" s="207" t="n"/>
      <c r="P228" s="207" t="n"/>
      <c r="Q228" s="207" t="n"/>
      <c r="R228" s="207" t="n"/>
      <c r="S228" s="207" t="n"/>
      <c r="T228" s="207" t="n"/>
      <c r="U228" s="207" t="n"/>
      <c r="V228" s="207" t="n"/>
      <c r="W228" s="207" t="n"/>
      <c r="X228" s="207" t="n"/>
      <c r="Y228" s="207" t="n"/>
      <c r="Z228" s="207" t="n"/>
      <c r="AA228" s="207" t="n"/>
      <c r="AB228" s="207" t="n"/>
      <c r="AC228" s="207" t="n"/>
      <c r="AD228" s="207" t="n"/>
      <c r="AE228" s="207" t="n"/>
      <c r="AF228" s="207" t="n"/>
      <c r="AG228" s="207" t="n"/>
      <c r="AH228" s="207" t="n"/>
      <c r="AI228" s="207" t="n"/>
      <c r="AJ228" s="207" t="n"/>
      <c r="AK228" s="207" t="n"/>
      <c r="AL228" s="207" t="n"/>
      <c r="AM228" s="207" t="n">
        <v>80</v>
      </c>
      <c r="AN228" s="207" t="n"/>
      <c r="AO228" s="207" t="n"/>
      <c r="AP228" s="207" t="n">
        <v>440</v>
      </c>
      <c r="AQ228" s="207" t="n">
        <v>0</v>
      </c>
      <c r="AR228" s="207" t="n">
        <v>0</v>
      </c>
      <c r="AS228" s="207" t="n">
        <v>0</v>
      </c>
      <c r="AT228" s="207" t="n">
        <v>0</v>
      </c>
      <c r="AU228" s="207" t="n">
        <v>0</v>
      </c>
      <c r="AV228" s="207" t="n">
        <v>0</v>
      </c>
      <c r="AW228" s="207" t="n">
        <v>0</v>
      </c>
      <c r="AX228" s="208" t="n">
        <v>1</v>
      </c>
      <c r="AY228" s="209">
        <f>L228*AX228+AP228+AQ228+AR228+AV228+AW228+AS228+AT228+AU228</f>
        <v/>
      </c>
      <c r="AZ228" s="207" t="n">
        <v>3761</v>
      </c>
      <c r="BA228" s="207" t="n">
        <v>0</v>
      </c>
      <c r="BB228" s="207">
        <f>AZ228*0.006</f>
        <v/>
      </c>
      <c r="BC228" s="209">
        <f>AZ228+BA228-BB228</f>
        <v/>
      </c>
      <c r="BD228" s="207" t="n">
        <v>0</v>
      </c>
      <c r="BE228" s="207" t="n">
        <v>0</v>
      </c>
      <c r="BF228" s="209">
        <f>BD228+BE228</f>
        <v/>
      </c>
      <c r="BG228" s="209">
        <f>BC228-AY228+BF228</f>
        <v/>
      </c>
      <c r="BH228" s="86" t="inlineStr">
        <is>
          <t>顾烨</t>
        </is>
      </c>
      <c r="BI228" s="210" t="inlineStr">
        <is>
          <t xml:space="preserve">
上海 上海市 浦东新区 川沙新镇营洪路486弄4号楼1404室</t>
        </is>
      </c>
      <c r="BJ228" s="210" t="inlineStr">
        <is>
          <t>18466860917-1233</t>
        </is>
      </c>
      <c r="BK228" s="86" t="n"/>
      <c r="BL228" s="210" t="n"/>
      <c r="BM228" s="93" t="n"/>
      <c r="BN228" s="94" t="n"/>
      <c r="BO228" s="93" t="n"/>
      <c r="BP228" s="86" t="n"/>
      <c r="BQ228" s="96" t="n"/>
      <c r="BR228" s="96" t="n"/>
      <c r="BS228" s="97" t="n"/>
      <c r="BT228" s="96" t="n"/>
      <c r="BU228" s="97" t="n"/>
      <c r="BV228" s="96" t="n"/>
      <c r="BW228" s="97" t="n"/>
      <c r="BX228" s="97" t="n"/>
      <c r="BY228" s="97" t="n"/>
      <c r="BZ228" s="97" t="n"/>
      <c r="CA228" s="98" t="n"/>
      <c r="CH228" s="2" t="n"/>
      <c r="CI228" s="14" t="n"/>
      <c r="CJ228" s="25" t="n"/>
      <c r="CK228" s="25" t="n"/>
      <c r="CL228" s="25" t="n"/>
      <c r="CM228" s="25" t="n"/>
      <c r="CN228" s="25" t="n"/>
      <c r="CO228" s="25" t="n"/>
      <c r="CP228" s="25" t="n"/>
      <c r="CQ228" s="25" t="n"/>
      <c r="CR228" s="25" t="n"/>
      <c r="CS228" s="25" t="n"/>
      <c r="CT228" s="25" t="n"/>
      <c r="CU228" s="25" t="n"/>
      <c r="CV228" s="25" t="n"/>
      <c r="CW228" s="25" t="n"/>
      <c r="CX228" s="25" t="n"/>
      <c r="CY228" s="25" t="n"/>
      <c r="CZ228" s="25" t="n"/>
      <c r="DC228" s="26" t="n"/>
      <c r="DD228" s="26" t="n"/>
      <c r="DE228" s="26" t="n"/>
      <c r="DF228" s="26" t="n"/>
      <c r="DG228" s="26" t="n"/>
      <c r="DH228" s="27" t="n"/>
      <c r="DJ228" s="211" t="inlineStr">
        <is>
          <t>订单表中未找到</t>
        </is>
      </c>
      <c r="DK228" t="inlineStr">
        <is>
          <t>—</t>
        </is>
      </c>
      <c r="DL228" t="inlineStr">
        <is>
          <t>—</t>
        </is>
      </c>
    </row>
    <row r="229" ht="15.75" customHeight="1" s="187">
      <c r="A229" s="84" t="n">
        <v>45891</v>
      </c>
      <c r="B229" s="206" t="inlineStr">
        <is>
          <t>已收货</t>
        </is>
      </c>
      <c r="C229" s="128" t="inlineStr">
        <is>
          <t>4697347969001018837</t>
        </is>
      </c>
      <c r="D229" s="86" t="inlineStr">
        <is>
          <t>吴生</t>
        </is>
      </c>
      <c r="E229" s="87" t="n"/>
      <c r="F229" s="87" t="n"/>
      <c r="G229" s="87" t="inlineStr">
        <is>
          <t>砂白色2.4米岩板餐桌，莎安娜岩板 换新的</t>
        </is>
      </c>
      <c r="H229" s="220" t="inlineStr">
        <is>
          <t>榉木餐桌</t>
        </is>
      </c>
      <c r="I229" s="89" t="inlineStr">
        <is>
          <t>240cm*95cm</t>
        </is>
      </c>
      <c r="J229" s="87" t="inlineStr">
        <is>
          <t>已结算</t>
        </is>
      </c>
      <c r="K229" s="86" t="inlineStr">
        <is>
          <t>江西</t>
        </is>
      </c>
      <c r="L229" s="207">
        <f>SUM(M229:AO229)</f>
        <v/>
      </c>
      <c r="M229" s="207">
        <f>1760</f>
        <v/>
      </c>
      <c r="N229" s="207" t="n"/>
      <c r="O229" s="207" t="n"/>
      <c r="P229" s="207" t="n"/>
      <c r="Q229" s="207" t="n"/>
      <c r="R229" s="207" t="n">
        <v>680</v>
      </c>
      <c r="S229" s="207" t="n"/>
      <c r="T229" s="207" t="n"/>
      <c r="U229" s="207" t="n"/>
      <c r="V229" s="207" t="n"/>
      <c r="W229" s="207" t="n"/>
      <c r="X229" s="207" t="n"/>
      <c r="Y229" s="207" t="n"/>
      <c r="Z229" s="207" t="n"/>
      <c r="AA229" s="207" t="n"/>
      <c r="AB229" s="207" t="n"/>
      <c r="AC229" s="207" t="n"/>
      <c r="AD229" s="207" t="n">
        <v>2.5</v>
      </c>
      <c r="AE229" s="207" t="n"/>
      <c r="AF229" s="207" t="n"/>
      <c r="AG229" s="207" t="n"/>
      <c r="AH229" s="207" t="n"/>
      <c r="AI229" s="207" t="n"/>
      <c r="AJ229" s="207" t="n"/>
      <c r="AK229" s="207" t="n"/>
      <c r="AL229" s="207" t="n"/>
      <c r="AM229" s="207" t="n">
        <v>140</v>
      </c>
      <c r="AN229" s="207" t="n"/>
      <c r="AO229" s="207" t="n"/>
      <c r="AP229" s="207" t="n">
        <v>174</v>
      </c>
      <c r="AQ229" s="207" t="n">
        <v>0</v>
      </c>
      <c r="AR229" s="207" t="n">
        <v>85</v>
      </c>
      <c r="AS229" s="207" t="n">
        <v>0</v>
      </c>
      <c r="AT229" s="207" t="n">
        <v>0</v>
      </c>
      <c r="AU229" s="207" t="n">
        <v>0</v>
      </c>
      <c r="AV229" s="207" t="n">
        <v>0</v>
      </c>
      <c r="AW229" s="207" t="n">
        <v>0</v>
      </c>
      <c r="AX229" s="208" t="n">
        <v>1</v>
      </c>
      <c r="AY229" s="209">
        <f>L229*AX229+AP229+AQ229+AR229+AV229+AW229+AS229+AT229+AU229</f>
        <v/>
      </c>
      <c r="AZ229" s="207" t="n">
        <v>3800</v>
      </c>
      <c r="BA229" s="207" t="n">
        <v>0</v>
      </c>
      <c r="BB229" s="207">
        <f>AZ229*0.006</f>
        <v/>
      </c>
      <c r="BC229" s="209">
        <f>AZ229+BA229-BB229</f>
        <v/>
      </c>
      <c r="BD229" s="207" t="n">
        <v>0</v>
      </c>
      <c r="BE229" s="207" t="n">
        <v>0</v>
      </c>
      <c r="BF229" s="209">
        <f>BD229+BE229</f>
        <v/>
      </c>
      <c r="BG229" s="209">
        <f>BC229-AY229+BF229</f>
        <v/>
      </c>
      <c r="BH229" s="86" t="inlineStr">
        <is>
          <t>吴生</t>
        </is>
      </c>
      <c r="BI229" s="210" t="inlineStr">
        <is>
          <t>安徽省 芜湖市 镜湖区 范罗山街道京东电器家电家居旗舰店(芜湖步行街店)</t>
        </is>
      </c>
      <c r="BJ229" s="210" t="inlineStr">
        <is>
          <t>18430870291-8598</t>
        </is>
      </c>
      <c r="BK229" s="86" t="n"/>
      <c r="BL229" s="210" t="n"/>
      <c r="BM229" s="93" t="n"/>
      <c r="BN229" s="94" t="n"/>
      <c r="BO229" s="93" t="n"/>
      <c r="BP229" s="86" t="n"/>
      <c r="BQ229" s="96" t="n"/>
      <c r="BR229" s="96" t="n"/>
      <c r="BS229" s="97" t="n"/>
      <c r="BT229" s="96" t="n"/>
      <c r="BU229" s="97" t="n"/>
      <c r="BV229" s="96" t="n"/>
      <c r="BW229" s="97" t="n"/>
      <c r="BX229" s="97" t="n"/>
      <c r="BY229" s="97" t="n"/>
      <c r="BZ229" s="97" t="n"/>
      <c r="CA229" s="98" t="n"/>
      <c r="CH229" s="2" t="n"/>
      <c r="CI229" s="14" t="n"/>
      <c r="CJ229" s="25" t="n"/>
      <c r="CK229" s="25" t="n"/>
      <c r="CL229" s="25" t="n"/>
      <c r="CM229" s="25" t="n"/>
      <c r="CN229" s="25" t="n"/>
      <c r="CO229" s="25" t="n"/>
      <c r="CP229" s="25" t="n"/>
      <c r="CQ229" s="25" t="n"/>
      <c r="CR229" s="25" t="n"/>
      <c r="CS229" s="25" t="n"/>
      <c r="CT229" s="25" t="n"/>
      <c r="CU229" s="25" t="n"/>
      <c r="CV229" s="25" t="n"/>
      <c r="CW229" s="25" t="n"/>
      <c r="CX229" s="25" t="n"/>
      <c r="CY229" s="25" t="n"/>
      <c r="CZ229" s="25" t="n"/>
      <c r="DC229" s="26" t="n"/>
      <c r="DD229" s="26" t="n"/>
      <c r="DE229" s="26" t="n"/>
      <c r="DF229" s="26" t="n"/>
      <c r="DG229" s="26" t="n"/>
      <c r="DH229" s="27" t="n"/>
      <c r="DJ229" s="211" t="inlineStr">
        <is>
          <t>订单表中未找到</t>
        </is>
      </c>
      <c r="DK229" t="inlineStr">
        <is>
          <t>—</t>
        </is>
      </c>
      <c r="DL229" t="inlineStr">
        <is>
          <t>—</t>
        </is>
      </c>
    </row>
    <row r="230" ht="15.75" customHeight="1" s="187">
      <c r="A230" s="84" t="n">
        <v>45893</v>
      </c>
      <c r="B230" s="206" t="inlineStr">
        <is>
          <t>已收货</t>
        </is>
      </c>
      <c r="C230" s="128" t="inlineStr">
        <is>
          <t>4700485119752857434</t>
        </is>
      </c>
      <c r="D230" s="86" t="inlineStr">
        <is>
          <t>施先生</t>
        </is>
      </c>
      <c r="E230" s="87" t="n"/>
      <c r="F230" s="87" t="n"/>
      <c r="G230" s="87" t="inlineStr">
        <is>
          <t>插座</t>
        </is>
      </c>
      <c r="H230" s="207" t="inlineStr">
        <is>
          <t>配件</t>
        </is>
      </c>
      <c r="I230" s="89" t="n"/>
      <c r="J230" s="87" t="inlineStr">
        <is>
          <t>已结算</t>
        </is>
      </c>
      <c r="K230" s="86" t="inlineStr">
        <is>
          <t>其他</t>
        </is>
      </c>
      <c r="L230" s="207" t="n">
        <v>55</v>
      </c>
      <c r="M230" s="207" t="n">
        <v>55</v>
      </c>
      <c r="N230" s="207" t="n"/>
      <c r="O230" s="207" t="n"/>
      <c r="P230" s="207" t="n"/>
      <c r="Q230" s="207" t="n"/>
      <c r="R230" s="207" t="n"/>
      <c r="S230" s="207" t="n"/>
      <c r="T230" s="207" t="n"/>
      <c r="U230" s="207" t="n"/>
      <c r="V230" s="207" t="n"/>
      <c r="W230" s="207" t="n"/>
      <c r="X230" s="207" t="n"/>
      <c r="Y230" s="207" t="n"/>
      <c r="Z230" s="207" t="n"/>
      <c r="AA230" s="207" t="n"/>
      <c r="AB230" s="207" t="n"/>
      <c r="AC230" s="207" t="n"/>
      <c r="AD230" s="207" t="n"/>
      <c r="AE230" s="207" t="n"/>
      <c r="AF230" s="207" t="n"/>
      <c r="AG230" s="207" t="n"/>
      <c r="AH230" s="207" t="n"/>
      <c r="AI230" s="207" t="n"/>
      <c r="AJ230" s="207" t="n"/>
      <c r="AK230" s="207" t="n"/>
      <c r="AL230" s="207" t="n"/>
      <c r="AM230" s="207" t="n">
        <v>8</v>
      </c>
      <c r="AN230" s="207" t="n"/>
      <c r="AO230" s="207" t="n"/>
      <c r="AP230" s="207" t="n"/>
      <c r="AQ230" s="207" t="n">
        <v>0</v>
      </c>
      <c r="AR230" s="207" t="n">
        <v>0</v>
      </c>
      <c r="AS230" s="207" t="n">
        <v>0</v>
      </c>
      <c r="AT230" s="207" t="n">
        <v>0</v>
      </c>
      <c r="AU230" s="207" t="n">
        <v>0</v>
      </c>
      <c r="AV230" s="207" t="n">
        <v>0</v>
      </c>
      <c r="AW230" s="207" t="n">
        <v>0</v>
      </c>
      <c r="AX230" s="208" t="n">
        <v>1</v>
      </c>
      <c r="AY230" s="209">
        <f>L230*AX230+AP230+AQ230+AR230+AV230+AW230+AS230+AT230+AU230</f>
        <v/>
      </c>
      <c r="AZ230" s="207" t="n">
        <v>100</v>
      </c>
      <c r="BA230" s="207" t="n">
        <v>0</v>
      </c>
      <c r="BB230" s="207">
        <f>AZ230*0.006</f>
        <v/>
      </c>
      <c r="BC230" s="209">
        <f>AZ230+BA230-BB230</f>
        <v/>
      </c>
      <c r="BD230" s="207" t="n">
        <v>0</v>
      </c>
      <c r="BE230" s="207" t="n">
        <v>0</v>
      </c>
      <c r="BF230" s="209">
        <f>BD230+BE230</f>
        <v/>
      </c>
      <c r="BG230" s="209">
        <f>BC230-AY230+BF230</f>
        <v/>
      </c>
      <c r="BH230" s="86" t="inlineStr">
        <is>
          <t>施先生</t>
        </is>
      </c>
      <c r="BI230" s="210" t="inlineStr">
        <is>
          <t>上海 上海市 宝山区 高境镇逸仙路1238弄43号202室</t>
        </is>
      </c>
      <c r="BJ230" s="210" t="inlineStr">
        <is>
          <t>18466693147-3200</t>
        </is>
      </c>
      <c r="BK230" s="86" t="n"/>
      <c r="BL230" s="210" t="n"/>
      <c r="BM230" s="93" t="n"/>
      <c r="BN230" s="94" t="n"/>
      <c r="BO230" s="93" t="n"/>
      <c r="BP230" s="86" t="n"/>
      <c r="BQ230" s="96" t="n"/>
      <c r="BR230" s="96" t="n"/>
      <c r="BS230" s="97" t="n"/>
      <c r="BT230" s="96" t="n"/>
      <c r="BU230" s="97" t="n"/>
      <c r="BV230" s="96" t="n"/>
      <c r="BW230" s="97" t="n"/>
      <c r="BX230" s="97" t="n"/>
      <c r="BY230" s="97" t="n"/>
      <c r="BZ230" s="97" t="n"/>
      <c r="CA230" s="98" t="n"/>
      <c r="CH230" s="2" t="n"/>
      <c r="CI230" s="14" t="n"/>
      <c r="CJ230" s="25" t="n"/>
      <c r="CK230" s="25" t="n"/>
      <c r="CL230" s="25" t="n"/>
      <c r="CM230" s="25" t="n"/>
      <c r="CN230" s="25" t="n"/>
      <c r="CO230" s="25" t="n"/>
      <c r="CP230" s="25" t="n"/>
      <c r="CQ230" s="25" t="n"/>
      <c r="CR230" s="25" t="n"/>
      <c r="CS230" s="25" t="n"/>
      <c r="CT230" s="25" t="n"/>
      <c r="CU230" s="25" t="n"/>
      <c r="CV230" s="25" t="n"/>
      <c r="CW230" s="25" t="n"/>
      <c r="CX230" s="25" t="n"/>
      <c r="CY230" s="25" t="n"/>
      <c r="CZ230" s="25" t="n"/>
      <c r="DC230" s="26" t="n"/>
      <c r="DD230" s="26" t="n"/>
      <c r="DE230" s="26" t="n"/>
      <c r="DF230" s="26" t="n"/>
      <c r="DG230" s="26" t="n"/>
      <c r="DH230" s="27" t="n"/>
      <c r="DJ230" s="211" t="inlineStr">
        <is>
          <t>订单表中未找到</t>
        </is>
      </c>
      <c r="DK230" t="inlineStr">
        <is>
          <t>—</t>
        </is>
      </c>
      <c r="DL230" t="inlineStr">
        <is>
          <t>—</t>
        </is>
      </c>
    </row>
    <row r="231" ht="15.75" customHeight="1" s="187">
      <c r="A231" s="84" t="n">
        <v>45893</v>
      </c>
      <c r="B231" s="206" t="inlineStr">
        <is>
          <t>已收货</t>
        </is>
      </c>
      <c r="C231" s="128" t="inlineStr">
        <is>
          <t>2893873155990653178</t>
        </is>
      </c>
      <c r="D231" s="86" t="inlineStr">
        <is>
          <t>张新</t>
        </is>
      </c>
      <c r="E231" s="87" t="n"/>
      <c r="F231" s="87" t="n"/>
      <c r="G231" s="87" t="inlineStr">
        <is>
          <t>组合柜</t>
        </is>
      </c>
      <c r="H231" s="207" t="inlineStr">
        <is>
          <t>组合柜</t>
        </is>
      </c>
      <c r="I231" s="89" t="n"/>
      <c r="J231" s="87" t="inlineStr">
        <is>
          <t>已结算</t>
        </is>
      </c>
      <c r="K231" s="86" t="inlineStr">
        <is>
          <t>江西</t>
        </is>
      </c>
      <c r="L231" s="207">
        <f>2600+22*2+40+18+120+130</f>
        <v/>
      </c>
      <c r="M231" s="207">
        <f>2600</f>
        <v/>
      </c>
      <c r="N231" s="207" t="inlineStr">
        <is>
          <t>22*2</t>
        </is>
      </c>
      <c r="O231" s="207" t="n">
        <v>40</v>
      </c>
      <c r="P231" s="207" t="n">
        <v>18</v>
      </c>
      <c r="Q231" s="207" t="n"/>
      <c r="R231" s="207" t="n">
        <v>120</v>
      </c>
      <c r="S231" s="207" t="n">
        <v>130</v>
      </c>
      <c r="T231" s="207" t="n"/>
      <c r="U231" s="207" t="n"/>
      <c r="V231" s="207" t="n"/>
      <c r="W231" s="207" t="n"/>
      <c r="X231" s="207" t="n"/>
      <c r="Y231" s="207" t="n"/>
      <c r="Z231" s="207" t="n"/>
      <c r="AA231" s="207" t="n"/>
      <c r="AB231" s="207" t="n"/>
      <c r="AC231" s="207" t="n"/>
      <c r="AD231" s="207" t="n"/>
      <c r="AE231" s="207" t="n"/>
      <c r="AF231" s="207" t="n"/>
      <c r="AG231" s="207" t="n"/>
      <c r="AH231" s="207" t="n"/>
      <c r="AI231" s="207" t="n"/>
      <c r="AJ231" s="207" t="n"/>
      <c r="AK231" s="207" t="n"/>
      <c r="AL231" s="207" t="n"/>
      <c r="AM231" s="207" t="n">
        <v>130</v>
      </c>
      <c r="AN231" s="207" t="n"/>
      <c r="AO231" s="207" t="n"/>
      <c r="AP231" s="207">
        <f>133-AQ231</f>
        <v/>
      </c>
      <c r="AQ231" s="207" t="n">
        <v>25</v>
      </c>
      <c r="AR231" s="207" t="n">
        <v>0</v>
      </c>
      <c r="AS231" s="207" t="n">
        <v>0</v>
      </c>
      <c r="AT231" s="207" t="n">
        <v>0</v>
      </c>
      <c r="AU231" s="207" t="n">
        <v>0</v>
      </c>
      <c r="AV231" s="207" t="n">
        <v>0</v>
      </c>
      <c r="AW231" s="207" t="n">
        <v>0</v>
      </c>
      <c r="AX231" s="208" t="n">
        <v>1</v>
      </c>
      <c r="AY231" s="209">
        <f>L231*AX231+AP231+AQ231+AR231+AV231+AW231+AS231+AT231+AU231</f>
        <v/>
      </c>
      <c r="AZ231" s="207" t="n">
        <v>4304.52</v>
      </c>
      <c r="BA231" s="207" t="n">
        <v>0</v>
      </c>
      <c r="BB231" s="207">
        <f>AZ231*0.006</f>
        <v/>
      </c>
      <c r="BC231" s="209">
        <f>AZ231+BA231-BB231</f>
        <v/>
      </c>
      <c r="BD231" s="207" t="n">
        <v>0</v>
      </c>
      <c r="BE231" s="207" t="n">
        <v>0</v>
      </c>
      <c r="BF231" s="209">
        <f>BD231+BE231</f>
        <v/>
      </c>
      <c r="BG231" s="209">
        <f>BC231-AY231+BF231</f>
        <v/>
      </c>
      <c r="BH231" s="86" t="inlineStr">
        <is>
          <t>张新</t>
        </is>
      </c>
      <c r="BI231" s="210" t="inlineStr">
        <is>
          <t>山东省 潍坊市 寿光市 圣城街道 新兴街2345号现代丽城5-2-1501</t>
        </is>
      </c>
      <c r="BJ231" s="210" t="inlineStr">
        <is>
          <t>17853644476-7641</t>
        </is>
      </c>
      <c r="BK231" s="86" t="n"/>
      <c r="BL231" s="210" t="n"/>
      <c r="BM231" s="93" t="n"/>
      <c r="BN231" s="94" t="n"/>
      <c r="BO231" s="93" t="n"/>
      <c r="BP231" s="86" t="n"/>
      <c r="BQ231" s="96" t="n"/>
      <c r="BR231" s="96" t="n"/>
      <c r="BS231" s="97" t="n"/>
      <c r="BT231" s="96" t="n"/>
      <c r="BU231" s="97" t="n"/>
      <c r="BV231" s="96" t="n"/>
      <c r="BW231" s="97" t="n"/>
      <c r="BX231" s="97" t="n"/>
      <c r="BY231" s="97" t="n"/>
      <c r="BZ231" s="97" t="n"/>
      <c r="CA231" s="98" t="n"/>
      <c r="CH231" s="2" t="n"/>
      <c r="CI231" s="14" t="n"/>
      <c r="CJ231" s="25" t="n"/>
      <c r="CK231" s="25" t="n"/>
      <c r="CL231" s="25" t="n"/>
      <c r="CM231" s="25" t="n"/>
      <c r="CN231" s="25" t="n"/>
      <c r="CO231" s="25" t="n"/>
      <c r="CP231" s="25" t="n"/>
      <c r="CQ231" s="25" t="n"/>
      <c r="CR231" s="25" t="n"/>
      <c r="CS231" s="25" t="n"/>
      <c r="CT231" s="25" t="n"/>
      <c r="CU231" s="25" t="n"/>
      <c r="CV231" s="25" t="n"/>
      <c r="CW231" s="25" t="n"/>
      <c r="CX231" s="25" t="n"/>
      <c r="CY231" s="25" t="n"/>
      <c r="CZ231" s="25" t="n"/>
      <c r="DC231" s="26" t="n"/>
      <c r="DD231" s="26" t="n"/>
      <c r="DE231" s="26" t="n"/>
      <c r="DF231" s="26" t="n"/>
      <c r="DG231" s="26" t="n"/>
      <c r="DH231" s="27" t="n"/>
      <c r="DJ231" s="211" t="inlineStr">
        <is>
          <t>订单表中未找到</t>
        </is>
      </c>
      <c r="DK231" t="inlineStr">
        <is>
          <t>—</t>
        </is>
      </c>
      <c r="DL231" t="inlineStr">
        <is>
          <t>—</t>
        </is>
      </c>
    </row>
    <row r="232" ht="15.75" customHeight="1" s="187">
      <c r="A232" s="84" t="n">
        <v>45894</v>
      </c>
      <c r="B232" s="206" t="inlineStr">
        <is>
          <t>已收货</t>
        </is>
      </c>
      <c r="C232" s="128" t="inlineStr">
        <is>
          <t>4702682701058982801</t>
        </is>
      </c>
      <c r="D232" s="86" t="inlineStr">
        <is>
          <t>馮</t>
        </is>
      </c>
      <c r="E232" s="87" t="n"/>
      <c r="F232" s="87" t="n"/>
      <c r="G232" s="87" t="inlineStr">
        <is>
          <t>黑胡桃旋转柜，上柜做鎏金板，英标</t>
        </is>
      </c>
      <c r="H232" s="207" t="inlineStr">
        <is>
          <t>旋转餐边柜</t>
        </is>
      </c>
      <c r="I232" s="89" t="n">
        <v>1200</v>
      </c>
      <c r="J232" s="87" t="inlineStr">
        <is>
          <t>已结算</t>
        </is>
      </c>
      <c r="K232" s="86" t="inlineStr">
        <is>
          <t>江西</t>
        </is>
      </c>
      <c r="L232" s="207">
        <f>SUM(M232:AM232)</f>
        <v/>
      </c>
      <c r="M232" s="207">
        <f>7400</f>
        <v/>
      </c>
      <c r="N232" s="207" t="n"/>
      <c r="O232" s="207" t="n"/>
      <c r="P232" s="207" t="n"/>
      <c r="Q232" s="207" t="n"/>
      <c r="R232" s="207" t="n"/>
      <c r="S232" s="207" t="n"/>
      <c r="T232" s="207" t="n">
        <v>411.08</v>
      </c>
      <c r="U232" s="207" t="n"/>
      <c r="V232" s="207" t="n"/>
      <c r="W232" s="207">
        <f>11.5*2</f>
        <v/>
      </c>
      <c r="X232" s="207">
        <f>22*9</f>
        <v/>
      </c>
      <c r="Y232" s="207" t="n">
        <v>25</v>
      </c>
      <c r="Z232" s="207" t="n"/>
      <c r="AA232" s="207" t="n"/>
      <c r="AB232" s="207" t="n"/>
      <c r="AC232" s="207" t="n"/>
      <c r="AD232" s="207" t="n">
        <v>30</v>
      </c>
      <c r="AE232" s="207" t="n">
        <v>2.5</v>
      </c>
      <c r="AF232" s="207" t="n">
        <v>38</v>
      </c>
      <c r="AG232" s="207" t="n"/>
      <c r="AH232" s="207" t="n"/>
      <c r="AI232" s="207" t="n"/>
      <c r="AJ232" s="207" t="n">
        <v>10</v>
      </c>
      <c r="AK232" s="207" t="n"/>
      <c r="AL232" s="207" t="n"/>
      <c r="AM232" s="207" t="n">
        <v>370</v>
      </c>
      <c r="AN232" s="207" t="n"/>
      <c r="AO232" s="207" t="n"/>
      <c r="AP232" s="207">
        <f>399-AQ232</f>
        <v/>
      </c>
      <c r="AQ232" s="207" t="n">
        <v>50</v>
      </c>
      <c r="AR232" s="207" t="n">
        <v>0</v>
      </c>
      <c r="AS232" s="207" t="n">
        <v>0</v>
      </c>
      <c r="AT232" s="207" t="n">
        <v>0</v>
      </c>
      <c r="AU232" s="207" t="n">
        <v>0</v>
      </c>
      <c r="AV232" s="207" t="n">
        <v>0</v>
      </c>
      <c r="AW232" s="207" t="n">
        <v>0</v>
      </c>
      <c r="AX232" s="208" t="n">
        <v>1</v>
      </c>
      <c r="AY232" s="209">
        <f>L232*AX232+AP232+AQ232+AR232+AV232+AW232+AS232+AT232+AU232</f>
        <v/>
      </c>
      <c r="AZ232" s="207" t="n">
        <v>15224.28</v>
      </c>
      <c r="BA232" s="207" t="n">
        <v>0</v>
      </c>
      <c r="BB232" s="207">
        <f>AZ232*0.006</f>
        <v/>
      </c>
      <c r="BC232" s="209">
        <f>AZ232+BA232-BB232</f>
        <v/>
      </c>
      <c r="BD232" s="207" t="n">
        <v>0</v>
      </c>
      <c r="BE232" s="207" t="n">
        <v>0</v>
      </c>
      <c r="BF232" s="209">
        <f>BD232+BE232</f>
        <v/>
      </c>
      <c r="BG232" s="209">
        <f>BC232-AY232+BF232</f>
        <v/>
      </c>
      <c r="BH232" s="86" t="inlineStr">
        <is>
          <t>馮</t>
        </is>
      </c>
      <c r="BI232" s="210" t="inlineStr">
        <is>
          <t>广东省 珠海市 金湾区 南水镇#Q7R7TCNQ#金湾区南水镇南站南路88号(珠海集货仓-香港)@7IWJRJB</t>
        </is>
      </c>
      <c r="BJ232" s="86" t="n">
        <v>13360463073</v>
      </c>
      <c r="BK232" s="86" t="n"/>
      <c r="BL232" s="210" t="n"/>
      <c r="BM232" s="93" t="n"/>
      <c r="BN232" s="94" t="n"/>
      <c r="BO232" s="93" t="n"/>
      <c r="BP232" s="86" t="n"/>
      <c r="BQ232" s="96" t="n"/>
      <c r="BR232" s="96" t="n"/>
      <c r="BS232" s="97" t="n"/>
      <c r="BT232" s="96" t="n"/>
      <c r="BU232" s="97" t="n"/>
      <c r="BV232" s="96" t="n"/>
      <c r="BW232" s="97" t="n"/>
      <c r="BX232" s="97" t="n"/>
      <c r="BY232" s="97" t="n"/>
      <c r="BZ232" s="97" t="n"/>
      <c r="CA232" s="98" t="n"/>
      <c r="CH232" s="2" t="n"/>
      <c r="CI232" s="14" t="n"/>
      <c r="CJ232" s="25" t="n"/>
      <c r="CK232" s="25" t="n"/>
      <c r="CL232" s="25" t="n"/>
      <c r="CM232" s="25" t="n"/>
      <c r="CN232" s="25" t="n"/>
      <c r="CO232" s="25" t="n"/>
      <c r="CP232" s="25" t="n"/>
      <c r="CQ232" s="25" t="n"/>
      <c r="CR232" s="25" t="n"/>
      <c r="CS232" s="25" t="n"/>
      <c r="CT232" s="25" t="n"/>
      <c r="CU232" s="25" t="n"/>
      <c r="CV232" s="25" t="n"/>
      <c r="CW232" s="25" t="n"/>
      <c r="CX232" s="25" t="n"/>
      <c r="CY232" s="25" t="n"/>
      <c r="CZ232" s="25" t="n"/>
      <c r="DC232" s="26" t="n"/>
      <c r="DD232" s="26" t="n"/>
      <c r="DE232" s="26" t="n"/>
      <c r="DF232" s="26" t="n"/>
      <c r="DG232" s="26" t="n"/>
      <c r="DH232" s="27" t="n"/>
      <c r="DJ232" s="211" t="inlineStr">
        <is>
          <t>订单表中未找到</t>
        </is>
      </c>
      <c r="DK232" t="inlineStr">
        <is>
          <t>—</t>
        </is>
      </c>
      <c r="DL232" t="inlineStr">
        <is>
          <t>—</t>
        </is>
      </c>
    </row>
    <row r="233" ht="15.75" customHeight="1" s="187">
      <c r="A233" s="84" t="n">
        <v>45896</v>
      </c>
      <c r="B233" s="206" t="inlineStr">
        <is>
          <t>已收货</t>
        </is>
      </c>
      <c r="C233" s="86" t="inlineStr">
        <is>
          <t>2898497751980739958</t>
        </is>
      </c>
      <c r="D233" s="110" t="inlineStr">
        <is>
          <t>潘</t>
        </is>
      </c>
      <c r="E233" s="87" t="inlineStr">
        <is>
          <t>已发货</t>
        </is>
      </c>
      <c r="F233" s="87" t="n"/>
      <c r="G233" s="87" t="inlineStr">
        <is>
          <t>砂白色2.0米岩板餐桌</t>
        </is>
      </c>
      <c r="H233" s="207" t="inlineStr">
        <is>
          <t>榉木餐桌</t>
        </is>
      </c>
      <c r="I233" s="218" t="inlineStr">
        <is>
          <t>200cm*85cm</t>
        </is>
      </c>
      <c r="J233" s="87" t="inlineStr">
        <is>
          <t>已结算</t>
        </is>
      </c>
      <c r="K233" s="86" t="inlineStr">
        <is>
          <t>庄毅</t>
        </is>
      </c>
      <c r="L233" s="207">
        <f>SUM(M233:AO233)</f>
        <v/>
      </c>
      <c r="M233" s="207">
        <f>1630</f>
        <v/>
      </c>
      <c r="N233" s="207" t="n"/>
      <c r="O233" s="207" t="n"/>
      <c r="P233" s="207" t="n"/>
      <c r="Q233" s="207" t="n"/>
      <c r="R233" s="207">
        <f>2*0.85*180*2</f>
        <v/>
      </c>
      <c r="S233" s="207" t="n"/>
      <c r="T233" s="207" t="n"/>
      <c r="U233" s="207" t="n"/>
      <c r="V233" s="207" t="n"/>
      <c r="W233" s="207" t="n"/>
      <c r="X233" s="207" t="n"/>
      <c r="Y233" s="207" t="n"/>
      <c r="Z233" s="207" t="n"/>
      <c r="AA233" s="207" t="n"/>
      <c r="AB233" s="207" t="n"/>
      <c r="AC233" s="207" t="n"/>
      <c r="AD233" s="207" t="n">
        <v>2.5</v>
      </c>
      <c r="AE233" s="207" t="n"/>
      <c r="AF233" s="207" t="n"/>
      <c r="AG233" s="207" t="n"/>
      <c r="AH233" s="207" t="n"/>
      <c r="AI233" s="207" t="n"/>
      <c r="AJ233" s="207" t="n"/>
      <c r="AK233" s="207" t="n"/>
      <c r="AL233" s="207" t="n"/>
      <c r="AM233" s="207" t="n"/>
      <c r="AN233" s="207" t="n"/>
      <c r="AO233" s="207" t="n"/>
      <c r="AP233" s="207" t="n">
        <v>846</v>
      </c>
      <c r="AQ233" s="207" t="n">
        <v>0</v>
      </c>
      <c r="AR233" s="207">
        <f>50+97</f>
        <v/>
      </c>
      <c r="AS233" s="207" t="n">
        <v>0</v>
      </c>
      <c r="AT233" s="207" t="n">
        <v>0</v>
      </c>
      <c r="AU233" s="207" t="n">
        <v>0</v>
      </c>
      <c r="AV233" s="207" t="n">
        <v>0</v>
      </c>
      <c r="AW233" s="207" t="n">
        <v>0</v>
      </c>
      <c r="AX233" s="208" t="n">
        <v>1</v>
      </c>
      <c r="AY233" s="209">
        <f>L233*AX233+AP233+AQ233+AR233+AV233+AW233+AS233+AT233+AU233</f>
        <v/>
      </c>
      <c r="AZ233" s="207" t="n">
        <v>3047.2</v>
      </c>
      <c r="BA233" s="207" t="n">
        <v>0</v>
      </c>
      <c r="BB233" s="207">
        <f>AZ233*0.006</f>
        <v/>
      </c>
      <c r="BC233" s="209">
        <f>AZ233+BA233-BB233</f>
        <v/>
      </c>
      <c r="BD233" s="207" t="n">
        <v>0</v>
      </c>
      <c r="BE233" s="207" t="n">
        <v>0</v>
      </c>
      <c r="BF233" s="209">
        <f>BD233+BE233</f>
        <v/>
      </c>
      <c r="BG233" s="209">
        <f>BC233-AY233+BF233</f>
        <v/>
      </c>
      <c r="BH233" s="87" t="inlineStr">
        <is>
          <t>潘</t>
        </is>
      </c>
      <c r="BI233" s="210" t="inlineStr">
        <is>
          <t>吉林省 长春市 榆树市 华昌街道 清华帝景c区10栋3单元2803</t>
        </is>
      </c>
      <c r="BJ233" s="86" t="inlineStr">
        <is>
          <t>18445787198-9223</t>
        </is>
      </c>
      <c r="BK233" s="86" t="inlineStr">
        <is>
          <t>JDV022781041783，2件</t>
        </is>
      </c>
      <c r="BL233" s="210">
        <f>BC233</f>
        <v/>
      </c>
      <c r="BM233" s="93" t="n"/>
      <c r="BN233" s="94" t="n"/>
      <c r="BO233" s="93" t="n"/>
      <c r="BP233" s="86" t="n"/>
      <c r="BQ233" s="96" t="n"/>
      <c r="BR233" s="96" t="n"/>
      <c r="BS233" s="97" t="n"/>
      <c r="BT233" s="96" t="n"/>
      <c r="BU233" s="97" t="n"/>
      <c r="BV233" s="96" t="n"/>
      <c r="BW233" s="97" t="n"/>
      <c r="BX233" s="97" t="n"/>
      <c r="BY233" s="97" t="n"/>
      <c r="BZ233" s="97" t="n"/>
      <c r="CA233" s="98" t="n"/>
      <c r="CH233" s="2" t="n"/>
      <c r="CI233" s="14">
        <f>CJ233&amp;CK233</f>
        <v/>
      </c>
      <c r="CJ233" s="25" t="n"/>
      <c r="CK233" s="25" t="n"/>
      <c r="CL233" s="25" t="n"/>
      <c r="CM233" s="25" t="n"/>
      <c r="CN233" s="25" t="n"/>
      <c r="CO233" s="25" t="n"/>
      <c r="CP233" s="25" t="n"/>
      <c r="CQ233" s="25" t="n"/>
      <c r="CR233" s="25" t="n"/>
      <c r="CS233" s="25" t="n"/>
      <c r="CT233" s="25" t="n"/>
      <c r="CU233" s="25" t="n"/>
      <c r="CV233" s="25" t="n"/>
      <c r="CW233" s="25" t="n"/>
      <c r="CX233" s="25" t="n"/>
      <c r="CY233" s="25" t="n"/>
      <c r="CZ233" s="25" t="n"/>
      <c r="DC233" s="26" t="n"/>
      <c r="DD233" s="26" t="n"/>
      <c r="DE233" s="26" t="n"/>
      <c r="DF233" s="26" t="n"/>
      <c r="DG233" s="26" t="n"/>
      <c r="DH233" s="27" t="n"/>
      <c r="DJ233" s="211" t="inlineStr">
        <is>
          <t>订单表中未找到</t>
        </is>
      </c>
      <c r="DK233" t="inlineStr">
        <is>
          <t>—</t>
        </is>
      </c>
      <c r="DL233" t="inlineStr">
        <is>
          <t>—</t>
        </is>
      </c>
    </row>
    <row r="234" ht="15.75" customHeight="1" s="187">
      <c r="A234" s="84" t="n">
        <v>45897</v>
      </c>
      <c r="B234" s="206" t="inlineStr">
        <is>
          <t>已收货</t>
        </is>
      </c>
      <c r="C234" s="86" t="inlineStr">
        <is>
          <t>4706761863858390237</t>
        </is>
      </c>
      <c r="D234" s="110" t="inlineStr">
        <is>
          <t>雷洁</t>
        </is>
      </c>
      <c r="E234" s="87" t="inlineStr">
        <is>
          <t>已发货</t>
        </is>
      </c>
      <c r="F234" s="87" t="n"/>
      <c r="G234" s="87" t="inlineStr">
        <is>
          <t>砂白色1.6米岩板餐桌</t>
        </is>
      </c>
      <c r="H234" s="207" t="inlineStr">
        <is>
          <t>榉木餐桌</t>
        </is>
      </c>
      <c r="I234" s="89" t="inlineStr">
        <is>
          <t>160cm*85cm</t>
        </is>
      </c>
      <c r="J234" s="87" t="inlineStr">
        <is>
          <t>已结算</t>
        </is>
      </c>
      <c r="K234" s="86" t="inlineStr">
        <is>
          <t>庄毅</t>
        </is>
      </c>
      <c r="L234" s="207">
        <f>SUM(M234:AO234)</f>
        <v/>
      </c>
      <c r="M234" s="207">
        <f>1530</f>
        <v/>
      </c>
      <c r="N234" s="207" t="n"/>
      <c r="O234" s="207" t="n"/>
      <c r="P234" s="207" t="n"/>
      <c r="Q234" s="207" t="n"/>
      <c r="R234" s="207">
        <f>1.6*0.85*180</f>
        <v/>
      </c>
      <c r="S234" s="207" t="n"/>
      <c r="T234" s="207" t="n"/>
      <c r="U234" s="207" t="n"/>
      <c r="V234" s="207" t="n"/>
      <c r="W234" s="207" t="n"/>
      <c r="X234" s="207" t="n"/>
      <c r="Y234" s="207" t="n"/>
      <c r="Z234" s="207" t="n"/>
      <c r="AA234" s="207" t="n"/>
      <c r="AB234" s="207" t="n"/>
      <c r="AC234" s="207" t="n"/>
      <c r="AD234" s="207" t="n">
        <v>2.5</v>
      </c>
      <c r="AE234" s="207" t="n"/>
      <c r="AF234" s="207" t="n"/>
      <c r="AG234" s="207" t="n"/>
      <c r="AH234" s="207" t="n"/>
      <c r="AI234" s="207" t="n"/>
      <c r="AJ234" s="207" t="n"/>
      <c r="AK234" s="207" t="n"/>
      <c r="AL234" s="207" t="n"/>
      <c r="AM234" s="207" t="n"/>
      <c r="AN234" s="207" t="n"/>
      <c r="AO234" s="207" t="n"/>
      <c r="AP234" s="207" t="n">
        <v>365</v>
      </c>
      <c r="AQ234" s="207" t="n">
        <v>0</v>
      </c>
      <c r="AR234" s="207" t="n">
        <v>90</v>
      </c>
      <c r="AS234" s="207" t="n">
        <v>0</v>
      </c>
      <c r="AT234" s="207" t="n">
        <v>0</v>
      </c>
      <c r="AU234" s="207" t="n">
        <v>0</v>
      </c>
      <c r="AV234" s="207" t="n">
        <v>0</v>
      </c>
      <c r="AW234" s="207" t="n">
        <v>0</v>
      </c>
      <c r="AX234" s="208" t="n">
        <v>1</v>
      </c>
      <c r="AY234" s="209">
        <f>L234*AX234+AP234+AQ234+AR234+AV234+AW234+AS234+AT234+AU234</f>
        <v/>
      </c>
      <c r="AZ234" s="207" t="n">
        <v>2796.21</v>
      </c>
      <c r="BA234" s="207" t="n">
        <v>0</v>
      </c>
      <c r="BB234" s="207">
        <f>AZ234*0.006</f>
        <v/>
      </c>
      <c r="BC234" s="209">
        <f>AZ234+BA234-BB234</f>
        <v/>
      </c>
      <c r="BD234" s="207" t="n">
        <v>0</v>
      </c>
      <c r="BE234" s="207" t="n">
        <v>0</v>
      </c>
      <c r="BF234" s="209">
        <f>BD234+BE234</f>
        <v/>
      </c>
      <c r="BG234" s="209">
        <f>BC234-AY234+BF234</f>
        <v/>
      </c>
      <c r="BH234" s="87" t="inlineStr">
        <is>
          <t>雷洁</t>
        </is>
      </c>
      <c r="BI234" s="210" t="inlineStr">
        <is>
          <t xml:space="preserve">重庆 重庆市 北碚区 歇马街道 龙湖紫云台千山阅小区洋房区2栋2单元3-1 </t>
        </is>
      </c>
      <c r="BJ234" s="86" t="inlineStr">
        <is>
          <t>18418996834-3955</t>
        </is>
      </c>
      <c r="BK234" s="86" t="inlineStr">
        <is>
          <t>JDV022781020258，2件</t>
        </is>
      </c>
      <c r="BL234" s="210">
        <f>BC234</f>
        <v/>
      </c>
      <c r="BM234" s="93" t="n"/>
      <c r="BN234" s="94" t="n"/>
      <c r="BO234" s="93" t="n"/>
      <c r="BP234" s="86" t="n"/>
      <c r="BQ234" s="96" t="n"/>
      <c r="BR234" s="96" t="n"/>
      <c r="BS234" s="97" t="n"/>
      <c r="BT234" s="96" t="n"/>
      <c r="BU234" s="97" t="n"/>
      <c r="BV234" s="96" t="n"/>
      <c r="BW234" s="97" t="n"/>
      <c r="BX234" s="97" t="n"/>
      <c r="BY234" s="97" t="n"/>
      <c r="BZ234" s="97" t="n"/>
      <c r="CA234" s="98" t="n"/>
      <c r="CH234" s="2" t="n"/>
      <c r="CI234" s="14">
        <f>CJ234&amp;CK234</f>
        <v/>
      </c>
      <c r="CJ234" s="25" t="n"/>
      <c r="CK234" s="25" t="n"/>
      <c r="CL234" s="25" t="n"/>
      <c r="CM234" s="25" t="n"/>
      <c r="CN234" s="25" t="n"/>
      <c r="CO234" s="25" t="n"/>
      <c r="CP234" s="25" t="n"/>
      <c r="CQ234" s="25" t="n"/>
      <c r="CR234" s="25" t="n"/>
      <c r="CS234" s="25" t="n"/>
      <c r="CT234" s="25" t="n"/>
      <c r="CU234" s="25" t="n"/>
      <c r="CV234" s="25" t="n"/>
      <c r="CW234" s="25" t="n"/>
      <c r="CX234" s="25" t="n"/>
      <c r="CY234" s="25" t="n"/>
      <c r="CZ234" s="25" t="n"/>
      <c r="DC234" s="26" t="n"/>
      <c r="DD234" s="26" t="n"/>
      <c r="DE234" s="26" t="n"/>
      <c r="DF234" s="26" t="n"/>
      <c r="DG234" s="26" t="n"/>
      <c r="DH234" s="27" t="n"/>
      <c r="DJ234" s="211" t="inlineStr">
        <is>
          <t>订单表中未找到</t>
        </is>
      </c>
      <c r="DK234" t="inlineStr">
        <is>
          <t>—</t>
        </is>
      </c>
      <c r="DL234" t="inlineStr">
        <is>
          <t>—</t>
        </is>
      </c>
    </row>
    <row r="235" ht="15.75" customHeight="1" s="187">
      <c r="A235" s="84" t="n">
        <v>45897</v>
      </c>
      <c r="B235" s="206" t="inlineStr">
        <is>
          <t>已收货</t>
        </is>
      </c>
      <c r="C235" s="128" t="inlineStr">
        <is>
          <t>4706978365732600709</t>
        </is>
      </c>
      <c r="D235" s="86" t="inlineStr">
        <is>
          <t>孙栋</t>
        </is>
      </c>
      <c r="E235" s="87" t="n"/>
      <c r="F235" s="87" t="n"/>
      <c r="G235" s="87" t="inlineStr">
        <is>
          <t>樱桃木白色岩板餐桌2000*900</t>
        </is>
      </c>
      <c r="H235" s="207" t="inlineStr">
        <is>
          <t>樱桃木餐桌</t>
        </is>
      </c>
      <c r="I235" s="89" t="inlineStr">
        <is>
          <t>200cm*90cm</t>
        </is>
      </c>
      <c r="J235" s="87" t="inlineStr">
        <is>
          <t>已结算</t>
        </is>
      </c>
      <c r="K235" s="86" t="inlineStr">
        <is>
          <t>江西</t>
        </is>
      </c>
      <c r="L235" s="207">
        <f>540+1800+130+2.5</f>
        <v/>
      </c>
      <c r="M235" s="207">
        <f>540</f>
        <v/>
      </c>
      <c r="N235" s="207" t="n">
        <v>1800</v>
      </c>
      <c r="O235" s="207" t="n">
        <v>130</v>
      </c>
      <c r="P235" s="207" t="n">
        <v>2.5</v>
      </c>
      <c r="Q235" s="207" t="n"/>
      <c r="R235" s="207" t="n"/>
      <c r="S235" s="207" t="n"/>
      <c r="T235" s="207" t="n"/>
      <c r="U235" s="207" t="n"/>
      <c r="V235" s="207" t="n"/>
      <c r="W235" s="207" t="n"/>
      <c r="X235" s="207" t="n"/>
      <c r="Y235" s="207" t="n"/>
      <c r="Z235" s="207" t="n"/>
      <c r="AA235" s="207" t="n"/>
      <c r="AB235" s="207" t="n"/>
      <c r="AC235" s="207" t="n"/>
      <c r="AD235" s="207" t="n"/>
      <c r="AE235" s="207" t="n"/>
      <c r="AF235" s="207" t="n"/>
      <c r="AG235" s="207" t="n"/>
      <c r="AH235" s="207" t="n"/>
      <c r="AI235" s="207" t="n"/>
      <c r="AJ235" s="207" t="n"/>
      <c r="AK235" s="207" t="n"/>
      <c r="AL235" s="207" t="n"/>
      <c r="AM235" s="207" t="n">
        <v>130</v>
      </c>
      <c r="AN235" s="207" t="n"/>
      <c r="AO235" s="207" t="n">
        <v>540</v>
      </c>
      <c r="AP235" s="207">
        <f>202-AQ235</f>
        <v/>
      </c>
      <c r="AQ235" s="207" t="n">
        <v>40</v>
      </c>
      <c r="AR235" s="207" t="n">
        <v>88</v>
      </c>
      <c r="AS235" s="207" t="n">
        <v>0</v>
      </c>
      <c r="AT235" s="207" t="n">
        <v>0</v>
      </c>
      <c r="AU235" s="207" t="n">
        <v>0</v>
      </c>
      <c r="AV235" s="207" t="n">
        <v>0</v>
      </c>
      <c r="AW235" s="207" t="n">
        <v>0</v>
      </c>
      <c r="AX235" s="208" t="n">
        <v>1</v>
      </c>
      <c r="AY235" s="209">
        <f>L235*AX235+AP235+AQ235+AR235+AV235+AW235+AS235+AT235+AU235</f>
        <v/>
      </c>
      <c r="AZ235" s="207" t="n">
        <v>3897</v>
      </c>
      <c r="BA235" s="207" t="n">
        <v>0</v>
      </c>
      <c r="BB235" s="207">
        <f>AZ235*0.006</f>
        <v/>
      </c>
      <c r="BC235" s="209">
        <f>AZ235+BA235-BB235</f>
        <v/>
      </c>
      <c r="BD235" s="207" t="n">
        <v>0</v>
      </c>
      <c r="BE235" s="207" t="n">
        <v>0</v>
      </c>
      <c r="BF235" s="209">
        <f>BD235+BE235</f>
        <v/>
      </c>
      <c r="BG235" s="209">
        <f>BC235-AY235+BF235</f>
        <v/>
      </c>
      <c r="BH235" s="86" t="inlineStr">
        <is>
          <t>孙栋</t>
        </is>
      </c>
      <c r="BI235" s="210" t="inlineStr">
        <is>
          <t>山东省 济南市 历下区 龙洞街道海尔绿城全运村桂花园南区29号楼1单元701（一定放家门口）</t>
        </is>
      </c>
      <c r="BJ235" s="210" t="inlineStr">
        <is>
          <t>17895313283-4530</t>
        </is>
      </c>
      <c r="BK235" s="86" t="n"/>
      <c r="BL235" s="210" t="n"/>
      <c r="BM235" s="93" t="n"/>
      <c r="BN235" s="94" t="n"/>
      <c r="BO235" s="93" t="n"/>
      <c r="BP235" s="86" t="n"/>
      <c r="BQ235" s="96" t="n"/>
      <c r="BR235" s="96" t="n"/>
      <c r="BS235" s="97" t="n"/>
      <c r="BT235" s="96" t="n"/>
      <c r="BU235" s="97" t="n"/>
      <c r="BV235" s="96" t="n"/>
      <c r="BW235" s="97" t="n"/>
      <c r="BX235" s="97" t="n"/>
      <c r="BY235" s="97" t="n"/>
      <c r="BZ235" s="97" t="n"/>
      <c r="CA235" s="98" t="n"/>
      <c r="CH235" s="2" t="n"/>
      <c r="CI235" s="14" t="n"/>
      <c r="CJ235" s="25" t="n"/>
      <c r="CK235" s="25" t="n"/>
      <c r="CL235" s="25" t="n"/>
      <c r="CM235" s="25" t="n"/>
      <c r="CN235" s="25" t="n"/>
      <c r="CO235" s="25" t="n"/>
      <c r="CP235" s="25" t="n"/>
      <c r="CQ235" s="25" t="n"/>
      <c r="CR235" s="25" t="n"/>
      <c r="CS235" s="25" t="n"/>
      <c r="CT235" s="25" t="n"/>
      <c r="CU235" s="25" t="n"/>
      <c r="CV235" s="25" t="n"/>
      <c r="CW235" s="25" t="n"/>
      <c r="CX235" s="25" t="n"/>
      <c r="CY235" s="25" t="n"/>
      <c r="CZ235" s="25" t="n"/>
      <c r="DC235" s="26" t="n"/>
      <c r="DD235" s="26" t="n"/>
      <c r="DE235" s="26" t="n"/>
      <c r="DF235" s="26" t="n"/>
      <c r="DG235" s="26" t="n"/>
      <c r="DH235" s="27" t="n"/>
      <c r="DJ235" s="211" t="inlineStr">
        <is>
          <t>订单表中未找到</t>
        </is>
      </c>
      <c r="DK235" t="inlineStr">
        <is>
          <t>—</t>
        </is>
      </c>
      <c r="DL235" t="inlineStr">
        <is>
          <t>—</t>
        </is>
      </c>
    </row>
    <row r="236" ht="15.75" customHeight="1" s="187">
      <c r="A236" s="84" t="n">
        <v>45897</v>
      </c>
      <c r="B236" s="206" t="inlineStr">
        <is>
          <t>已收货</t>
        </is>
      </c>
      <c r="C236" s="128" t="inlineStr">
        <is>
          <t>4708162153774132019</t>
        </is>
      </c>
      <c r="D236" s="86" t="inlineStr">
        <is>
          <t>宋小姐</t>
        </is>
      </c>
      <c r="E236" s="87" t="n"/>
      <c r="F236" s="87" t="n"/>
      <c r="G236" s="87" t="inlineStr">
        <is>
          <t>樱桃木基础柜：下柜1500*480*880 上柜1500*300*1100</t>
        </is>
      </c>
      <c r="H236" s="207" t="inlineStr">
        <is>
          <t>基础餐边柜</t>
        </is>
      </c>
      <c r="I236" s="89" t="n">
        <v>1500</v>
      </c>
      <c r="J236" s="87" t="inlineStr">
        <is>
          <t>已结算</t>
        </is>
      </c>
      <c r="K236" s="86" t="inlineStr">
        <is>
          <t>庄毅</t>
        </is>
      </c>
      <c r="L236" s="207">
        <f>4530+260+554+180*1.5*0.48+30+33+41+20+30*5</f>
        <v/>
      </c>
      <c r="M236" s="207">
        <f>4530</f>
        <v/>
      </c>
      <c r="N236" s="207" t="n">
        <v>260</v>
      </c>
      <c r="O236" s="207" t="n">
        <v>554</v>
      </c>
      <c r="P236" s="207" t="inlineStr">
        <is>
          <t>180*1.5*0.48</t>
        </is>
      </c>
      <c r="Q236" s="207" t="n"/>
      <c r="R236" s="207" t="n">
        <v>30</v>
      </c>
      <c r="S236" s="207" t="n">
        <v>33</v>
      </c>
      <c r="T236" s="207" t="n">
        <v>41</v>
      </c>
      <c r="U236" s="207" t="n"/>
      <c r="V236" s="207" t="n"/>
      <c r="W236" s="207" t="n">
        <v>20</v>
      </c>
      <c r="X236" s="207" t="inlineStr">
        <is>
          <t>30*5</t>
        </is>
      </c>
      <c r="Y236" s="207" t="n"/>
      <c r="Z236" s="207" t="n"/>
      <c r="AA236" s="207" t="n"/>
      <c r="AB236" s="207" t="n"/>
      <c r="AC236" s="207" t="n"/>
      <c r="AD236" s="207" t="n"/>
      <c r="AE236" s="207" t="n"/>
      <c r="AF236" s="207" t="n"/>
      <c r="AG236" s="207" t="n"/>
      <c r="AH236" s="207" t="n"/>
      <c r="AI236" s="207" t="n"/>
      <c r="AJ236" s="207" t="n"/>
      <c r="AK236" s="207" t="n"/>
      <c r="AL236" s="207" t="n"/>
      <c r="AM236" s="207" t="n"/>
      <c r="AN236" s="207" t="n"/>
      <c r="AO236" s="207" t="n"/>
      <c r="AP236" s="207" t="n">
        <v>327</v>
      </c>
      <c r="AQ236" s="207" t="n">
        <v>0</v>
      </c>
      <c r="AR236" s="207" t="n">
        <v>90</v>
      </c>
      <c r="AS236" s="207" t="n">
        <v>0</v>
      </c>
      <c r="AT236" s="207" t="n">
        <v>0</v>
      </c>
      <c r="AU236" s="207" t="n">
        <v>0</v>
      </c>
      <c r="AV236" s="207" t="n">
        <v>0</v>
      </c>
      <c r="AW236" s="207" t="n">
        <v>0</v>
      </c>
      <c r="AX236" s="208" t="n">
        <v>1</v>
      </c>
      <c r="AY236" s="209">
        <f>L236*AX236+AP236+AQ236+AR236+AV236+AW236+AS236+AT236+AU236</f>
        <v/>
      </c>
      <c r="AZ236" s="207">
        <f>7518.7+425</f>
        <v/>
      </c>
      <c r="BA236" s="207" t="n">
        <v>0</v>
      </c>
      <c r="BB236" s="207">
        <f>AZ236*0.006</f>
        <v/>
      </c>
      <c r="BC236" s="209">
        <f>AZ236+BA236-BB236</f>
        <v/>
      </c>
      <c r="BD236" s="207" t="n">
        <v>0</v>
      </c>
      <c r="BE236" s="207" t="n">
        <v>0</v>
      </c>
      <c r="BF236" s="209">
        <f>BD236+BE236</f>
        <v/>
      </c>
      <c r="BG236" s="209">
        <f>BC236-AY236+BF236</f>
        <v/>
      </c>
      <c r="BH236" s="86" t="inlineStr">
        <is>
          <t>宋小姐</t>
        </is>
      </c>
      <c r="BI236" s="210" t="inlineStr">
        <is>
          <t>上海上海市 青浦区 赵巷镇佳旭路1088弄云河璟庭3号402室</t>
        </is>
      </c>
      <c r="BJ236" s="210" t="inlineStr">
        <is>
          <t>18466990466-7199</t>
        </is>
      </c>
      <c r="BK236" s="86" t="n"/>
      <c r="BL236" s="210" t="n"/>
      <c r="BM236" s="93" t="n"/>
      <c r="BN236" s="94" t="n"/>
      <c r="BO236" s="93" t="n"/>
      <c r="BP236" s="86" t="n"/>
      <c r="BQ236" s="96" t="n"/>
      <c r="BR236" s="96" t="n"/>
      <c r="BS236" s="97" t="n"/>
      <c r="BT236" s="96" t="n"/>
      <c r="BU236" s="97" t="n"/>
      <c r="BV236" s="96" t="n"/>
      <c r="BW236" s="97" t="n"/>
      <c r="BX236" s="97" t="n"/>
      <c r="BY236" s="97" t="n"/>
      <c r="BZ236" s="97" t="n"/>
      <c r="CA236" s="98" t="n"/>
      <c r="CH236" s="2" t="n"/>
      <c r="CI236" s="14" t="n"/>
      <c r="CJ236" s="25" t="n"/>
      <c r="CK236" s="25" t="n"/>
      <c r="CL236" s="25" t="n"/>
      <c r="CM236" s="25" t="n"/>
      <c r="CN236" s="25" t="n"/>
      <c r="CO236" s="25" t="n"/>
      <c r="CP236" s="25" t="n"/>
      <c r="CQ236" s="25" t="n"/>
      <c r="CR236" s="25" t="n"/>
      <c r="CS236" s="25" t="n"/>
      <c r="CT236" s="25" t="n"/>
      <c r="CU236" s="25" t="n"/>
      <c r="CV236" s="25" t="n"/>
      <c r="CW236" s="25" t="n"/>
      <c r="CX236" s="25" t="n"/>
      <c r="CY236" s="25" t="n"/>
      <c r="CZ236" s="25" t="n"/>
      <c r="DC236" s="26" t="n"/>
      <c r="DD236" s="26" t="n"/>
      <c r="DE236" s="26" t="n"/>
      <c r="DF236" s="26" t="n"/>
      <c r="DG236" s="26" t="n"/>
      <c r="DH236" s="27" t="n"/>
      <c r="DJ236" s="211" t="inlineStr">
        <is>
          <t>订单表中未找到</t>
        </is>
      </c>
      <c r="DK236" t="inlineStr">
        <is>
          <t>—</t>
        </is>
      </c>
      <c r="DL236" t="inlineStr">
        <is>
          <t>—</t>
        </is>
      </c>
    </row>
    <row r="237" ht="15.75" customHeight="1" s="187">
      <c r="A237" s="99" t="n">
        <v>45897</v>
      </c>
      <c r="B237" s="223" t="inlineStr">
        <is>
          <t>退单</t>
        </is>
      </c>
      <c r="C237" s="101" t="inlineStr">
        <is>
          <t>2899538401952196265</t>
        </is>
      </c>
      <c r="D237" s="109" t="inlineStr">
        <is>
          <t>杨先生</t>
        </is>
      </c>
      <c r="E237" s="100" t="n"/>
      <c r="F237" s="100" t="n"/>
      <c r="G237" s="100" t="inlineStr">
        <is>
          <t>2.1榉木柜</t>
        </is>
      </c>
      <c r="H237" s="215" t="inlineStr">
        <is>
          <t>榉木餐边柜</t>
        </is>
      </c>
      <c r="I237" s="221" t="n"/>
      <c r="J237" s="100" t="inlineStr">
        <is>
          <t>已结算</t>
        </is>
      </c>
      <c r="K237" s="100" t="inlineStr">
        <is>
          <t>庄毅</t>
        </is>
      </c>
      <c r="L237" s="212" t="n">
        <v>0</v>
      </c>
      <c r="M237" s="207" t="n">
        <v>0</v>
      </c>
      <c r="N237" s="207" t="n"/>
      <c r="O237" s="207" t="n"/>
      <c r="P237" s="207" t="n"/>
      <c r="Q237" s="207" t="n"/>
      <c r="R237" s="207" t="n"/>
      <c r="S237" s="207" t="n"/>
      <c r="T237" s="207" t="n"/>
      <c r="U237" s="207" t="n"/>
      <c r="V237" s="207" t="n"/>
      <c r="W237" s="207" t="n"/>
      <c r="X237" s="207" t="n"/>
      <c r="Y237" s="207" t="n"/>
      <c r="Z237" s="207" t="n"/>
      <c r="AA237" s="207" t="n"/>
      <c r="AB237" s="207" t="n"/>
      <c r="AC237" s="207" t="n"/>
      <c r="AD237" s="207" t="n"/>
      <c r="AE237" s="207" t="n"/>
      <c r="AF237" s="207" t="n"/>
      <c r="AG237" s="207" t="n"/>
      <c r="AH237" s="207" t="n"/>
      <c r="AI237" s="207" t="n"/>
      <c r="AJ237" s="207" t="n"/>
      <c r="AK237" s="207" t="n"/>
      <c r="AL237" s="207" t="n"/>
      <c r="AM237" s="207" t="n"/>
      <c r="AN237" s="207" t="n"/>
      <c r="AO237" s="207" t="n"/>
      <c r="AP237" s="213" t="n"/>
      <c r="AQ237" s="213" t="n"/>
      <c r="AR237" s="213" t="n"/>
      <c r="AS237" s="213" t="n"/>
      <c r="AT237" s="213" t="n"/>
      <c r="AU237" s="213" t="n"/>
      <c r="AV237" s="213" t="n"/>
      <c r="AW237" s="213" t="n">
        <v>500</v>
      </c>
      <c r="AX237" s="214" t="n">
        <v>1</v>
      </c>
      <c r="AY237" s="213">
        <f>L237*AX237+AP237+AQ237+AR237+AV237+AW237+AS237+AT237+AU237</f>
        <v/>
      </c>
      <c r="AZ237" s="213" t="n">
        <v>0</v>
      </c>
      <c r="BA237" s="213" t="n">
        <v>0</v>
      </c>
      <c r="BB237" s="213">
        <f>AZ237*0.006</f>
        <v/>
      </c>
      <c r="BC237" s="213">
        <f>AZ237+BA237-BB237</f>
        <v/>
      </c>
      <c r="BD237" s="213" t="n">
        <v>500</v>
      </c>
      <c r="BE237" s="213" t="n">
        <v>0</v>
      </c>
      <c r="BF237" s="213">
        <f>BD237+BE237</f>
        <v/>
      </c>
      <c r="BG237" s="213">
        <f>BC237-AY237+BF237</f>
        <v/>
      </c>
      <c r="BH237" s="101" t="inlineStr">
        <is>
          <t>杨先生</t>
        </is>
      </c>
      <c r="BI237" s="219" t="inlineStr">
        <is>
          <t>云南省 昆明市 西山区 前卫街道前卫西路与广福路交叉口东北180米奥宸财富广场一期</t>
        </is>
      </c>
      <c r="BJ237" s="219" t="inlineStr">
        <is>
          <t>17898712416-9361</t>
        </is>
      </c>
      <c r="BK237" s="101" t="n"/>
      <c r="BL237" s="219" t="n"/>
      <c r="BM237" s="123" t="n"/>
      <c r="BN237" s="108" t="n"/>
      <c r="BO237" s="123" t="n"/>
      <c r="BP237" s="101" t="n"/>
      <c r="BQ237" s="109" t="n"/>
      <c r="BR237" s="109" t="n"/>
      <c r="BS237" s="100" t="n"/>
      <c r="BT237" s="109" t="n"/>
      <c r="BU237" s="100" t="n"/>
      <c r="BV237" s="109" t="n"/>
      <c r="BW237" s="100" t="n"/>
      <c r="BX237" s="100" t="n"/>
      <c r="BY237" s="100" t="n"/>
      <c r="BZ237" s="100" t="n"/>
      <c r="CA237" s="98" t="n"/>
      <c r="CH237" s="2" t="n"/>
      <c r="CI237" s="14" t="n"/>
      <c r="CJ237" s="25" t="n"/>
      <c r="CK237" s="25" t="n"/>
      <c r="CL237" s="25" t="n"/>
      <c r="CM237" s="25" t="n"/>
      <c r="CN237" s="25" t="n"/>
      <c r="CO237" s="25" t="n"/>
      <c r="CP237" s="25" t="n"/>
      <c r="CQ237" s="25" t="n"/>
      <c r="CR237" s="25" t="n"/>
      <c r="CS237" s="25" t="n"/>
      <c r="CT237" s="25" t="n"/>
      <c r="CU237" s="25" t="n"/>
      <c r="CV237" s="25" t="n"/>
      <c r="CW237" s="25" t="n"/>
      <c r="CX237" s="25" t="n"/>
      <c r="CY237" s="25" t="n"/>
      <c r="CZ237" s="25" t="n"/>
      <c r="DC237" s="26" t="n"/>
      <c r="DD237" s="26" t="n"/>
      <c r="DE237" s="26" t="n"/>
      <c r="DF237" s="26" t="n"/>
      <c r="DG237" s="26" t="n"/>
      <c r="DH237" s="27" t="n"/>
      <c r="DJ237" s="211" t="inlineStr">
        <is>
          <t>订单表中未找到</t>
        </is>
      </c>
      <c r="DK237" t="inlineStr">
        <is>
          <t>—</t>
        </is>
      </c>
      <c r="DL237" t="inlineStr">
        <is>
          <t>—</t>
        </is>
      </c>
    </row>
    <row r="238" ht="15.75" customHeight="1" s="187">
      <c r="A238" s="84" t="n">
        <v>45898</v>
      </c>
      <c r="B238" s="206" t="inlineStr">
        <is>
          <t>已收货</t>
        </is>
      </c>
      <c r="C238" s="128" t="inlineStr">
        <is>
          <t>2901628994012391078</t>
        </is>
      </c>
      <c r="D238" s="86" t="inlineStr">
        <is>
          <t>朱</t>
        </is>
      </c>
      <c r="E238" s="87" t="n"/>
      <c r="F238" s="87" t="n"/>
      <c r="G238" s="87" t="inlineStr">
        <is>
          <t>九斗柜-设备柜-黑色岩板</t>
        </is>
      </c>
      <c r="H238" s="207" t="inlineStr">
        <is>
          <t>九斗柜</t>
        </is>
      </c>
      <c r="I238" s="89" t="inlineStr">
        <is>
          <t>180cm*40cm</t>
        </is>
      </c>
      <c r="J238" s="87" t="inlineStr">
        <is>
          <t>已结算</t>
        </is>
      </c>
      <c r="K238" s="86" t="inlineStr">
        <is>
          <t>江西</t>
        </is>
      </c>
      <c r="L238" s="207">
        <f>90+24+180+2750+22*9</f>
        <v/>
      </c>
      <c r="M238" s="207" t="n">
        <v>2750</v>
      </c>
      <c r="N238" s="207" t="n"/>
      <c r="O238" s="207" t="n">
        <v>24</v>
      </c>
      <c r="P238" s="207" t="n"/>
      <c r="Q238" s="207">
        <f>90</f>
        <v/>
      </c>
      <c r="R238" s="207" t="n"/>
      <c r="S238" s="207" t="n"/>
      <c r="T238" s="207" t="n"/>
      <c r="U238" s="207" t="n"/>
      <c r="V238" s="207" t="n"/>
      <c r="W238" s="207" t="n"/>
      <c r="X238" s="207">
        <f>22*9</f>
        <v/>
      </c>
      <c r="Y238" s="207" t="n"/>
      <c r="Z238" s="207" t="n"/>
      <c r="AA238" s="207" t="n"/>
      <c r="AB238" s="207" t="n"/>
      <c r="AC238" s="207" t="n"/>
      <c r="AD238" s="207" t="n"/>
      <c r="AE238" s="207" t="n"/>
      <c r="AF238" s="207" t="n"/>
      <c r="AG238" s="207" t="n"/>
      <c r="AH238" s="207" t="n"/>
      <c r="AI238" s="207" t="n"/>
      <c r="AJ238" s="207" t="n"/>
      <c r="AK238" s="207" t="n"/>
      <c r="AL238" s="207" t="n"/>
      <c r="AM238" s="207" t="n">
        <v>180</v>
      </c>
      <c r="AN238" s="207" t="n"/>
      <c r="AO238" s="207" t="n"/>
      <c r="AP238" s="207">
        <f>223-AQ238</f>
        <v/>
      </c>
      <c r="AQ238" s="207" t="n">
        <v>45</v>
      </c>
      <c r="AR238" s="207" t="n">
        <v>0</v>
      </c>
      <c r="AS238" s="207" t="n">
        <v>0</v>
      </c>
      <c r="AT238" s="207" t="n">
        <v>0</v>
      </c>
      <c r="AU238" s="207" t="n">
        <v>0</v>
      </c>
      <c r="AV238" s="207" t="n">
        <v>0</v>
      </c>
      <c r="AW238" s="207" t="n">
        <v>0</v>
      </c>
      <c r="AX238" s="208" t="n">
        <v>1</v>
      </c>
      <c r="AY238" s="209">
        <f>L238*AX238+AP238+AQ238+AR238+AV238+AW238+AS238+AT238+AU238</f>
        <v/>
      </c>
      <c r="AZ238" s="207" t="n">
        <v>3699.15</v>
      </c>
      <c r="BA238" s="207" t="n">
        <v>0</v>
      </c>
      <c r="BB238" s="207">
        <f>AZ238*0.006</f>
        <v/>
      </c>
      <c r="BC238" s="209">
        <f>AZ238+BA238-BB238</f>
        <v/>
      </c>
      <c r="BD238" s="207" t="n">
        <v>0</v>
      </c>
      <c r="BE238" s="207" t="n">
        <v>0</v>
      </c>
      <c r="BF238" s="209">
        <f>BD238+BE238</f>
        <v/>
      </c>
      <c r="BG238" s="209">
        <f>BC238-AY238+BF238</f>
        <v/>
      </c>
      <c r="BH238" s="86" t="inlineStr">
        <is>
          <t>朱</t>
        </is>
      </c>
      <c r="BI238" s="210" t="inlineStr">
        <is>
          <t xml:space="preserve">江苏省 南京市 玄武区 玄武门街道 和平大沟 1栋307室 </t>
        </is>
      </c>
      <c r="BJ238" s="210" t="inlineStr">
        <is>
          <t>18512513742-5833</t>
        </is>
      </c>
      <c r="BK238" s="86" t="n"/>
      <c r="BL238" s="210" t="n"/>
      <c r="BM238" s="93" t="n"/>
      <c r="BN238" s="94" t="n"/>
      <c r="BO238" s="93" t="n"/>
      <c r="BP238" s="86" t="n"/>
      <c r="BQ238" s="96" t="n"/>
      <c r="BR238" s="96" t="n"/>
      <c r="BS238" s="97" t="n"/>
      <c r="BT238" s="96" t="n"/>
      <c r="BU238" s="97" t="n"/>
      <c r="BV238" s="96" t="n"/>
      <c r="BW238" s="97" t="n"/>
      <c r="BX238" s="97" t="n"/>
      <c r="BY238" s="97" t="n"/>
      <c r="BZ238" s="97" t="n"/>
      <c r="CA238" s="98" t="n"/>
      <c r="CH238" s="2" t="n"/>
      <c r="CI238" s="14" t="n"/>
      <c r="CJ238" s="25" t="n"/>
      <c r="CK238" s="25" t="n"/>
      <c r="CL238" s="25" t="n"/>
      <c r="CM238" s="25" t="n"/>
      <c r="CN238" s="25" t="n"/>
      <c r="CO238" s="25" t="n"/>
      <c r="CP238" s="25" t="n"/>
      <c r="CQ238" s="25" t="n"/>
      <c r="CR238" s="25" t="n"/>
      <c r="CS238" s="25" t="n"/>
      <c r="CT238" s="25" t="n"/>
      <c r="CU238" s="25" t="n"/>
      <c r="CV238" s="25" t="n"/>
      <c r="CW238" s="25" t="n"/>
      <c r="CX238" s="25" t="n"/>
      <c r="CY238" s="25" t="n"/>
      <c r="CZ238" s="25" t="n"/>
      <c r="DC238" s="26" t="n"/>
      <c r="DD238" s="26" t="n"/>
      <c r="DE238" s="26" t="n"/>
      <c r="DF238" s="26" t="n"/>
      <c r="DG238" s="26" t="n"/>
      <c r="DH238" s="27" t="n"/>
      <c r="DJ238" s="211" t="inlineStr">
        <is>
          <t>订单表中未找到</t>
        </is>
      </c>
      <c r="DK238" t="inlineStr">
        <is>
          <t>—</t>
        </is>
      </c>
      <c r="DL238" t="inlineStr">
        <is>
          <t>—</t>
        </is>
      </c>
    </row>
    <row r="239" ht="15.75" customHeight="1" s="187">
      <c r="A239" s="84" t="n">
        <v>45898</v>
      </c>
      <c r="B239" s="206" t="inlineStr">
        <is>
          <t>已收货</t>
        </is>
      </c>
      <c r="C239" s="128" t="inlineStr">
        <is>
          <t>4709453619093468620</t>
        </is>
      </c>
      <c r="D239" s="86" t="inlineStr">
        <is>
          <t>徐敏</t>
        </is>
      </c>
      <c r="E239" s="87" t="n"/>
      <c r="F239" s="87" t="n"/>
      <c r="G239" s="87" t="inlineStr">
        <is>
          <t>砂白色1.4米岩板餐桌</t>
        </is>
      </c>
      <c r="H239" s="220" t="inlineStr">
        <is>
          <t>榉木餐桌</t>
        </is>
      </c>
      <c r="I239" s="218" t="inlineStr">
        <is>
          <t>140cm*85cm</t>
        </is>
      </c>
      <c r="J239" s="87" t="inlineStr">
        <is>
          <t>已结算</t>
        </is>
      </c>
      <c r="K239" s="86" t="inlineStr">
        <is>
          <t>江西</t>
        </is>
      </c>
      <c r="L239" s="207">
        <f>SUM(M239:AO239)</f>
        <v/>
      </c>
      <c r="M239" s="207">
        <f>1480</f>
        <v/>
      </c>
      <c r="N239" s="207" t="n"/>
      <c r="O239" s="207" t="n"/>
      <c r="P239" s="207" t="n"/>
      <c r="Q239" s="207" t="n"/>
      <c r="R239" s="207" t="n">
        <v>240</v>
      </c>
      <c r="S239" s="207" t="n"/>
      <c r="T239" s="207" t="n"/>
      <c r="U239" s="207" t="n"/>
      <c r="V239" s="207" t="n"/>
      <c r="W239" s="207" t="n"/>
      <c r="X239" s="207" t="n"/>
      <c r="Y239" s="207" t="n"/>
      <c r="Z239" s="207" t="n"/>
      <c r="AA239" s="207" t="n"/>
      <c r="AB239" s="207" t="n"/>
      <c r="AC239" s="207" t="n"/>
      <c r="AD239" s="207" t="n">
        <v>2.5</v>
      </c>
      <c r="AE239" s="207" t="n"/>
      <c r="AF239" s="207" t="n"/>
      <c r="AG239" s="207" t="n"/>
      <c r="AH239" s="207" t="n"/>
      <c r="AI239" s="207" t="n"/>
      <c r="AJ239" s="207" t="n"/>
      <c r="AK239" s="207" t="n"/>
      <c r="AL239" s="207" t="n"/>
      <c r="AM239" s="207" t="n">
        <v>70</v>
      </c>
      <c r="AN239" s="207" t="n"/>
      <c r="AO239" s="207" t="n"/>
      <c r="AP239" s="207" t="n">
        <v>110</v>
      </c>
      <c r="AQ239" s="207" t="n">
        <v>0</v>
      </c>
      <c r="AR239" s="207" t="n">
        <v>240</v>
      </c>
      <c r="AS239" s="207" t="n">
        <v>0</v>
      </c>
      <c r="AT239" s="207" t="n">
        <v>0</v>
      </c>
      <c r="AU239" s="207" t="n">
        <v>0</v>
      </c>
      <c r="AV239" s="207" t="n">
        <v>0</v>
      </c>
      <c r="AW239" s="207" t="n">
        <v>0</v>
      </c>
      <c r="AX239" s="208" t="n">
        <v>1</v>
      </c>
      <c r="AY239" s="209">
        <f>L239*AX239+AP239+AQ239+AR239+AV239+AW239+AS239+AT239+AU239</f>
        <v/>
      </c>
      <c r="AZ239" s="207" t="n">
        <v>2711.8</v>
      </c>
      <c r="BA239" s="207" t="n">
        <v>0</v>
      </c>
      <c r="BB239" s="207">
        <f>AZ239*0.006</f>
        <v/>
      </c>
      <c r="BC239" s="209">
        <f>AZ239+BA239-BB239</f>
        <v/>
      </c>
      <c r="BD239" s="207" t="n">
        <v>0</v>
      </c>
      <c r="BE239" s="207" t="n">
        <v>0</v>
      </c>
      <c r="BF239" s="209">
        <f>BD239+BE239</f>
        <v/>
      </c>
      <c r="BG239" s="209">
        <f>BC239-AY239+BF239</f>
        <v/>
      </c>
      <c r="BH239" s="86" t="inlineStr">
        <is>
          <t>徐敏</t>
        </is>
      </c>
      <c r="BI239" s="210" t="inlineStr">
        <is>
          <t>上海 上海市 浦东新区 三林镇 钟晓路258弄中企云萃森林 西区 20号楼602室</t>
        </is>
      </c>
      <c r="BJ239" s="210" t="inlineStr">
        <is>
          <t>18466857892-2469</t>
        </is>
      </c>
      <c r="BK239" s="86" t="n"/>
      <c r="BL239" s="210" t="n"/>
      <c r="BM239" s="93" t="n"/>
      <c r="BN239" s="94" t="n"/>
      <c r="BO239" s="93" t="n"/>
      <c r="BP239" s="86" t="n"/>
      <c r="BQ239" s="96" t="n"/>
      <c r="BR239" s="96" t="n"/>
      <c r="BS239" s="97" t="n"/>
      <c r="BT239" s="96" t="n"/>
      <c r="BU239" s="97" t="n"/>
      <c r="BV239" s="96" t="n"/>
      <c r="BW239" s="97" t="n"/>
      <c r="BX239" s="97" t="n"/>
      <c r="BY239" s="97" t="n"/>
      <c r="BZ239" s="97" t="n"/>
      <c r="CA239" s="98" t="n"/>
      <c r="CH239" s="2" t="n"/>
      <c r="CI239" s="14" t="n"/>
      <c r="CJ239" s="25" t="n"/>
      <c r="CK239" s="25" t="n"/>
      <c r="CL239" s="25" t="n"/>
      <c r="CM239" s="25" t="n"/>
      <c r="CN239" s="25" t="n"/>
      <c r="CO239" s="25" t="n"/>
      <c r="CP239" s="25" t="n"/>
      <c r="CQ239" s="25" t="n"/>
      <c r="CR239" s="25" t="n"/>
      <c r="CS239" s="25" t="n"/>
      <c r="CT239" s="25" t="n"/>
      <c r="CU239" s="25" t="n"/>
      <c r="CV239" s="25" t="n"/>
      <c r="CW239" s="25" t="n"/>
      <c r="CX239" s="25" t="n"/>
      <c r="CY239" s="25" t="n"/>
      <c r="CZ239" s="25" t="n"/>
      <c r="DC239" s="26" t="n"/>
      <c r="DD239" s="26" t="n"/>
      <c r="DE239" s="26" t="n"/>
      <c r="DF239" s="26" t="n"/>
      <c r="DG239" s="26" t="n"/>
      <c r="DH239" s="27" t="n"/>
      <c r="DJ239" s="211" t="inlineStr">
        <is>
          <t>订单表中未找到</t>
        </is>
      </c>
      <c r="DK239" t="inlineStr">
        <is>
          <t>—</t>
        </is>
      </c>
      <c r="DL239" t="inlineStr">
        <is>
          <t>—</t>
        </is>
      </c>
    </row>
    <row r="240" ht="15.75" customHeight="1" s="187">
      <c r="A240" s="84" t="n">
        <v>45900</v>
      </c>
      <c r="B240" s="206" t="inlineStr">
        <is>
          <t>已收货</t>
        </is>
      </c>
      <c r="C240" s="86" t="inlineStr">
        <is>
          <t>4711940535665317940</t>
        </is>
      </c>
      <c r="D240" s="110" t="inlineStr">
        <is>
          <t>树杰</t>
        </is>
      </c>
      <c r="E240" s="87" t="inlineStr">
        <is>
          <t>工厂抵扣一张大板费用；岩板客户补发</t>
        </is>
      </c>
      <c r="F240" s="87" t="n"/>
      <c r="G240" s="207" t="inlineStr">
        <is>
          <t>曜黑柜-整柜-2.1米</t>
        </is>
      </c>
      <c r="H240" s="207" t="inlineStr">
        <is>
          <t>曜黑餐边柜</t>
        </is>
      </c>
      <c r="I240" s="89" t="n">
        <v>2100</v>
      </c>
      <c r="J240" s="87" t="inlineStr">
        <is>
          <t>已结算</t>
        </is>
      </c>
      <c r="K240" s="86" t="inlineStr">
        <is>
          <t>江西</t>
        </is>
      </c>
      <c r="L240" s="207">
        <f>2550/6/1.5+300-840+840+410+410+350+9800</f>
        <v/>
      </c>
      <c r="M240" s="207" t="n">
        <v>9800</v>
      </c>
      <c r="N240" s="207">
        <f>300+840</f>
        <v/>
      </c>
      <c r="O240" s="207" t="n"/>
      <c r="P240" s="207" t="n">
        <v>410</v>
      </c>
      <c r="Q240" s="207" t="n"/>
      <c r="R240" s="207" t="n">
        <v>410</v>
      </c>
      <c r="S240" s="207" t="n">
        <v>350</v>
      </c>
      <c r="T240" s="207" t="n"/>
      <c r="U240" s="207">
        <f>2550/6/1.5</f>
        <v/>
      </c>
      <c r="V240" s="207" t="n"/>
      <c r="W240" s="207" t="n"/>
      <c r="X240" s="207" t="n"/>
      <c r="Y240" s="207" t="n"/>
      <c r="Z240" s="207" t="n"/>
      <c r="AA240" s="207" t="n"/>
      <c r="AB240" s="207" t="n"/>
      <c r="AC240" s="207" t="n"/>
      <c r="AD240" s="207" t="n"/>
      <c r="AE240" s="207" t="n"/>
      <c r="AF240" s="207" t="n"/>
      <c r="AG240" s="207" t="n"/>
      <c r="AH240" s="207" t="n"/>
      <c r="AI240" s="207" t="n"/>
      <c r="AJ240" s="207" t="n"/>
      <c r="AK240" s="207" t="n"/>
      <c r="AL240" s="207" t="n"/>
      <c r="AM240" s="207" t="n">
        <v>410</v>
      </c>
      <c r="AN240" s="207" t="n"/>
      <c r="AO240" s="207" t="n"/>
      <c r="AP240" s="207">
        <f>448+55</f>
        <v/>
      </c>
      <c r="AQ240" s="207" t="n">
        <v>0</v>
      </c>
      <c r="AR240" s="207" t="n">
        <v>0</v>
      </c>
      <c r="AS240" s="207" t="n">
        <v>0</v>
      </c>
      <c r="AT240" s="207" t="n">
        <v>0</v>
      </c>
      <c r="AU240" s="207" t="n">
        <v>0</v>
      </c>
      <c r="AV240" s="207" t="n">
        <v>0</v>
      </c>
      <c r="AW240" s="207" t="n">
        <v>0</v>
      </c>
      <c r="AX240" s="208" t="n">
        <v>1</v>
      </c>
      <c r="AY240" s="209">
        <f>L240*AX240+AP240+AQ240+AR240+AV240+AW240+AS240+AT240+AU240</f>
        <v/>
      </c>
      <c r="AZ240" s="207">
        <f>15798.22+533</f>
        <v/>
      </c>
      <c r="BA240" s="207" t="n">
        <v>0</v>
      </c>
      <c r="BB240" s="207">
        <f>AZ240*0.006</f>
        <v/>
      </c>
      <c r="BC240" s="209">
        <f>AZ240+BA240-BB240</f>
        <v/>
      </c>
      <c r="BD240" s="207" t="n">
        <v>840</v>
      </c>
      <c r="BE240" s="207" t="n">
        <v>0</v>
      </c>
      <c r="BF240" s="209">
        <f>BD240+BE240</f>
        <v/>
      </c>
      <c r="BG240" s="209">
        <f>BC240-AY240+BF240</f>
        <v/>
      </c>
      <c r="BH240" s="87" t="inlineStr">
        <is>
          <t>树杰</t>
        </is>
      </c>
      <c r="BI240" s="210" t="inlineStr">
        <is>
          <t>广东省 广州市 白云区 太和镇龙归龙河西路西南五横路4号（波屯斯鞋业一楼）启顺国际物流QS5734-MEL</t>
        </is>
      </c>
      <c r="BJ240" s="86" t="inlineStr">
        <is>
          <t>17896425846-4285</t>
        </is>
      </c>
      <c r="BK240" s="86" t="n"/>
      <c r="BL240" s="210" t="n"/>
      <c r="BM240" s="93" t="n"/>
      <c r="BN240" s="94" t="n"/>
      <c r="BO240" s="93" t="n"/>
      <c r="BP240" s="86" t="n"/>
      <c r="BQ240" s="96" t="n"/>
      <c r="BR240" s="96" t="n"/>
      <c r="BS240" s="97" t="n"/>
      <c r="BT240" s="96" t="n"/>
      <c r="BU240" s="97" t="n"/>
      <c r="BV240" s="96" t="n"/>
      <c r="BW240" s="97" t="n"/>
      <c r="BX240" s="97" t="n"/>
      <c r="BY240" s="97" t="n"/>
      <c r="BZ240" s="97" t="n"/>
      <c r="CA240" s="98" t="n"/>
      <c r="CH240" s="2" t="n"/>
      <c r="CI240" s="14" t="n"/>
      <c r="CJ240" s="25" t="n"/>
      <c r="CK240" s="25" t="n"/>
      <c r="CL240" s="25" t="n"/>
      <c r="CM240" s="25" t="n"/>
      <c r="CN240" s="25" t="n"/>
      <c r="CO240" s="25" t="n"/>
      <c r="CP240" s="25" t="n"/>
      <c r="CQ240" s="25" t="n"/>
      <c r="CR240" s="25" t="n"/>
      <c r="CS240" s="25" t="n"/>
      <c r="CT240" s="25" t="n"/>
      <c r="CU240" s="25" t="n"/>
      <c r="CV240" s="25" t="n"/>
      <c r="CW240" s="25" t="n"/>
      <c r="CX240" s="25" t="n"/>
      <c r="CY240" s="25" t="n"/>
      <c r="CZ240" s="25" t="n"/>
      <c r="DC240" s="26" t="n"/>
      <c r="DD240" s="26" t="n"/>
      <c r="DE240" s="26" t="n"/>
      <c r="DF240" s="26" t="n"/>
      <c r="DG240" s="26" t="n"/>
      <c r="DH240" s="27" t="n"/>
      <c r="DJ240" s="211" t="inlineStr">
        <is>
          <t>订单表中未找到</t>
        </is>
      </c>
      <c r="DK240" t="inlineStr">
        <is>
          <t>—</t>
        </is>
      </c>
      <c r="DL240" t="inlineStr">
        <is>
          <t>—</t>
        </is>
      </c>
    </row>
    <row r="241" ht="15.75" customHeight="1" s="187">
      <c r="A241" s="84" t="n">
        <v>45900</v>
      </c>
      <c r="B241" s="206" t="inlineStr">
        <is>
          <t>已收货</t>
        </is>
      </c>
      <c r="C241" s="128" t="inlineStr">
        <is>
          <t>4712981076588727532</t>
        </is>
      </c>
      <c r="D241" s="86" t="inlineStr">
        <is>
          <t>董苹果</t>
        </is>
      </c>
      <c r="E241" s="116" t="inlineStr">
        <is>
          <t>已调整：产品成本+背板+岩板+岩板打孔+电力轨道+隔板轨道+灯带+其他五金+装饰盖+塑料轨道（这个我窄柜都没追加）</t>
        </is>
      </c>
      <c r="F241" s="87" t="n"/>
      <c r="G241" s="207" t="inlineStr">
        <is>
          <t>窄柜-整柜洞石背板-0.8米</t>
        </is>
      </c>
      <c r="H241" s="207" t="inlineStr">
        <is>
          <t>樱桃木窄柜</t>
        </is>
      </c>
      <c r="I241" s="89" t="n">
        <v>800</v>
      </c>
      <c r="J241" s="87" t="inlineStr">
        <is>
          <t>已结算</t>
        </is>
      </c>
      <c r="K241" s="86" t="inlineStr">
        <is>
          <t>庄毅</t>
        </is>
      </c>
      <c r="L241" s="207">
        <f>3100+115+0.8*0.48*160+30+307.08+30+55.9+1.2+3.5+2.5+8.5/6+4+3.75</f>
        <v/>
      </c>
      <c r="M241" s="207" t="n">
        <v>3100</v>
      </c>
      <c r="N241" s="207">
        <f>0.758*260+2*55</f>
        <v/>
      </c>
      <c r="O241" s="207">
        <f>115</f>
        <v/>
      </c>
      <c r="P241" s="207" t="n"/>
      <c r="Q241" s="207">
        <f>15*2</f>
        <v/>
      </c>
      <c r="R241" s="207">
        <f>0.8*0.48*160+30</f>
        <v/>
      </c>
      <c r="S241" s="207" t="n">
        <v>55.9</v>
      </c>
      <c r="T241" s="207" t="n"/>
      <c r="U241" s="207" t="n"/>
      <c r="V241" s="207" t="n"/>
      <c r="W241" s="207" t="n"/>
      <c r="X241" s="207" t="n"/>
      <c r="Y241" s="207" t="n"/>
      <c r="Z241" s="207" t="n"/>
      <c r="AA241" s="207" t="n"/>
      <c r="AB241" s="207" t="n"/>
      <c r="AC241" s="207" t="n">
        <v>3.5</v>
      </c>
      <c r="AD241" s="207" t="n"/>
      <c r="AE241" s="207" t="n"/>
      <c r="AF241" s="207" t="n"/>
      <c r="AG241" s="207" t="n"/>
      <c r="AH241" s="207" t="n"/>
      <c r="AI241" s="207" t="n"/>
      <c r="AJ241" s="207" t="n">
        <v>1.2</v>
      </c>
      <c r="AK241" s="207" t="n"/>
      <c r="AL241" s="207" t="n"/>
      <c r="AM241" s="207" t="n"/>
      <c r="AN241" s="207" t="n"/>
      <c r="AO241" s="207" t="n"/>
      <c r="AP241" s="207" t="n">
        <v>320</v>
      </c>
      <c r="AQ241" s="207" t="n">
        <v>0</v>
      </c>
      <c r="AR241" s="207" t="n">
        <v>98</v>
      </c>
      <c r="AS241" s="207" t="n">
        <v>0</v>
      </c>
      <c r="AT241" s="207" t="n">
        <v>0</v>
      </c>
      <c r="AU241" s="207" t="n">
        <v>0</v>
      </c>
      <c r="AV241" s="207" t="n">
        <v>0</v>
      </c>
      <c r="AW241" s="207" t="n">
        <v>0</v>
      </c>
      <c r="AX241" s="208" t="n">
        <v>1</v>
      </c>
      <c r="AY241" s="209">
        <f>L241*AX241+AP241+AQ241+AR241+AV241+AW241+AS241+AT241+AU241</f>
        <v/>
      </c>
      <c r="AZ241" s="207">
        <f>4843.53+20</f>
        <v/>
      </c>
      <c r="BA241" s="207" t="n">
        <v>0</v>
      </c>
      <c r="BB241" s="207">
        <f>AZ241*0.006</f>
        <v/>
      </c>
      <c r="BC241" s="209">
        <f>AZ241+BA241-BB241</f>
        <v/>
      </c>
      <c r="BD241" s="207" t="n">
        <v>0</v>
      </c>
      <c r="BE241" s="207" t="n">
        <v>0</v>
      </c>
      <c r="BF241" s="209">
        <f>BD241+BE241</f>
        <v/>
      </c>
      <c r="BG241" s="209">
        <f>BC241-AY241+BF241</f>
        <v/>
      </c>
      <c r="BH241" s="86" t="inlineStr">
        <is>
          <t>董苹果</t>
        </is>
      </c>
      <c r="BI241" s="210" t="inlineStr">
        <is>
          <t xml:space="preserve">山西省 太原市 晋源区 义井街道 新晋祠路291号万科蓝湾传奇北区1-3-801 </t>
        </is>
      </c>
      <c r="BJ241" s="210" t="inlineStr">
        <is>
          <t>14735147618-5492</t>
        </is>
      </c>
      <c r="BK241" s="86" t="n"/>
      <c r="BL241" s="210" t="n"/>
      <c r="BM241" s="93" t="n"/>
      <c r="BN241" s="94" t="n"/>
      <c r="BO241" s="93" t="n"/>
      <c r="BP241" s="86" t="n"/>
      <c r="BQ241" s="96" t="n"/>
      <c r="BR241" s="96" t="n"/>
      <c r="BS241" s="97" t="n"/>
      <c r="BT241" s="96" t="n"/>
      <c r="BU241" s="97" t="n"/>
      <c r="BV241" s="96" t="n"/>
      <c r="BW241" s="97" t="n"/>
      <c r="BX241" s="97" t="n"/>
      <c r="BY241" s="97" t="n"/>
      <c r="BZ241" s="97" t="n"/>
      <c r="CA241" s="98" t="n"/>
      <c r="CH241" s="2" t="n"/>
      <c r="CI241" s="14" t="n"/>
      <c r="CJ241" s="25" t="n"/>
      <c r="CK241" s="25" t="n"/>
      <c r="CL241" s="25" t="n"/>
      <c r="CM241" s="25" t="n"/>
      <c r="CN241" s="25" t="n"/>
      <c r="CO241" s="25" t="n"/>
      <c r="CP241" s="25" t="n"/>
      <c r="CQ241" s="25" t="n"/>
      <c r="CR241" s="25" t="n"/>
      <c r="CS241" s="25" t="n"/>
      <c r="CT241" s="25" t="n"/>
      <c r="CU241" s="25" t="n"/>
      <c r="CV241" s="25" t="n"/>
      <c r="CW241" s="25" t="n"/>
      <c r="CX241" s="25" t="n"/>
      <c r="CY241" s="25" t="n"/>
      <c r="CZ241" s="25" t="n"/>
      <c r="DC241" s="26" t="n"/>
      <c r="DD241" s="26" t="n"/>
      <c r="DE241" s="26" t="n"/>
      <c r="DF241" s="26" t="n"/>
      <c r="DG241" s="26" t="n"/>
      <c r="DH241" s="27" t="n"/>
      <c r="DJ241" s="211" t="inlineStr">
        <is>
          <t>订单表中未找到</t>
        </is>
      </c>
      <c r="DK241" t="inlineStr">
        <is>
          <t>—</t>
        </is>
      </c>
      <c r="DL241" t="inlineStr">
        <is>
          <t>—</t>
        </is>
      </c>
    </row>
    <row r="242" ht="15.75" customHeight="1" s="187">
      <c r="A242" s="84" t="n">
        <v>45905</v>
      </c>
      <c r="B242" s="206" t="inlineStr">
        <is>
          <t>已收货</t>
        </is>
      </c>
      <c r="C242" s="128" t="inlineStr">
        <is>
          <t>2912746621955611350</t>
        </is>
      </c>
      <c r="D242" s="86" t="inlineStr">
        <is>
          <t>梁伊涵</t>
        </is>
      </c>
      <c r="E242" s="87" t="n"/>
      <c r="F242" s="87" t="n"/>
      <c r="G242" s="87" t="inlineStr">
        <is>
          <t>砂白色1.6米岩板餐桌</t>
        </is>
      </c>
      <c r="H242" s="207" t="inlineStr">
        <is>
          <t>榉木餐桌</t>
        </is>
      </c>
      <c r="I242" s="89" t="inlineStr">
        <is>
          <t>160cm*85cm</t>
        </is>
      </c>
      <c r="J242" s="87" t="inlineStr">
        <is>
          <t>已结算</t>
        </is>
      </c>
      <c r="K242" s="86" t="inlineStr">
        <is>
          <t>庄毅</t>
        </is>
      </c>
      <c r="L242" s="207">
        <f>SUM(M242:AO242)</f>
        <v/>
      </c>
      <c r="M242" s="207">
        <f>1530</f>
        <v/>
      </c>
      <c r="N242" s="207" t="n"/>
      <c r="O242" s="207" t="n"/>
      <c r="P242" s="207" t="n"/>
      <c r="Q242" s="207" t="n"/>
      <c r="R242" s="207">
        <f>1.6*0.85*180</f>
        <v/>
      </c>
      <c r="S242" s="207" t="n"/>
      <c r="T242" s="207" t="n"/>
      <c r="U242" s="207" t="n"/>
      <c r="V242" s="207" t="n"/>
      <c r="W242" s="207" t="n"/>
      <c r="X242" s="207" t="n"/>
      <c r="Y242" s="207" t="n"/>
      <c r="Z242" s="207" t="n"/>
      <c r="AA242" s="207" t="n"/>
      <c r="AB242" s="207" t="n"/>
      <c r="AC242" s="207" t="n"/>
      <c r="AD242" s="207" t="n">
        <v>2.5</v>
      </c>
      <c r="AE242" s="207" t="n"/>
      <c r="AF242" s="207" t="n"/>
      <c r="AG242" s="207" t="n"/>
      <c r="AH242" s="207" t="n"/>
      <c r="AI242" s="207" t="n"/>
      <c r="AJ242" s="207" t="n"/>
      <c r="AK242" s="207" t="n"/>
      <c r="AL242" s="207" t="n"/>
      <c r="AM242" s="207" t="n"/>
      <c r="AN242" s="207" t="n"/>
      <c r="AO242" s="207" t="n"/>
      <c r="AP242" s="207" t="n">
        <v>217</v>
      </c>
      <c r="AQ242" s="207" t="n">
        <v>0</v>
      </c>
      <c r="AR242" s="207" t="n">
        <v>60</v>
      </c>
      <c r="AS242" s="207" t="n">
        <v>0</v>
      </c>
      <c r="AT242" s="207" t="n">
        <v>0</v>
      </c>
      <c r="AU242" s="207" t="n">
        <v>0</v>
      </c>
      <c r="AV242" s="207" t="n">
        <v>0</v>
      </c>
      <c r="AW242" s="207" t="n">
        <v>0</v>
      </c>
      <c r="AX242" s="208" t="n">
        <v>1</v>
      </c>
      <c r="AY242" s="209">
        <f>L242*AX242+AP242+AQ242+AR242+AV242+AW242+AS242+AT242+AU242</f>
        <v/>
      </c>
      <c r="AZ242" s="207" t="n">
        <v>2861.38</v>
      </c>
      <c r="BA242" s="207" t="n">
        <v>0</v>
      </c>
      <c r="BB242" s="207">
        <f>AZ242*0.006</f>
        <v/>
      </c>
      <c r="BC242" s="209">
        <f>AZ242+BA242-BB242</f>
        <v/>
      </c>
      <c r="BD242" s="207" t="n">
        <v>0</v>
      </c>
      <c r="BE242" s="207" t="n">
        <v>0</v>
      </c>
      <c r="BF242" s="209">
        <f>BD242+BE242</f>
        <v/>
      </c>
      <c r="BG242" s="209">
        <f>BC242-AY242+BF242</f>
        <v/>
      </c>
      <c r="BH242" s="86" t="inlineStr">
        <is>
          <t>梁伊涵</t>
        </is>
      </c>
      <c r="BI242" s="210" t="inlineStr">
        <is>
          <t>湖南省 长沙市 岳麓区 洋湖街道保利长交锦上16号楼801</t>
        </is>
      </c>
      <c r="BJ242" s="210" t="inlineStr">
        <is>
          <t>18472630065-3385</t>
        </is>
      </c>
      <c r="BK242" s="86" t="n"/>
      <c r="BL242" s="210" t="n"/>
      <c r="BM242" s="93" t="n"/>
      <c r="BN242" s="94" t="n"/>
      <c r="BO242" s="93" t="n"/>
      <c r="BP242" s="86" t="n"/>
      <c r="BQ242" s="96" t="n"/>
      <c r="BR242" s="96" t="n"/>
      <c r="BS242" s="97" t="n"/>
      <c r="BT242" s="96" t="n"/>
      <c r="BU242" s="97" t="n"/>
      <c r="BV242" s="96" t="n"/>
      <c r="BW242" s="97" t="n"/>
      <c r="BX242" s="97" t="n"/>
      <c r="BY242" s="97" t="n"/>
      <c r="BZ242" s="97" t="n"/>
      <c r="CA242" s="98" t="n"/>
      <c r="CH242" s="2" t="n"/>
      <c r="CI242" s="14" t="n"/>
      <c r="CJ242" s="25" t="n"/>
      <c r="CK242" s="25" t="n"/>
      <c r="CL242" s="25" t="n"/>
      <c r="CM242" s="25" t="n"/>
      <c r="CN242" s="25" t="n"/>
      <c r="CO242" s="25" t="n"/>
      <c r="CP242" s="25" t="n"/>
      <c r="CQ242" s="25" t="n"/>
      <c r="CR242" s="25" t="n"/>
      <c r="CS242" s="25" t="n"/>
      <c r="CT242" s="25" t="n"/>
      <c r="CU242" s="25" t="n"/>
      <c r="CV242" s="25" t="n"/>
      <c r="CW242" s="25" t="n"/>
      <c r="CX242" s="25" t="n"/>
      <c r="CY242" s="25" t="n"/>
      <c r="CZ242" s="25" t="n"/>
      <c r="DC242" s="26" t="n"/>
      <c r="DD242" s="26" t="n"/>
      <c r="DE242" s="26" t="n"/>
      <c r="DF242" s="26" t="n"/>
      <c r="DG242" s="26" t="n"/>
      <c r="DH242" s="27" t="n"/>
      <c r="DJ242" s="211" t="inlineStr">
        <is>
          <t>订单表中未找到</t>
        </is>
      </c>
      <c r="DK242" t="inlineStr">
        <is>
          <t>—</t>
        </is>
      </c>
      <c r="DL242" t="inlineStr">
        <is>
          <t>—</t>
        </is>
      </c>
    </row>
    <row r="243" ht="15.75" customHeight="1" s="187">
      <c r="A243" s="84" t="n">
        <v>45907</v>
      </c>
      <c r="B243" s="206" t="inlineStr">
        <is>
          <t>已收货</t>
        </is>
      </c>
      <c r="C243" s="128" t="inlineStr">
        <is>
          <t>4726908468232190938</t>
        </is>
      </c>
      <c r="D243" s="86" t="inlineStr">
        <is>
          <t>宋依依</t>
        </is>
      </c>
      <c r="E243" s="87" t="n"/>
      <c r="F243" s="87" t="n"/>
      <c r="G243" s="87" t="inlineStr">
        <is>
          <t>USB 插座</t>
        </is>
      </c>
      <c r="H243" s="207" t="inlineStr">
        <is>
          <t>配件</t>
        </is>
      </c>
      <c r="I243" s="89" t="n"/>
      <c r="J243" s="87" t="inlineStr">
        <is>
          <t>已结算</t>
        </is>
      </c>
      <c r="K243" s="86" t="inlineStr">
        <is>
          <t>其他</t>
        </is>
      </c>
      <c r="L243" s="207">
        <f>55*2</f>
        <v/>
      </c>
      <c r="M243" s="207">
        <f>55*2</f>
        <v/>
      </c>
      <c r="N243" s="207" t="n"/>
      <c r="O243" s="207" t="n"/>
      <c r="P243" s="207" t="n"/>
      <c r="Q243" s="207" t="n"/>
      <c r="R243" s="207" t="n"/>
      <c r="S243" s="207" t="n"/>
      <c r="T243" s="207" t="n"/>
      <c r="U243" s="207" t="n"/>
      <c r="V243" s="207" t="n"/>
      <c r="W243" s="207" t="n"/>
      <c r="X243" s="207" t="n"/>
      <c r="Y243" s="207" t="n"/>
      <c r="Z243" s="207" t="n"/>
      <c r="AA243" s="207" t="n"/>
      <c r="AB243" s="207" t="n"/>
      <c r="AC243" s="207" t="n"/>
      <c r="AD243" s="207" t="n"/>
      <c r="AE243" s="207" t="n"/>
      <c r="AF243" s="207" t="n"/>
      <c r="AG243" s="207" t="n"/>
      <c r="AH243" s="207" t="n"/>
      <c r="AI243" s="207" t="n"/>
      <c r="AJ243" s="207" t="n"/>
      <c r="AK243" s="207" t="n"/>
      <c r="AL243" s="207" t="n"/>
      <c r="AM243" s="207" t="n"/>
      <c r="AN243" s="207" t="n"/>
      <c r="AO243" s="207" t="n"/>
      <c r="AP243" s="207" t="n">
        <v>8</v>
      </c>
      <c r="AQ243" s="207" t="n">
        <v>0</v>
      </c>
      <c r="AR243" s="207" t="n">
        <v>0</v>
      </c>
      <c r="AS243" s="207" t="n">
        <v>0</v>
      </c>
      <c r="AT243" s="207" t="n">
        <v>0</v>
      </c>
      <c r="AU243" s="207" t="n">
        <v>0</v>
      </c>
      <c r="AV243" s="207" t="n">
        <v>0</v>
      </c>
      <c r="AW243" s="207" t="n">
        <v>0</v>
      </c>
      <c r="AX243" s="208" t="n">
        <v>1</v>
      </c>
      <c r="AY243" s="209">
        <f>L243*AX243+AP243+AQ243+AR243+AV243+AW243+AS243+AT243+AU243</f>
        <v/>
      </c>
      <c r="AZ243" s="207" t="n">
        <v>200</v>
      </c>
      <c r="BA243" s="207" t="n">
        <v>0</v>
      </c>
      <c r="BB243" s="207">
        <f>AZ243*0.006</f>
        <v/>
      </c>
      <c r="BC243" s="209">
        <f>AZ243+BA243-BB243</f>
        <v/>
      </c>
      <c r="BD243" s="207" t="n">
        <v>0</v>
      </c>
      <c r="BE243" s="207" t="n">
        <v>0</v>
      </c>
      <c r="BF243" s="209">
        <f>BD243+BE243</f>
        <v/>
      </c>
      <c r="BG243" s="209">
        <f>BC243-AY243+BF243</f>
        <v/>
      </c>
      <c r="BH243" s="86" t="inlineStr">
        <is>
          <t>宋依依</t>
        </is>
      </c>
      <c r="BI243" s="210" t="inlineStr">
        <is>
          <t>北京 北京市 朝阳区 将台乡将府家园北里204楼1单元903门</t>
        </is>
      </c>
      <c r="BJ243" s="210" t="inlineStr">
        <is>
          <t>18400816035-3030</t>
        </is>
      </c>
      <c r="BK243" s="86" t="n"/>
      <c r="BL243" s="210" t="n"/>
      <c r="BM243" s="93" t="n"/>
      <c r="BN243" s="94" t="n"/>
      <c r="BO243" s="93" t="n"/>
      <c r="BP243" s="86" t="n"/>
      <c r="BQ243" s="96" t="n"/>
      <c r="BR243" s="96" t="n"/>
      <c r="BS243" s="97" t="n"/>
      <c r="BT243" s="96" t="n"/>
      <c r="BU243" s="97" t="n"/>
      <c r="BV243" s="96" t="n"/>
      <c r="BW243" s="97" t="n"/>
      <c r="BX243" s="97" t="n"/>
      <c r="BY243" s="97" t="n"/>
      <c r="BZ243" s="97" t="n"/>
      <c r="CA243" s="98" t="n"/>
      <c r="CH243" s="2" t="n"/>
      <c r="CI243" s="14" t="n"/>
      <c r="CJ243" s="25" t="n"/>
      <c r="CK243" s="25" t="n"/>
      <c r="CL243" s="25" t="n"/>
      <c r="CM243" s="25" t="n"/>
      <c r="CN243" s="25" t="n"/>
      <c r="CO243" s="25" t="n"/>
      <c r="CP243" s="25" t="n"/>
      <c r="CQ243" s="25" t="n"/>
      <c r="CR243" s="25" t="n"/>
      <c r="CS243" s="25" t="n"/>
      <c r="CT243" s="25" t="n"/>
      <c r="CU243" s="25" t="n"/>
      <c r="CV243" s="25" t="n"/>
      <c r="CW243" s="25" t="n"/>
      <c r="CX243" s="25" t="n"/>
      <c r="CY243" s="25" t="n"/>
      <c r="CZ243" s="25" t="n"/>
      <c r="DC243" s="26" t="n"/>
      <c r="DD243" s="26" t="n"/>
      <c r="DE243" s="26" t="n"/>
      <c r="DF243" s="26" t="n"/>
      <c r="DG243" s="26" t="n"/>
      <c r="DH243" s="27" t="n"/>
      <c r="DJ243" s="211" t="inlineStr">
        <is>
          <t>订单表中未找到</t>
        </is>
      </c>
      <c r="DK243" t="inlineStr">
        <is>
          <t>—</t>
        </is>
      </c>
      <c r="DL243" t="inlineStr">
        <is>
          <t>—</t>
        </is>
      </c>
    </row>
    <row r="244" ht="15.75" customHeight="1" s="187">
      <c r="A244" s="84" t="n">
        <v>45907</v>
      </c>
      <c r="B244" s="206" t="inlineStr">
        <is>
          <t>已收货</t>
        </is>
      </c>
      <c r="C244" s="128" t="inlineStr">
        <is>
          <t>4727104059722016831</t>
        </is>
      </c>
      <c r="D244" s="86" t="inlineStr">
        <is>
          <t>许先生</t>
        </is>
      </c>
      <c r="E244" s="87" t="n"/>
      <c r="F244" s="87" t="n"/>
      <c r="G244" s="87" t="inlineStr">
        <is>
          <t>洞石柜2.1</t>
        </is>
      </c>
      <c r="H244" s="207" t="inlineStr">
        <is>
          <t>洞石餐边柜</t>
        </is>
      </c>
      <c r="I244" s="89" t="n">
        <v>2100</v>
      </c>
      <c r="J244" s="87" t="inlineStr">
        <is>
          <t>已结算</t>
        </is>
      </c>
      <c r="K244" s="86" t="inlineStr">
        <is>
          <t>庄毅</t>
        </is>
      </c>
      <c r="L244" s="207">
        <f>6000+45*2+2040/6/1.5+76+2.1*0.58*160+(2.1+0.5*2)*60+10+20+501.08+10+40+14+657.08</f>
        <v/>
      </c>
      <c r="M244" s="207">
        <f>6000</f>
        <v/>
      </c>
      <c r="N244" s="207" t="n">
        <v>501.08</v>
      </c>
      <c r="O244" s="207">
        <f>2040/6/1.5</f>
        <v/>
      </c>
      <c r="P244" s="207" t="n">
        <v>76</v>
      </c>
      <c r="Q244" s="207">
        <f>45*2</f>
        <v/>
      </c>
      <c r="R244" s="207">
        <f>2.1*0.58*160+(2.1+0.5*2)*60+30</f>
        <v/>
      </c>
      <c r="S244" s="207" t="n"/>
      <c r="T244" s="207" t="n"/>
      <c r="U244" s="207" t="n"/>
      <c r="V244" s="207" t="n"/>
      <c r="W244" s="207" t="n">
        <v>10</v>
      </c>
      <c r="X244" s="207" t="n">
        <v>20</v>
      </c>
      <c r="Y244" s="207" t="n"/>
      <c r="Z244" s="207">
        <f>3.5+14</f>
        <v/>
      </c>
      <c r="AA244" s="207" t="n"/>
      <c r="AB244" s="207" t="n"/>
      <c r="AC244" s="207" t="n"/>
      <c r="AD244" s="207" t="n">
        <v>40</v>
      </c>
      <c r="AE244" s="207" t="n">
        <v>10</v>
      </c>
      <c r="AF244" s="207" t="n">
        <v>14</v>
      </c>
      <c r="AG244" s="207" t="n"/>
      <c r="AH244" s="207" t="n"/>
      <c r="AI244" s="207" t="n"/>
      <c r="AJ244" s="207" t="n">
        <v>657.08</v>
      </c>
      <c r="AK244" s="207" t="n"/>
      <c r="AL244" s="207" t="n"/>
      <c r="AM244" s="207" t="n"/>
      <c r="AN244" s="207" t="n"/>
      <c r="AO244" s="207" t="n"/>
      <c r="AP244" s="207" t="n">
        <v>938</v>
      </c>
      <c r="AQ244" s="207" t="n">
        <v>0</v>
      </c>
      <c r="AR244" s="207" t="n">
        <v>188</v>
      </c>
      <c r="AS244" s="207" t="n">
        <v>0</v>
      </c>
      <c r="AT244" s="207" t="n">
        <v>0</v>
      </c>
      <c r="AU244" s="207" t="n">
        <v>0</v>
      </c>
      <c r="AV244" s="207" t="n">
        <v>0</v>
      </c>
      <c r="AW244" s="207" t="n">
        <v>0</v>
      </c>
      <c r="AX244" s="208" t="n">
        <v>1</v>
      </c>
      <c r="AY244" s="209">
        <f>L244*AX244+AP244+AQ244+AR244+AV244+AW244+AS244+AT244+AU244</f>
        <v/>
      </c>
      <c r="AZ244" s="207">
        <f>12527.18+300</f>
        <v/>
      </c>
      <c r="BA244" s="207" t="n">
        <v>0</v>
      </c>
      <c r="BB244" s="207">
        <f>AZ244*0.006</f>
        <v/>
      </c>
      <c r="BC244" s="209">
        <f>AZ244+BA244-BB244</f>
        <v/>
      </c>
      <c r="BD244" s="207" t="n">
        <v>0</v>
      </c>
      <c r="BE244" s="207" t="n">
        <v>0</v>
      </c>
      <c r="BF244" s="209">
        <f>BD244+BE244</f>
        <v/>
      </c>
      <c r="BG244" s="209">
        <f>BC244-AY244+BF244</f>
        <v/>
      </c>
      <c r="BH244" s="86" t="inlineStr">
        <is>
          <t>许先生</t>
        </is>
      </c>
      <c r="BI244" s="210" t="inlineStr">
        <is>
          <t>青海省西宁市城中区南川西路街道 时代大道红星天铂一期东区8号楼4单元34楼4342室</t>
        </is>
      </c>
      <c r="BJ244" s="210" t="inlineStr">
        <is>
          <t>，13619780169</t>
        </is>
      </c>
      <c r="BK244" s="86" t="n"/>
      <c r="BL244" s="210" t="n"/>
      <c r="BM244" s="93" t="n"/>
      <c r="BN244" s="94" t="n"/>
      <c r="BO244" s="93" t="n"/>
      <c r="BP244" s="86" t="n"/>
      <c r="BQ244" s="96" t="n"/>
      <c r="BR244" s="96" t="n"/>
      <c r="BS244" s="97" t="n"/>
      <c r="BT244" s="96" t="n"/>
      <c r="BU244" s="97" t="n"/>
      <c r="BV244" s="96" t="n"/>
      <c r="BW244" s="97" t="n"/>
      <c r="BX244" s="97" t="n"/>
      <c r="BY244" s="97" t="n"/>
      <c r="BZ244" s="97" t="n"/>
      <c r="CA244" s="98" t="n"/>
      <c r="CH244" s="2" t="n"/>
      <c r="CI244" s="14" t="n"/>
      <c r="CJ244" s="25" t="n"/>
      <c r="CK244" s="25" t="n"/>
      <c r="CL244" s="25" t="n"/>
      <c r="CM244" s="25" t="n"/>
      <c r="CN244" s="25" t="n"/>
      <c r="CO244" s="25" t="n"/>
      <c r="CP244" s="25" t="n"/>
      <c r="CQ244" s="25" t="n"/>
      <c r="CR244" s="25" t="n"/>
      <c r="CS244" s="25" t="n"/>
      <c r="CT244" s="25" t="n"/>
      <c r="CU244" s="25" t="n"/>
      <c r="CV244" s="25" t="n"/>
      <c r="CW244" s="25" t="n"/>
      <c r="CX244" s="25" t="n"/>
      <c r="CY244" s="25" t="n"/>
      <c r="CZ244" s="25" t="n"/>
      <c r="DC244" s="26" t="n"/>
      <c r="DD244" s="26" t="n"/>
      <c r="DE244" s="26" t="n"/>
      <c r="DF244" s="26" t="n"/>
      <c r="DG244" s="26" t="n"/>
      <c r="DH244" s="27" t="n"/>
      <c r="DJ244" s="211" t="inlineStr">
        <is>
          <t>订单表中未找到</t>
        </is>
      </c>
      <c r="DK244" t="inlineStr">
        <is>
          <t>—</t>
        </is>
      </c>
      <c r="DL244" t="inlineStr">
        <is>
          <t>—</t>
        </is>
      </c>
    </row>
    <row r="245" ht="15.75" customHeight="1" s="187">
      <c r="A245" s="84" t="n">
        <v>45908</v>
      </c>
      <c r="B245" s="206" t="inlineStr">
        <is>
          <t>已收货</t>
        </is>
      </c>
      <c r="C245" s="128" t="inlineStr">
        <is>
          <t>4728028572979122417</t>
        </is>
      </c>
      <c r="D245" s="86" t="inlineStr">
        <is>
          <t>程宇诗</t>
        </is>
      </c>
      <c r="E245" s="87" t="n"/>
      <c r="F245" s="87" t="n"/>
      <c r="G245" s="207" t="inlineStr">
        <is>
          <t>窄柜-整柜洞石背板-1.0米</t>
        </is>
      </c>
      <c r="H245" s="207" t="inlineStr">
        <is>
          <t>樱桃木窄柜</t>
        </is>
      </c>
      <c r="I245" s="89" t="n">
        <v>1000</v>
      </c>
      <c r="J245" s="87" t="inlineStr">
        <is>
          <t>已结算</t>
        </is>
      </c>
      <c r="K245" s="86" t="inlineStr">
        <is>
          <t>庄毅</t>
        </is>
      </c>
      <c r="L245" s="207">
        <f>SUM(M245:AO245)</f>
        <v/>
      </c>
      <c r="M245" s="207">
        <f>3300</f>
        <v/>
      </c>
      <c r="N245" s="207">
        <f>0.958*260+2*55</f>
        <v/>
      </c>
      <c r="O245" s="207" t="n">
        <v>120</v>
      </c>
      <c r="P245" s="207" t="n"/>
      <c r="Q245" s="207">
        <f>19*2</f>
        <v/>
      </c>
      <c r="R245" s="207" t="n">
        <v>106.8</v>
      </c>
      <c r="S245" s="207" t="n">
        <v>59.23</v>
      </c>
      <c r="T245" s="207" t="n"/>
      <c r="U245" s="207" t="n"/>
      <c r="V245" s="207" t="n">
        <v>5</v>
      </c>
      <c r="W245" s="207" t="n"/>
      <c r="X245" s="207" t="n"/>
      <c r="Y245" s="207" t="n"/>
      <c r="Z245" s="207" t="n"/>
      <c r="AA245" s="207" t="n">
        <v>2</v>
      </c>
      <c r="AB245" s="207" t="n">
        <v>1.1</v>
      </c>
      <c r="AC245" s="207" t="n">
        <v>3.5</v>
      </c>
      <c r="AD245" s="207" t="n"/>
      <c r="AE245" s="207" t="n"/>
      <c r="AF245" s="207" t="n"/>
      <c r="AG245" s="207" t="n"/>
      <c r="AH245" s="207" t="n"/>
      <c r="AI245" s="207" t="n"/>
      <c r="AJ245" s="207" t="n"/>
      <c r="AK245" s="207" t="n"/>
      <c r="AL245" s="207" t="n"/>
      <c r="AM245" s="207" t="n"/>
      <c r="AN245" s="207" t="n"/>
      <c r="AO245" s="207" t="n"/>
      <c r="AP245" s="207" t="n">
        <v>267</v>
      </c>
      <c r="AQ245" s="207" t="n">
        <v>0</v>
      </c>
      <c r="AR245" s="207" t="n">
        <v>279</v>
      </c>
      <c r="AS245" s="207" t="n">
        <v>0</v>
      </c>
      <c r="AT245" s="207">
        <f>196-196</f>
        <v/>
      </c>
      <c r="AU245" s="207" t="n">
        <v>0</v>
      </c>
      <c r="AV245" s="207" t="n">
        <v>0</v>
      </c>
      <c r="AW245" s="207" t="n">
        <v>0</v>
      </c>
      <c r="AX245" s="208" t="n">
        <v>1</v>
      </c>
      <c r="AY245" s="209">
        <f>L245*AX245+AP245+AQ245+AR245+AV245+AW245+AS245+AT245+AU245</f>
        <v/>
      </c>
      <c r="AZ245" s="207" t="n">
        <v>5285.7</v>
      </c>
      <c r="BA245" s="207" t="n">
        <v>0</v>
      </c>
      <c r="BB245" s="207">
        <f>AZ245*0.006</f>
        <v/>
      </c>
      <c r="BC245" s="209">
        <f>AZ245+BA245-BB245</f>
        <v/>
      </c>
      <c r="BD245" s="207" t="n">
        <v>196</v>
      </c>
      <c r="BE245" s="207" t="n">
        <v>0</v>
      </c>
      <c r="BF245" s="209">
        <f>BD245+BE245</f>
        <v/>
      </c>
      <c r="BG245" s="209">
        <f>BC245-AY245+BF245</f>
        <v/>
      </c>
      <c r="BH245" s="86" t="inlineStr">
        <is>
          <t>程宇诗</t>
        </is>
      </c>
      <c r="BI245" s="210" t="inlineStr">
        <is>
          <t>上海 上海市 虹口区 四川北路街道虬江支路180弄1号楼2901</t>
        </is>
      </c>
      <c r="BJ245" s="210" t="inlineStr">
        <is>
          <t>18466946762-2818</t>
        </is>
      </c>
      <c r="BK245" s="86" t="n"/>
      <c r="BL245" s="210" t="n"/>
      <c r="BM245" s="93" t="n"/>
      <c r="BN245" s="94" t="n"/>
      <c r="BO245" s="93" t="n"/>
      <c r="BP245" s="86" t="n"/>
      <c r="BQ245" s="96" t="n"/>
      <c r="BR245" s="96" t="n"/>
      <c r="BS245" s="97" t="n"/>
      <c r="BT245" s="96" t="n"/>
      <c r="BU245" s="97" t="n"/>
      <c r="BV245" s="96" t="n"/>
      <c r="BW245" s="97" t="n"/>
      <c r="BX245" s="97" t="n"/>
      <c r="BY245" s="97" t="n"/>
      <c r="BZ245" s="97" t="n"/>
      <c r="CA245" s="98" t="n"/>
      <c r="CH245" s="2" t="n"/>
      <c r="CI245" s="14" t="n"/>
      <c r="CJ245" s="25" t="n"/>
      <c r="CK245" s="25" t="n"/>
      <c r="CL245" s="25" t="n"/>
      <c r="CM245" s="25" t="n"/>
      <c r="CN245" s="25" t="n"/>
      <c r="CO245" s="25" t="n"/>
      <c r="CP245" s="25" t="n"/>
      <c r="CQ245" s="25" t="n"/>
      <c r="CR245" s="25" t="n"/>
      <c r="CS245" s="25" t="n"/>
      <c r="CT245" s="25" t="n"/>
      <c r="CU245" s="25" t="n"/>
      <c r="CV245" s="25" t="n"/>
      <c r="CW245" s="25" t="n"/>
      <c r="CX245" s="25" t="n"/>
      <c r="CY245" s="25" t="n"/>
      <c r="CZ245" s="25" t="n"/>
      <c r="DC245" s="26" t="n"/>
      <c r="DD245" s="26" t="n"/>
      <c r="DE245" s="26" t="n"/>
      <c r="DF245" s="26" t="n"/>
      <c r="DG245" s="26" t="n"/>
      <c r="DH245" s="27" t="n"/>
      <c r="DJ245" s="211" t="inlineStr">
        <is>
          <t>订单表中未找到</t>
        </is>
      </c>
      <c r="DK245" t="inlineStr">
        <is>
          <t>—</t>
        </is>
      </c>
      <c r="DL245" t="inlineStr">
        <is>
          <t>—</t>
        </is>
      </c>
    </row>
    <row r="246" ht="15.75" customHeight="1" s="187">
      <c r="A246" s="84" t="n">
        <v>45908</v>
      </c>
      <c r="B246" s="206" t="inlineStr">
        <is>
          <t>已收货</t>
        </is>
      </c>
      <c r="C246" s="128" t="inlineStr">
        <is>
          <t>4728864602716256925</t>
        </is>
      </c>
      <c r="D246" s="86" t="inlineStr">
        <is>
          <t>荆莉杰</t>
        </is>
      </c>
      <c r="E246" s="87" t="n"/>
      <c r="F246" s="87" t="n"/>
      <c r="G246" s="207" t="inlineStr">
        <is>
          <t>窄柜-整柜洞石背板-0.73米-定制</t>
        </is>
      </c>
      <c r="H246" s="207" t="inlineStr">
        <is>
          <t>樱桃木窄柜</t>
        </is>
      </c>
      <c r="I246" s="89" t="n">
        <v>730</v>
      </c>
      <c r="J246" s="87" t="inlineStr">
        <is>
          <t>已结算</t>
        </is>
      </c>
      <c r="K246" s="86" t="inlineStr">
        <is>
          <t>庄毅</t>
        </is>
      </c>
      <c r="L246" s="207">
        <f>115+1.16+3.37+3100+1.1+1.03+60/2+4+307.08+54.9+3+0.8*0.48*160+30*5+10</f>
        <v/>
      </c>
      <c r="M246" s="207" t="n">
        <v>3100</v>
      </c>
      <c r="N246" s="207">
        <f>0.688*260+2*55</f>
        <v/>
      </c>
      <c r="O246" s="207">
        <f>115</f>
        <v/>
      </c>
      <c r="P246" s="207" t="n"/>
      <c r="Q246" s="207">
        <f>15*2</f>
        <v/>
      </c>
      <c r="R246" s="207">
        <f>0.8*0.5*160+30</f>
        <v/>
      </c>
      <c r="S246" s="207" t="n">
        <v>54.9</v>
      </c>
      <c r="T246" s="207" t="n"/>
      <c r="U246" s="207" t="n"/>
      <c r="V246" s="207" t="n"/>
      <c r="W246" s="207" t="n">
        <v>4</v>
      </c>
      <c r="X246" s="207" t="n"/>
      <c r="Y246" s="207" t="n"/>
      <c r="Z246" s="207" t="n"/>
      <c r="AA246" s="207" t="n"/>
      <c r="AB246" s="207" t="n"/>
      <c r="AC246" s="207" t="n">
        <v>3.37</v>
      </c>
      <c r="AD246" s="207" t="n"/>
      <c r="AE246" s="207" t="n">
        <v>3</v>
      </c>
      <c r="AF246" s="207" t="inlineStr">
        <is>
          <t>30*5</t>
        </is>
      </c>
      <c r="AG246" s="207" t="n"/>
      <c r="AH246" s="207" t="n"/>
      <c r="AI246" s="207" t="n">
        <v>1.16</v>
      </c>
      <c r="AJ246" s="207" t="n">
        <v>1.1</v>
      </c>
      <c r="AK246" s="207" t="n">
        <v>10</v>
      </c>
      <c r="AL246" s="207" t="n"/>
      <c r="AM246" s="207" t="n"/>
      <c r="AN246" s="207" t="n"/>
      <c r="AO246" s="207" t="n"/>
      <c r="AP246" s="207" t="n">
        <v>190</v>
      </c>
      <c r="AQ246" s="207" t="n">
        <v>0</v>
      </c>
      <c r="AR246" s="207" t="n">
        <v>78</v>
      </c>
      <c r="AS246" s="207" t="n">
        <v>0</v>
      </c>
      <c r="AT246" s="207" t="n">
        <v>0</v>
      </c>
      <c r="AU246" s="207" t="n">
        <v>0</v>
      </c>
      <c r="AV246" s="207" t="n">
        <v>0</v>
      </c>
      <c r="AW246" s="207" t="n">
        <v>0</v>
      </c>
      <c r="AX246" s="208" t="n">
        <v>1</v>
      </c>
      <c r="AY246" s="209">
        <f>L246*AX246+AP246+AQ246+AR246+AV246+AW246+AS246+AT246+AU246</f>
        <v/>
      </c>
      <c r="AZ246" s="207">
        <f>4951.1+178.92</f>
        <v/>
      </c>
      <c r="BA246" s="207" t="n">
        <v>0</v>
      </c>
      <c r="BB246" s="207">
        <f>AZ246*0.006</f>
        <v/>
      </c>
      <c r="BC246" s="209">
        <f>AZ246+BA246-BB246</f>
        <v/>
      </c>
      <c r="BD246" s="207" t="n">
        <v>0</v>
      </c>
      <c r="BE246" s="207" t="n">
        <v>0</v>
      </c>
      <c r="BF246" s="209">
        <f>BD246+BE246</f>
        <v/>
      </c>
      <c r="BG246" s="209">
        <f>BC246-AY246+BF246</f>
        <v/>
      </c>
      <c r="BH246" s="86" t="inlineStr">
        <is>
          <t>荆莉杰</t>
        </is>
      </c>
      <c r="BI246" s="210" t="inlineStr">
        <is>
          <t>河南省 郑州市 二七区 嵩山路街道黄岗寺郑密路小区1号楼1单元</t>
        </is>
      </c>
      <c r="BJ246" s="210" t="inlineStr">
        <is>
          <t>17895452761-4766</t>
        </is>
      </c>
      <c r="BK246" s="86" t="n"/>
      <c r="BL246" s="210" t="n"/>
      <c r="BM246" s="93" t="n"/>
      <c r="BN246" s="94" t="n"/>
      <c r="BO246" s="93" t="n"/>
      <c r="BP246" s="86" t="n"/>
      <c r="BQ246" s="96" t="n"/>
      <c r="BR246" s="96" t="n"/>
      <c r="BS246" s="97" t="n"/>
      <c r="BT246" s="96" t="n"/>
      <c r="BU246" s="97" t="n"/>
      <c r="BV246" s="96" t="n"/>
      <c r="BW246" s="97" t="n"/>
      <c r="BX246" s="97" t="n"/>
      <c r="BY246" s="97" t="n"/>
      <c r="BZ246" s="97" t="n"/>
      <c r="CA246" s="98" t="n"/>
      <c r="CH246" s="2" t="n"/>
      <c r="CI246" s="14" t="n"/>
      <c r="CJ246" s="25" t="n"/>
      <c r="CK246" s="25" t="n"/>
      <c r="CL246" s="25" t="n"/>
      <c r="CM246" s="25" t="n"/>
      <c r="CN246" s="25" t="n"/>
      <c r="CO246" s="25" t="n"/>
      <c r="CP246" s="25" t="n"/>
      <c r="CQ246" s="25" t="n"/>
      <c r="CR246" s="25" t="n"/>
      <c r="CS246" s="25" t="n"/>
      <c r="CT246" s="25" t="n"/>
      <c r="CU246" s="25" t="n"/>
      <c r="CV246" s="25" t="n"/>
      <c r="CW246" s="25" t="n"/>
      <c r="CX246" s="25" t="n"/>
      <c r="CY246" s="25" t="n"/>
      <c r="CZ246" s="25" t="n"/>
      <c r="DC246" s="26" t="n"/>
      <c r="DD246" s="26" t="n"/>
      <c r="DE246" s="26" t="n"/>
      <c r="DF246" s="26" t="n"/>
      <c r="DG246" s="26" t="n"/>
      <c r="DH246" s="27" t="n"/>
      <c r="DJ246" s="211" t="inlineStr">
        <is>
          <t>订单表中未找到</t>
        </is>
      </c>
      <c r="DK246" t="inlineStr">
        <is>
          <t>—</t>
        </is>
      </c>
      <c r="DL246" t="inlineStr">
        <is>
          <t>—</t>
        </is>
      </c>
    </row>
    <row r="247" ht="15.75" customHeight="1" s="187">
      <c r="A247" s="84" t="n">
        <v>45912</v>
      </c>
      <c r="B247" s="206" t="inlineStr">
        <is>
          <t>已收货</t>
        </is>
      </c>
      <c r="C247" s="128" t="inlineStr">
        <is>
          <t>2928133633634161181</t>
        </is>
      </c>
      <c r="D247" s="86" t="inlineStr">
        <is>
          <t>王一</t>
        </is>
      </c>
      <c r="E247" s="87" t="n"/>
      <c r="F247" s="87" t="n"/>
      <c r="G247" s="207" t="inlineStr">
        <is>
          <t>窄柜-整柜洞石背板-1.0米</t>
        </is>
      </c>
      <c r="H247" s="207" t="inlineStr">
        <is>
          <t>樱桃木窄柜</t>
        </is>
      </c>
      <c r="I247" s="89" t="n">
        <v>1000</v>
      </c>
      <c r="J247" s="87" t="inlineStr">
        <is>
          <t>已结算</t>
        </is>
      </c>
      <c r="K247" s="86" t="inlineStr">
        <is>
          <t>庄毅</t>
        </is>
      </c>
      <c r="L247" s="207">
        <f>SUM(M247:AO247)</f>
        <v/>
      </c>
      <c r="M247" s="207">
        <f>3300</f>
        <v/>
      </c>
      <c r="N247" s="207">
        <f>0.958*260+2*55</f>
        <v/>
      </c>
      <c r="O247" s="207" t="n">
        <v>120</v>
      </c>
      <c r="P247" s="207" t="n"/>
      <c r="Q247" s="207">
        <f>19*2</f>
        <v/>
      </c>
      <c r="R247" s="207">
        <f>0.48*1*160+30</f>
        <v/>
      </c>
      <c r="S247" s="207" t="n">
        <v>59.23</v>
      </c>
      <c r="T247" s="207" t="n"/>
      <c r="U247" s="207" t="n"/>
      <c r="V247" s="207" t="n">
        <v>5</v>
      </c>
      <c r="W247" s="207" t="n"/>
      <c r="X247" s="207" t="n"/>
      <c r="Y247" s="207" t="n"/>
      <c r="Z247" s="207" t="n"/>
      <c r="AA247" s="207" t="n">
        <v>2</v>
      </c>
      <c r="AB247" s="207" t="n">
        <v>1.1</v>
      </c>
      <c r="AC247" s="207" t="n">
        <v>3.5</v>
      </c>
      <c r="AD247" s="207" t="n"/>
      <c r="AE247" s="207" t="n"/>
      <c r="AF247" s="207" t="n"/>
      <c r="AG247" s="207" t="n"/>
      <c r="AH247" s="207" t="n"/>
      <c r="AI247" s="207" t="n"/>
      <c r="AJ247" s="207" t="n"/>
      <c r="AK247" s="207" t="n"/>
      <c r="AL247" s="207" t="n"/>
      <c r="AM247" s="207" t="n"/>
      <c r="AN247" s="207" t="n"/>
      <c r="AO247" s="207" t="n"/>
      <c r="AP247" s="207" t="n">
        <v>410</v>
      </c>
      <c r="AQ247" s="207" t="n">
        <v>0</v>
      </c>
      <c r="AR247" s="207" t="n">
        <v>138</v>
      </c>
      <c r="AS247" s="207" t="n">
        <v>0</v>
      </c>
      <c r="AT247" s="207" t="n">
        <v>80</v>
      </c>
      <c r="AU247" s="207" t="n">
        <v>0</v>
      </c>
      <c r="AV247" s="207" t="n">
        <v>0</v>
      </c>
      <c r="AW247" s="207" t="n">
        <v>110.1</v>
      </c>
      <c r="AX247" s="208" t="n">
        <v>1</v>
      </c>
      <c r="AY247" s="209">
        <f>L247*AX247+AP247+AQ247+AR247+AV247+AW247+AS247+AT247+AU247</f>
        <v/>
      </c>
      <c r="AZ247" s="207">
        <f>5280.7</f>
        <v/>
      </c>
      <c r="BA247" s="207" t="n">
        <v>0</v>
      </c>
      <c r="BB247" s="207">
        <f>AZ247*0.006</f>
        <v/>
      </c>
      <c r="BC247" s="209">
        <f>AZ247+BA247-BB247</f>
        <v/>
      </c>
      <c r="BD247" s="207" t="n">
        <v>80</v>
      </c>
      <c r="BE247" s="207" t="n">
        <v>0</v>
      </c>
      <c r="BF247" s="209">
        <f>BD247+BE247</f>
        <v/>
      </c>
      <c r="BG247" s="209">
        <f>BC247-AY247+BF247</f>
        <v/>
      </c>
      <c r="BH247" s="86" t="inlineStr">
        <is>
          <t>王一</t>
        </is>
      </c>
      <c r="BI247" s="210" t="inlineStr">
        <is>
          <t>四川省 泸州市 江阳区 况场街道华美路天誉誉府6-1-803</t>
        </is>
      </c>
      <c r="BJ247" s="210" t="inlineStr">
        <is>
          <t>18418996494-1171</t>
        </is>
      </c>
      <c r="BK247" s="86" t="n"/>
      <c r="BL247" s="210" t="n"/>
      <c r="BM247" s="93" t="n"/>
      <c r="BN247" s="94" t="n"/>
      <c r="BO247" s="93" t="n"/>
      <c r="BP247" s="86" t="n"/>
      <c r="BQ247" s="96" t="n"/>
      <c r="BR247" s="96" t="n"/>
      <c r="BS247" s="97" t="n"/>
      <c r="BT247" s="96" t="n"/>
      <c r="BU247" s="97" t="n"/>
      <c r="BV247" s="96" t="n"/>
      <c r="BW247" s="97" t="n"/>
      <c r="BX247" s="97" t="n"/>
      <c r="BY247" s="97" t="n"/>
      <c r="BZ247" s="97" t="n"/>
      <c r="CA247" s="98" t="n"/>
      <c r="CH247" s="2" t="n"/>
      <c r="CI247" s="14" t="n"/>
      <c r="CJ247" s="25" t="n"/>
      <c r="CK247" s="25" t="n"/>
      <c r="CL247" s="25" t="n"/>
      <c r="CM247" s="25" t="n"/>
      <c r="CN247" s="25" t="n"/>
      <c r="CO247" s="25" t="n"/>
      <c r="CP247" s="25" t="n"/>
      <c r="CQ247" s="25" t="n"/>
      <c r="CR247" s="25" t="n"/>
      <c r="CS247" s="25" t="n"/>
      <c r="CT247" s="25" t="n"/>
      <c r="CU247" s="25" t="n"/>
      <c r="CV247" s="25" t="n"/>
      <c r="CW247" s="25" t="n"/>
      <c r="CX247" s="25" t="n"/>
      <c r="CY247" s="25" t="n"/>
      <c r="CZ247" s="25" t="n"/>
      <c r="DC247" s="26" t="n"/>
      <c r="DD247" s="26" t="n"/>
      <c r="DE247" s="26" t="n"/>
      <c r="DF247" s="26" t="n"/>
      <c r="DG247" s="26" t="n"/>
      <c r="DH247" s="27" t="n"/>
      <c r="DJ247" s="211" t="inlineStr">
        <is>
          <t>订单表中未找到</t>
        </is>
      </c>
      <c r="DK247" t="inlineStr">
        <is>
          <t>—</t>
        </is>
      </c>
      <c r="DL247" t="inlineStr">
        <is>
          <t>—</t>
        </is>
      </c>
    </row>
    <row r="248" ht="15.75" customHeight="1" s="187">
      <c r="A248" s="84" t="n">
        <v>45913</v>
      </c>
      <c r="B248" s="206" t="inlineStr">
        <is>
          <t>已收货</t>
        </is>
      </c>
      <c r="C248" s="128" t="inlineStr">
        <is>
          <t>2930891271508261293</t>
        </is>
      </c>
      <c r="D248" s="86" t="inlineStr">
        <is>
          <t>李老师</t>
        </is>
      </c>
      <c r="E248" s="87" t="n"/>
      <c r="F248" s="87" t="n"/>
      <c r="G248" s="87" t="inlineStr">
        <is>
          <t>砂白色1.8米岩板餐桌</t>
        </is>
      </c>
      <c r="H248" s="207" t="inlineStr">
        <is>
          <t>榉木餐桌</t>
        </is>
      </c>
      <c r="I248" s="218" t="inlineStr">
        <is>
          <t>180cm*85cm</t>
        </is>
      </c>
      <c r="J248" s="87" t="inlineStr">
        <is>
          <t>已结算</t>
        </is>
      </c>
      <c r="K248" s="86" t="inlineStr">
        <is>
          <t>庄毅</t>
        </is>
      </c>
      <c r="L248" s="207">
        <f>SUM(M248:AO248)</f>
        <v/>
      </c>
      <c r="M248" s="207">
        <f>1580</f>
        <v/>
      </c>
      <c r="N248" s="207" t="n"/>
      <c r="O248" s="207" t="n"/>
      <c r="P248" s="207" t="n"/>
      <c r="Q248" s="207" t="n"/>
      <c r="R248" s="207">
        <f>180*1.8*0.85</f>
        <v/>
      </c>
      <c r="S248" s="207" t="n"/>
      <c r="T248" s="207" t="n"/>
      <c r="U248" s="207" t="n"/>
      <c r="V248" s="207" t="n"/>
      <c r="W248" s="207" t="n"/>
      <c r="X248" s="207" t="n"/>
      <c r="Y248" s="207" t="n"/>
      <c r="Z248" s="207" t="n"/>
      <c r="AA248" s="207" t="n"/>
      <c r="AB248" s="207" t="n"/>
      <c r="AC248" s="207" t="n"/>
      <c r="AD248" s="207" t="n">
        <v>2.5</v>
      </c>
      <c r="AE248" s="207" t="n"/>
      <c r="AF248" s="207" t="n"/>
      <c r="AG248" s="207" t="n"/>
      <c r="AH248" s="207" t="n"/>
      <c r="AI248" s="207" t="n"/>
      <c r="AJ248" s="207" t="n"/>
      <c r="AK248" s="207" t="n"/>
      <c r="AL248" s="207" t="n"/>
      <c r="AM248" s="207" t="n"/>
      <c r="AN248" s="207" t="n"/>
      <c r="AO248" s="207" t="n"/>
      <c r="AP248" s="207" t="n">
        <v>377</v>
      </c>
      <c r="AQ248" s="207" t="n">
        <v>0</v>
      </c>
      <c r="AR248" s="207" t="n">
        <v>148</v>
      </c>
      <c r="AS248" s="207" t="n">
        <v>0</v>
      </c>
      <c r="AT248" s="207" t="n">
        <v>0</v>
      </c>
      <c r="AU248" s="207" t="n">
        <v>0</v>
      </c>
      <c r="AV248" s="207" t="n">
        <v>0</v>
      </c>
      <c r="AW248" s="207" t="n">
        <v>83</v>
      </c>
      <c r="AX248" s="208" t="n">
        <v>1</v>
      </c>
      <c r="AY248" s="209">
        <f>L248*AX248+AP248+AQ248+AR248+AV248+AW248+AS248+AT248+AU248</f>
        <v/>
      </c>
      <c r="AZ248" s="207" t="n">
        <v>2983.07</v>
      </c>
      <c r="BA248" s="207" t="n">
        <v>0</v>
      </c>
      <c r="BB248" s="207">
        <f>AZ248*0.006</f>
        <v/>
      </c>
      <c r="BC248" s="209">
        <f>AZ248+BA248-BB248</f>
        <v/>
      </c>
      <c r="BD248" s="207" t="n">
        <v>0</v>
      </c>
      <c r="BE248" s="207" t="n">
        <v>0</v>
      </c>
      <c r="BF248" s="209">
        <f>BD248+BE248</f>
        <v/>
      </c>
      <c r="BG248" s="209">
        <f>BC248-AY248+BF248</f>
        <v/>
      </c>
      <c r="BH248" s="86" t="inlineStr">
        <is>
          <t>李老师</t>
        </is>
      </c>
      <c r="BI248" s="210" t="inlineStr">
        <is>
          <t>重庆 重庆市 渝北区 双凤桥街道桥达渝北茂宸广场3-4-5</t>
        </is>
      </c>
      <c r="BJ248" s="210" t="inlineStr">
        <is>
          <t>18418917240-7137</t>
        </is>
      </c>
      <c r="BK248" s="86" t="n"/>
      <c r="BL248" s="210" t="n"/>
      <c r="BM248" s="93" t="n"/>
      <c r="BN248" s="94" t="n"/>
      <c r="BO248" s="93" t="n"/>
      <c r="BP248" s="86" t="n"/>
      <c r="BQ248" s="96" t="n"/>
      <c r="BR248" s="96" t="n"/>
      <c r="BS248" s="97" t="n"/>
      <c r="BT248" s="96" t="n"/>
      <c r="BU248" s="97" t="n"/>
      <c r="BV248" s="96" t="n"/>
      <c r="BW248" s="97" t="n"/>
      <c r="BX248" s="97" t="n"/>
      <c r="BY248" s="97" t="n"/>
      <c r="BZ248" s="97" t="n"/>
      <c r="CA248" s="98" t="n"/>
      <c r="CH248" s="2" t="n"/>
      <c r="CI248" s="14" t="n"/>
      <c r="CJ248" s="25" t="n"/>
      <c r="CK248" s="25" t="n"/>
      <c r="CL248" s="25" t="n"/>
      <c r="CM248" s="25" t="n"/>
      <c r="CN248" s="25" t="n"/>
      <c r="CO248" s="25" t="n"/>
      <c r="CP248" s="25" t="n"/>
      <c r="CQ248" s="25" t="n"/>
      <c r="CR248" s="25" t="n"/>
      <c r="CS248" s="25" t="n"/>
      <c r="CT248" s="25" t="n"/>
      <c r="CU248" s="25" t="n"/>
      <c r="CV248" s="25" t="n"/>
      <c r="CW248" s="25" t="n"/>
      <c r="CX248" s="25" t="n"/>
      <c r="CY248" s="25" t="n"/>
      <c r="CZ248" s="25" t="n"/>
      <c r="DC248" s="26" t="n"/>
      <c r="DD248" s="26" t="n"/>
      <c r="DE248" s="26" t="n"/>
      <c r="DF248" s="26" t="n"/>
      <c r="DG248" s="26" t="n"/>
      <c r="DH248" s="27" t="n"/>
      <c r="DJ248" s="211" t="inlineStr">
        <is>
          <t>订单表中未找到</t>
        </is>
      </c>
      <c r="DK248" t="inlineStr">
        <is>
          <t>—</t>
        </is>
      </c>
      <c r="DL248" t="inlineStr">
        <is>
          <t>—</t>
        </is>
      </c>
    </row>
    <row r="249" ht="15.75" customHeight="1" s="187">
      <c r="A249" s="84" t="n">
        <v>45914</v>
      </c>
      <c r="B249" s="223" t="n"/>
      <c r="C249" s="101" t="inlineStr">
        <is>
          <t>2934024243298161467</t>
        </is>
      </c>
      <c r="D249" s="109" t="n"/>
      <c r="E249" s="100" t="inlineStr">
        <is>
          <t>退款</t>
        </is>
      </c>
      <c r="F249" s="100" t="n"/>
      <c r="G249" s="100" t="n"/>
      <c r="H249" s="215" t="n"/>
      <c r="I249" s="221" t="n"/>
      <c r="J249" s="100" t="n"/>
      <c r="K249" s="100" t="inlineStr">
        <is>
          <t>江西</t>
        </is>
      </c>
      <c r="L249" s="212" t="n">
        <v>0</v>
      </c>
      <c r="M249" s="207" t="n">
        <v>0</v>
      </c>
      <c r="N249" s="207" t="n"/>
      <c r="O249" s="207" t="n"/>
      <c r="P249" s="207" t="n"/>
      <c r="Q249" s="207" t="n"/>
      <c r="R249" s="207" t="n"/>
      <c r="S249" s="207" t="n"/>
      <c r="T249" s="207" t="n"/>
      <c r="U249" s="207" t="n"/>
      <c r="V249" s="207" t="n"/>
      <c r="W249" s="207" t="n"/>
      <c r="X249" s="207" t="n"/>
      <c r="Y249" s="207" t="n"/>
      <c r="Z249" s="207" t="n"/>
      <c r="AA249" s="207" t="n"/>
      <c r="AB249" s="207" t="n"/>
      <c r="AC249" s="207" t="n"/>
      <c r="AD249" s="207" t="n"/>
      <c r="AE249" s="207" t="n"/>
      <c r="AF249" s="207" t="n"/>
      <c r="AG249" s="207" t="n"/>
      <c r="AH249" s="207" t="n"/>
      <c r="AI249" s="207" t="n"/>
      <c r="AJ249" s="207" t="n"/>
      <c r="AK249" s="207" t="n"/>
      <c r="AL249" s="207" t="n"/>
      <c r="AM249" s="207" t="n"/>
      <c r="AN249" s="207" t="n"/>
      <c r="AO249" s="207" t="n"/>
      <c r="AP249" s="213" t="n">
        <v>0</v>
      </c>
      <c r="AQ249" s="213" t="n">
        <v>0</v>
      </c>
      <c r="AR249" s="213" t="n">
        <v>0</v>
      </c>
      <c r="AS249" s="213" t="n">
        <v>0</v>
      </c>
      <c r="AT249" s="213" t="n">
        <v>0</v>
      </c>
      <c r="AU249" s="213" t="n">
        <v>0</v>
      </c>
      <c r="AV249" s="213" t="n">
        <v>0</v>
      </c>
      <c r="AW249" s="213" t="n">
        <v>0</v>
      </c>
      <c r="AX249" s="214" t="n">
        <v>1</v>
      </c>
      <c r="AY249" s="213" t="n">
        <v>0</v>
      </c>
      <c r="AZ249" s="213" t="n">
        <v>0</v>
      </c>
      <c r="BA249" s="213" t="n">
        <v>0</v>
      </c>
      <c r="BB249" s="213">
        <f>AZ249*0.006</f>
        <v/>
      </c>
      <c r="BC249" s="213">
        <f>AZ249+BA249-BB249</f>
        <v/>
      </c>
      <c r="BD249" s="213" t="n">
        <v>0</v>
      </c>
      <c r="BE249" s="213" t="n">
        <v>0</v>
      </c>
      <c r="BF249" s="213">
        <f>BD249+BE249</f>
        <v/>
      </c>
      <c r="BG249" s="213">
        <f>BC249-AY249+BF249</f>
        <v/>
      </c>
      <c r="BH249" s="100" t="n"/>
      <c r="BI249" s="219" t="n"/>
      <c r="BJ249" s="101" t="n"/>
      <c r="BK249" s="101" t="n"/>
      <c r="BL249" s="219" t="n"/>
      <c r="BM249" s="123" t="n"/>
      <c r="BN249" s="108" t="n"/>
      <c r="BO249" s="123" t="n"/>
      <c r="BP249" s="101" t="n"/>
      <c r="BQ249" s="109" t="n"/>
      <c r="BR249" s="109" t="n"/>
      <c r="BS249" s="100" t="n"/>
      <c r="BT249" s="109" t="n"/>
      <c r="BU249" s="100" t="n"/>
      <c r="BV249" s="109" t="n"/>
      <c r="BW249" s="100" t="n"/>
      <c r="BX249" s="100" t="n"/>
      <c r="BY249" s="100" t="n"/>
      <c r="BZ249" s="100" t="n"/>
      <c r="CA249" s="98" t="n"/>
      <c r="CH249" s="2" t="n"/>
      <c r="CI249" s="14">
        <f>CJ249&amp;CK249</f>
        <v/>
      </c>
      <c r="CJ249" s="25" t="n"/>
      <c r="CK249" s="25" t="n"/>
      <c r="CL249" s="25" t="n"/>
      <c r="CM249" s="25" t="n"/>
      <c r="CN249" s="25" t="n"/>
      <c r="CO249" s="25" t="n"/>
      <c r="CP249" s="25" t="n"/>
      <c r="CQ249" s="25" t="n"/>
      <c r="CR249" s="25" t="n"/>
      <c r="CS249" s="25" t="n"/>
      <c r="CT249" s="25" t="n"/>
      <c r="CU249" s="25" t="n"/>
      <c r="CV249" s="25" t="n"/>
      <c r="CW249" s="25" t="n"/>
      <c r="CX249" s="25" t="n"/>
      <c r="CY249" s="25" t="n"/>
      <c r="CZ249" s="25" t="n"/>
      <c r="DC249" s="26" t="n"/>
      <c r="DD249" s="26" t="n"/>
      <c r="DE249" s="26" t="n"/>
      <c r="DF249" s="26" t="n"/>
      <c r="DG249" s="26" t="n"/>
      <c r="DH249" s="27" t="n"/>
      <c r="DJ249" s="211" t="inlineStr">
        <is>
          <t>订单表中未找到</t>
        </is>
      </c>
      <c r="DK249" t="inlineStr">
        <is>
          <t>—</t>
        </is>
      </c>
      <c r="DL249" t="inlineStr">
        <is>
          <t>—</t>
        </is>
      </c>
    </row>
    <row r="250" ht="15.75" customHeight="1" s="187">
      <c r="A250" s="84" t="n">
        <v>45914</v>
      </c>
      <c r="B250" s="206" t="inlineStr">
        <is>
          <t>已收货</t>
        </is>
      </c>
      <c r="C250" s="86" t="inlineStr">
        <is>
          <t>4742081172444903127</t>
        </is>
      </c>
      <c r="D250" s="86" t="inlineStr">
        <is>
          <t>邹</t>
        </is>
      </c>
      <c r="E250" s="87" t="n"/>
      <c r="F250" s="87" t="n"/>
      <c r="G250" s="87" t="inlineStr">
        <is>
          <t>样块</t>
        </is>
      </c>
      <c r="H250" s="130" t="inlineStr">
        <is>
          <t>样块</t>
        </is>
      </c>
      <c r="I250" s="89" t="n"/>
      <c r="J250" s="87" t="inlineStr">
        <is>
          <t>已结算</t>
        </is>
      </c>
      <c r="K250" s="87" t="inlineStr">
        <is>
          <t>杭州</t>
        </is>
      </c>
      <c r="L250" s="207">
        <f>SUM(M250:AO250)</f>
        <v/>
      </c>
      <c r="M250" s="207" t="n">
        <v>5</v>
      </c>
      <c r="N250" s="207" t="n"/>
      <c r="O250" s="207" t="n"/>
      <c r="P250" s="207" t="n"/>
      <c r="Q250" s="207" t="n"/>
      <c r="R250" s="207" t="n"/>
      <c r="S250" s="207" t="n"/>
      <c r="T250" s="207" t="n"/>
      <c r="U250" s="207" t="n"/>
      <c r="V250" s="207" t="n"/>
      <c r="W250" s="207" t="n"/>
      <c r="X250" s="207" t="n"/>
      <c r="Y250" s="207" t="n"/>
      <c r="Z250" s="207" t="n"/>
      <c r="AA250" s="207" t="n"/>
      <c r="AB250" s="207" t="n"/>
      <c r="AC250" s="207" t="n"/>
      <c r="AD250" s="207" t="n"/>
      <c r="AE250" s="207" t="n"/>
      <c r="AF250" s="207" t="n"/>
      <c r="AG250" s="207" t="n"/>
      <c r="AH250" s="207" t="n"/>
      <c r="AI250" s="207" t="n"/>
      <c r="AJ250" s="207" t="n"/>
      <c r="AK250" s="207" t="n"/>
      <c r="AL250" s="207" t="n"/>
      <c r="AM250" s="207" t="n">
        <v>2</v>
      </c>
      <c r="AN250" s="207" t="n"/>
      <c r="AO250" s="207" t="n"/>
      <c r="AP250" s="207" t="n">
        <v>5</v>
      </c>
      <c r="AQ250" s="207" t="n">
        <v>0</v>
      </c>
      <c r="AR250" s="207" t="n">
        <v>0</v>
      </c>
      <c r="AS250" s="207" t="n">
        <v>0</v>
      </c>
      <c r="AT250" s="207" t="n">
        <v>0</v>
      </c>
      <c r="AU250" s="207" t="n">
        <v>0</v>
      </c>
      <c r="AV250" s="207" t="n">
        <v>0</v>
      </c>
      <c r="AW250" s="207" t="n">
        <v>0</v>
      </c>
      <c r="AX250" s="208" t="n">
        <v>1</v>
      </c>
      <c r="AY250" s="209">
        <f>L250*AX250+AP250+AQ250+AR250+AV250+AW250+AS250+AT250+AU250</f>
        <v/>
      </c>
      <c r="AZ250" s="207" t="n">
        <v>22</v>
      </c>
      <c r="BA250" s="207" t="n">
        <v>0</v>
      </c>
      <c r="BB250" s="207">
        <f>AZ250*0.006</f>
        <v/>
      </c>
      <c r="BC250" s="209">
        <f>AZ250+BA250-BB250</f>
        <v/>
      </c>
      <c r="BD250" s="207" t="n">
        <v>0</v>
      </c>
      <c r="BE250" s="207" t="n">
        <v>0</v>
      </c>
      <c r="BF250" s="209">
        <f>BD250+BE250</f>
        <v/>
      </c>
      <c r="BG250" s="209">
        <f>BC250-AY250+BF250</f>
        <v/>
      </c>
      <c r="BH250" s="86" t="inlineStr">
        <is>
          <t>邹言华</t>
        </is>
      </c>
      <c r="BI250" s="207" t="inlineStr">
        <is>
          <t>浙江省 宁波市 鄞州区 东郊街道 鄞州区江东金茂府9-802</t>
        </is>
      </c>
      <c r="BJ250" s="207" t="inlineStr">
        <is>
          <t>15558205214-4090</t>
        </is>
      </c>
      <c r="BK250" s="86" t="n"/>
      <c r="BL250" s="210" t="n"/>
      <c r="BM250" s="93" t="n"/>
      <c r="BN250" s="94" t="n"/>
      <c r="BO250" s="93" t="n"/>
      <c r="BP250" s="86" t="n"/>
      <c r="BQ250" s="96" t="n"/>
      <c r="BR250" s="96" t="n"/>
      <c r="BS250" s="97" t="n"/>
      <c r="BT250" s="96" t="n"/>
      <c r="BU250" s="97" t="n"/>
      <c r="BV250" s="96" t="n"/>
      <c r="BW250" s="97" t="n"/>
      <c r="BX250" s="97" t="n"/>
      <c r="BY250" s="97" t="n"/>
      <c r="BZ250" s="97" t="n"/>
      <c r="CA250" s="98" t="n"/>
      <c r="CH250" s="2" t="n"/>
      <c r="CI250" s="14">
        <f>CJ250&amp;CK250</f>
        <v/>
      </c>
      <c r="CJ250" s="25" t="n"/>
      <c r="CK250" s="25" t="n"/>
      <c r="CL250" s="25" t="n"/>
      <c r="CM250" s="25" t="n"/>
      <c r="CN250" s="25" t="n"/>
      <c r="CO250" s="25" t="n"/>
      <c r="CP250" s="25" t="n"/>
      <c r="CQ250" s="25" t="n"/>
      <c r="CR250" s="25" t="n"/>
      <c r="CS250" s="25" t="n"/>
      <c r="CT250" s="25" t="n"/>
      <c r="CU250" s="25" t="n"/>
      <c r="CV250" s="25" t="n"/>
      <c r="CW250" s="25" t="n"/>
      <c r="CX250" s="25" t="n"/>
      <c r="CY250" s="25" t="n"/>
      <c r="DC250" s="26" t="n"/>
      <c r="DD250" s="26" t="n"/>
      <c r="DE250" s="26" t="n"/>
      <c r="DF250" s="26" t="n"/>
      <c r="DG250" s="26" t="n"/>
      <c r="DH250" s="27" t="n"/>
      <c r="DJ250" s="211" t="inlineStr">
        <is>
          <t>订单表中未找到</t>
        </is>
      </c>
      <c r="DK250" t="inlineStr">
        <is>
          <t>—</t>
        </is>
      </c>
      <c r="DL250" t="inlineStr">
        <is>
          <t>—</t>
        </is>
      </c>
    </row>
    <row r="251" ht="15.75" customHeight="1" s="187">
      <c r="A251" s="84" t="n">
        <v>45916</v>
      </c>
      <c r="B251" s="206" t="inlineStr">
        <is>
          <t>已收货</t>
        </is>
      </c>
      <c r="C251" s="128" t="inlineStr">
        <is>
          <t>2936560117108873397</t>
        </is>
      </c>
      <c r="D251" s="86" t="inlineStr">
        <is>
          <t>张小姐</t>
        </is>
      </c>
      <c r="E251" s="87" t="n"/>
      <c r="F251" s="87" t="n"/>
      <c r="G251" s="87" t="inlineStr">
        <is>
          <t>1.8樱桃木基础柜</t>
        </is>
      </c>
      <c r="H251" s="130" t="inlineStr">
        <is>
          <t>基础餐边柜</t>
        </is>
      </c>
      <c r="I251" s="89" t="n">
        <v>1800</v>
      </c>
      <c r="J251" s="87" t="inlineStr">
        <is>
          <t>已结算</t>
        </is>
      </c>
      <c r="K251" s="86" t="inlineStr">
        <is>
          <t>庄毅</t>
        </is>
      </c>
      <c r="L251" s="207">
        <f>4500+180*1.8*0.48+33+20+40+65+310+577+10+30*5</f>
        <v/>
      </c>
      <c r="M251" s="207">
        <f>4500</f>
        <v/>
      </c>
      <c r="N251" s="207" t="inlineStr">
        <is>
          <t>180*1.8*0.48</t>
        </is>
      </c>
      <c r="O251" s="207" t="n">
        <v>33</v>
      </c>
      <c r="P251" s="207" t="n">
        <v>20</v>
      </c>
      <c r="Q251" s="207" t="n"/>
      <c r="R251" s="207" t="n">
        <v>40</v>
      </c>
      <c r="S251" s="207" t="n">
        <v>65</v>
      </c>
      <c r="T251" s="207" t="n">
        <v>310</v>
      </c>
      <c r="U251" s="207" t="n"/>
      <c r="V251" s="207" t="n"/>
      <c r="W251" s="207" t="n">
        <v>577</v>
      </c>
      <c r="X251" s="207" t="n">
        <v>10</v>
      </c>
      <c r="Y251" s="207" t="inlineStr">
        <is>
          <t>30*5</t>
        </is>
      </c>
      <c r="Z251" s="207" t="n"/>
      <c r="AA251" s="207" t="n"/>
      <c r="AB251" s="207" t="n"/>
      <c r="AC251" s="207" t="n"/>
      <c r="AD251" s="207" t="n"/>
      <c r="AE251" s="207" t="n"/>
      <c r="AF251" s="207" t="n"/>
      <c r="AG251" s="207" t="n"/>
      <c r="AH251" s="207" t="n"/>
      <c r="AI251" s="207" t="n"/>
      <c r="AJ251" s="207" t="n"/>
      <c r="AK251" s="207" t="n"/>
      <c r="AL251" s="207" t="n"/>
      <c r="AM251" s="207" t="n"/>
      <c r="AN251" s="207" t="n"/>
      <c r="AO251" s="207" t="n"/>
      <c r="AP251" s="207" t="n">
        <v>407</v>
      </c>
      <c r="AQ251" s="207" t="n">
        <v>0</v>
      </c>
      <c r="AR251" s="207" t="n">
        <v>188</v>
      </c>
      <c r="AS251" s="207" t="n">
        <v>0</v>
      </c>
      <c r="AT251" s="207" t="n">
        <v>178</v>
      </c>
      <c r="AU251" s="207" t="n">
        <v>0</v>
      </c>
      <c r="AV251" s="207" t="n">
        <v>0</v>
      </c>
      <c r="AW251" s="207" t="n">
        <v>0</v>
      </c>
      <c r="AX251" s="208" t="n">
        <v>1</v>
      </c>
      <c r="AY251" s="209">
        <f>L251*AX251+AP251+AQ251+AR251+AV251+AW251+AS251+AT251+AU251</f>
        <v/>
      </c>
      <c r="AZ251" s="207" t="n">
        <v>7984.52</v>
      </c>
      <c r="BA251" s="207" t="n">
        <v>0</v>
      </c>
      <c r="BB251" s="207">
        <f>AZ251*0.006</f>
        <v/>
      </c>
      <c r="BC251" s="209">
        <f>AZ251+BA251-BB251</f>
        <v/>
      </c>
      <c r="BD251" s="207" t="n">
        <v>0</v>
      </c>
      <c r="BE251" s="207" t="n">
        <v>0</v>
      </c>
      <c r="BF251" s="209">
        <f>BD251+BE251</f>
        <v/>
      </c>
      <c r="BG251" s="209">
        <f>BC251-AY251+BF251</f>
        <v/>
      </c>
      <c r="BH251" s="86" t="inlineStr">
        <is>
          <t>张小姐</t>
        </is>
      </c>
      <c r="BI251" s="210" t="inlineStr">
        <is>
          <t>重庆 重庆市 渝北区 鸳鸯街道湖红路56号恒大世纪城一期35栋302</t>
        </is>
      </c>
      <c r="BJ251" s="210" t="inlineStr">
        <is>
          <t>13140356790-3053</t>
        </is>
      </c>
      <c r="BK251" s="86" t="n"/>
      <c r="BL251" s="210" t="n"/>
      <c r="BM251" s="93" t="n"/>
      <c r="BN251" s="94" t="n"/>
      <c r="BO251" s="93" t="n"/>
      <c r="BP251" s="86" t="n"/>
      <c r="BQ251" s="96" t="n"/>
      <c r="BR251" s="96" t="n"/>
      <c r="BS251" s="97" t="n"/>
      <c r="BT251" s="96" t="n"/>
      <c r="BU251" s="97" t="n"/>
      <c r="BV251" s="96" t="n"/>
      <c r="BW251" s="97" t="n"/>
      <c r="BX251" s="97" t="n"/>
      <c r="BY251" s="97" t="n"/>
      <c r="BZ251" s="97" t="n"/>
      <c r="CA251" s="98" t="n"/>
      <c r="CH251" s="2" t="n"/>
      <c r="CI251" s="14" t="n"/>
      <c r="CJ251" s="25" t="n"/>
      <c r="CK251" s="25" t="n"/>
      <c r="CL251" s="25" t="n"/>
      <c r="CM251" s="25" t="n"/>
      <c r="CN251" s="25" t="n"/>
      <c r="CO251" s="25" t="n"/>
      <c r="CP251" s="25" t="n"/>
      <c r="CQ251" s="25" t="n"/>
      <c r="CR251" s="25" t="n"/>
      <c r="CS251" s="25" t="n"/>
      <c r="CT251" s="25" t="n"/>
      <c r="CU251" s="25" t="n"/>
      <c r="CV251" s="25" t="n"/>
      <c r="CW251" s="25" t="n"/>
      <c r="CX251" s="25" t="n"/>
      <c r="CY251" s="25" t="n"/>
      <c r="DC251" s="26" t="n"/>
      <c r="DD251" s="26" t="n"/>
      <c r="DE251" s="26" t="n"/>
      <c r="DF251" s="26" t="n"/>
      <c r="DG251" s="26" t="n"/>
      <c r="DH251" s="27" t="n"/>
      <c r="DJ251" s="211" t="inlineStr">
        <is>
          <t>订单表中未找到</t>
        </is>
      </c>
      <c r="DK251" t="inlineStr">
        <is>
          <t>—</t>
        </is>
      </c>
      <c r="DL251" t="inlineStr">
        <is>
          <t>—</t>
        </is>
      </c>
    </row>
    <row r="252" ht="15.75" customHeight="1" s="187">
      <c r="A252" s="84" t="n">
        <v>45916</v>
      </c>
      <c r="B252" s="206" t="inlineStr">
        <is>
          <t>已收货</t>
        </is>
      </c>
      <c r="C252" s="128" t="inlineStr">
        <is>
          <t>2937365835518235075</t>
        </is>
      </c>
      <c r="D252" s="86" t="inlineStr">
        <is>
          <t>罗奇</t>
        </is>
      </c>
      <c r="E252" s="87" t="n"/>
      <c r="F252" s="87" t="n"/>
      <c r="G252" s="207" t="inlineStr">
        <is>
          <t>樱桃木洞石岩板餐桌2025-1.2米</t>
        </is>
      </c>
      <c r="H252" s="207" t="inlineStr">
        <is>
          <t>樱桃木岩板餐桌2025</t>
        </is>
      </c>
      <c r="I252" s="89" t="inlineStr">
        <is>
          <t>120cm*85cm</t>
        </is>
      </c>
      <c r="J252" s="87" t="inlineStr">
        <is>
          <t>已结算</t>
        </is>
      </c>
      <c r="K252" s="86" t="inlineStr">
        <is>
          <t>庄毅</t>
        </is>
      </c>
      <c r="L252" s="207">
        <f>SUM(M252:AO252)</f>
        <v/>
      </c>
      <c r="M252" s="207">
        <f>1040</f>
        <v/>
      </c>
      <c r="N252" s="207" t="n"/>
      <c r="O252" s="207" t="n"/>
      <c r="P252" s="207" t="n"/>
      <c r="Q252" s="207" t="n"/>
      <c r="R252" s="207">
        <f>180*1.2*0.85</f>
        <v/>
      </c>
      <c r="S252" s="207" t="n"/>
      <c r="T252" s="207" t="n"/>
      <c r="U252" s="207" t="n"/>
      <c r="V252" s="207" t="n"/>
      <c r="W252" s="207" t="n"/>
      <c r="X252" s="207" t="n"/>
      <c r="Y252" s="207" t="n"/>
      <c r="Z252" s="207" t="n"/>
      <c r="AA252" s="207" t="n"/>
      <c r="AB252" s="207" t="n"/>
      <c r="AC252" s="207" t="n"/>
      <c r="AD252" s="207" t="n">
        <v>2.5</v>
      </c>
      <c r="AE252" s="207" t="n"/>
      <c r="AF252" s="207" t="n"/>
      <c r="AG252" s="207" t="n"/>
      <c r="AH252" s="207" t="n"/>
      <c r="AI252" s="207" t="n"/>
      <c r="AJ252" s="207" t="n"/>
      <c r="AK252" s="207" t="n"/>
      <c r="AL252" s="207" t="n"/>
      <c r="AM252" s="207" t="n"/>
      <c r="AN252" s="207" t="n"/>
      <c r="AO252" s="207" t="n"/>
      <c r="AP252" s="207" t="n">
        <v>145</v>
      </c>
      <c r="AQ252" s="207" t="n">
        <v>0</v>
      </c>
      <c r="AR252" s="207" t="n">
        <v>78</v>
      </c>
      <c r="AS252" s="207" t="n">
        <v>0</v>
      </c>
      <c r="AT252" s="207" t="n">
        <v>0</v>
      </c>
      <c r="AU252" s="207" t="n">
        <v>0</v>
      </c>
      <c r="AV252" s="207" t="n">
        <v>0</v>
      </c>
      <c r="AW252" s="207" t="n">
        <v>0</v>
      </c>
      <c r="AX252" s="208" t="n">
        <v>1</v>
      </c>
      <c r="AY252" s="209">
        <f>L252*AX252+AP252+AQ252+AR252+AV252+AW252+AS252+AT252+AU252</f>
        <v/>
      </c>
      <c r="AZ252" s="207" t="n">
        <v>2133.92</v>
      </c>
      <c r="BA252" s="207" t="n">
        <v>0</v>
      </c>
      <c r="BB252" s="207">
        <f>AZ252*0.006</f>
        <v/>
      </c>
      <c r="BC252" s="209">
        <f>AZ252+BA252-BB252</f>
        <v/>
      </c>
      <c r="BD252" s="207" t="n">
        <v>0</v>
      </c>
      <c r="BE252" s="207" t="n">
        <v>0</v>
      </c>
      <c r="BF252" s="209">
        <f>BD252+BE252</f>
        <v/>
      </c>
      <c r="BG252" s="209">
        <f>BC252-AY252+BF252</f>
        <v/>
      </c>
      <c r="BH252" s="86" t="inlineStr">
        <is>
          <t>罗奇</t>
        </is>
      </c>
      <c r="BI252" s="210" t="inlineStr">
        <is>
          <t>浙江省 台州市 路桥区 路桥街道 翼文苑31幢1单元201</t>
        </is>
      </c>
      <c r="BJ252" s="210" t="inlineStr">
        <is>
          <t>15786490248-7687</t>
        </is>
      </c>
      <c r="BK252" s="86" t="n"/>
      <c r="BL252" s="210" t="n"/>
      <c r="BM252" s="93" t="n"/>
      <c r="BN252" s="94" t="n"/>
      <c r="BO252" s="93" t="n"/>
      <c r="BP252" s="86" t="n"/>
      <c r="BQ252" s="96" t="n"/>
      <c r="BR252" s="96" t="n"/>
      <c r="BS252" s="97" t="n"/>
      <c r="BT252" s="96" t="n"/>
      <c r="BU252" s="97" t="n"/>
      <c r="BV252" s="96" t="n"/>
      <c r="BW252" s="97" t="n"/>
      <c r="BX252" s="97" t="n"/>
      <c r="BY252" s="97" t="n"/>
      <c r="BZ252" s="97" t="n"/>
      <c r="CA252" s="98" t="n"/>
      <c r="CH252" s="2" t="n"/>
      <c r="CI252" s="14" t="n"/>
      <c r="CJ252" s="25" t="n"/>
      <c r="CK252" s="25" t="n"/>
      <c r="CL252" s="25" t="n"/>
      <c r="CM252" s="25" t="n"/>
      <c r="CN252" s="25" t="n"/>
      <c r="CO252" s="25" t="n"/>
      <c r="CP252" s="25" t="n"/>
      <c r="CQ252" s="25" t="n"/>
      <c r="CR252" s="25" t="n"/>
      <c r="CS252" s="25" t="n"/>
      <c r="CT252" s="25" t="n"/>
      <c r="CU252" s="25" t="n"/>
      <c r="CV252" s="25" t="n"/>
      <c r="CW252" s="25" t="n"/>
      <c r="CX252" s="25" t="n"/>
      <c r="CY252" s="25" t="n"/>
      <c r="DC252" s="26" t="n"/>
      <c r="DD252" s="26" t="n"/>
      <c r="DE252" s="26" t="n"/>
      <c r="DF252" s="26" t="n"/>
      <c r="DG252" s="26" t="n"/>
      <c r="DH252" s="27" t="n"/>
      <c r="DJ252" s="211" t="inlineStr">
        <is>
          <t>订单表中未找到</t>
        </is>
      </c>
      <c r="DK252" t="inlineStr">
        <is>
          <t>—</t>
        </is>
      </c>
      <c r="DL252" t="inlineStr">
        <is>
          <t>—</t>
        </is>
      </c>
    </row>
    <row r="253" ht="15.75" customHeight="1" s="187">
      <c r="A253" s="84" t="n">
        <v>45917</v>
      </c>
      <c r="B253" s="206" t="inlineStr">
        <is>
          <t>已收货</t>
        </is>
      </c>
      <c r="C253" s="86" t="inlineStr">
        <is>
          <t>4750362253536193937</t>
        </is>
      </c>
      <c r="D253" s="207" t="inlineStr">
        <is>
          <t>黄锦业</t>
        </is>
      </c>
      <c r="E253" s="87" t="n"/>
      <c r="F253" s="87" t="n"/>
      <c r="G253" s="207" t="inlineStr">
        <is>
          <t>榉木餐边柜定制-实木背板-1.8米-250917</t>
        </is>
      </c>
      <c r="H253" s="207" t="inlineStr">
        <is>
          <t>榉木餐边柜</t>
        </is>
      </c>
      <c r="I253" s="89" t="n"/>
      <c r="J253" s="87" t="inlineStr">
        <is>
          <t>已结算</t>
        </is>
      </c>
      <c r="K253" s="86" t="inlineStr">
        <is>
          <t>庄毅</t>
        </is>
      </c>
      <c r="L253" s="207">
        <f>4600+180*0.38*1.8+577+10+8.49+300</f>
        <v/>
      </c>
      <c r="M253" s="207">
        <f>4600</f>
        <v/>
      </c>
      <c r="N253" s="207" t="inlineStr">
        <is>
          <t>180*0.38*1.8</t>
        </is>
      </c>
      <c r="O253" s="207" t="n">
        <v>577</v>
      </c>
      <c r="P253" s="207" t="n">
        <v>10</v>
      </c>
      <c r="Q253" s="207" t="n"/>
      <c r="R253" s="207" t="n">
        <v>8.49</v>
      </c>
      <c r="S253" s="207" t="n">
        <v>300</v>
      </c>
      <c r="T253" s="207" t="n"/>
      <c r="U253" s="207" t="n"/>
      <c r="V253" s="207" t="n"/>
      <c r="W253" s="207" t="n"/>
      <c r="X253" s="207" t="n"/>
      <c r="Y253" s="207" t="n"/>
      <c r="Z253" s="207" t="n"/>
      <c r="AA253" s="207" t="n"/>
      <c r="AB253" s="207" t="n"/>
      <c r="AC253" s="207" t="n"/>
      <c r="AD253" s="207" t="n"/>
      <c r="AE253" s="207" t="n"/>
      <c r="AF253" s="207" t="n"/>
      <c r="AG253" s="207" t="n"/>
      <c r="AH253" s="207" t="n"/>
      <c r="AI253" s="207" t="n"/>
      <c r="AJ253" s="207" t="n"/>
      <c r="AK253" s="207" t="n"/>
      <c r="AL253" s="207" t="n"/>
      <c r="AM253" s="207" t="n">
        <v>80</v>
      </c>
      <c r="AN253" s="207" t="n"/>
      <c r="AO253" s="207" t="n"/>
      <c r="AP253" s="207">
        <f>345+66.4</f>
        <v/>
      </c>
      <c r="AQ253" s="207" t="n">
        <v>0</v>
      </c>
      <c r="AR253" s="207" t="n">
        <v>155</v>
      </c>
      <c r="AS253" s="207" t="n">
        <v>0</v>
      </c>
      <c r="AT253" s="207">
        <f>249+155</f>
        <v/>
      </c>
      <c r="AU253" s="207" t="n">
        <v>0</v>
      </c>
      <c r="AV253" s="207" t="n">
        <v>0</v>
      </c>
      <c r="AW253" s="207" t="n">
        <v>3678</v>
      </c>
      <c r="AX253" s="208" t="n">
        <v>1</v>
      </c>
      <c r="AY253" s="209">
        <f>L253*AX253+AP253+AQ253+AR253+AV253+AW253+AS253+AT253+AU253</f>
        <v/>
      </c>
      <c r="AZ253" s="207" t="n">
        <v>7355</v>
      </c>
      <c r="BA253" s="207" t="n">
        <v>0</v>
      </c>
      <c r="BB253" s="207">
        <f>AZ253*0.006</f>
        <v/>
      </c>
      <c r="BC253" s="209">
        <f>AZ253+BA253-BB253</f>
        <v/>
      </c>
      <c r="BD253" s="207" t="n">
        <v>1000</v>
      </c>
      <c r="BE253" s="207" t="n">
        <v>0</v>
      </c>
      <c r="BF253" s="209">
        <f>BD253+BE253</f>
        <v/>
      </c>
      <c r="BG253" s="209">
        <f>BC253-AY253+BF253</f>
        <v/>
      </c>
      <c r="BH253" s="207" t="inlineStr">
        <is>
          <t>黄锦业</t>
        </is>
      </c>
      <c r="BI253" s="207" t="inlineStr">
        <is>
          <t>广东省惠州市惠城区 升平苑翠竹楼F梯801号</t>
        </is>
      </c>
      <c r="BJ253" s="207" t="inlineStr">
        <is>
          <t>15118997743</t>
        </is>
      </c>
      <c r="BK253" s="87" t="n"/>
      <c r="BL253" s="210" t="n"/>
      <c r="BM253" s="93" t="n"/>
      <c r="BN253" s="94" t="n"/>
      <c r="BO253" s="93" t="n"/>
      <c r="BP253" s="86" t="n"/>
      <c r="BQ253" s="96" t="n"/>
      <c r="BR253" s="96" t="n"/>
      <c r="BS253" s="97" t="n"/>
      <c r="BT253" s="96" t="n"/>
      <c r="BU253" s="97" t="n"/>
      <c r="BV253" s="96" t="n"/>
      <c r="BW253" s="97" t="n"/>
      <c r="BX253" s="97" t="n"/>
      <c r="BY253" s="97" t="n"/>
      <c r="BZ253" s="97" t="n"/>
      <c r="CA253" s="98" t="n"/>
      <c r="CH253" s="2" t="n"/>
      <c r="CI253" s="14">
        <f>CJ253&amp;CK253</f>
        <v/>
      </c>
      <c r="CJ253" s="25" t="n"/>
      <c r="CK253" s="25" t="n"/>
      <c r="CL253" s="25" t="n"/>
      <c r="CM253" s="25" t="n"/>
      <c r="CN253" s="25" t="n"/>
      <c r="CO253" s="25" t="n"/>
      <c r="CP253" s="25" t="n"/>
      <c r="CQ253" s="25" t="n"/>
      <c r="CR253" s="25" t="n"/>
      <c r="CS253" s="25" t="n"/>
      <c r="CT253" s="25" t="n"/>
      <c r="CU253" s="25" t="n"/>
      <c r="CV253" s="25" t="n"/>
      <c r="CW253" s="25" t="n"/>
      <c r="CX253" s="25" t="n"/>
      <c r="CY253" s="25" t="n"/>
      <c r="CZ253" s="25" t="n"/>
      <c r="DC253" s="26" t="n"/>
      <c r="DD253" s="26" t="n"/>
      <c r="DE253" s="26" t="n"/>
      <c r="DF253" s="26" t="n"/>
      <c r="DG253" s="26" t="n"/>
      <c r="DH253" s="27" t="n"/>
      <c r="DJ253" s="211" t="inlineStr">
        <is>
          <t>订单表中未找到</t>
        </is>
      </c>
      <c r="DK253" t="inlineStr">
        <is>
          <t>—</t>
        </is>
      </c>
      <c r="DL253" t="inlineStr">
        <is>
          <t>—</t>
        </is>
      </c>
    </row>
    <row r="254" ht="15.75" customHeight="1" s="187">
      <c r="A254" s="84" t="n">
        <v>45917</v>
      </c>
      <c r="B254" s="206" t="inlineStr">
        <is>
          <t>已收货</t>
        </is>
      </c>
      <c r="C254" s="86" t="inlineStr">
        <is>
          <t>2940273122944836689</t>
        </is>
      </c>
      <c r="D254" s="207" t="inlineStr">
        <is>
          <t>金生</t>
        </is>
      </c>
      <c r="E254" s="87" t="n"/>
      <c r="F254" s="87" t="n"/>
      <c r="G254" s="207" t="inlineStr">
        <is>
          <t>1.8米全景柜，下柜高90，顶部到2.5米  岩板补发</t>
        </is>
      </c>
      <c r="H254" s="207" t="inlineStr">
        <is>
          <t>洞石餐边柜</t>
        </is>
      </c>
      <c r="I254" s="89" t="n"/>
      <c r="J254" s="87" t="inlineStr">
        <is>
          <t>已结算</t>
        </is>
      </c>
      <c r="K254" s="86" t="inlineStr">
        <is>
          <t>江西</t>
        </is>
      </c>
      <c r="L254" s="207">
        <f>6400+580*2+52*2+2040/6/1.5+80+14+10+22*7+634.08+390+84</f>
        <v/>
      </c>
      <c r="M254" s="207">
        <f>6400</f>
        <v/>
      </c>
      <c r="N254" s="207" t="inlineStr">
        <is>
          <t>580*2</t>
        </is>
      </c>
      <c r="O254" s="207" t="inlineStr">
        <is>
          <t>52*2</t>
        </is>
      </c>
      <c r="P254" s="207" t="inlineStr">
        <is>
          <t>2040/6/1.5</t>
        </is>
      </c>
      <c r="Q254" s="207" t="n"/>
      <c r="R254" s="207" t="n">
        <v>80</v>
      </c>
      <c r="S254" s="207" t="n">
        <v>14</v>
      </c>
      <c r="T254" s="207" t="n">
        <v>10</v>
      </c>
      <c r="U254" s="207" t="n"/>
      <c r="V254" s="207" t="n"/>
      <c r="W254" s="207" t="inlineStr">
        <is>
          <t>22*7</t>
        </is>
      </c>
      <c r="X254" s="207" t="n">
        <v>634.08</v>
      </c>
      <c r="Y254" s="207" t="n">
        <v>390</v>
      </c>
      <c r="Z254" s="207" t="n"/>
      <c r="AA254" s="207" t="n"/>
      <c r="AB254" s="207" t="n"/>
      <c r="AC254" s="207" t="n"/>
      <c r="AD254" s="207" t="n"/>
      <c r="AE254" s="207" t="n">
        <v>84</v>
      </c>
      <c r="AF254" s="207" t="n"/>
      <c r="AG254" s="207" t="n"/>
      <c r="AH254" s="207" t="n"/>
      <c r="AI254" s="207" t="n"/>
      <c r="AJ254" s="207" t="n"/>
      <c r="AK254" s="207" t="n"/>
      <c r="AL254" s="207" t="n"/>
      <c r="AM254" s="207" t="n">
        <v>390</v>
      </c>
      <c r="AN254" s="207" t="n"/>
      <c r="AO254" s="207" t="n"/>
      <c r="AP254" s="207">
        <f>509-AQ254</f>
        <v/>
      </c>
      <c r="AQ254" s="207" t="n">
        <v>50</v>
      </c>
      <c r="AR254" s="207" t="n">
        <v>150</v>
      </c>
      <c r="AS254" s="207" t="n">
        <v>0</v>
      </c>
      <c r="AT254" s="207" t="n">
        <v>0</v>
      </c>
      <c r="AU254" s="207" t="n">
        <v>0</v>
      </c>
      <c r="AV254" s="207" t="n">
        <v>0</v>
      </c>
      <c r="AW254" s="207" t="n">
        <v>107</v>
      </c>
      <c r="AX254" s="208" t="n">
        <v>1</v>
      </c>
      <c r="AY254" s="209">
        <f>L254*AX254+AP254+AQ254+AR254+AV254+AW254+AS254+AT254+AU254</f>
        <v/>
      </c>
      <c r="AZ254" s="207" t="n">
        <v>12289</v>
      </c>
      <c r="BA254" s="207" t="n">
        <v>0</v>
      </c>
      <c r="BB254" s="207">
        <f>AZ254*0.006</f>
        <v/>
      </c>
      <c r="BC254" s="209">
        <f>AZ254+BA254-BB254</f>
        <v/>
      </c>
      <c r="BD254" s="207" t="n">
        <v>0</v>
      </c>
      <c r="BE254" s="207" t="n">
        <v>0</v>
      </c>
      <c r="BF254" s="209">
        <f>BD254+BE254</f>
        <v/>
      </c>
      <c r="BG254" s="209">
        <f>BC254-AY254+BF254</f>
        <v/>
      </c>
      <c r="BH254" s="86" t="inlineStr">
        <is>
          <t>金生</t>
        </is>
      </c>
      <c r="BI254" s="210" t="inlineStr">
        <is>
          <t>广东省 深圳市 南山区 南山街道 一湾臻邸3--4单元2702</t>
        </is>
      </c>
      <c r="BJ254" s="210" t="inlineStr">
        <is>
          <t>15794937563-8174</t>
        </is>
      </c>
      <c r="BK254" s="87" t="n"/>
      <c r="BL254" s="210" t="n"/>
      <c r="BM254" s="93" t="n"/>
      <c r="BN254" s="94" t="n"/>
      <c r="BO254" s="93" t="n"/>
      <c r="BP254" s="86" t="n"/>
      <c r="BQ254" s="96" t="n"/>
      <c r="BR254" s="96" t="n"/>
      <c r="BS254" s="97" t="n"/>
      <c r="BT254" s="96" t="n"/>
      <c r="BU254" s="97" t="n"/>
      <c r="BV254" s="96" t="n"/>
      <c r="BW254" s="97" t="n"/>
      <c r="BX254" s="97" t="n"/>
      <c r="BY254" s="97" t="n"/>
      <c r="BZ254" s="97" t="n"/>
      <c r="CA254" s="98" t="n"/>
      <c r="CH254" s="2" t="n"/>
      <c r="CI254" s="14" t="n"/>
      <c r="CJ254" s="25" t="n"/>
      <c r="CK254" s="25" t="n"/>
      <c r="CL254" s="25" t="n"/>
      <c r="CM254" s="25" t="n"/>
      <c r="CN254" s="25" t="n"/>
      <c r="CO254" s="25" t="n"/>
      <c r="CP254" s="25" t="n"/>
      <c r="CQ254" s="25" t="n"/>
      <c r="CR254" s="25" t="n"/>
      <c r="CS254" s="25" t="n"/>
      <c r="CT254" s="25" t="n"/>
      <c r="CU254" s="25" t="n"/>
      <c r="CV254" s="25" t="n"/>
      <c r="CW254" s="25" t="n"/>
      <c r="CX254" s="25" t="n"/>
      <c r="CY254" s="25" t="n"/>
      <c r="CZ254" s="25" t="n"/>
      <c r="DC254" s="26" t="n"/>
      <c r="DD254" s="26" t="n"/>
      <c r="DE254" s="26" t="n"/>
      <c r="DF254" s="26" t="n"/>
      <c r="DG254" s="26" t="n"/>
      <c r="DH254" s="27" t="n"/>
      <c r="DJ254" s="211" t="inlineStr">
        <is>
          <t>订单表中未找到</t>
        </is>
      </c>
      <c r="DK254" t="inlineStr">
        <is>
          <t>—</t>
        </is>
      </c>
      <c r="DL254" t="inlineStr">
        <is>
          <t>—</t>
        </is>
      </c>
    </row>
    <row r="255" ht="15.75" customHeight="1" s="187">
      <c r="A255" s="84" t="n">
        <v>45918</v>
      </c>
      <c r="B255" s="206" t="inlineStr">
        <is>
          <t>已收货</t>
        </is>
      </c>
      <c r="C255" s="128" t="inlineStr">
        <is>
          <t>4752171000017145848</t>
        </is>
      </c>
      <c r="D255" s="86" t="inlineStr">
        <is>
          <t>刘松</t>
        </is>
      </c>
      <c r="E255" s="87" t="n"/>
      <c r="F255" s="87" t="n"/>
      <c r="G255" s="87" t="inlineStr">
        <is>
          <t>砂白色1.6米岩板餐桌，定制+2个藤编椅</t>
        </is>
      </c>
      <c r="H255" s="220" t="inlineStr">
        <is>
          <t>榉木餐桌</t>
        </is>
      </c>
      <c r="I255" s="89" t="inlineStr">
        <is>
          <t>160cm*76cm</t>
        </is>
      </c>
      <c r="J255" s="87" t="inlineStr">
        <is>
          <t>已结算</t>
        </is>
      </c>
      <c r="K255" s="86" t="inlineStr">
        <is>
          <t>庄毅</t>
        </is>
      </c>
      <c r="L255" s="207">
        <f>SUM(M255:AO255)</f>
        <v/>
      </c>
      <c r="M255" s="207">
        <f>1500</f>
        <v/>
      </c>
      <c r="N255" s="207" t="n"/>
      <c r="O255" s="207" t="n"/>
      <c r="P255" s="207" t="n"/>
      <c r="Q255" s="207" t="n"/>
      <c r="R255" s="207">
        <f>180*1.6*0.76</f>
        <v/>
      </c>
      <c r="S255" s="207" t="n"/>
      <c r="T255" s="207" t="n"/>
      <c r="U255" s="207" t="n"/>
      <c r="V255" s="207" t="n"/>
      <c r="W255" s="207" t="n"/>
      <c r="X255" s="207" t="n"/>
      <c r="Y255" s="207" t="n"/>
      <c r="Z255" s="207" t="n"/>
      <c r="AA255" s="207" t="n"/>
      <c r="AB255" s="207" t="n"/>
      <c r="AC255" s="207" t="n"/>
      <c r="AD255" s="207" t="n">
        <v>2.5</v>
      </c>
      <c r="AE255" s="207" t="n"/>
      <c r="AF255" s="207" t="n">
        <v>730</v>
      </c>
      <c r="AG255" s="207" t="n"/>
      <c r="AH255" s="207" t="n"/>
      <c r="AI255" s="207" t="n"/>
      <c r="AJ255" s="207" t="n"/>
      <c r="AK255" s="207" t="n"/>
      <c r="AL255" s="207" t="n"/>
      <c r="AM255" s="207" t="n"/>
      <c r="AN255" s="207" t="n"/>
      <c r="AO255" s="207" t="n"/>
      <c r="AP255" s="207" t="n">
        <v>252</v>
      </c>
      <c r="AQ255" s="207" t="n">
        <v>0</v>
      </c>
      <c r="AR255" s="207" t="n">
        <v>70</v>
      </c>
      <c r="AS255" s="207" t="n">
        <v>0</v>
      </c>
      <c r="AT255" s="207" t="n">
        <v>0</v>
      </c>
      <c r="AU255" s="207" t="n">
        <v>0</v>
      </c>
      <c r="AV255" s="207" t="n">
        <v>0</v>
      </c>
      <c r="AW255" s="207" t="n">
        <v>0</v>
      </c>
      <c r="AX255" s="208" t="n">
        <v>1</v>
      </c>
      <c r="AY255" s="209">
        <f>L255*AX255+AP255+AQ255+AR255+AV255+AW255+AS255+AT255+AU255</f>
        <v/>
      </c>
      <c r="AZ255" s="207" t="n">
        <v>3635</v>
      </c>
      <c r="BA255" s="207" t="n">
        <v>0</v>
      </c>
      <c r="BB255" s="207">
        <f>AZ255*0.006</f>
        <v/>
      </c>
      <c r="BC255" s="209">
        <f>AZ255+BA255-BB255</f>
        <v/>
      </c>
      <c r="BD255" s="207" t="n">
        <v>0</v>
      </c>
      <c r="BE255" s="207" t="n">
        <v>0</v>
      </c>
      <c r="BF255" s="209">
        <f>BD255+BE255</f>
        <v/>
      </c>
      <c r="BG255" s="209">
        <f>BC255-AY255+BF255</f>
        <v/>
      </c>
      <c r="BH255" s="86" t="inlineStr">
        <is>
          <t>刘松</t>
        </is>
      </c>
      <c r="BI255" s="220" t="inlineStr">
        <is>
          <t>山东省 泰安市 泰山区 岱庙街道巨菱枫景苑新4号楼3单元601</t>
        </is>
      </c>
      <c r="BJ255" s="210" t="inlineStr">
        <is>
          <t>14716062262-9579</t>
        </is>
      </c>
      <c r="BK255" s="87" t="n"/>
      <c r="BL255" s="210" t="n"/>
      <c r="BM255" s="93" t="n"/>
      <c r="BN255" s="94" t="n"/>
      <c r="BO255" s="93" t="n"/>
      <c r="BP255" s="86" t="n"/>
      <c r="BQ255" s="96" t="n"/>
      <c r="BR255" s="96" t="n"/>
      <c r="BS255" s="97" t="n"/>
      <c r="BT255" s="96" t="n"/>
      <c r="BU255" s="97" t="n"/>
      <c r="BV255" s="96" t="n"/>
      <c r="BW255" s="97" t="n"/>
      <c r="BX255" s="97" t="n"/>
      <c r="BY255" s="97" t="n"/>
      <c r="BZ255" s="97" t="n"/>
      <c r="CA255" s="98" t="n"/>
      <c r="CH255" s="2" t="n"/>
      <c r="CI255" s="14" t="n"/>
      <c r="CJ255" s="25" t="n"/>
      <c r="CK255" s="25" t="n"/>
      <c r="CL255" s="25" t="n"/>
      <c r="CM255" s="25" t="n"/>
      <c r="CN255" s="25" t="n"/>
      <c r="CO255" s="25" t="n"/>
      <c r="CP255" s="25" t="n"/>
      <c r="CQ255" s="25" t="n"/>
      <c r="CR255" s="25" t="n"/>
      <c r="CS255" s="25" t="n"/>
      <c r="CT255" s="25" t="n"/>
      <c r="CU255" s="25" t="n"/>
      <c r="CV255" s="25" t="n"/>
      <c r="CW255" s="25" t="n"/>
      <c r="CX255" s="25" t="n"/>
      <c r="CY255" s="25" t="n"/>
      <c r="CZ255" s="25" t="n"/>
      <c r="DC255" s="26" t="n"/>
      <c r="DD255" s="26" t="n"/>
      <c r="DE255" s="26" t="n"/>
      <c r="DF255" s="26" t="n"/>
      <c r="DG255" s="26" t="n"/>
      <c r="DH255" s="27" t="n"/>
      <c r="DJ255" s="211" t="inlineStr">
        <is>
          <t>订单表中未找到</t>
        </is>
      </c>
      <c r="DK255" t="inlineStr">
        <is>
          <t>—</t>
        </is>
      </c>
      <c r="DL255" t="inlineStr">
        <is>
          <t>—</t>
        </is>
      </c>
    </row>
    <row r="256" ht="15.75" customHeight="1" s="187">
      <c r="A256" s="84" t="n">
        <v>45920</v>
      </c>
      <c r="B256" s="206" t="inlineStr">
        <is>
          <t>已收货</t>
        </is>
      </c>
      <c r="C256" s="86" t="inlineStr">
        <is>
          <t>4757824044136352532</t>
        </is>
      </c>
      <c r="D256" s="207" t="inlineStr">
        <is>
          <t>尹德彪</t>
        </is>
      </c>
      <c r="E256" s="87" t="n"/>
      <c r="F256" s="87" t="n"/>
      <c r="G256" s="207" t="inlineStr">
        <is>
          <t>曜黑柜-整柜-1.5米</t>
        </is>
      </c>
      <c r="H256" s="207" t="inlineStr">
        <is>
          <t>曜黑餐边柜</t>
        </is>
      </c>
      <c r="I256" s="89" t="n">
        <v>1500</v>
      </c>
      <c r="J256" s="87" t="inlineStr">
        <is>
          <t>已结算</t>
        </is>
      </c>
      <c r="K256" s="86" t="inlineStr">
        <is>
          <t>庄毅</t>
        </is>
      </c>
      <c r="L256" s="207">
        <f>9000+76+10+180*1.5*0.48+501+2550/6/1.5+41+30+40+33</f>
        <v/>
      </c>
      <c r="M256" s="207">
        <f>9000</f>
        <v/>
      </c>
      <c r="N256" s="207">
        <f>1.458*260+2*55+12</f>
        <v/>
      </c>
      <c r="O256" s="207">
        <f>2550/6/1.5</f>
        <v/>
      </c>
      <c r="P256" s="207" t="inlineStr">
        <is>
          <t>180*1.5*0.48</t>
        </is>
      </c>
      <c r="Q256" s="207" t="n"/>
      <c r="R256" s="207" t="n"/>
      <c r="S256" s="207" t="n"/>
      <c r="T256" s="207" t="n">
        <v>41</v>
      </c>
      <c r="U256" s="207" t="n">
        <v>10</v>
      </c>
      <c r="V256" s="207" t="n"/>
      <c r="W256" s="207" t="n">
        <v>30</v>
      </c>
      <c r="X256" s="207" t="n">
        <v>40</v>
      </c>
      <c r="Y256" s="207" t="n">
        <v>33</v>
      </c>
      <c r="Z256" s="207" t="n"/>
      <c r="AA256" s="207" t="n">
        <v>76</v>
      </c>
      <c r="AB256" s="207" t="n"/>
      <c r="AC256" s="207" t="n"/>
      <c r="AD256" s="207" t="n"/>
      <c r="AE256" s="207" t="n"/>
      <c r="AF256" s="207" t="n"/>
      <c r="AG256" s="207" t="n"/>
      <c r="AH256" s="207" t="n"/>
      <c r="AI256" s="207" t="n"/>
      <c r="AJ256" s="207" t="n"/>
      <c r="AK256" s="207" t="n"/>
      <c r="AL256" s="207" t="n"/>
      <c r="AM256" s="207" t="n"/>
      <c r="AN256" s="207" t="n"/>
      <c r="AO256" s="207" t="n"/>
      <c r="AP256" s="207" t="n">
        <v>555</v>
      </c>
      <c r="AQ256" s="207" t="n"/>
      <c r="AR256" s="207" t="n">
        <v>88</v>
      </c>
      <c r="AS256" s="207" t="n">
        <v>0</v>
      </c>
      <c r="AT256" s="207" t="n">
        <v>0</v>
      </c>
      <c r="AU256" s="207" t="n">
        <v>0</v>
      </c>
      <c r="AV256" s="207" t="n">
        <v>0</v>
      </c>
      <c r="AW256" s="207" t="n">
        <v>0</v>
      </c>
      <c r="AX256" s="208" t="n">
        <v>1</v>
      </c>
      <c r="AY256" s="209">
        <f>L256*AX256+AP256+AQ256+AR256+AV256+AW256+AS256+AT256+AU256</f>
        <v/>
      </c>
      <c r="AZ256" s="207" t="n">
        <v>13991</v>
      </c>
      <c r="BA256" s="207" t="n">
        <v>0</v>
      </c>
      <c r="BB256" s="207">
        <f>AZ256*0.006</f>
        <v/>
      </c>
      <c r="BC256" s="209">
        <f>AZ256+BA256-BB256</f>
        <v/>
      </c>
      <c r="BD256" s="207" t="n">
        <v>0</v>
      </c>
      <c r="BE256" s="207" t="n">
        <v>0</v>
      </c>
      <c r="BF256" s="209">
        <f>BD256+BE256</f>
        <v/>
      </c>
      <c r="BG256" s="209">
        <f>BC256-AY256+BF256</f>
        <v/>
      </c>
      <c r="BH256" s="207" t="inlineStr">
        <is>
          <t>尹德彪</t>
        </is>
      </c>
      <c r="BI256" s="207" t="inlineStr">
        <is>
          <t>山西省 吕梁市 汾阳市 栗家庄镇 粟家庄村</t>
        </is>
      </c>
      <c r="BJ256" s="207" t="inlineStr">
        <is>
          <t>18400603197-8374</t>
        </is>
      </c>
      <c r="BK256" s="87" t="n"/>
      <c r="BL256" s="210" t="n"/>
      <c r="BM256" s="93" t="n"/>
      <c r="BN256" s="94" t="n"/>
      <c r="BO256" s="93" t="n"/>
      <c r="BP256" s="86" t="n"/>
      <c r="BQ256" s="96" t="n"/>
      <c r="BR256" s="96" t="n"/>
      <c r="BS256" s="97" t="n"/>
      <c r="BT256" s="96" t="n"/>
      <c r="BU256" s="97" t="n"/>
      <c r="BV256" s="96" t="n"/>
      <c r="BW256" s="97" t="n"/>
      <c r="BX256" s="97" t="n"/>
      <c r="BY256" s="97" t="n"/>
      <c r="BZ256" s="97" t="n"/>
      <c r="CA256" s="98" t="n"/>
      <c r="CH256" s="2" t="n"/>
      <c r="CI256" s="14">
        <f>CJ256&amp;CK256</f>
        <v/>
      </c>
      <c r="CJ256" s="25" t="n"/>
      <c r="CK256" s="25" t="n"/>
      <c r="CL256" s="25" t="n"/>
      <c r="CM256" s="25" t="n"/>
      <c r="CN256" s="25" t="n"/>
      <c r="CO256" s="25" t="n"/>
      <c r="CP256" s="25" t="n"/>
      <c r="CQ256" s="25" t="n"/>
      <c r="CR256" s="25" t="n"/>
      <c r="CS256" s="25" t="n"/>
      <c r="CT256" s="25" t="n"/>
      <c r="CU256" s="25" t="n"/>
      <c r="CV256" s="25" t="n"/>
      <c r="CW256" s="25" t="n"/>
      <c r="CX256" s="25" t="n"/>
      <c r="CY256" s="25" t="n"/>
      <c r="CZ256" s="25" t="n"/>
      <c r="DC256" s="26" t="n"/>
      <c r="DD256" s="26" t="n"/>
      <c r="DE256" s="26" t="n"/>
      <c r="DF256" s="26" t="n"/>
      <c r="DG256" s="26" t="n"/>
      <c r="DH256" s="27" t="n"/>
      <c r="DJ256" s="211" t="inlineStr">
        <is>
          <t>订单表中未找到</t>
        </is>
      </c>
      <c r="DK256" t="inlineStr">
        <is>
          <t>—</t>
        </is>
      </c>
      <c r="DL256" t="inlineStr">
        <is>
          <t>—</t>
        </is>
      </c>
    </row>
    <row r="257" ht="15.75" customHeight="1" s="187">
      <c r="A257" s="84" t="n">
        <v>45921</v>
      </c>
      <c r="B257" s="206" t="inlineStr">
        <is>
          <t>已收货</t>
        </is>
      </c>
      <c r="C257" s="86" t="inlineStr">
        <is>
          <t>4759014601776106931</t>
        </is>
      </c>
      <c r="D257" s="207" t="inlineStr">
        <is>
          <t>吳愛玲</t>
        </is>
      </c>
      <c r="E257" s="87" t="n"/>
      <c r="F257" s="87" t="n"/>
      <c r="G257" s="207" t="inlineStr">
        <is>
          <t>补差价（2个美标+1个国标白色插座+一个隔板）</t>
        </is>
      </c>
      <c r="H257" s="207" t="inlineStr">
        <is>
          <t>樱桃木窄柜</t>
        </is>
      </c>
      <c r="I257" s="89" t="n"/>
      <c r="J257" s="87" t="inlineStr">
        <is>
          <t>已结算</t>
        </is>
      </c>
      <c r="K257" s="86" t="inlineStr">
        <is>
          <t>庄毅</t>
        </is>
      </c>
      <c r="L257" s="207">
        <f>SUM(M257:AO257)</f>
        <v/>
      </c>
      <c r="M257" s="207" t="n">
        <v>0</v>
      </c>
      <c r="N257" s="207">
        <f>55*3</f>
        <v/>
      </c>
      <c r="O257" s="207" t="n"/>
      <c r="P257" s="207" t="n"/>
      <c r="Q257" s="207" t="n"/>
      <c r="R257" s="207" t="n"/>
      <c r="S257" s="207" t="n"/>
      <c r="T257" s="207" t="n"/>
      <c r="U257" s="207" t="n"/>
      <c r="V257" s="207" t="n"/>
      <c r="W257" s="207" t="n"/>
      <c r="X257" s="207" t="n"/>
      <c r="Y257" s="207" t="n"/>
      <c r="Z257" s="207" t="n"/>
      <c r="AA257" s="207" t="n"/>
      <c r="AB257" s="207" t="n"/>
      <c r="AC257" s="207" t="n"/>
      <c r="AD257" s="207" t="n"/>
      <c r="AE257" s="207" t="n"/>
      <c r="AF257" s="207" t="n"/>
      <c r="AG257" s="207" t="n"/>
      <c r="AH257" s="207" t="n"/>
      <c r="AI257" s="207" t="n"/>
      <c r="AJ257" s="207" t="n"/>
      <c r="AK257" s="207" t="n"/>
      <c r="AL257" s="207" t="n"/>
      <c r="AM257" s="207" t="n"/>
      <c r="AN257" s="207" t="n"/>
      <c r="AO257" s="207" t="n"/>
      <c r="AP257" s="207" t="n">
        <v>0</v>
      </c>
      <c r="AQ257" s="207" t="n">
        <v>0</v>
      </c>
      <c r="AR257" s="207" t="n">
        <v>0</v>
      </c>
      <c r="AS257" s="207" t="n">
        <v>0</v>
      </c>
      <c r="AT257" s="207" t="n">
        <v>0</v>
      </c>
      <c r="AU257" s="207" t="n">
        <v>0</v>
      </c>
      <c r="AV257" s="207" t="n">
        <v>0</v>
      </c>
      <c r="AW257" s="207" t="n">
        <v>0</v>
      </c>
      <c r="AX257" s="208" t="n">
        <v>1</v>
      </c>
      <c r="AY257" s="209">
        <f>L257*AX257+AP257+AQ257+AR257+AV257+AW257+AS257+AT257+AU257</f>
        <v/>
      </c>
      <c r="AZ257" s="207" t="n">
        <v>375</v>
      </c>
      <c r="BA257" s="207" t="n">
        <v>0</v>
      </c>
      <c r="BB257" s="207">
        <f>AZ257*0.006</f>
        <v/>
      </c>
      <c r="BC257" s="209">
        <f>AZ257+BA257-BB257</f>
        <v/>
      </c>
      <c r="BD257" s="207" t="n">
        <v>0</v>
      </c>
      <c r="BE257" s="207" t="n">
        <v>0</v>
      </c>
      <c r="BF257" s="209">
        <f>BD257+BE257</f>
        <v/>
      </c>
      <c r="BG257" s="209">
        <f>BC257-AY257+BF257</f>
        <v/>
      </c>
      <c r="BH257" s="207" t="inlineStr">
        <is>
          <t>吳愛玲</t>
        </is>
      </c>
      <c r="BI257" s="207" t="inlineStr">
        <is>
          <t>福建省 漳州市 龙海区 东园镇福建省漳州市龙海区东园镇仓里路888号龙海普洛斯物流园A2库二层台集运@QF@U5FVXM#UWDD1WZZNRANM#</t>
        </is>
      </c>
      <c r="BJ257" s="207" t="inlineStr">
        <is>
          <t>18319011167</t>
        </is>
      </c>
      <c r="BK257" s="87" t="inlineStr">
        <is>
          <t>JDV023636136716，2件</t>
        </is>
      </c>
      <c r="BL257" s="210" t="n"/>
      <c r="BM257" s="93" t="n"/>
      <c r="BN257" s="94" t="n"/>
      <c r="BO257" s="93" t="n"/>
      <c r="BP257" s="86" t="n"/>
      <c r="BQ257" s="96" t="n"/>
      <c r="BR257" s="96" t="n"/>
      <c r="BS257" s="97" t="n"/>
      <c r="BT257" s="96" t="n"/>
      <c r="BU257" s="97" t="n"/>
      <c r="BV257" s="96" t="n"/>
      <c r="BW257" s="97" t="n"/>
      <c r="BX257" s="97" t="n"/>
      <c r="BY257" s="97" t="n"/>
      <c r="BZ257" s="97" t="n"/>
      <c r="CA257" s="98" t="n"/>
      <c r="CH257" s="2" t="n"/>
      <c r="CI257" s="14">
        <f>CJ257&amp;CK257</f>
        <v/>
      </c>
      <c r="CJ257" s="25" t="n"/>
      <c r="CK257" s="25" t="n"/>
      <c r="CL257" s="25" t="n"/>
      <c r="CM257" s="25" t="n"/>
      <c r="CN257" s="25" t="n"/>
      <c r="CO257" s="25" t="n"/>
      <c r="CP257" s="25" t="n"/>
      <c r="CQ257" s="25" t="n"/>
      <c r="CR257" s="25" t="n"/>
      <c r="CS257" s="25" t="n"/>
      <c r="CT257" s="25" t="n"/>
      <c r="CU257" s="25" t="n"/>
      <c r="CV257" s="25" t="n"/>
      <c r="CW257" s="25" t="n"/>
      <c r="CX257" s="25" t="n"/>
      <c r="CY257" s="25" t="n"/>
      <c r="CZ257" s="25" t="n"/>
      <c r="DC257" s="26" t="n"/>
      <c r="DD257" s="26" t="n"/>
      <c r="DE257" s="26" t="n"/>
      <c r="DF257" s="26" t="n"/>
      <c r="DG257" s="26" t="n"/>
      <c r="DH257" s="27" t="n"/>
      <c r="DJ257" s="211" t="inlineStr">
        <is>
          <t>订单表中未找到</t>
        </is>
      </c>
      <c r="DK257" t="inlineStr">
        <is>
          <t>—</t>
        </is>
      </c>
      <c r="DL257" t="inlineStr">
        <is>
          <t>—</t>
        </is>
      </c>
    </row>
    <row r="258" ht="15.4" customHeight="1" s="187">
      <c r="A258" s="84" t="n">
        <v>45921</v>
      </c>
      <c r="B258" s="206" t="inlineStr">
        <is>
          <t>已收货</t>
        </is>
      </c>
      <c r="C258" s="86" t="inlineStr">
        <is>
          <t>4759840226742767536</t>
        </is>
      </c>
      <c r="D258" s="207" t="inlineStr">
        <is>
          <t>陈伊</t>
        </is>
      </c>
      <c r="E258" s="87" t="n"/>
      <c r="F258" s="87" t="n"/>
      <c r="G258" s="207" t="inlineStr">
        <is>
          <t>榉木餐边柜定制-实木背板-1.5米-250922</t>
        </is>
      </c>
      <c r="H258" s="207" t="inlineStr">
        <is>
          <t>榉木餐边柜</t>
        </is>
      </c>
      <c r="I258" s="89" t="n"/>
      <c r="J258" s="87" t="inlineStr">
        <is>
          <t>已结算</t>
        </is>
      </c>
      <c r="K258" s="86" t="inlineStr">
        <is>
          <t>庄毅</t>
        </is>
      </c>
      <c r="L258" s="207">
        <f>3200+342+19+180*1.5*0.45+10</f>
        <v/>
      </c>
      <c r="M258" s="207">
        <f>3200</f>
        <v/>
      </c>
      <c r="N258" s="207" t="n">
        <v>342</v>
      </c>
      <c r="O258" s="207" t="n">
        <v>19</v>
      </c>
      <c r="P258" s="207" t="inlineStr">
        <is>
          <t>180*1.5*0.45</t>
        </is>
      </c>
      <c r="Q258" s="207" t="n"/>
      <c r="R258" s="207" t="n">
        <v>10</v>
      </c>
      <c r="S258" s="207" t="n"/>
      <c r="T258" s="207" t="n"/>
      <c r="U258" s="207" t="n"/>
      <c r="V258" s="207" t="n"/>
      <c r="W258" s="207" t="n"/>
      <c r="X258" s="207" t="n"/>
      <c r="Y258" s="207" t="n"/>
      <c r="Z258" s="207" t="n"/>
      <c r="AA258" s="207" t="n"/>
      <c r="AB258" s="207" t="n"/>
      <c r="AC258" s="207" t="n"/>
      <c r="AD258" s="207" t="n"/>
      <c r="AE258" s="207" t="n"/>
      <c r="AF258" s="207" t="n"/>
      <c r="AG258" s="207" t="n"/>
      <c r="AH258" s="207" t="n"/>
      <c r="AI258" s="207" t="n"/>
      <c r="AJ258" s="207" t="n"/>
      <c r="AK258" s="207" t="n"/>
      <c r="AL258" s="207" t="n"/>
      <c r="AM258" s="207" t="n"/>
      <c r="AN258" s="207" t="n"/>
      <c r="AO258" s="207" t="n"/>
      <c r="AP258" s="207" t="n">
        <v>180</v>
      </c>
      <c r="AQ258" s="207" t="n"/>
      <c r="AR258" s="207" t="n">
        <v>88</v>
      </c>
      <c r="AS258" s="207" t="n">
        <v>0</v>
      </c>
      <c r="AT258" s="207" t="n">
        <v>0</v>
      </c>
      <c r="AU258" s="207" t="n">
        <v>0</v>
      </c>
      <c r="AV258" s="207" t="n">
        <v>0</v>
      </c>
      <c r="AW258" s="207" t="n">
        <v>0</v>
      </c>
      <c r="AX258" s="208" t="n">
        <v>1</v>
      </c>
      <c r="AY258" s="209">
        <f>L258*AX258+AP258+AQ258+AR258+AV258+AW258+AS258+AT258+AU258</f>
        <v/>
      </c>
      <c r="AZ258" s="207" t="n">
        <v>4980</v>
      </c>
      <c r="BA258" s="207" t="n">
        <v>0</v>
      </c>
      <c r="BB258" s="207">
        <f>AZ258*0.006</f>
        <v/>
      </c>
      <c r="BC258" s="209">
        <f>AZ258+BA258-BB258</f>
        <v/>
      </c>
      <c r="BD258" s="207" t="n">
        <v>0</v>
      </c>
      <c r="BE258" s="207" t="n">
        <v>0</v>
      </c>
      <c r="BF258" s="209">
        <f>BD258+BE258</f>
        <v/>
      </c>
      <c r="BG258" s="209">
        <f>BC258-AY258+BF258</f>
        <v/>
      </c>
      <c r="BH258" s="207" t="inlineStr">
        <is>
          <t>陈伊</t>
        </is>
      </c>
      <c r="BI258" s="207" t="inlineStr">
        <is>
          <t>上海 上海市 长宁区 江苏路街道 愚园路888号畅园3号楼3501室</t>
        </is>
      </c>
      <c r="BJ258" s="207" t="inlineStr">
        <is>
          <t>18466860257-3684</t>
        </is>
      </c>
      <c r="BK258" s="87" t="inlineStr">
        <is>
          <t>JDV023657439418，2件</t>
        </is>
      </c>
      <c r="BL258" s="210" t="n"/>
      <c r="BM258" s="93" t="n"/>
      <c r="BN258" s="94" t="n"/>
      <c r="BO258" s="93" t="n"/>
      <c r="BP258" s="86" t="n"/>
      <c r="BQ258" s="96" t="n"/>
      <c r="BR258" s="96" t="n"/>
      <c r="BS258" s="97" t="n"/>
      <c r="BT258" s="96" t="n"/>
      <c r="BU258" s="97" t="n"/>
      <c r="BV258" s="96" t="n"/>
      <c r="BW258" s="97" t="n"/>
      <c r="BX258" s="97" t="n"/>
      <c r="BY258" s="97" t="n"/>
      <c r="BZ258" s="97" t="n"/>
      <c r="CA258" s="98" t="n"/>
      <c r="CH258" s="2" t="n"/>
      <c r="CI258" s="14">
        <f>CJ258&amp;CK258</f>
        <v/>
      </c>
      <c r="CJ258" s="25" t="n"/>
      <c r="CK258" s="25" t="n"/>
      <c r="CL258" s="25" t="n"/>
      <c r="CM258" s="25" t="n"/>
      <c r="CN258" s="25" t="n"/>
      <c r="CO258" s="25" t="n"/>
      <c r="CP258" s="131" t="n"/>
      <c r="CQ258" s="131" t="n"/>
      <c r="CR258" s="25" t="n"/>
      <c r="CS258" s="25" t="n"/>
      <c r="CT258" s="25" t="n"/>
      <c r="CU258" s="25" t="n"/>
      <c r="CV258" s="25" t="n"/>
      <c r="CW258" s="25" t="n"/>
      <c r="CX258" s="25" t="n"/>
      <c r="CY258" s="25" t="n"/>
      <c r="CZ258" s="25" t="n"/>
      <c r="DC258" s="26" t="n"/>
      <c r="DD258" s="26" t="n"/>
      <c r="DE258" s="26" t="n"/>
      <c r="DF258" s="26" t="n"/>
      <c r="DG258" s="26" t="n"/>
      <c r="DH258" s="27" t="n"/>
      <c r="DJ258" s="211" t="inlineStr">
        <is>
          <t>订单表中未找到</t>
        </is>
      </c>
      <c r="DK258" t="inlineStr">
        <is>
          <t>—</t>
        </is>
      </c>
      <c r="DL258" t="inlineStr">
        <is>
          <t>—</t>
        </is>
      </c>
    </row>
    <row r="259" ht="15.75" customHeight="1" s="187">
      <c r="A259" s="84" t="n">
        <v>45922</v>
      </c>
      <c r="B259" s="206" t="inlineStr">
        <is>
          <t>已收货</t>
        </is>
      </c>
      <c r="C259" s="86" t="inlineStr">
        <is>
          <t>4761220358242320800</t>
        </is>
      </c>
      <c r="D259" s="207" t="inlineStr">
        <is>
          <t>刘小鱼</t>
        </is>
      </c>
      <c r="E259" s="87" t="n"/>
      <c r="F259" s="87" t="n"/>
      <c r="G259" s="207" t="inlineStr">
        <is>
          <t>窄柜-整柜洞石背板-1.0米</t>
        </is>
      </c>
      <c r="H259" s="207" t="inlineStr">
        <is>
          <t>樱桃木窄柜</t>
        </is>
      </c>
      <c r="I259" s="89" t="n">
        <v>1000</v>
      </c>
      <c r="J259" s="87" t="inlineStr">
        <is>
          <t>已结算</t>
        </is>
      </c>
      <c r="K259" s="86" t="inlineStr">
        <is>
          <t>江西</t>
        </is>
      </c>
      <c r="L259" s="207">
        <f>3300+180+170+359.08+115+38+32+5+10+108</f>
        <v/>
      </c>
      <c r="M259" s="207">
        <f>3300</f>
        <v/>
      </c>
      <c r="N259" s="207">
        <f>0.958*260+2*55</f>
        <v/>
      </c>
      <c r="O259" s="207" t="n">
        <v>120</v>
      </c>
      <c r="P259" s="207" t="n"/>
      <c r="Q259" s="207">
        <f>19*2</f>
        <v/>
      </c>
      <c r="R259" s="207" t="n">
        <v>180</v>
      </c>
      <c r="S259" s="207" t="n">
        <v>54</v>
      </c>
      <c r="T259" s="207" t="n">
        <v>52</v>
      </c>
      <c r="U259" s="207" t="n"/>
      <c r="V259" s="207" t="n">
        <v>5</v>
      </c>
      <c r="W259" s="207" t="n"/>
      <c r="X259" s="207" t="n"/>
      <c r="Y259" s="207" t="n">
        <v>108</v>
      </c>
      <c r="Z259" s="207" t="n"/>
      <c r="AA259" s="207" t="n">
        <v>2</v>
      </c>
      <c r="AB259" s="207" t="n">
        <v>1.1</v>
      </c>
      <c r="AC259" s="207" t="n">
        <v>3.5</v>
      </c>
      <c r="AD259" s="207" t="n"/>
      <c r="AE259" s="207" t="n"/>
      <c r="AF259" s="207" t="n"/>
      <c r="AG259" s="207" t="n"/>
      <c r="AH259" s="207" t="n"/>
      <c r="AI259" s="207" t="n"/>
      <c r="AJ259" s="207" t="n"/>
      <c r="AK259" s="207" t="n"/>
      <c r="AL259" s="207" t="n"/>
      <c r="AM259" s="207" t="n">
        <v>170</v>
      </c>
      <c r="AN259" s="207" t="n"/>
      <c r="AO259" s="207" t="n"/>
      <c r="AP259" s="207">
        <f>285-AQ259</f>
        <v/>
      </c>
      <c r="AQ259" s="207" t="n">
        <v>62</v>
      </c>
      <c r="AR259" s="207" t="n">
        <v>80</v>
      </c>
      <c r="AS259" s="207" t="n">
        <v>0</v>
      </c>
      <c r="AT259" s="207" t="n">
        <v>0</v>
      </c>
      <c r="AU259" s="207" t="n">
        <v>0</v>
      </c>
      <c r="AV259" s="207" t="n">
        <v>0</v>
      </c>
      <c r="AW259" s="207" t="n">
        <v>0</v>
      </c>
      <c r="AX259" s="208" t="n">
        <v>1</v>
      </c>
      <c r="AY259" s="209">
        <f>L259*AX259+AP259+AQ259+AR259+AV259+AW259+AS259+AT259+AU259</f>
        <v/>
      </c>
      <c r="AZ259" s="207" t="n">
        <v>5156.5</v>
      </c>
      <c r="BA259" s="207" t="n">
        <v>0</v>
      </c>
      <c r="BB259" s="207">
        <f>AZ259*0.006</f>
        <v/>
      </c>
      <c r="BC259" s="209">
        <f>AZ259+BA259-BB259</f>
        <v/>
      </c>
      <c r="BD259" s="207" t="n">
        <v>0</v>
      </c>
      <c r="BE259" s="207" t="n">
        <v>0</v>
      </c>
      <c r="BF259" s="209">
        <f>BD259+BE259</f>
        <v/>
      </c>
      <c r="BG259" s="209">
        <f>BC259-AY259+BF259</f>
        <v/>
      </c>
      <c r="BH259" s="207" t="inlineStr">
        <is>
          <t>刘小鱼</t>
        </is>
      </c>
      <c r="BI259" s="207" t="inlineStr">
        <is>
          <t>湖北省 襄阳市 樊城区 汉江街道民发盛特一品一期1栋402</t>
        </is>
      </c>
      <c r="BJ259" s="207" t="inlineStr">
        <is>
          <t>18472216829-9061</t>
        </is>
      </c>
      <c r="BK259" s="87" t="n"/>
      <c r="BL259" s="210" t="n"/>
      <c r="BM259" s="93" t="n"/>
      <c r="BN259" s="94" t="n"/>
      <c r="BO259" s="93" t="n"/>
      <c r="BP259" s="86" t="n"/>
      <c r="BQ259" s="96" t="n"/>
      <c r="BR259" s="96" t="n"/>
      <c r="BS259" s="97" t="n"/>
      <c r="BT259" s="96" t="n"/>
      <c r="BU259" s="97" t="n"/>
      <c r="BV259" s="96" t="n"/>
      <c r="BW259" s="97" t="n"/>
      <c r="BX259" s="97" t="n"/>
      <c r="BY259" s="97" t="n"/>
      <c r="BZ259" s="97" t="n"/>
      <c r="CA259" s="98" t="n"/>
      <c r="CH259" s="2" t="n"/>
      <c r="CI259" s="14">
        <f>CJ259&amp;CK259</f>
        <v/>
      </c>
      <c r="CJ259" s="25" t="n"/>
      <c r="CK259" s="25" t="n"/>
      <c r="CL259" s="25" t="n"/>
      <c r="CM259" s="25" t="n"/>
      <c r="CN259" s="25" t="n"/>
      <c r="CO259" s="25" t="n"/>
      <c r="CP259" s="25" t="n"/>
      <c r="CQ259" s="25" t="n"/>
      <c r="CR259" s="25" t="n"/>
      <c r="CS259" s="25" t="n"/>
      <c r="CT259" s="25" t="n"/>
      <c r="CU259" s="25" t="n"/>
      <c r="CV259" s="25" t="n"/>
      <c r="CW259" s="25" t="n"/>
      <c r="CX259" s="25" t="n"/>
      <c r="CY259" s="25" t="n"/>
      <c r="CZ259" s="25" t="n"/>
      <c r="DC259" s="26" t="n"/>
      <c r="DD259" s="26" t="n"/>
      <c r="DE259" s="26" t="n"/>
      <c r="DF259" s="26" t="n"/>
      <c r="DG259" s="26" t="n"/>
      <c r="DH259" s="27" t="n"/>
      <c r="DJ259" s="211" t="inlineStr">
        <is>
          <t>订单表中未找到</t>
        </is>
      </c>
      <c r="DK259" t="inlineStr">
        <is>
          <t>—</t>
        </is>
      </c>
      <c r="DL259" t="inlineStr">
        <is>
          <t>—</t>
        </is>
      </c>
    </row>
    <row r="260" ht="15.75" customHeight="1" s="187">
      <c r="A260" s="84" t="n">
        <v>45923</v>
      </c>
      <c r="B260" s="206" t="inlineStr">
        <is>
          <t>已收货</t>
        </is>
      </c>
      <c r="C260" s="128" t="inlineStr">
        <is>
          <t>4763495844238072932</t>
        </is>
      </c>
      <c r="D260" s="86" t="inlineStr">
        <is>
          <t>张</t>
        </is>
      </c>
      <c r="E260" s="87" t="n"/>
      <c r="F260" s="87" t="n"/>
      <c r="G260" s="87" t="inlineStr">
        <is>
          <t>砂白色1.6米岩板餐桌</t>
        </is>
      </c>
      <c r="H260" s="220" t="inlineStr">
        <is>
          <t>榉木餐桌</t>
        </is>
      </c>
      <c r="I260" s="218" t="inlineStr">
        <is>
          <t>160cm*85cm</t>
        </is>
      </c>
      <c r="J260" s="87" t="inlineStr">
        <is>
          <t>已结算</t>
        </is>
      </c>
      <c r="K260" s="86" t="inlineStr">
        <is>
          <t>庄毅</t>
        </is>
      </c>
      <c r="L260" s="207">
        <f>SUM(M260:AO260)</f>
        <v/>
      </c>
      <c r="M260" s="207">
        <f>1530</f>
        <v/>
      </c>
      <c r="N260" s="207" t="n"/>
      <c r="O260" s="207" t="n"/>
      <c r="P260" s="207" t="n"/>
      <c r="Q260" s="207" t="n"/>
      <c r="R260" s="207">
        <f>180*1.6*0.85</f>
        <v/>
      </c>
      <c r="S260" s="207" t="n"/>
      <c r="T260" s="207" t="n"/>
      <c r="U260" s="207" t="n"/>
      <c r="V260" s="207" t="n"/>
      <c r="W260" s="207" t="n"/>
      <c r="X260" s="207" t="n"/>
      <c r="Y260" s="207" t="n"/>
      <c r="Z260" s="207" t="n"/>
      <c r="AA260" s="207" t="n"/>
      <c r="AB260" s="207" t="n"/>
      <c r="AC260" s="207" t="n"/>
      <c r="AD260" s="207" t="n">
        <v>2.5</v>
      </c>
      <c r="AE260" s="207" t="n"/>
      <c r="AF260" s="207" t="n"/>
      <c r="AG260" s="207" t="n"/>
      <c r="AH260" s="207" t="n"/>
      <c r="AI260" s="207" t="n"/>
      <c r="AJ260" s="207" t="n"/>
      <c r="AK260" s="207" t="n"/>
      <c r="AL260" s="207" t="n"/>
      <c r="AM260" s="207" t="n"/>
      <c r="AN260" s="207" t="n"/>
      <c r="AO260" s="207" t="n"/>
      <c r="AP260" s="207" t="n">
        <v>187</v>
      </c>
      <c r="AQ260" s="207" t="n">
        <v>0</v>
      </c>
      <c r="AR260" s="207" t="n">
        <v>58</v>
      </c>
      <c r="AS260" s="207" t="n">
        <v>0</v>
      </c>
      <c r="AT260" s="207" t="n">
        <v>0</v>
      </c>
      <c r="AU260" s="207" t="n">
        <v>0</v>
      </c>
      <c r="AV260" s="207" t="n">
        <v>0</v>
      </c>
      <c r="AW260" s="207" t="n">
        <v>0</v>
      </c>
      <c r="AX260" s="208" t="n">
        <v>1</v>
      </c>
      <c r="AY260" s="209">
        <f>L260*AX260+AP260+AQ260+AR260+AV260+AW260+AS260+AT260+AU260</f>
        <v/>
      </c>
      <c r="AZ260" s="207" t="n">
        <v>2861.38</v>
      </c>
      <c r="BA260" s="207" t="n">
        <v>0</v>
      </c>
      <c r="BB260" s="207">
        <f>AZ260*0.006</f>
        <v/>
      </c>
      <c r="BC260" s="209">
        <f>AZ260+BA260-BB260</f>
        <v/>
      </c>
      <c r="BD260" s="207" t="n">
        <v>214.6</v>
      </c>
      <c r="BE260" s="207" t="n">
        <v>0</v>
      </c>
      <c r="BF260" s="209">
        <f>BD260+BE260</f>
        <v/>
      </c>
      <c r="BG260" s="209">
        <f>BC260-AY260+BF260</f>
        <v/>
      </c>
      <c r="BH260" s="86" t="inlineStr">
        <is>
          <t>张</t>
        </is>
      </c>
      <c r="BI260" s="207" t="n"/>
      <c r="BJ260" s="207" t="n"/>
      <c r="BK260" s="87" t="n"/>
      <c r="BL260" s="210" t="n"/>
      <c r="BM260" s="93" t="n"/>
      <c r="BN260" s="94" t="n"/>
      <c r="BO260" s="93" t="n"/>
      <c r="BP260" s="86" t="n"/>
      <c r="BQ260" s="96" t="n"/>
      <c r="BR260" s="96" t="n"/>
      <c r="BS260" s="97" t="n"/>
      <c r="BT260" s="96" t="n"/>
      <c r="BU260" s="97" t="n"/>
      <c r="BV260" s="96" t="n"/>
      <c r="BW260" s="97" t="n"/>
      <c r="BX260" s="97" t="n"/>
      <c r="BY260" s="97" t="n"/>
      <c r="BZ260" s="97" t="n"/>
      <c r="CA260" s="98" t="n"/>
      <c r="CH260" s="2" t="n"/>
      <c r="CI260" s="14" t="n"/>
      <c r="CJ260" s="25" t="n"/>
      <c r="CK260" s="25" t="n"/>
      <c r="CL260" s="25" t="n"/>
      <c r="CM260" s="25" t="n"/>
      <c r="CN260" s="25" t="n"/>
      <c r="CO260" s="25" t="n"/>
      <c r="CP260" s="25" t="n"/>
      <c r="CQ260" s="25" t="n"/>
      <c r="CR260" s="25" t="n"/>
      <c r="CS260" s="25" t="n"/>
      <c r="CT260" s="25" t="n"/>
      <c r="CU260" s="25" t="n"/>
      <c r="CV260" s="25" t="n"/>
      <c r="CW260" s="25" t="n"/>
      <c r="CX260" s="25" t="n"/>
      <c r="CY260" s="25" t="n"/>
      <c r="CZ260" s="25" t="n"/>
      <c r="DC260" s="26" t="n"/>
      <c r="DD260" s="26" t="n"/>
      <c r="DE260" s="26" t="n"/>
      <c r="DF260" s="26" t="n"/>
      <c r="DG260" s="26" t="n"/>
      <c r="DH260" s="27" t="n"/>
      <c r="DJ260" s="211" t="inlineStr">
        <is>
          <t>订单表中未找到</t>
        </is>
      </c>
      <c r="DK260" t="inlineStr">
        <is>
          <t>—</t>
        </is>
      </c>
      <c r="DL260" t="inlineStr">
        <is>
          <t>—</t>
        </is>
      </c>
    </row>
    <row r="261" ht="15.75" customHeight="1" s="187">
      <c r="A261" s="84" t="n">
        <v>45923</v>
      </c>
      <c r="B261" s="206" t="inlineStr">
        <is>
          <t>已收货</t>
        </is>
      </c>
      <c r="C261" s="86" t="inlineStr">
        <is>
          <t>2953107878322311190</t>
        </is>
      </c>
      <c r="D261" s="86" t="inlineStr">
        <is>
          <t>邸蓉蓉</t>
        </is>
      </c>
      <c r="E261" s="87" t="n"/>
      <c r="F261" s="87" t="n"/>
      <c r="G261" s="207" t="inlineStr">
        <is>
          <t>定制榉木洞石整柜2米长2米高柜，追加一个隔板</t>
        </is>
      </c>
      <c r="H261" s="207" t="inlineStr">
        <is>
          <t>洞石餐边柜</t>
        </is>
      </c>
      <c r="I261" s="89" t="n"/>
      <c r="J261" s="87" t="inlineStr">
        <is>
          <t>已结算</t>
        </is>
      </c>
      <c r="K261" s="86" t="inlineStr">
        <is>
          <t>江西</t>
        </is>
      </c>
      <c r="L261" s="207">
        <f>5100+620+619.08+46*2+2040/6/1.5+52*2+10+14+22*7+48+46+8+20+160-128</f>
        <v/>
      </c>
      <c r="M261" s="207">
        <f>5100</f>
        <v/>
      </c>
      <c r="N261" s="207" t="n">
        <v>620</v>
      </c>
      <c r="O261" s="207" t="n">
        <v>619.08</v>
      </c>
      <c r="P261" s="207" t="inlineStr">
        <is>
          <t>46*2</t>
        </is>
      </c>
      <c r="Q261" s="207" t="n"/>
      <c r="R261" s="207" t="inlineStr">
        <is>
          <t>2040/6/1.5</t>
        </is>
      </c>
      <c r="S261" s="207" t="inlineStr">
        <is>
          <t>52*2</t>
        </is>
      </c>
      <c r="T261" s="207" t="n">
        <v>10</v>
      </c>
      <c r="U261" s="207" t="n"/>
      <c r="V261" s="207" t="n"/>
      <c r="W261" s="207" t="n">
        <v>14</v>
      </c>
      <c r="X261" s="207">
        <f>22*7</f>
        <v/>
      </c>
      <c r="Y261" s="207" t="n">
        <v>48</v>
      </c>
      <c r="Z261" s="207" t="n"/>
      <c r="AA261" s="207" t="n"/>
      <c r="AB261" s="207" t="n"/>
      <c r="AC261" s="207" t="n"/>
      <c r="AD261" s="207" t="n">
        <v>8</v>
      </c>
      <c r="AE261" s="207" t="n">
        <v>46</v>
      </c>
      <c r="AF261" s="207" t="n">
        <v>20</v>
      </c>
      <c r="AG261" s="207" t="n"/>
      <c r="AH261" s="207" t="n"/>
      <c r="AI261" s="207" t="n"/>
      <c r="AJ261" s="207" t="inlineStr">
        <is>
          <t>160-128</t>
        </is>
      </c>
      <c r="AK261" s="207" t="n"/>
      <c r="AL261" s="207" t="n"/>
      <c r="AM261" s="207" t="n">
        <v>160</v>
      </c>
      <c r="AN261" s="207" t="n"/>
      <c r="AO261" s="207" t="n"/>
      <c r="AP261" s="207" t="n">
        <v>370</v>
      </c>
      <c r="AQ261" s="207" t="n">
        <v>0</v>
      </c>
      <c r="AR261" s="207" t="n">
        <v>500</v>
      </c>
      <c r="AS261" s="207" t="n">
        <v>0</v>
      </c>
      <c r="AT261" s="207" t="n">
        <v>0</v>
      </c>
      <c r="AU261" s="207" t="n">
        <v>0</v>
      </c>
      <c r="AV261" s="207" t="n">
        <v>0</v>
      </c>
      <c r="AW261" s="207" t="n">
        <v>190</v>
      </c>
      <c r="AX261" s="208" t="n">
        <v>1</v>
      </c>
      <c r="AY261" s="209">
        <f>L261*AX261+AP261+AQ261+AR261+AV261+AW261+AS261+AT261+AU261</f>
        <v/>
      </c>
      <c r="AZ261" s="207" t="n">
        <v>11272.8</v>
      </c>
      <c r="BA261" s="207" t="n">
        <v>0</v>
      </c>
      <c r="BB261" s="207">
        <f>AZ261*0.006</f>
        <v/>
      </c>
      <c r="BC261" s="209">
        <f>AZ261+BA261-BB261</f>
        <v/>
      </c>
      <c r="BD261" s="207" t="n">
        <v>0</v>
      </c>
      <c r="BE261" s="207" t="n">
        <v>0</v>
      </c>
      <c r="BF261" s="209">
        <f>BD261+BE261</f>
        <v/>
      </c>
      <c r="BG261" s="209">
        <f>BC261-AY261+BF261</f>
        <v/>
      </c>
      <c r="BH261" s="207" t="inlineStr">
        <is>
          <t>邸蓉蓉</t>
        </is>
      </c>
      <c r="BI261" s="207" t="inlineStr">
        <is>
          <t>上海 上海市 普陀区 长征镇 怒江路651弄17号201室</t>
        </is>
      </c>
      <c r="BJ261" s="207" t="inlineStr">
        <is>
          <t>13162906094-1971</t>
        </is>
      </c>
      <c r="BK261" s="87" t="n"/>
      <c r="BL261" s="210" t="n"/>
      <c r="BM261" s="93" t="n"/>
      <c r="BN261" s="94" t="n"/>
      <c r="BO261" s="93" t="n"/>
      <c r="BP261" s="86" t="n"/>
      <c r="BQ261" s="96" t="n"/>
      <c r="BR261" s="96" t="n"/>
      <c r="BS261" s="97" t="n"/>
      <c r="BT261" s="96" t="n"/>
      <c r="BU261" s="97" t="n"/>
      <c r="BV261" s="96" t="n"/>
      <c r="BW261" s="97" t="n"/>
      <c r="BX261" s="97" t="n"/>
      <c r="BY261" s="97" t="n"/>
      <c r="BZ261" s="97" t="n"/>
      <c r="CA261" s="98" t="n"/>
      <c r="CH261" s="2" t="n"/>
      <c r="CI261" s="14">
        <f>CJ261&amp;CK261</f>
        <v/>
      </c>
      <c r="CJ261" s="25" t="n"/>
      <c r="CK261" s="25" t="n"/>
      <c r="CL261" s="25" t="n"/>
      <c r="CM261" s="25" t="n"/>
      <c r="CN261" s="25" t="n"/>
      <c r="CO261" s="25" t="n"/>
      <c r="CP261" s="25" t="n"/>
      <c r="CQ261" s="25" t="n"/>
      <c r="CR261" s="25" t="n"/>
      <c r="CS261" s="25" t="n"/>
      <c r="CT261" s="25" t="n"/>
      <c r="CU261" s="25" t="n"/>
      <c r="CV261" s="25" t="n"/>
      <c r="CW261" s="25" t="n"/>
      <c r="CX261" s="25" t="n"/>
      <c r="CY261" s="25" t="n"/>
      <c r="CZ261" s="25" t="n"/>
      <c r="DC261" s="26" t="n"/>
      <c r="DD261" s="26" t="n"/>
      <c r="DE261" s="26" t="n"/>
      <c r="DF261" s="26" t="n"/>
      <c r="DG261" s="26" t="n"/>
      <c r="DH261" s="27" t="n"/>
      <c r="DJ261" s="211" t="inlineStr">
        <is>
          <t>订单表中未找到</t>
        </is>
      </c>
      <c r="DK261" t="inlineStr">
        <is>
          <t>—</t>
        </is>
      </c>
      <c r="DL261" t="inlineStr">
        <is>
          <t>—</t>
        </is>
      </c>
    </row>
    <row r="262" ht="15.75" customHeight="1" s="187">
      <c r="A262" s="84" t="n">
        <v>45925</v>
      </c>
      <c r="B262" s="206" t="inlineStr">
        <is>
          <t>已收货</t>
        </is>
      </c>
      <c r="C262" s="86" t="inlineStr">
        <is>
          <t>4768093584709324422</t>
        </is>
      </c>
      <c r="D262" s="86" t="inlineStr">
        <is>
          <t>杜杭寅</t>
        </is>
      </c>
      <c r="E262" s="87" t="n"/>
      <c r="F262" s="87" t="n"/>
      <c r="G262" s="87" t="inlineStr">
        <is>
          <t>砂白色2.0米岩板餐桌</t>
        </is>
      </c>
      <c r="H262" s="220" t="inlineStr">
        <is>
          <t>榉木餐桌</t>
        </is>
      </c>
      <c r="I262" s="218" t="inlineStr">
        <is>
          <t>200cm*85cm</t>
        </is>
      </c>
      <c r="J262" s="87" t="inlineStr">
        <is>
          <t>已结算</t>
        </is>
      </c>
      <c r="K262" s="86" t="inlineStr">
        <is>
          <t>庄毅</t>
        </is>
      </c>
      <c r="L262" s="207">
        <f>SUM(M262:AO262)</f>
        <v/>
      </c>
      <c r="M262" s="207">
        <f>1630</f>
        <v/>
      </c>
      <c r="N262" s="207" t="n"/>
      <c r="O262" s="207" t="n"/>
      <c r="P262" s="207" t="n"/>
      <c r="Q262" s="207" t="n"/>
      <c r="R262" s="207">
        <f>180*2*0.85</f>
        <v/>
      </c>
      <c r="S262" s="207" t="n"/>
      <c r="T262" s="207" t="n"/>
      <c r="U262" s="207" t="n"/>
      <c r="V262" s="207" t="n"/>
      <c r="W262" s="207" t="n"/>
      <c r="X262" s="207" t="n"/>
      <c r="Y262" s="207" t="n"/>
      <c r="Z262" s="207" t="n"/>
      <c r="AA262" s="207" t="n"/>
      <c r="AB262" s="207" t="n"/>
      <c r="AC262" s="207" t="n"/>
      <c r="AD262" s="207" t="n">
        <v>2.5</v>
      </c>
      <c r="AE262" s="207" t="n"/>
      <c r="AF262" s="207" t="n"/>
      <c r="AG262" s="207" t="n"/>
      <c r="AH262" s="207" t="n"/>
      <c r="AI262" s="207" t="n"/>
      <c r="AJ262" s="207" t="n"/>
      <c r="AK262" s="207" t="n"/>
      <c r="AL262" s="207" t="n"/>
      <c r="AM262" s="207" t="n"/>
      <c r="AN262" s="207" t="n"/>
      <c r="AO262" s="207" t="n"/>
      <c r="AP262" s="207" t="n">
        <v>210</v>
      </c>
      <c r="AQ262" s="207" t="n">
        <v>0</v>
      </c>
      <c r="AR262" s="207" t="n">
        <v>98</v>
      </c>
      <c r="AS262" s="207" t="n">
        <v>0</v>
      </c>
      <c r="AT262" s="207" t="n">
        <v>0</v>
      </c>
      <c r="AU262" s="207" t="n">
        <v>0</v>
      </c>
      <c r="AV262" s="207" t="n">
        <v>0</v>
      </c>
      <c r="AW262" s="207" t="n">
        <v>0</v>
      </c>
      <c r="AX262" s="208" t="n">
        <v>1</v>
      </c>
      <c r="AY262" s="209">
        <f>L262*AX262+AP262+AQ262+AR262+AV262+AW262+AS262+AT262+AU262</f>
        <v/>
      </c>
      <c r="AZ262" s="207" t="n">
        <v>3120.69</v>
      </c>
      <c r="BA262" s="207" t="n">
        <v>0</v>
      </c>
      <c r="BB262" s="207">
        <f>AZ262*0.006</f>
        <v/>
      </c>
      <c r="BC262" s="209">
        <f>AZ262+BA262-BB262</f>
        <v/>
      </c>
      <c r="BD262" s="207" t="n">
        <v>0</v>
      </c>
      <c r="BE262" s="207" t="n">
        <v>0</v>
      </c>
      <c r="BF262" s="209">
        <f>BD262+BE262</f>
        <v/>
      </c>
      <c r="BG262" s="209">
        <f>BC262-AY262+BF262</f>
        <v/>
      </c>
      <c r="BH262" s="207" t="inlineStr">
        <is>
          <t>杜杭寅</t>
        </is>
      </c>
      <c r="BI262" s="207" t="inlineStr">
        <is>
          <t>浙江省 台州市 玉环市 玉城街道三潭路玉澜府1号楼1单元1602</t>
        </is>
      </c>
      <c r="BJ262" s="207" t="inlineStr">
        <is>
          <t>18413248620-5372</t>
        </is>
      </c>
      <c r="BK262" s="86" t="n"/>
      <c r="BL262" s="210" t="n"/>
      <c r="BM262" s="93" t="n"/>
      <c r="BN262" s="94" t="n"/>
      <c r="BO262" s="93" t="n"/>
      <c r="BP262" s="86" t="n"/>
      <c r="BQ262" s="96" t="n"/>
      <c r="BR262" s="96" t="n"/>
      <c r="BS262" s="97" t="n"/>
      <c r="BT262" s="96" t="n"/>
      <c r="BU262" s="97" t="n"/>
      <c r="BV262" s="96" t="n"/>
      <c r="BW262" s="97" t="n"/>
      <c r="BX262" s="97" t="n"/>
      <c r="BY262" s="97" t="n"/>
      <c r="BZ262" s="97" t="n"/>
      <c r="CH262" s="2" t="n"/>
      <c r="CI262" s="14" t="n"/>
      <c r="CJ262" s="25" t="n"/>
      <c r="CK262" s="25" t="n"/>
      <c r="CL262" s="25" t="n"/>
      <c r="CM262" s="25" t="n"/>
      <c r="CN262" s="25" t="n"/>
      <c r="CO262" s="25" t="n"/>
      <c r="CP262" s="25" t="n"/>
      <c r="CQ262" s="25" t="n"/>
      <c r="CR262" s="25" t="n"/>
      <c r="CS262" s="25" t="n"/>
      <c r="CT262" s="25" t="n"/>
      <c r="CU262" s="25" t="n"/>
      <c r="CV262" s="25" t="n"/>
      <c r="CW262" s="25" t="n"/>
      <c r="CX262" s="25" t="n"/>
      <c r="CY262" s="25" t="n"/>
      <c r="DC262" s="26" t="n"/>
      <c r="DD262" s="26" t="n"/>
      <c r="DE262" s="26" t="n"/>
      <c r="DF262" s="26" t="n"/>
      <c r="DG262" s="26" t="n"/>
      <c r="DH262" s="27" t="n"/>
      <c r="DJ262" s="211" t="inlineStr">
        <is>
          <t>订单表中未找到</t>
        </is>
      </c>
      <c r="DK262" t="inlineStr">
        <is>
          <t>—</t>
        </is>
      </c>
      <c r="DL262" t="inlineStr">
        <is>
          <t>—</t>
        </is>
      </c>
    </row>
    <row r="263" ht="15.75" customHeight="1" s="187">
      <c r="A263" s="84" t="n">
        <v>45926</v>
      </c>
      <c r="B263" s="206" t="inlineStr">
        <is>
          <t>已收货</t>
        </is>
      </c>
      <c r="C263" s="86" t="inlineStr">
        <is>
          <t>2957850411929168683</t>
        </is>
      </c>
      <c r="D263" s="207" t="inlineStr">
        <is>
          <t>张思琪</t>
        </is>
      </c>
      <c r="E263" s="207" t="n"/>
      <c r="F263" s="207" t="n"/>
      <c r="G263" s="87" t="inlineStr">
        <is>
          <t>砂白色2.0米岩板餐桌</t>
        </is>
      </c>
      <c r="H263" s="207" t="inlineStr">
        <is>
          <t>榉木餐桌</t>
        </is>
      </c>
      <c r="I263" s="218" t="inlineStr">
        <is>
          <t>200cm*85cm</t>
        </is>
      </c>
      <c r="J263" s="87" t="inlineStr">
        <is>
          <t>已结算</t>
        </is>
      </c>
      <c r="K263" s="86" t="inlineStr">
        <is>
          <t>庄毅</t>
        </is>
      </c>
      <c r="L263" s="207">
        <f>SUM(M263:AO263)</f>
        <v/>
      </c>
      <c r="M263" s="207">
        <f>1630</f>
        <v/>
      </c>
      <c r="N263" s="207" t="n"/>
      <c r="O263" s="207" t="n"/>
      <c r="P263" s="207" t="n"/>
      <c r="Q263" s="207" t="n"/>
      <c r="R263" s="207">
        <f>180*2*0.85</f>
        <v/>
      </c>
      <c r="S263" s="207" t="n"/>
      <c r="T263" s="207" t="n"/>
      <c r="U263" s="207" t="n"/>
      <c r="V263" s="207" t="n"/>
      <c r="W263" s="207" t="n"/>
      <c r="X263" s="207" t="n"/>
      <c r="Y263" s="207" t="n"/>
      <c r="Z263" s="207" t="n"/>
      <c r="AA263" s="207" t="n"/>
      <c r="AB263" s="207" t="n"/>
      <c r="AC263" s="207" t="n"/>
      <c r="AD263" s="207" t="n">
        <v>2.5</v>
      </c>
      <c r="AE263" s="207" t="n"/>
      <c r="AF263" s="207" t="n"/>
      <c r="AG263" s="207" t="n"/>
      <c r="AH263" s="207" t="n"/>
      <c r="AI263" s="207" t="n"/>
      <c r="AJ263" s="207" t="n"/>
      <c r="AK263" s="207" t="n"/>
      <c r="AL263" s="207" t="n"/>
      <c r="AM263" s="207" t="n"/>
      <c r="AN263" s="207" t="n"/>
      <c r="AO263" s="207" t="n"/>
      <c r="AP263" s="207" t="n">
        <v>235</v>
      </c>
      <c r="AQ263" s="207" t="n"/>
      <c r="AR263" s="207" t="n">
        <v>100</v>
      </c>
      <c r="AS263" s="207" t="n">
        <v>0</v>
      </c>
      <c r="AT263" s="207" t="n">
        <v>0</v>
      </c>
      <c r="AU263" s="207" t="n">
        <v>0</v>
      </c>
      <c r="AV263" s="207" t="n">
        <v>0</v>
      </c>
      <c r="AW263" s="207" t="n">
        <v>0</v>
      </c>
      <c r="AX263" s="208" t="n">
        <v>1</v>
      </c>
      <c r="AY263" s="209">
        <f>L263*AX263+AP263+AQ263+AR263+AV263+AW263+AS263+AT263+AU263</f>
        <v/>
      </c>
      <c r="AZ263" s="207" t="n">
        <v>3120.69</v>
      </c>
      <c r="BA263" s="207" t="n">
        <v>0</v>
      </c>
      <c r="BB263" s="207">
        <f>AZ263*0.006</f>
        <v/>
      </c>
      <c r="BC263" s="209">
        <f>AZ263+BA263-BB263</f>
        <v/>
      </c>
      <c r="BD263" s="207" t="n">
        <v>0</v>
      </c>
      <c r="BE263" s="207" t="n">
        <v>0</v>
      </c>
      <c r="BF263" s="209">
        <f>BD263+BE263</f>
        <v/>
      </c>
      <c r="BG263" s="209">
        <f>BC263-AY263+BF263</f>
        <v/>
      </c>
      <c r="BH263" s="207" t="inlineStr">
        <is>
          <t>张思琪</t>
        </is>
      </c>
      <c r="BI263" s="207" t="inlineStr">
        <is>
          <t>河北省 张家口市 崇礼区 西湾子镇阿那亚崇礼六号楼613</t>
        </is>
      </c>
      <c r="BJ263" s="207" t="inlineStr">
        <is>
          <t>13171648141-5295</t>
        </is>
      </c>
      <c r="BK263" s="87" t="n"/>
      <c r="BL263" s="210" t="n"/>
      <c r="BM263" s="93" t="n"/>
      <c r="BN263" s="94" t="n"/>
      <c r="BO263" s="93" t="n"/>
      <c r="BP263" s="86" t="n"/>
      <c r="BQ263" s="96" t="n"/>
      <c r="BR263" s="96" t="n"/>
      <c r="BS263" s="97" t="n"/>
      <c r="BT263" s="96" t="n"/>
      <c r="BU263" s="97" t="n"/>
      <c r="BV263" s="96" t="n"/>
      <c r="BW263" s="97" t="n"/>
      <c r="BX263" s="97" t="n"/>
      <c r="BY263" s="97" t="n"/>
      <c r="BZ263" s="97" t="n"/>
      <c r="CA263" s="98" t="n"/>
      <c r="CH263" s="2" t="n"/>
      <c r="CI263" s="14">
        <f>CJ263&amp;CK263</f>
        <v/>
      </c>
      <c r="CJ263" s="25" t="n"/>
      <c r="CK263" s="25" t="n"/>
      <c r="CL263" s="25" t="n"/>
      <c r="CM263" s="25" t="n"/>
      <c r="CN263" s="25" t="n"/>
      <c r="CO263" s="131" t="n"/>
      <c r="CP263" s="25" t="n"/>
      <c r="CQ263" s="25" t="n"/>
      <c r="CR263" s="25" t="n"/>
      <c r="CS263" s="131" t="n"/>
      <c r="CT263" s="131" t="n"/>
      <c r="CU263" s="131" t="n"/>
      <c r="CV263" s="131" t="n"/>
      <c r="CW263" s="25" t="n"/>
      <c r="CX263" s="25" t="n"/>
      <c r="CY263" s="25" t="n"/>
      <c r="CZ263" s="25" t="n"/>
      <c r="DC263" s="26" t="n"/>
      <c r="DD263" s="26" t="n"/>
      <c r="DE263" s="26" t="n"/>
      <c r="DF263" s="26" t="n"/>
      <c r="DG263" s="26" t="n"/>
      <c r="DH263" s="27" t="n"/>
      <c r="DJ263" s="211" t="inlineStr">
        <is>
          <t>订单表中未找到</t>
        </is>
      </c>
      <c r="DK263" t="inlineStr">
        <is>
          <t>—</t>
        </is>
      </c>
      <c r="DL263" t="inlineStr">
        <is>
          <t>—</t>
        </is>
      </c>
    </row>
    <row r="264" ht="15.75" customHeight="1" s="187">
      <c r="A264" s="84" t="n">
        <v>45926</v>
      </c>
      <c r="B264" s="206" t="inlineStr">
        <is>
          <t>已收货</t>
        </is>
      </c>
      <c r="C264" s="128" t="inlineStr">
        <is>
          <t>2959087729378488377</t>
        </is>
      </c>
      <c r="D264" s="86" t="inlineStr">
        <is>
          <t>刘叶</t>
        </is>
      </c>
      <c r="E264" s="207" t="n"/>
      <c r="F264" s="207" t="n"/>
      <c r="G264" s="87" t="inlineStr">
        <is>
          <t>砂白色1.6米岩板餐桌</t>
        </is>
      </c>
      <c r="H264" s="207" t="inlineStr">
        <is>
          <t>榉木餐桌</t>
        </is>
      </c>
      <c r="I264" s="89" t="inlineStr">
        <is>
          <t>160cm*85cm</t>
        </is>
      </c>
      <c r="J264" s="87" t="inlineStr">
        <is>
          <t>已结算</t>
        </is>
      </c>
      <c r="K264" s="86" t="inlineStr">
        <is>
          <t>江西</t>
        </is>
      </c>
      <c r="L264" s="207">
        <f>SUM(M264:AO264)</f>
        <v/>
      </c>
      <c r="M264" s="207">
        <f>1520</f>
        <v/>
      </c>
      <c r="N264" s="207" t="n"/>
      <c r="O264" s="207" t="n"/>
      <c r="P264" s="207" t="n"/>
      <c r="Q264" s="207" t="n"/>
      <c r="R264" s="207" t="n">
        <v>240</v>
      </c>
      <c r="S264" s="207" t="n"/>
      <c r="T264" s="207" t="n"/>
      <c r="U264" s="207" t="n"/>
      <c r="V264" s="207" t="n"/>
      <c r="W264" s="207" t="n"/>
      <c r="X264" s="207" t="n"/>
      <c r="Y264" s="207" t="n"/>
      <c r="Z264" s="207" t="n"/>
      <c r="AA264" s="207" t="n"/>
      <c r="AB264" s="207" t="n"/>
      <c r="AC264" s="207" t="n"/>
      <c r="AD264" s="207" t="n">
        <v>2.5</v>
      </c>
      <c r="AE264" s="207" t="n"/>
      <c r="AF264" s="207" t="n"/>
      <c r="AG264" s="207" t="n"/>
      <c r="AH264" s="207" t="n"/>
      <c r="AI264" s="207" t="n"/>
      <c r="AJ264" s="207" t="n"/>
      <c r="AK264" s="207" t="n"/>
      <c r="AL264" s="207" t="n"/>
      <c r="AM264" s="207" t="n">
        <v>170</v>
      </c>
      <c r="AN264" s="207" t="n"/>
      <c r="AO264" s="207" t="n"/>
      <c r="AP264" s="207">
        <f>211-AQ264</f>
        <v/>
      </c>
      <c r="AQ264" s="207" t="n">
        <v>30</v>
      </c>
      <c r="AR264" s="207" t="n">
        <v>100</v>
      </c>
      <c r="AS264" s="207" t="n">
        <v>0</v>
      </c>
      <c r="AT264" s="207" t="n">
        <v>0</v>
      </c>
      <c r="AU264" s="207" t="n">
        <v>0</v>
      </c>
      <c r="AV264" s="207" t="n">
        <v>0</v>
      </c>
      <c r="AW264" s="207" t="n">
        <v>0</v>
      </c>
      <c r="AX264" s="208" t="n">
        <v>1</v>
      </c>
      <c r="AY264" s="209">
        <f>L264*AX264+AP264+AQ264+AR264+AV264+AW264+AS264+AT264+AU264</f>
        <v/>
      </c>
      <c r="AZ264" s="207" t="n">
        <v>2856.38</v>
      </c>
      <c r="BA264" s="207" t="n">
        <v>0</v>
      </c>
      <c r="BB264" s="207">
        <f>AZ264*0.006</f>
        <v/>
      </c>
      <c r="BC264" s="209">
        <f>AZ264+BA264-BB264</f>
        <v/>
      </c>
      <c r="BD264" s="207" t="n">
        <v>0</v>
      </c>
      <c r="BE264" s="207" t="n">
        <v>0</v>
      </c>
      <c r="BF264" s="209">
        <f>BD264+BE264</f>
        <v/>
      </c>
      <c r="BG264" s="209">
        <f>BC264-AY264+BF264</f>
        <v/>
      </c>
      <c r="BH264" s="86" t="inlineStr">
        <is>
          <t>刘叶</t>
        </is>
      </c>
      <c r="BI264" s="207" t="n"/>
      <c r="BJ264" s="207" t="n"/>
      <c r="BK264" s="87" t="n"/>
      <c r="BL264" s="210" t="n"/>
      <c r="BM264" s="93" t="n"/>
      <c r="BN264" s="94" t="n"/>
      <c r="BO264" s="93" t="n"/>
      <c r="BP264" s="86" t="n"/>
      <c r="BQ264" s="96" t="n"/>
      <c r="BR264" s="96" t="n"/>
      <c r="BS264" s="97" t="n"/>
      <c r="BT264" s="96" t="n"/>
      <c r="BU264" s="97" t="n"/>
      <c r="BV264" s="96" t="n"/>
      <c r="BW264" s="97" t="n"/>
      <c r="BX264" s="97" t="n"/>
      <c r="BY264" s="97" t="n"/>
      <c r="BZ264" s="97" t="n"/>
      <c r="CA264" s="98" t="n"/>
      <c r="CH264" s="2" t="n"/>
      <c r="CI264" s="14" t="n"/>
      <c r="CJ264" s="25" t="n"/>
      <c r="CK264" s="25" t="n"/>
      <c r="CL264" s="25" t="n"/>
      <c r="CM264" s="25" t="n"/>
      <c r="CN264" s="25" t="n"/>
      <c r="CO264" s="131" t="n"/>
      <c r="CP264" s="25" t="n"/>
      <c r="CQ264" s="25" t="n"/>
      <c r="CR264" s="25" t="n"/>
      <c r="CS264" s="131" t="n"/>
      <c r="CT264" s="131" t="n"/>
      <c r="CU264" s="131" t="n"/>
      <c r="CV264" s="131" t="n"/>
      <c r="CW264" s="25" t="n"/>
      <c r="CX264" s="25" t="n"/>
      <c r="CY264" s="25" t="n"/>
      <c r="CZ264" s="25" t="n"/>
      <c r="DC264" s="26" t="n"/>
      <c r="DD264" s="26" t="n"/>
      <c r="DE264" s="26" t="n"/>
      <c r="DF264" s="26" t="n"/>
      <c r="DG264" s="26" t="n"/>
      <c r="DH264" s="27" t="n"/>
      <c r="DJ264" s="211" t="inlineStr">
        <is>
          <t>订单表中未找到</t>
        </is>
      </c>
      <c r="DK264" t="inlineStr">
        <is>
          <t>—</t>
        </is>
      </c>
      <c r="DL264" t="inlineStr">
        <is>
          <t>—</t>
        </is>
      </c>
    </row>
    <row r="265" ht="15.75" customHeight="1" s="187">
      <c r="A265" s="84" t="n">
        <v>45928</v>
      </c>
      <c r="B265" s="206" t="inlineStr">
        <is>
          <t>已收货</t>
        </is>
      </c>
      <c r="C265" s="86" t="inlineStr">
        <is>
          <t>2962715702424031288</t>
        </is>
      </c>
      <c r="D265" s="207" t="inlineStr">
        <is>
          <t>唐靓靓</t>
        </is>
      </c>
      <c r="E265" s="207" t="n"/>
      <c r="F265" s="207" t="n"/>
      <c r="G265" s="207" t="inlineStr">
        <is>
          <t>2个插座</t>
        </is>
      </c>
      <c r="H265" s="207" t="inlineStr">
        <is>
          <t>配件</t>
        </is>
      </c>
      <c r="I265" s="89" t="n"/>
      <c r="J265" s="87" t="inlineStr">
        <is>
          <t>已结算</t>
        </is>
      </c>
      <c r="K265" s="86" t="inlineStr">
        <is>
          <t>庄毅</t>
        </is>
      </c>
      <c r="L265" s="207" t="n">
        <v>0</v>
      </c>
      <c r="M265" s="207" t="n">
        <v>0</v>
      </c>
      <c r="N265" s="207" t="n"/>
      <c r="O265" s="207" t="n"/>
      <c r="P265" s="207" t="n"/>
      <c r="Q265" s="207" t="n"/>
      <c r="R265" s="207" t="n"/>
      <c r="S265" s="207" t="n"/>
      <c r="T265" s="207" t="n"/>
      <c r="U265" s="207" t="n"/>
      <c r="V265" s="207" t="n"/>
      <c r="W265" s="207" t="n"/>
      <c r="X265" s="207" t="n"/>
      <c r="Y265" s="207" t="n"/>
      <c r="Z265" s="207" t="n"/>
      <c r="AA265" s="207" t="n"/>
      <c r="AB265" s="207" t="n"/>
      <c r="AC265" s="207" t="n"/>
      <c r="AD265" s="207" t="n"/>
      <c r="AE265" s="207" t="n"/>
      <c r="AF265" s="207" t="n"/>
      <c r="AG265" s="207" t="n"/>
      <c r="AH265" s="207" t="n"/>
      <c r="AI265" s="207" t="n"/>
      <c r="AJ265" s="207" t="n"/>
      <c r="AK265" s="207" t="n"/>
      <c r="AL265" s="207" t="n"/>
      <c r="AM265" s="207" t="n"/>
      <c r="AN265" s="207" t="n"/>
      <c r="AO265" s="207" t="n"/>
      <c r="AP265" s="207" t="n">
        <v>0</v>
      </c>
      <c r="AQ265" s="207" t="n">
        <v>0</v>
      </c>
      <c r="AR265" s="207" t="n">
        <v>0</v>
      </c>
      <c r="AS265" s="207" t="n">
        <v>0</v>
      </c>
      <c r="AT265" s="207" t="n">
        <v>0</v>
      </c>
      <c r="AU265" s="207" t="n">
        <v>0</v>
      </c>
      <c r="AV265" s="207" t="n">
        <v>0</v>
      </c>
      <c r="AW265" s="207" t="n">
        <v>0</v>
      </c>
      <c r="AX265" s="208" t="n">
        <v>1</v>
      </c>
      <c r="AY265" s="209">
        <f>L265*AX265+AP265+AQ265+AR265+AV265+AW265+AS265+AT265+AU265</f>
        <v/>
      </c>
      <c r="AZ265" s="207" t="n">
        <v>420</v>
      </c>
      <c r="BA265" s="207" t="n">
        <v>0</v>
      </c>
      <c r="BB265" s="207">
        <f>AZ265*0.006</f>
        <v/>
      </c>
      <c r="BC265" s="209">
        <f>AZ265+BA265-BB265</f>
        <v/>
      </c>
      <c r="BD265" s="207" t="n">
        <v>0</v>
      </c>
      <c r="BE265" s="207" t="n">
        <v>0</v>
      </c>
      <c r="BF265" s="209">
        <f>BD265+BE265</f>
        <v/>
      </c>
      <c r="BG265" s="209">
        <f>BC265-AY265+BF265</f>
        <v/>
      </c>
      <c r="BH265" s="207" t="inlineStr">
        <is>
          <t>唐靓靓</t>
        </is>
      </c>
      <c r="BI265" s="207" t="n"/>
      <c r="BJ265" s="207" t="n"/>
      <c r="BK265" s="87" t="n"/>
      <c r="BL265" s="210" t="n"/>
      <c r="BM265" s="93" t="n"/>
      <c r="BN265" s="94" t="n"/>
      <c r="BO265" s="93" t="n"/>
      <c r="BP265" s="86" t="n"/>
      <c r="BQ265" s="96" t="n"/>
      <c r="BR265" s="96" t="n"/>
      <c r="BS265" s="97" t="n"/>
      <c r="BT265" s="96" t="n"/>
      <c r="BU265" s="97" t="n"/>
      <c r="BV265" s="96" t="n"/>
      <c r="BW265" s="97" t="n"/>
      <c r="BX265" s="97" t="n"/>
      <c r="BY265" s="97" t="n"/>
      <c r="BZ265" s="97" t="n"/>
      <c r="CA265" s="98" t="n"/>
      <c r="CH265" s="2" t="n"/>
      <c r="CI265" s="14">
        <f>CJ265&amp;CK265</f>
        <v/>
      </c>
      <c r="CJ265" s="25" t="n"/>
      <c r="CK265" s="25" t="n"/>
      <c r="CL265" s="25" t="n"/>
      <c r="CM265" s="25" t="n"/>
      <c r="CN265" s="25" t="n"/>
      <c r="CO265" s="25" t="n"/>
      <c r="CP265" s="25" t="n"/>
      <c r="CQ265" s="25" t="n"/>
      <c r="CR265" s="25" t="n"/>
      <c r="CS265" s="25" t="n"/>
      <c r="CT265" s="25" t="n"/>
      <c r="CU265" s="25" t="n"/>
      <c r="CV265" s="25" t="n"/>
      <c r="CW265" s="25" t="n"/>
      <c r="CX265" s="25" t="n"/>
      <c r="CY265" s="25" t="n"/>
      <c r="CZ265" s="25" t="n"/>
      <c r="DC265" s="26" t="n"/>
      <c r="DD265" s="26" t="n"/>
      <c r="DE265" s="26" t="n"/>
      <c r="DF265" s="26" t="n"/>
      <c r="DG265" s="26" t="n"/>
      <c r="DH265" s="27" t="n"/>
      <c r="DJ265" s="211" t="inlineStr">
        <is>
          <t>订单表中未找到</t>
        </is>
      </c>
      <c r="DK265" t="inlineStr">
        <is>
          <t>—</t>
        </is>
      </c>
      <c r="DL265" t="inlineStr">
        <is>
          <t>—</t>
        </is>
      </c>
    </row>
    <row r="266" ht="15.75" customHeight="1" s="187">
      <c r="A266" s="84" t="n">
        <v>45930</v>
      </c>
      <c r="B266" s="206" t="inlineStr">
        <is>
          <t>已收货</t>
        </is>
      </c>
      <c r="C266" s="86" t="inlineStr">
        <is>
          <t>4778827094251668102</t>
        </is>
      </c>
      <c r="D266" s="86" t="inlineStr">
        <is>
          <t>罗女士</t>
        </is>
      </c>
      <c r="E266" s="207" t="n"/>
      <c r="F266" s="207" t="n"/>
      <c r="G266" s="207" t="inlineStr">
        <is>
          <t>样块</t>
        </is>
      </c>
      <c r="H266" s="207" t="inlineStr">
        <is>
          <t>样块</t>
        </is>
      </c>
      <c r="I266" s="89" t="n"/>
      <c r="J266" s="87" t="inlineStr">
        <is>
          <t>已结算</t>
        </is>
      </c>
      <c r="K266" s="86" t="inlineStr">
        <is>
          <t>杭州</t>
        </is>
      </c>
      <c r="L266" s="207">
        <f>SUM(M266:AO266)</f>
        <v/>
      </c>
      <c r="M266" s="207" t="n">
        <v>5</v>
      </c>
      <c r="N266" s="207" t="n"/>
      <c r="O266" s="207" t="n"/>
      <c r="P266" s="207" t="n"/>
      <c r="Q266" s="207" t="n"/>
      <c r="R266" s="207" t="n"/>
      <c r="S266" s="207" t="n"/>
      <c r="T266" s="207" t="n"/>
      <c r="U266" s="207" t="n"/>
      <c r="V266" s="207" t="n"/>
      <c r="W266" s="207" t="n"/>
      <c r="X266" s="207" t="n"/>
      <c r="Y266" s="207" t="n"/>
      <c r="Z266" s="207" t="n"/>
      <c r="AA266" s="207" t="n"/>
      <c r="AB266" s="207" t="n"/>
      <c r="AC266" s="207" t="n"/>
      <c r="AD266" s="207" t="n"/>
      <c r="AE266" s="207" t="n"/>
      <c r="AF266" s="207" t="n"/>
      <c r="AG266" s="207" t="n"/>
      <c r="AH266" s="207" t="n"/>
      <c r="AI266" s="207" t="n"/>
      <c r="AJ266" s="207" t="n"/>
      <c r="AK266" s="207" t="n"/>
      <c r="AL266" s="207" t="n"/>
      <c r="AM266" s="207" t="n">
        <v>2</v>
      </c>
      <c r="AN266" s="207" t="n"/>
      <c r="AO266" s="207" t="n"/>
      <c r="AP266" s="207" t="n">
        <v>5</v>
      </c>
      <c r="AQ266" s="207" t="n">
        <v>0</v>
      </c>
      <c r="AR266" s="207" t="n">
        <v>0</v>
      </c>
      <c r="AS266" s="207" t="n">
        <v>0</v>
      </c>
      <c r="AT266" s="207" t="n">
        <v>0</v>
      </c>
      <c r="AU266" s="207" t="n">
        <v>0</v>
      </c>
      <c r="AV266" s="207" t="n">
        <v>0</v>
      </c>
      <c r="AW266" s="207" t="n">
        <v>0</v>
      </c>
      <c r="AX266" s="208" t="n">
        <v>1</v>
      </c>
      <c r="AY266" s="209">
        <f>L266*AX266+AP266+AQ266+AR266+AV266+AW266+AS266+AT266+AU266</f>
        <v/>
      </c>
      <c r="AZ266" s="207" t="n">
        <v>20</v>
      </c>
      <c r="BA266" s="207" t="n">
        <v>0</v>
      </c>
      <c r="BB266" s="207">
        <f>AZ266*0.006</f>
        <v/>
      </c>
      <c r="BC266" s="209">
        <f>AZ266+BA266-BB266</f>
        <v/>
      </c>
      <c r="BD266" s="207" t="n">
        <v>0</v>
      </c>
      <c r="BE266" s="207" t="n">
        <v>0</v>
      </c>
      <c r="BF266" s="209">
        <f>BD266+BE266</f>
        <v/>
      </c>
      <c r="BG266" s="209">
        <f>BC266-AY266+BF266</f>
        <v/>
      </c>
      <c r="BH266" s="86" t="inlineStr">
        <is>
          <t>罗女士</t>
        </is>
      </c>
      <c r="BI266" s="86" t="inlineStr">
        <is>
          <t>上海 上海市 浦东新区 惠南镇东原逸墅65号1602室</t>
        </is>
      </c>
      <c r="BJ266" s="86" t="inlineStr">
        <is>
          <t>18466687350-9328，</t>
        </is>
      </c>
      <c r="BK266" s="86" t="n"/>
      <c r="BL266" s="210" t="n"/>
      <c r="BM266" s="93" t="n"/>
      <c r="BN266" s="94" t="n"/>
      <c r="BO266" s="93" t="n"/>
      <c r="BP266" s="86" t="n"/>
      <c r="BQ266" s="96" t="n"/>
      <c r="BR266" s="96" t="n"/>
      <c r="BS266" s="97" t="n"/>
      <c r="BT266" s="96" t="n"/>
      <c r="BU266" s="97" t="n"/>
      <c r="BV266" s="96" t="n"/>
      <c r="BW266" s="97" t="n"/>
      <c r="BX266" s="97" t="n"/>
      <c r="BY266" s="97" t="n"/>
      <c r="BZ266" s="97" t="n"/>
      <c r="CH266" s="2" t="n"/>
      <c r="CI266" s="14" t="n"/>
      <c r="CJ266" s="25" t="n"/>
      <c r="CK266" s="25" t="n"/>
      <c r="CL266" s="25" t="n"/>
      <c r="CM266" s="25" t="n"/>
      <c r="CN266" s="25" t="n"/>
      <c r="CO266" s="25" t="n"/>
      <c r="CP266" s="25" t="n"/>
      <c r="CQ266" s="25" t="n"/>
      <c r="CR266" s="25" t="n"/>
      <c r="CS266" s="25" t="n"/>
      <c r="CT266" s="25" t="n"/>
      <c r="CU266" s="25" t="n"/>
      <c r="CV266" s="25" t="n"/>
      <c r="CW266" s="25" t="n"/>
      <c r="CX266" s="25" t="n"/>
      <c r="CY266" s="25" t="n"/>
      <c r="DC266" s="26" t="n"/>
      <c r="DD266" s="26" t="n"/>
      <c r="DE266" s="26" t="n"/>
      <c r="DF266" s="26" t="n"/>
      <c r="DG266" s="26" t="n"/>
      <c r="DH266" s="27" t="n"/>
      <c r="DJ266" s="211" t="inlineStr">
        <is>
          <t>订单表中未找到</t>
        </is>
      </c>
      <c r="DK266" t="inlineStr">
        <is>
          <t>—</t>
        </is>
      </c>
      <c r="DL266" t="inlineStr">
        <is>
          <t>—</t>
        </is>
      </c>
    </row>
    <row r="267" ht="15.75" customHeight="1" s="187">
      <c r="A267" s="84" t="n">
        <v>45932</v>
      </c>
      <c r="B267" s="206" t="inlineStr">
        <is>
          <t>已收货</t>
        </is>
      </c>
      <c r="C267" s="86" t="inlineStr">
        <is>
          <t>4783637738411518816</t>
        </is>
      </c>
      <c r="D267" s="207" t="inlineStr">
        <is>
          <t>小石</t>
        </is>
      </c>
      <c r="E267" s="207" t="n"/>
      <c r="F267" s="207" t="n"/>
      <c r="G267" s="207" t="inlineStr">
        <is>
          <t>樱桃木哑白岩板餐桌2025-1.4米</t>
        </is>
      </c>
      <c r="H267" s="207" t="inlineStr">
        <is>
          <t>樱桃木岩板餐桌2025</t>
        </is>
      </c>
      <c r="I267" s="89" t="inlineStr">
        <is>
          <t>140cm*85cm</t>
        </is>
      </c>
      <c r="J267" s="87" t="inlineStr">
        <is>
          <t>已结算</t>
        </is>
      </c>
      <c r="K267" s="86" t="inlineStr">
        <is>
          <t>庄毅</t>
        </is>
      </c>
      <c r="L267" s="207">
        <f>SUM(M267:AO267)</f>
        <v/>
      </c>
      <c r="M267" s="207">
        <f>1100</f>
        <v/>
      </c>
      <c r="N267" s="207" t="n"/>
      <c r="O267" s="207" t="n"/>
      <c r="P267" s="207" t="n"/>
      <c r="Q267" s="207" t="n"/>
      <c r="R267" s="207">
        <f>1.4*0.85*180</f>
        <v/>
      </c>
      <c r="S267" s="207" t="n"/>
      <c r="T267" s="207" t="n"/>
      <c r="U267" s="207" t="n"/>
      <c r="V267" s="207" t="n"/>
      <c r="W267" s="207" t="n"/>
      <c r="X267" s="207" t="n"/>
      <c r="Y267" s="207" t="n"/>
      <c r="Z267" s="207" t="n"/>
      <c r="AA267" s="207" t="n"/>
      <c r="AB267" s="207" t="n"/>
      <c r="AC267" s="207" t="n"/>
      <c r="AD267" s="207" t="n">
        <v>2.5</v>
      </c>
      <c r="AE267" s="207" t="n"/>
      <c r="AF267" s="207" t="n"/>
      <c r="AG267" s="207" t="n"/>
      <c r="AH267" s="207" t="n"/>
      <c r="AI267" s="207" t="n"/>
      <c r="AJ267" s="207" t="n"/>
      <c r="AK267" s="207" t="n"/>
      <c r="AL267" s="207" t="n"/>
      <c r="AM267" s="207" t="n"/>
      <c r="AN267" s="207" t="n"/>
      <c r="AO267" s="207" t="n"/>
      <c r="AP267" s="207" t="n">
        <v>130</v>
      </c>
      <c r="AQ267" s="207" t="n"/>
      <c r="AR267" s="207" t="n">
        <v>60</v>
      </c>
      <c r="AS267" s="207" t="n">
        <v>0</v>
      </c>
      <c r="AT267" s="207" t="n">
        <v>0</v>
      </c>
      <c r="AU267" s="207" t="n">
        <v>0</v>
      </c>
      <c r="AV267" s="207" t="n">
        <v>0</v>
      </c>
      <c r="AW267" s="207" t="n">
        <v>215.83</v>
      </c>
      <c r="AX267" s="208" t="n">
        <v>1</v>
      </c>
      <c r="AY267" s="209">
        <f>L267*AX267+AP267+AQ267+AR267+AV267+AW267+AS267+AT267+AU267</f>
        <v/>
      </c>
      <c r="AZ267" s="207">
        <f>2187.5</f>
        <v/>
      </c>
      <c r="BA267" s="207" t="n">
        <v>0</v>
      </c>
      <c r="BB267" s="207">
        <f>AZ267*0.006</f>
        <v/>
      </c>
      <c r="BC267" s="209">
        <f>AZ267+BA267-BB267</f>
        <v/>
      </c>
      <c r="BD267" s="207" t="n">
        <v>0</v>
      </c>
      <c r="BE267" s="207" t="n">
        <v>0</v>
      </c>
      <c r="BF267" s="209">
        <f>BD267+BE267</f>
        <v/>
      </c>
      <c r="BG267" s="209">
        <f>BC267-AY267+BF267</f>
        <v/>
      </c>
      <c r="BH267" s="207" t="inlineStr">
        <is>
          <t>小石</t>
        </is>
      </c>
      <c r="BI267" s="207" t="inlineStr">
        <is>
          <t>河南省 郑州市 中原区 双桥街道 榆林润泽苑1号院22号楼</t>
        </is>
      </c>
      <c r="BJ267" s="207" t="inlineStr">
        <is>
          <t>13247503186-8003</t>
        </is>
      </c>
      <c r="BK267" s="87" t="n"/>
      <c r="BL267" s="210" t="n"/>
      <c r="BM267" s="93" t="n"/>
      <c r="BN267" s="94" t="n"/>
      <c r="BO267" s="93" t="n"/>
      <c r="BP267" s="86" t="n"/>
      <c r="BQ267" s="96" t="n"/>
      <c r="BR267" s="96" t="n"/>
      <c r="BS267" s="97" t="n"/>
      <c r="BT267" s="96" t="n"/>
      <c r="BU267" s="97" t="n"/>
      <c r="BV267" s="96" t="n"/>
      <c r="BW267" s="97" t="n"/>
      <c r="BX267" s="97" t="n"/>
      <c r="BY267" s="97" t="n"/>
      <c r="BZ267" s="97" t="n"/>
      <c r="CA267" s="98" t="n"/>
      <c r="CH267" s="2" t="n"/>
      <c r="CI267" s="14">
        <f>CJ267&amp;CK267</f>
        <v/>
      </c>
      <c r="CJ267" s="25" t="n"/>
      <c r="CK267" s="25" t="n"/>
      <c r="CL267" s="25" t="n"/>
      <c r="CM267" s="25" t="n"/>
      <c r="CN267" s="25" t="n"/>
      <c r="CO267" s="25" t="n"/>
      <c r="CP267" s="25" t="n"/>
      <c r="CQ267" s="25" t="n"/>
      <c r="CR267" s="25" t="n"/>
      <c r="CS267" s="25" t="n"/>
      <c r="CT267" s="25" t="n"/>
      <c r="CU267" s="25" t="n"/>
      <c r="CV267" s="25" t="n"/>
      <c r="CW267" s="25" t="n"/>
      <c r="CX267" s="25" t="n"/>
      <c r="CY267" s="25" t="n"/>
      <c r="CZ267" s="25" t="n"/>
      <c r="DC267" s="26" t="n"/>
      <c r="DD267" s="26" t="n"/>
      <c r="DE267" s="26" t="n"/>
      <c r="DF267" s="26" t="n"/>
      <c r="DG267" s="26" t="n"/>
      <c r="DH267" s="27" t="n"/>
      <c r="DJ267" s="211" t="inlineStr">
        <is>
          <t>订单表中未找到</t>
        </is>
      </c>
      <c r="DK267" t="inlineStr">
        <is>
          <t>—</t>
        </is>
      </c>
      <c r="DL267" t="inlineStr">
        <is>
          <t>—</t>
        </is>
      </c>
    </row>
    <row r="268" ht="15.75" customHeight="1" s="187">
      <c r="A268" s="84" t="n">
        <v>45938</v>
      </c>
      <c r="B268" s="206" t="inlineStr">
        <is>
          <t>已收货</t>
        </is>
      </c>
      <c r="C268" s="86" t="inlineStr">
        <is>
          <t>2981858919693314350</t>
        </is>
      </c>
      <c r="D268" s="86" t="inlineStr">
        <is>
          <t>jojo</t>
        </is>
      </c>
      <c r="E268" s="207" t="n"/>
      <c r="F268" s="207" t="n"/>
      <c r="G268" s="87" t="inlineStr">
        <is>
          <t>砂白色1.8米岩板餐桌，定制</t>
        </is>
      </c>
      <c r="H268" s="220" t="inlineStr">
        <is>
          <t>榉木餐桌</t>
        </is>
      </c>
      <c r="I268" s="218" t="inlineStr">
        <is>
          <t>180cm*80cm</t>
        </is>
      </c>
      <c r="J268" s="87" t="inlineStr">
        <is>
          <t>已结算</t>
        </is>
      </c>
      <c r="K268" s="86" t="inlineStr">
        <is>
          <t>江西</t>
        </is>
      </c>
      <c r="L268" s="207">
        <f>SUM(M268:AO268)</f>
        <v/>
      </c>
      <c r="M268" s="207">
        <f>1530</f>
        <v/>
      </c>
      <c r="N268" s="207" t="n"/>
      <c r="O268" s="207" t="n"/>
      <c r="P268" s="207" t="n"/>
      <c r="Q268" s="207" t="n"/>
      <c r="R268" s="207" t="n">
        <v>240</v>
      </c>
      <c r="S268" s="207" t="n"/>
      <c r="T268" s="207" t="n"/>
      <c r="U268" s="207" t="n"/>
      <c r="V268" s="207" t="n"/>
      <c r="W268" s="207" t="n"/>
      <c r="X268" s="207" t="n"/>
      <c r="Y268" s="207" t="n"/>
      <c r="Z268" s="207" t="n"/>
      <c r="AA268" s="207" t="n"/>
      <c r="AB268" s="207" t="n"/>
      <c r="AC268" s="207" t="n"/>
      <c r="AD268" s="207" t="n">
        <v>2.5</v>
      </c>
      <c r="AE268" s="207" t="n"/>
      <c r="AF268" s="207" t="n"/>
      <c r="AG268" s="207" t="n"/>
      <c r="AH268" s="207" t="n"/>
      <c r="AI268" s="207" t="n"/>
      <c r="AJ268" s="207" t="n"/>
      <c r="AK268" s="207" t="n"/>
      <c r="AL268" s="207" t="n"/>
      <c r="AM268" s="207" t="n">
        <v>180</v>
      </c>
      <c r="AN268" s="207" t="n"/>
      <c r="AO268" s="207" t="n"/>
      <c r="AP268" s="207">
        <f>123-AQ268</f>
        <v/>
      </c>
      <c r="AQ268" s="207" t="n">
        <v>30</v>
      </c>
      <c r="AR268" s="207" t="n">
        <v>76</v>
      </c>
      <c r="AS268" s="207" t="n">
        <v>0</v>
      </c>
      <c r="AT268" s="207" t="n">
        <v>0</v>
      </c>
      <c r="AU268" s="207" t="n">
        <v>0</v>
      </c>
      <c r="AV268" s="207" t="n">
        <v>0</v>
      </c>
      <c r="AW268" s="207" t="n">
        <v>0</v>
      </c>
      <c r="AX268" s="208" t="n">
        <v>1</v>
      </c>
      <c r="AY268" s="209">
        <f>L268*AX268+AP268+AQ268+AR268+AV268+AW268+AS268+AT268+AU268</f>
        <v/>
      </c>
      <c r="AZ268" s="207" t="n">
        <v>2904.88</v>
      </c>
      <c r="BA268" s="207" t="n">
        <v>0</v>
      </c>
      <c r="BB268" s="207">
        <f>AZ268*0.006</f>
        <v/>
      </c>
      <c r="BC268" s="209">
        <f>AZ268+BA268-BB268</f>
        <v/>
      </c>
      <c r="BD268" s="207" t="n">
        <v>0</v>
      </c>
      <c r="BE268" s="207" t="n">
        <v>0</v>
      </c>
      <c r="BF268" s="209">
        <f>BD268+BE268</f>
        <v/>
      </c>
      <c r="BG268" s="209">
        <f>BC268-AY268+BF268</f>
        <v/>
      </c>
      <c r="BH268" s="86" t="inlineStr">
        <is>
          <t>jojo</t>
        </is>
      </c>
      <c r="BI268" s="86" t="inlineStr">
        <is>
          <t>湖南省 长沙市 雨花区 洞井街道金科集美天辰10栋802</t>
        </is>
      </c>
      <c r="BJ268" s="86" t="inlineStr">
        <is>
          <t>18472622557-9986</t>
        </is>
      </c>
      <c r="BK268" s="87" t="n"/>
      <c r="BL268" s="210" t="n"/>
      <c r="BM268" s="93" t="n"/>
      <c r="BN268" s="94" t="n"/>
      <c r="BO268" s="93" t="n"/>
      <c r="BP268" s="86" t="n"/>
      <c r="BQ268" s="96" t="n"/>
      <c r="BR268" s="96" t="n"/>
      <c r="BS268" s="97" t="n"/>
      <c r="BT268" s="96" t="n"/>
      <c r="BU268" s="97" t="n"/>
      <c r="BV268" s="96" t="n"/>
      <c r="BW268" s="97" t="n"/>
      <c r="BX268" s="97" t="n"/>
      <c r="BY268" s="97" t="n"/>
      <c r="BZ268" s="97" t="n"/>
      <c r="CA268" s="98" t="n"/>
      <c r="CH268" s="2" t="n"/>
      <c r="CI268" s="14" t="n"/>
      <c r="CJ268" s="25" t="n"/>
      <c r="CK268" s="25" t="n"/>
      <c r="CL268" s="25" t="n"/>
      <c r="CM268" s="25" t="n"/>
      <c r="CN268" s="25" t="n"/>
      <c r="CO268" s="25" t="n"/>
      <c r="CP268" s="25" t="n"/>
      <c r="CQ268" s="25" t="n"/>
      <c r="CR268" s="25" t="n"/>
      <c r="CS268" s="25" t="n"/>
      <c r="CT268" s="25" t="n"/>
      <c r="CU268" s="25" t="n"/>
      <c r="CV268" s="25" t="n"/>
      <c r="CW268" s="25" t="n"/>
      <c r="CX268" s="25" t="n"/>
      <c r="CY268" s="25" t="n"/>
      <c r="CZ268" s="25" t="n"/>
      <c r="DC268" s="26" t="n"/>
      <c r="DD268" s="26" t="n"/>
      <c r="DE268" s="26" t="n"/>
      <c r="DF268" s="26" t="n"/>
      <c r="DG268" s="26" t="n"/>
      <c r="DH268" s="27" t="n"/>
      <c r="DJ268" s="211" t="inlineStr">
        <is>
          <t>订单表中未找到</t>
        </is>
      </c>
      <c r="DK268" t="inlineStr">
        <is>
          <t>—</t>
        </is>
      </c>
      <c r="DL268" t="inlineStr">
        <is>
          <t>—</t>
        </is>
      </c>
    </row>
    <row r="269" ht="15.75" customHeight="1" s="187">
      <c r="A269" s="84" t="n">
        <v>45939</v>
      </c>
      <c r="B269" s="206" t="inlineStr">
        <is>
          <t>已收货</t>
        </is>
      </c>
      <c r="C269" s="86" t="inlineStr">
        <is>
          <t>2984038357052230079</t>
        </is>
      </c>
      <c r="D269" s="207" t="inlineStr">
        <is>
          <t>陈深丰</t>
        </is>
      </c>
      <c r="E269" s="207" t="n"/>
      <c r="F269" s="207" t="n"/>
      <c r="G269" s="207" t="inlineStr">
        <is>
          <t>补差价</t>
        </is>
      </c>
      <c r="H269" s="207" t="inlineStr">
        <is>
          <t>洞石餐边柜</t>
        </is>
      </c>
      <c r="I269" s="89" t="n"/>
      <c r="J269" s="87" t="inlineStr">
        <is>
          <t>已结算</t>
        </is>
      </c>
      <c r="K269" s="86" t="inlineStr">
        <is>
          <t>庄毅</t>
        </is>
      </c>
      <c r="L269" s="207" t="n">
        <v>0</v>
      </c>
      <c r="M269" s="207" t="n">
        <v>0</v>
      </c>
      <c r="N269" s="207" t="n"/>
      <c r="O269" s="207" t="n"/>
      <c r="P269" s="207" t="n"/>
      <c r="Q269" s="207" t="n"/>
      <c r="R269" s="207" t="n"/>
      <c r="S269" s="207" t="n"/>
      <c r="T269" s="207" t="n"/>
      <c r="U269" s="207" t="n"/>
      <c r="V269" s="207" t="n"/>
      <c r="W269" s="207" t="n"/>
      <c r="X269" s="207" t="n"/>
      <c r="Y269" s="207" t="n"/>
      <c r="Z269" s="207" t="n"/>
      <c r="AA269" s="207" t="n"/>
      <c r="AB269" s="207" t="n"/>
      <c r="AC269" s="207" t="n"/>
      <c r="AD269" s="207" t="n"/>
      <c r="AE269" s="207" t="n"/>
      <c r="AF269" s="207" t="n"/>
      <c r="AG269" s="207" t="n"/>
      <c r="AH269" s="207" t="n"/>
      <c r="AI269" s="207" t="n"/>
      <c r="AJ269" s="207" t="n"/>
      <c r="AK269" s="207" t="n"/>
      <c r="AL269" s="207" t="n"/>
      <c r="AM269" s="207" t="n"/>
      <c r="AN269" s="207" t="n"/>
      <c r="AO269" s="207" t="n"/>
      <c r="AP269" s="207" t="n">
        <v>0</v>
      </c>
      <c r="AQ269" s="207" t="n">
        <v>0</v>
      </c>
      <c r="AR269" s="207" t="n">
        <v>0</v>
      </c>
      <c r="AS269" s="207" t="n">
        <v>0</v>
      </c>
      <c r="AT269" s="207" t="n">
        <v>0</v>
      </c>
      <c r="AU269" s="207" t="n">
        <v>0</v>
      </c>
      <c r="AV269" s="207" t="n">
        <v>0</v>
      </c>
      <c r="AW269" s="207" t="n">
        <v>0</v>
      </c>
      <c r="AX269" s="208" t="n">
        <v>1</v>
      </c>
      <c r="AY269" s="209">
        <f>L269*AX269+AP269+AQ269+AR269+AV269+AW269+AS269+AT269+AU269</f>
        <v/>
      </c>
      <c r="AZ269" s="207" t="n">
        <v>354.64</v>
      </c>
      <c r="BA269" s="207" t="n">
        <v>0</v>
      </c>
      <c r="BB269" s="207">
        <f>AZ269*0.006</f>
        <v/>
      </c>
      <c r="BC269" s="209">
        <f>AZ269+BA269-BB269</f>
        <v/>
      </c>
      <c r="BD269" s="207" t="n">
        <v>0</v>
      </c>
      <c r="BE269" s="207" t="n">
        <v>0</v>
      </c>
      <c r="BF269" s="209">
        <f>BD269+BE269</f>
        <v/>
      </c>
      <c r="BG269" s="209">
        <f>BC269-AY269+BF269</f>
        <v/>
      </c>
      <c r="BH269" s="207" t="inlineStr">
        <is>
          <t>陈深丰</t>
        </is>
      </c>
      <c r="BI269" s="207" t="inlineStr">
        <is>
          <t xml:space="preserve">江苏省 南通市 海安市 城东镇 7星首府 5幢2单元1101 </t>
        </is>
      </c>
      <c r="BJ269" s="207" t="inlineStr">
        <is>
          <t>18662904145-1255</t>
        </is>
      </c>
      <c r="BK269" s="87" t="inlineStr">
        <is>
          <t>JDVG04625778893</t>
        </is>
      </c>
      <c r="BL269" s="210" t="n"/>
      <c r="BM269" s="93" t="n"/>
      <c r="BN269" s="94" t="n"/>
      <c r="BO269" s="93" t="n"/>
      <c r="BP269" s="86" t="n"/>
      <c r="BQ269" s="96" t="n"/>
      <c r="BR269" s="96" t="n"/>
      <c r="BS269" s="97" t="n"/>
      <c r="BT269" s="96" t="n"/>
      <c r="BU269" s="97" t="n"/>
      <c r="BV269" s="96" t="n"/>
      <c r="BW269" s="97" t="n"/>
      <c r="BX269" s="97" t="n"/>
      <c r="BY269" s="97" t="n"/>
      <c r="BZ269" s="97" t="n"/>
      <c r="CA269" s="98" t="n"/>
      <c r="CH269" s="2" t="n"/>
      <c r="CI269" s="14">
        <f>CJ269&amp;CK269</f>
        <v/>
      </c>
      <c r="CJ269" s="25" t="n"/>
      <c r="CK269" s="25" t="n"/>
      <c r="CL269" s="25" t="n"/>
      <c r="CM269" s="25" t="n"/>
      <c r="CN269" s="25" t="n"/>
      <c r="CO269" s="25" t="n"/>
      <c r="CP269" s="25" t="n"/>
      <c r="CQ269" s="25" t="n"/>
      <c r="CR269" s="25" t="n"/>
      <c r="CS269" s="25" t="n"/>
      <c r="CT269" s="25" t="n"/>
      <c r="CU269" s="25" t="n"/>
      <c r="CV269" s="25" t="n"/>
      <c r="CW269" s="25" t="n"/>
      <c r="CX269" s="25" t="n"/>
      <c r="CY269" s="25" t="n"/>
      <c r="CZ269" s="25" t="n"/>
      <c r="DC269" s="26" t="n"/>
      <c r="DD269" s="26" t="n"/>
      <c r="DE269" s="26" t="n"/>
      <c r="DF269" s="26" t="n"/>
      <c r="DG269" s="26" t="n"/>
      <c r="DH269" s="27" t="n"/>
      <c r="DJ269" s="211" t="inlineStr">
        <is>
          <t>订单表中未找到</t>
        </is>
      </c>
      <c r="DK269" t="inlineStr">
        <is>
          <t>—</t>
        </is>
      </c>
      <c r="DL269" t="inlineStr">
        <is>
          <t>—</t>
        </is>
      </c>
    </row>
    <row r="270" ht="15.75" customHeight="1" s="187">
      <c r="A270" s="84" t="n">
        <v>45939</v>
      </c>
      <c r="B270" s="206" t="inlineStr">
        <is>
          <t>已收货</t>
        </is>
      </c>
      <c r="C270" s="86" t="inlineStr">
        <is>
          <t>2984305584237507393</t>
        </is>
      </c>
      <c r="D270" s="86" t="inlineStr">
        <is>
          <t>李伟峰</t>
        </is>
      </c>
      <c r="E270" s="207" t="n"/>
      <c r="F270" s="207" t="n"/>
      <c r="G270" s="207" t="inlineStr">
        <is>
          <t>样块</t>
        </is>
      </c>
      <c r="H270" s="207" t="inlineStr">
        <is>
          <t>样块</t>
        </is>
      </c>
      <c r="I270" s="89" t="n"/>
      <c r="J270" s="87" t="inlineStr">
        <is>
          <t>已结算</t>
        </is>
      </c>
      <c r="K270" s="86" t="inlineStr">
        <is>
          <t>杭州</t>
        </is>
      </c>
      <c r="L270" s="207">
        <f>SUM(M270:AO270)</f>
        <v/>
      </c>
      <c r="M270" s="207" t="n">
        <v>5</v>
      </c>
      <c r="N270" s="207" t="n"/>
      <c r="O270" s="207" t="n"/>
      <c r="P270" s="207" t="n"/>
      <c r="Q270" s="207" t="n"/>
      <c r="R270" s="207" t="n"/>
      <c r="S270" s="207" t="n"/>
      <c r="T270" s="207" t="n"/>
      <c r="U270" s="207" t="n"/>
      <c r="V270" s="207" t="n"/>
      <c r="W270" s="207" t="n"/>
      <c r="X270" s="207" t="n"/>
      <c r="Y270" s="207" t="n"/>
      <c r="Z270" s="207" t="n"/>
      <c r="AA270" s="207" t="n"/>
      <c r="AB270" s="207" t="n"/>
      <c r="AC270" s="207" t="n"/>
      <c r="AD270" s="207" t="n"/>
      <c r="AE270" s="207" t="n"/>
      <c r="AF270" s="207" t="n"/>
      <c r="AG270" s="207" t="n"/>
      <c r="AH270" s="207" t="n"/>
      <c r="AI270" s="207" t="n"/>
      <c r="AJ270" s="207" t="n"/>
      <c r="AK270" s="207" t="n"/>
      <c r="AL270" s="207" t="n"/>
      <c r="AM270" s="207" t="n">
        <v>2</v>
      </c>
      <c r="AN270" s="207" t="n"/>
      <c r="AO270" s="207" t="n"/>
      <c r="AP270" s="207" t="n">
        <v>5</v>
      </c>
      <c r="AQ270" s="207" t="n">
        <v>0</v>
      </c>
      <c r="AR270" s="207" t="n">
        <v>0</v>
      </c>
      <c r="AS270" s="207" t="n">
        <v>0</v>
      </c>
      <c r="AT270" s="207" t="n">
        <v>0</v>
      </c>
      <c r="AU270" s="207" t="n">
        <v>0</v>
      </c>
      <c r="AV270" s="207" t="n">
        <v>0</v>
      </c>
      <c r="AW270" s="207" t="n">
        <v>0</v>
      </c>
      <c r="AX270" s="208" t="n">
        <v>1</v>
      </c>
      <c r="AY270" s="209">
        <f>L270*AX270+AP270+AQ270+AR270+AV270+AW270+AS270+AT270+AU270</f>
        <v/>
      </c>
      <c r="AZ270" s="207" t="n">
        <v>22</v>
      </c>
      <c r="BA270" s="207" t="n">
        <v>0</v>
      </c>
      <c r="BB270" s="207">
        <f>AZ270*0.006</f>
        <v/>
      </c>
      <c r="BC270" s="209">
        <f>AZ270+BA270-BB270</f>
        <v/>
      </c>
      <c r="BD270" s="207" t="n">
        <v>0</v>
      </c>
      <c r="BE270" s="207" t="n">
        <v>0</v>
      </c>
      <c r="BF270" s="209">
        <f>BD270+BE270</f>
        <v/>
      </c>
      <c r="BG270" s="209">
        <f>BC270-AY270+BF270</f>
        <v/>
      </c>
      <c r="BH270" s="86" t="inlineStr">
        <is>
          <t>李伟峰</t>
        </is>
      </c>
      <c r="BI270" s="86" t="inlineStr">
        <is>
          <t>山东省 日照市 岚山区 岚山头街道 沂州海湾五号楼一单元</t>
        </is>
      </c>
      <c r="BJ270" s="86" t="inlineStr">
        <is>
          <t>18416726972-9471</t>
        </is>
      </c>
      <c r="BK270" s="86" t="n"/>
      <c r="BL270" s="210" t="n"/>
      <c r="BM270" s="93" t="n"/>
      <c r="BN270" s="94" t="n"/>
      <c r="BO270" s="93" t="n"/>
      <c r="BP270" s="86" t="n"/>
      <c r="BQ270" s="96" t="n"/>
      <c r="BR270" s="96" t="n"/>
      <c r="BS270" s="97" t="n"/>
      <c r="BT270" s="96" t="n"/>
      <c r="BU270" s="97" t="n"/>
      <c r="BV270" s="96" t="n"/>
      <c r="BW270" s="97" t="n"/>
      <c r="BX270" s="97" t="n"/>
      <c r="BY270" s="97" t="n"/>
      <c r="BZ270" s="97" t="n"/>
      <c r="CH270" s="2" t="n"/>
      <c r="CI270" s="14" t="n"/>
      <c r="CJ270" s="25" t="n"/>
      <c r="CK270" s="25" t="n"/>
      <c r="CL270" s="25" t="n"/>
      <c r="CM270" s="25" t="n"/>
      <c r="CN270" s="25" t="n"/>
      <c r="CO270" s="25" t="n"/>
      <c r="CP270" s="25" t="n"/>
      <c r="CQ270" s="25" t="n"/>
      <c r="CR270" s="25" t="n"/>
      <c r="CS270" s="25" t="n"/>
      <c r="CT270" s="25" t="n"/>
      <c r="CU270" s="25" t="n"/>
      <c r="CV270" s="25" t="n"/>
      <c r="CW270" s="25" t="n"/>
      <c r="CX270" s="25" t="n"/>
      <c r="CY270" s="25" t="n"/>
      <c r="DC270" s="26" t="n"/>
      <c r="DD270" s="26" t="n"/>
      <c r="DE270" s="26" t="n"/>
      <c r="DF270" s="26" t="n"/>
      <c r="DG270" s="26" t="n"/>
      <c r="DH270" s="27" t="n"/>
      <c r="DJ270" s="211" t="inlineStr">
        <is>
          <t>订单表中未找到</t>
        </is>
      </c>
      <c r="DK270" t="inlineStr">
        <is>
          <t>—</t>
        </is>
      </c>
      <c r="DL270" t="inlineStr">
        <is>
          <t>—</t>
        </is>
      </c>
    </row>
    <row r="271" ht="15.75" customHeight="1" s="187">
      <c r="A271" s="84" t="n">
        <v>45942</v>
      </c>
      <c r="B271" s="206" t="inlineStr">
        <is>
          <t>已收货</t>
        </is>
      </c>
      <c r="C271" s="86" t="inlineStr">
        <is>
          <t>2990417197413801359</t>
        </is>
      </c>
      <c r="D271" s="207" t="inlineStr">
        <is>
          <t>凌泽芝</t>
        </is>
      </c>
      <c r="E271" s="207" t="n"/>
      <c r="F271" s="207" t="n"/>
      <c r="G271" s="207" t="inlineStr">
        <is>
          <t>洞石餐边柜定制-1.5米-251012</t>
        </is>
      </c>
      <c r="H271" s="207" t="inlineStr">
        <is>
          <t>洞石餐边柜</t>
        </is>
      </c>
      <c r="I271" s="89" t="n">
        <v>1500</v>
      </c>
      <c r="J271" s="87" t="inlineStr">
        <is>
          <t>已结算</t>
        </is>
      </c>
      <c r="K271" s="86" t="inlineStr">
        <is>
          <t>庄毅</t>
        </is>
      </c>
      <c r="L271" s="207">
        <f>4200+549.6+320+22*7+84+14+8.5+7+501.08+52*2+14+450+340</f>
        <v/>
      </c>
      <c r="M271" s="207">
        <f>4200</f>
        <v/>
      </c>
      <c r="N271" s="207">
        <f>1.458*260+2*55+12+55</f>
        <v/>
      </c>
      <c r="O271" s="207" t="n">
        <v>320</v>
      </c>
      <c r="P271" s="207" t="n"/>
      <c r="Q271" s="207" t="n">
        <v>549.6</v>
      </c>
      <c r="R271" s="207" t="n">
        <v>84</v>
      </c>
      <c r="S271" s="207" t="n"/>
      <c r="T271" s="207" t="n">
        <v>8.5</v>
      </c>
      <c r="U271" s="207" t="n"/>
      <c r="V271" s="207" t="n"/>
      <c r="W271" s="207" t="n">
        <v>7</v>
      </c>
      <c r="X271" s="207">
        <f>22*7</f>
        <v/>
      </c>
      <c r="Y271" s="207" t="inlineStr">
        <is>
          <t>52*2</t>
        </is>
      </c>
      <c r="Z271" s="207">
        <f>3.5+14</f>
        <v/>
      </c>
      <c r="AA271" s="207" t="n"/>
      <c r="AB271" s="207" t="n"/>
      <c r="AC271" s="207" t="n">
        <v>7</v>
      </c>
      <c r="AD271" s="207" t="n">
        <v>450</v>
      </c>
      <c r="AE271" s="207" t="n"/>
      <c r="AF271" s="207" t="n">
        <v>340</v>
      </c>
      <c r="AG271" s="207" t="n"/>
      <c r="AH271" s="207" t="n"/>
      <c r="AI271" s="207" t="n"/>
      <c r="AJ271" s="207" t="n"/>
      <c r="AK271" s="207" t="n"/>
      <c r="AL271" s="207" t="n"/>
      <c r="AM271" s="207" t="n"/>
      <c r="AN271" s="207" t="n"/>
      <c r="AO271" s="207" t="n"/>
      <c r="AP271" s="207" t="n">
        <v>470</v>
      </c>
      <c r="AQ271" s="121" t="n">
        <v>100</v>
      </c>
      <c r="AR271" s="121" t="n">
        <v>150</v>
      </c>
      <c r="AS271" s="207" t="n">
        <v>0</v>
      </c>
      <c r="AT271" s="207" t="n">
        <v>0</v>
      </c>
      <c r="AU271" s="207" t="n">
        <v>0</v>
      </c>
      <c r="AV271" s="207" t="n">
        <v>0</v>
      </c>
      <c r="AW271" s="207" t="n">
        <v>0</v>
      </c>
      <c r="AX271" s="208" t="n">
        <v>1</v>
      </c>
      <c r="AY271" s="209">
        <f>L271*AX271+AP271+AQ271+AR271+AV271+AW271+AS271+AT271+AU271</f>
        <v/>
      </c>
      <c r="AZ271" s="207" t="n">
        <v>10304</v>
      </c>
      <c r="BA271" s="207" t="n">
        <v>0</v>
      </c>
      <c r="BB271" s="207">
        <f>AZ271*0.006</f>
        <v/>
      </c>
      <c r="BC271" s="209">
        <f>AZ271+BA271-BB271</f>
        <v/>
      </c>
      <c r="BD271" s="207" t="n">
        <v>0</v>
      </c>
      <c r="BE271" s="207" t="n">
        <v>0</v>
      </c>
      <c r="BF271" s="209">
        <f>BD271+BE271</f>
        <v/>
      </c>
      <c r="BG271" s="209">
        <f>BC271-AY271+BF271</f>
        <v/>
      </c>
      <c r="BH271" s="207" t="inlineStr">
        <is>
          <t>凌泽芝</t>
        </is>
      </c>
      <c r="BI271" s="207" t="inlineStr">
        <is>
          <t>北京 北京市 昌平区 史各庄街道 东半壁店家园4-3-901</t>
        </is>
      </c>
      <c r="BJ271" s="207" t="inlineStr">
        <is>
          <t>18401660157-3854</t>
        </is>
      </c>
      <c r="BK271" s="87" t="inlineStr">
        <is>
          <t>JDVG04569136289</t>
        </is>
      </c>
      <c r="BL271" s="210" t="n"/>
      <c r="BM271" s="93" t="n"/>
      <c r="BN271" s="94" t="n"/>
      <c r="BO271" s="93" t="n"/>
      <c r="BP271" s="86" t="n"/>
      <c r="BQ271" s="96" t="n"/>
      <c r="BR271" s="96" t="n"/>
      <c r="BS271" s="97" t="n"/>
      <c r="BT271" s="96" t="n"/>
      <c r="BU271" s="97" t="n"/>
      <c r="BV271" s="96" t="n"/>
      <c r="BW271" s="97" t="n"/>
      <c r="BX271" s="97" t="n"/>
      <c r="BY271" s="97" t="n"/>
      <c r="BZ271" s="97" t="n"/>
      <c r="CA271" s="98" t="n"/>
      <c r="CH271" s="2" t="n"/>
      <c r="CI271" s="14">
        <f>CJ271&amp;CK271</f>
        <v/>
      </c>
      <c r="CJ271" s="25" t="n"/>
      <c r="CK271" s="25" t="n"/>
      <c r="CL271" s="25" t="n"/>
      <c r="CM271" s="25" t="n"/>
      <c r="CN271" s="25" t="n"/>
      <c r="CO271" s="25" t="n"/>
      <c r="CP271" s="25" t="n"/>
      <c r="CQ271" s="25" t="n"/>
      <c r="CR271" s="25" t="n"/>
      <c r="CS271" s="25" t="n"/>
      <c r="CT271" s="25" t="n"/>
      <c r="CU271" s="25" t="n"/>
      <c r="CV271" s="25" t="n"/>
      <c r="CW271" s="25" t="n"/>
      <c r="CX271" s="25" t="n"/>
      <c r="CY271" s="25" t="n"/>
      <c r="CZ271" s="25" t="n"/>
      <c r="DC271" s="26" t="n"/>
      <c r="DD271" s="26" t="n"/>
      <c r="DE271" s="26" t="n"/>
      <c r="DF271" s="26" t="n"/>
      <c r="DG271" s="26" t="n"/>
      <c r="DH271" s="27" t="n"/>
      <c r="DJ271" s="211" t="inlineStr">
        <is>
          <t>订单表中未找到</t>
        </is>
      </c>
      <c r="DK271" t="inlineStr">
        <is>
          <t>—</t>
        </is>
      </c>
      <c r="DL271" t="inlineStr">
        <is>
          <t>—</t>
        </is>
      </c>
    </row>
    <row r="272" ht="15.75" customHeight="1" s="187">
      <c r="A272" s="84" t="n">
        <v>45946</v>
      </c>
      <c r="B272" s="206" t="inlineStr">
        <is>
          <t>已收货</t>
        </is>
      </c>
      <c r="C272" s="86" t="inlineStr">
        <is>
          <t>4811295528968834503</t>
        </is>
      </c>
      <c r="D272" s="86" t="inlineStr">
        <is>
          <t>李思颉</t>
        </is>
      </c>
      <c r="E272" s="207" t="n"/>
      <c r="F272" s="207" t="n"/>
      <c r="G272" s="207" t="inlineStr">
        <is>
          <t>样块*2</t>
        </is>
      </c>
      <c r="H272" s="207" t="inlineStr">
        <is>
          <t>样块</t>
        </is>
      </c>
      <c r="I272" s="89" t="n"/>
      <c r="J272" s="87" t="inlineStr">
        <is>
          <t>已结算</t>
        </is>
      </c>
      <c r="K272" s="86" t="inlineStr">
        <is>
          <t>杭州</t>
        </is>
      </c>
      <c r="L272" s="207">
        <f>SUM(M272:AO272)</f>
        <v/>
      </c>
      <c r="M272" s="207" t="n">
        <v>10</v>
      </c>
      <c r="N272" s="207" t="n"/>
      <c r="O272" s="207" t="n"/>
      <c r="P272" s="207" t="n"/>
      <c r="Q272" s="207" t="n"/>
      <c r="R272" s="207" t="n"/>
      <c r="S272" s="207" t="n"/>
      <c r="T272" s="207" t="n"/>
      <c r="U272" s="207" t="n"/>
      <c r="V272" s="207" t="n"/>
      <c r="W272" s="207" t="n"/>
      <c r="X272" s="207" t="n"/>
      <c r="Y272" s="207" t="n"/>
      <c r="Z272" s="207" t="n"/>
      <c r="AA272" s="207" t="n"/>
      <c r="AB272" s="207" t="n"/>
      <c r="AC272" s="207" t="n"/>
      <c r="AD272" s="207" t="n"/>
      <c r="AE272" s="207" t="n"/>
      <c r="AF272" s="207" t="n"/>
      <c r="AG272" s="207" t="n"/>
      <c r="AH272" s="207" t="n"/>
      <c r="AI272" s="207" t="n"/>
      <c r="AJ272" s="207" t="n"/>
      <c r="AK272" s="207" t="n"/>
      <c r="AL272" s="207" t="n"/>
      <c r="AM272" s="207" t="n">
        <v>2</v>
      </c>
      <c r="AN272" s="207" t="n"/>
      <c r="AO272" s="207" t="n"/>
      <c r="AP272" s="207" t="n">
        <v>5</v>
      </c>
      <c r="AQ272" s="207" t="n">
        <v>0</v>
      </c>
      <c r="AR272" s="207" t="n">
        <v>0</v>
      </c>
      <c r="AS272" s="207" t="n">
        <v>0</v>
      </c>
      <c r="AT272" s="207" t="n">
        <v>0</v>
      </c>
      <c r="AU272" s="207" t="n">
        <v>0</v>
      </c>
      <c r="AV272" s="207" t="n">
        <v>0</v>
      </c>
      <c r="AW272" s="207" t="n">
        <v>0</v>
      </c>
      <c r="AX272" s="208" t="n">
        <v>1</v>
      </c>
      <c r="AY272" s="209">
        <f>L272*AX272+AP272+AQ272+AR272+AV272+AW272+AS272+AT272+AU272</f>
        <v/>
      </c>
      <c r="AZ272" s="207" t="n">
        <v>50</v>
      </c>
      <c r="BA272" s="207" t="n">
        <v>0</v>
      </c>
      <c r="BB272" s="207">
        <f>AZ272*0.006</f>
        <v/>
      </c>
      <c r="BC272" s="209">
        <f>AZ272+BA272-BB272</f>
        <v/>
      </c>
      <c r="BD272" s="207" t="n">
        <v>0</v>
      </c>
      <c r="BE272" s="207" t="n">
        <v>0</v>
      </c>
      <c r="BF272" s="209">
        <f>BD272+BE272</f>
        <v/>
      </c>
      <c r="BG272" s="209">
        <f>BC272-AY272+BF272</f>
        <v/>
      </c>
      <c r="BH272" s="86" t="inlineStr">
        <is>
          <t>李思颉</t>
        </is>
      </c>
      <c r="BI272" s="86" t="inlineStr">
        <is>
          <t>浙江省 舟山市 定海区 千岛街道闻莺苑11幢1单元2504</t>
        </is>
      </c>
      <c r="BJ272" s="86" t="inlineStr">
        <is>
          <t>18413298758-4019</t>
        </is>
      </c>
      <c r="BK272" s="86" t="n"/>
      <c r="BL272" s="210" t="n"/>
      <c r="BM272" s="93" t="n"/>
      <c r="BN272" s="94" t="n"/>
      <c r="BO272" s="93" t="n"/>
      <c r="BP272" s="86" t="n"/>
      <c r="BQ272" s="96" t="n"/>
      <c r="BR272" s="96" t="n"/>
      <c r="BS272" s="97" t="n"/>
      <c r="BT272" s="96" t="n"/>
      <c r="BU272" s="97" t="n"/>
      <c r="BV272" s="96" t="n"/>
      <c r="BW272" s="97" t="n"/>
      <c r="BX272" s="97" t="n"/>
      <c r="BY272" s="97" t="n"/>
      <c r="BZ272" s="97" t="n"/>
      <c r="CH272" s="2" t="n"/>
      <c r="CI272" s="14" t="n"/>
      <c r="CJ272" s="25" t="n"/>
      <c r="CK272" s="25" t="n"/>
      <c r="CL272" s="25" t="n"/>
      <c r="CM272" s="25" t="n"/>
      <c r="CN272" s="25" t="n"/>
      <c r="CO272" s="25" t="n"/>
      <c r="CP272" s="25" t="n"/>
      <c r="CQ272" s="25" t="n"/>
      <c r="CR272" s="25" t="n"/>
      <c r="CS272" s="25" t="n"/>
      <c r="CT272" s="25" t="n"/>
      <c r="CU272" s="25" t="n"/>
      <c r="CV272" s="25" t="n"/>
      <c r="CW272" s="25" t="n"/>
      <c r="CX272" s="25" t="n"/>
      <c r="CY272" s="25" t="n"/>
      <c r="DC272" s="26" t="n"/>
      <c r="DD272" s="26" t="n"/>
      <c r="DE272" s="26" t="n"/>
      <c r="DF272" s="26" t="n"/>
      <c r="DG272" s="26" t="n"/>
      <c r="DH272" s="27" t="n"/>
      <c r="DJ272" s="211" t="inlineStr">
        <is>
          <t>订单表中未找到</t>
        </is>
      </c>
      <c r="DK272" t="inlineStr">
        <is>
          <t>—</t>
        </is>
      </c>
      <c r="DL272" t="inlineStr">
        <is>
          <t>—</t>
        </is>
      </c>
    </row>
    <row r="273" ht="15.75" customHeight="1" s="187">
      <c r="A273" s="84" t="n">
        <v>45946</v>
      </c>
      <c r="B273" s="206" t="inlineStr">
        <is>
          <t>已收货</t>
        </is>
      </c>
      <c r="C273" s="86" t="inlineStr">
        <is>
          <t>4812050163529386607</t>
        </is>
      </c>
      <c r="D273" s="207" t="inlineStr">
        <is>
          <t>丁小姐</t>
        </is>
      </c>
      <c r="E273" s="207" t="n"/>
      <c r="F273" s="207" t="n"/>
      <c r="G273" s="207" t="inlineStr">
        <is>
          <t>窄柜-整柜洞石岩板背板-1.2米-定制</t>
        </is>
      </c>
      <c r="H273" s="207" t="inlineStr">
        <is>
          <t>樱桃木窄柜</t>
        </is>
      </c>
      <c r="I273" s="89" t="n">
        <v>1200</v>
      </c>
      <c r="J273" s="87" t="inlineStr">
        <is>
          <t>已结算</t>
        </is>
      </c>
      <c r="K273" s="86" t="inlineStr">
        <is>
          <t>庄毅</t>
        </is>
      </c>
      <c r="L273" s="207">
        <f>3600+160*1.2*0.48+160*1.156*0.49+1.156*0.098*160+5*30+411.08+10</f>
        <v/>
      </c>
      <c r="M273" s="207">
        <f>3600</f>
        <v/>
      </c>
      <c r="N273" s="207">
        <f>1.158*260+2*55</f>
        <v/>
      </c>
      <c r="O273" s="207" t="n"/>
      <c r="P273" s="207" t="n"/>
      <c r="Q273" s="207" t="n"/>
      <c r="R273" s="207">
        <f>1.156*0.098*160+160*1.156*0.49+160*1.2*0.48+30</f>
        <v/>
      </c>
      <c r="S273" s="207" t="n">
        <v>62.4</v>
      </c>
      <c r="T273" s="207" t="n"/>
      <c r="U273" s="207" t="n"/>
      <c r="V273" s="207" t="n"/>
      <c r="W273" s="207" t="n"/>
      <c r="X273" s="207" t="n"/>
      <c r="Y273" s="207" t="n"/>
      <c r="Z273" s="207" t="n"/>
      <c r="AA273" s="207" t="n"/>
      <c r="AB273" s="207" t="n"/>
      <c r="AC273" s="207" t="n"/>
      <c r="AD273" s="207" t="n"/>
      <c r="AE273" s="207" t="n"/>
      <c r="AF273" s="207" t="n"/>
      <c r="AG273" s="207" t="n"/>
      <c r="AH273" s="207" t="n"/>
      <c r="AI273" s="207" t="n"/>
      <c r="AJ273" s="207" t="n"/>
      <c r="AK273" s="207" t="n">
        <v>10</v>
      </c>
      <c r="AL273" s="207" t="n"/>
      <c r="AM273" s="207" t="n"/>
      <c r="AN273" s="207" t="n"/>
      <c r="AO273" s="207" t="n"/>
      <c r="AP273" s="207" t="n">
        <v>293</v>
      </c>
      <c r="AQ273" s="207" t="n"/>
      <c r="AR273" s="207" t="n">
        <v>68</v>
      </c>
      <c r="AS273" s="207" t="n">
        <v>0</v>
      </c>
      <c r="AT273" s="207" t="n">
        <v>0</v>
      </c>
      <c r="AU273" s="207" t="n">
        <v>0</v>
      </c>
      <c r="AV273" s="207" t="n">
        <v>0</v>
      </c>
      <c r="AW273" s="207" t="n">
        <v>0</v>
      </c>
      <c r="AX273" s="208" t="n">
        <v>1</v>
      </c>
      <c r="AY273" s="209">
        <f>L273*AX273+AP273+AQ273+AR273+AV273+AW273+AS273+AT273+AU273</f>
        <v/>
      </c>
      <c r="AZ273" s="207" t="n">
        <v>6105</v>
      </c>
      <c r="BA273" s="207" t="n">
        <v>0</v>
      </c>
      <c r="BB273" s="207">
        <f>AZ273*0.006</f>
        <v/>
      </c>
      <c r="BC273" s="209">
        <f>AZ273+BA273-BB273</f>
        <v/>
      </c>
      <c r="BD273" s="207" t="n">
        <v>0</v>
      </c>
      <c r="BE273" s="207" t="n">
        <v>0</v>
      </c>
      <c r="BF273" s="209">
        <f>BD273+BE273</f>
        <v/>
      </c>
      <c r="BG273" s="209">
        <f>BC273-AY273+BF273</f>
        <v/>
      </c>
      <c r="BH273" s="207" t="inlineStr">
        <is>
          <t>丁小姐</t>
        </is>
      </c>
      <c r="BI273" s="207" t="inlineStr">
        <is>
          <t xml:space="preserve">广东省 广州市 黄埔区 文冲街道 文冲安置房八期H7栋203房 </t>
        </is>
      </c>
      <c r="BJ273" s="207" t="inlineStr">
        <is>
          <t>17896416749-5483</t>
        </is>
      </c>
      <c r="BK273" s="87" t="inlineStr">
        <is>
          <t xml:space="preserve"> JDVG04623815231</t>
        </is>
      </c>
      <c r="BL273" s="210" t="n"/>
      <c r="BM273" s="93" t="n"/>
      <c r="BN273" s="94" t="n"/>
      <c r="BO273" s="93" t="n"/>
      <c r="BP273" s="86" t="n"/>
      <c r="BQ273" s="96" t="n"/>
      <c r="BR273" s="96" t="n"/>
      <c r="BS273" s="97" t="n"/>
      <c r="BT273" s="96" t="n"/>
      <c r="BU273" s="97" t="n"/>
      <c r="BV273" s="96" t="n"/>
      <c r="BW273" s="97" t="n"/>
      <c r="BX273" s="97" t="n"/>
      <c r="BY273" s="97" t="n"/>
      <c r="BZ273" s="97" t="n"/>
      <c r="CA273" s="98" t="n"/>
      <c r="CH273" s="2" t="n"/>
      <c r="CI273" s="14">
        <f>CJ273&amp;CK273</f>
        <v/>
      </c>
      <c r="CJ273" s="25" t="n"/>
      <c r="CK273" s="25" t="n"/>
      <c r="CL273" s="25" t="n"/>
      <c r="CM273" s="25" t="n"/>
      <c r="CN273" s="25" t="n"/>
      <c r="CO273" s="25" t="n"/>
      <c r="CP273" s="25" t="n"/>
      <c r="CQ273" s="25" t="n"/>
      <c r="CR273" s="25" t="n"/>
      <c r="CS273" s="25" t="n"/>
      <c r="CT273" s="25" t="n"/>
      <c r="CU273" s="25" t="n"/>
      <c r="CV273" s="25" t="n"/>
      <c r="CW273" s="25" t="n"/>
      <c r="CX273" s="25" t="n"/>
      <c r="CY273" s="25" t="n"/>
      <c r="CZ273" s="25" t="n"/>
      <c r="DC273" s="26" t="n"/>
      <c r="DD273" s="26" t="n"/>
      <c r="DE273" s="26" t="n"/>
      <c r="DF273" s="26" t="n"/>
      <c r="DG273" s="26" t="n"/>
      <c r="DH273" s="27" t="n"/>
      <c r="DJ273" s="211" t="inlineStr">
        <is>
          <t>订单表中未找到</t>
        </is>
      </c>
      <c r="DK273" t="inlineStr">
        <is>
          <t>—</t>
        </is>
      </c>
      <c r="DL273" t="inlineStr">
        <is>
          <t>—</t>
        </is>
      </c>
    </row>
    <row r="274" ht="15.75" customHeight="1" s="187">
      <c r="A274" s="84" t="n">
        <v>45947</v>
      </c>
      <c r="B274" s="206" t="inlineStr">
        <is>
          <t>已收货</t>
        </is>
      </c>
      <c r="C274" s="86" t="inlineStr">
        <is>
          <t>4813574328987483440</t>
        </is>
      </c>
      <c r="D274" s="86" t="inlineStr">
        <is>
          <t>刘女士</t>
        </is>
      </c>
      <c r="E274" s="207" t="n"/>
      <c r="F274" s="207" t="n"/>
      <c r="G274" s="207" t="inlineStr">
        <is>
          <t>样块*2</t>
        </is>
      </c>
      <c r="H274" s="207" t="inlineStr">
        <is>
          <t>样块</t>
        </is>
      </c>
      <c r="I274" s="89" t="n"/>
      <c r="J274" s="87" t="inlineStr">
        <is>
          <t>已结算</t>
        </is>
      </c>
      <c r="K274" s="86" t="inlineStr">
        <is>
          <t>杭州</t>
        </is>
      </c>
      <c r="L274" s="207">
        <f>SUM(M274:AO274)</f>
        <v/>
      </c>
      <c r="M274" s="207" t="n">
        <v>10</v>
      </c>
      <c r="N274" s="207" t="n"/>
      <c r="O274" s="207" t="n"/>
      <c r="P274" s="207" t="n"/>
      <c r="Q274" s="207" t="n"/>
      <c r="R274" s="207" t="n"/>
      <c r="S274" s="207" t="n"/>
      <c r="T274" s="207" t="n"/>
      <c r="U274" s="207" t="n"/>
      <c r="V274" s="207" t="n"/>
      <c r="W274" s="207" t="n"/>
      <c r="X274" s="207" t="n"/>
      <c r="Y274" s="207" t="n"/>
      <c r="Z274" s="207" t="n"/>
      <c r="AA274" s="207" t="n"/>
      <c r="AB274" s="207" t="n"/>
      <c r="AC274" s="207" t="n"/>
      <c r="AD274" s="207" t="n"/>
      <c r="AE274" s="207" t="n"/>
      <c r="AF274" s="207" t="n"/>
      <c r="AG274" s="207" t="n"/>
      <c r="AH274" s="207" t="n"/>
      <c r="AI274" s="207" t="n"/>
      <c r="AJ274" s="207" t="n"/>
      <c r="AK274" s="207" t="n"/>
      <c r="AL274" s="207" t="n"/>
      <c r="AM274" s="207" t="n">
        <v>2</v>
      </c>
      <c r="AN274" s="207" t="n"/>
      <c r="AO274" s="207" t="n"/>
      <c r="AP274" s="207" t="n">
        <v>5</v>
      </c>
      <c r="AQ274" s="207" t="n">
        <v>0</v>
      </c>
      <c r="AR274" s="207" t="n">
        <v>0</v>
      </c>
      <c r="AS274" s="207" t="n">
        <v>0</v>
      </c>
      <c r="AT274" s="207" t="n">
        <v>0</v>
      </c>
      <c r="AU274" s="207" t="n">
        <v>0</v>
      </c>
      <c r="AV274" s="207" t="n">
        <v>0</v>
      </c>
      <c r="AW274" s="207" t="n">
        <v>0</v>
      </c>
      <c r="AX274" s="208" t="n">
        <v>1</v>
      </c>
      <c r="AY274" s="209">
        <f>L274*AX274+AP274+AQ274+AR274+AV274+AW274+AS274+AT274+AU274</f>
        <v/>
      </c>
      <c r="AZ274" s="207" t="n">
        <v>50</v>
      </c>
      <c r="BA274" s="207" t="n">
        <v>0</v>
      </c>
      <c r="BB274" s="207">
        <f>AZ274*0.006</f>
        <v/>
      </c>
      <c r="BC274" s="209">
        <f>AZ274+BA274-BB274</f>
        <v/>
      </c>
      <c r="BD274" s="207" t="n">
        <v>0</v>
      </c>
      <c r="BE274" s="207" t="n">
        <v>0</v>
      </c>
      <c r="BF274" s="209">
        <f>BD274+BE274</f>
        <v/>
      </c>
      <c r="BG274" s="209">
        <f>BC274-AY274+BF274</f>
        <v/>
      </c>
      <c r="BH274" s="86" t="inlineStr">
        <is>
          <t>刘女士</t>
        </is>
      </c>
      <c r="BI274" s="86" t="inlineStr">
        <is>
          <t>甘肃省 庆阳市 西峰区 温泉镇 刘家店</t>
        </is>
      </c>
      <c r="BJ274" s="86" t="inlineStr">
        <is>
          <t>15502977460-4089</t>
        </is>
      </c>
      <c r="BK274" s="86" t="n"/>
      <c r="BL274" s="210" t="n"/>
      <c r="BM274" s="93" t="n"/>
      <c r="BN274" s="94" t="n"/>
      <c r="BO274" s="93" t="n"/>
      <c r="BP274" s="86" t="n"/>
      <c r="BQ274" s="96" t="n"/>
      <c r="BR274" s="96" t="n"/>
      <c r="BS274" s="97" t="n"/>
      <c r="BT274" s="96" t="n"/>
      <c r="BU274" s="97" t="n"/>
      <c r="BV274" s="96" t="n"/>
      <c r="BW274" s="97" t="n"/>
      <c r="BX274" s="97" t="n"/>
      <c r="BY274" s="97" t="n"/>
      <c r="BZ274" s="97" t="n"/>
      <c r="CH274" s="2" t="n"/>
      <c r="CI274" s="14" t="n"/>
      <c r="CJ274" s="25" t="n"/>
      <c r="CK274" s="25" t="n"/>
      <c r="CL274" s="25" t="n"/>
      <c r="CM274" s="25" t="n"/>
      <c r="CN274" s="25" t="n"/>
      <c r="CO274" s="25" t="n"/>
      <c r="CP274" s="25" t="n"/>
      <c r="CQ274" s="25" t="n"/>
      <c r="CR274" s="25" t="n"/>
      <c r="CS274" s="25" t="n"/>
      <c r="CT274" s="25" t="n"/>
      <c r="CU274" s="25" t="n"/>
      <c r="CV274" s="25" t="n"/>
      <c r="CW274" s="25" t="n"/>
      <c r="CX274" s="25" t="n"/>
      <c r="CY274" s="25" t="n"/>
      <c r="DC274" s="26" t="n"/>
      <c r="DD274" s="26" t="n"/>
      <c r="DE274" s="26" t="n"/>
      <c r="DF274" s="26" t="n"/>
      <c r="DG274" s="26" t="n"/>
      <c r="DH274" s="27" t="n"/>
      <c r="DJ274" s="211" t="inlineStr">
        <is>
          <t>订单表中未找到</t>
        </is>
      </c>
      <c r="DK274" t="inlineStr">
        <is>
          <t>—</t>
        </is>
      </c>
      <c r="DL274" t="inlineStr">
        <is>
          <t>—</t>
        </is>
      </c>
    </row>
    <row r="275" ht="15.75" customHeight="1" s="187">
      <c r="A275" s="84" t="n">
        <v>45947</v>
      </c>
      <c r="B275" s="206" t="inlineStr">
        <is>
          <t>已收货</t>
        </is>
      </c>
      <c r="C275" s="86" t="inlineStr">
        <is>
          <t>4813964715909180833</t>
        </is>
      </c>
      <c r="D275" s="86" t="inlineStr">
        <is>
          <t>陈工/梁工</t>
        </is>
      </c>
      <c r="E275" s="207" t="n"/>
      <c r="F275" s="207" t="n"/>
      <c r="G275" s="207" t="inlineStr">
        <is>
          <t>榉木长凳</t>
        </is>
      </c>
      <c r="H275" s="207" t="inlineStr">
        <is>
          <t>长凳</t>
        </is>
      </c>
      <c r="I275" s="89" t="n"/>
      <c r="J275" s="87" t="inlineStr">
        <is>
          <t>已结算</t>
        </is>
      </c>
      <c r="K275" s="86" t="inlineStr">
        <is>
          <t>江西</t>
        </is>
      </c>
      <c r="L275" s="207" t="n">
        <v>800</v>
      </c>
      <c r="M275" s="207" t="n">
        <v>800</v>
      </c>
      <c r="N275" s="207" t="n"/>
      <c r="O275" s="207" t="n"/>
      <c r="P275" s="207" t="n"/>
      <c r="Q275" s="207" t="n"/>
      <c r="R275" s="207" t="n"/>
      <c r="S275" s="207" t="n"/>
      <c r="T275" s="207" t="n"/>
      <c r="U275" s="207" t="n"/>
      <c r="V275" s="207" t="n"/>
      <c r="W275" s="207" t="n"/>
      <c r="X275" s="207" t="n"/>
      <c r="Y275" s="207" t="n"/>
      <c r="Z275" s="207" t="n"/>
      <c r="AA275" s="207" t="n"/>
      <c r="AB275" s="207" t="n"/>
      <c r="AC275" s="207" t="n"/>
      <c r="AD275" s="207" t="n"/>
      <c r="AE275" s="207" t="n"/>
      <c r="AF275" s="207" t="n"/>
      <c r="AG275" s="207" t="n"/>
      <c r="AH275" s="207" t="n"/>
      <c r="AI275" s="207" t="n"/>
      <c r="AJ275" s="207" t="n"/>
      <c r="AK275" s="207" t="n"/>
      <c r="AL275" s="207" t="n"/>
      <c r="AM275" s="207" t="n"/>
      <c r="AN275" s="207" t="n"/>
      <c r="AO275" s="207" t="n"/>
      <c r="AP275" s="207" t="n">
        <v>55</v>
      </c>
      <c r="AQ275" s="207" t="n">
        <v>0</v>
      </c>
      <c r="AR275" s="207" t="n">
        <v>0</v>
      </c>
      <c r="AS275" s="207" t="n">
        <v>0</v>
      </c>
      <c r="AT275" s="207" t="n">
        <v>0</v>
      </c>
      <c r="AU275" s="207" t="n">
        <v>0</v>
      </c>
      <c r="AV275" s="207" t="n">
        <v>0</v>
      </c>
      <c r="AW275" s="207" t="n">
        <v>0</v>
      </c>
      <c r="AX275" s="208" t="n">
        <v>1</v>
      </c>
      <c r="AY275" s="209">
        <f>L275*AX275+AP275+AQ275+AR275+AV275+AW275+AS275+AT275+AU275</f>
        <v/>
      </c>
      <c r="AZ275" s="207" t="n">
        <v>1730</v>
      </c>
      <c r="BA275" s="207" t="n">
        <v>0</v>
      </c>
      <c r="BB275" s="207">
        <f>AZ275*0.006</f>
        <v/>
      </c>
      <c r="BC275" s="209">
        <f>AZ275+BA275-BB275</f>
        <v/>
      </c>
      <c r="BD275" s="207" t="n">
        <v>0</v>
      </c>
      <c r="BE275" s="207" t="n">
        <v>0</v>
      </c>
      <c r="BF275" s="209">
        <f>BD275+BE275</f>
        <v/>
      </c>
      <c r="BG275" s="209">
        <f>BC275-AY275+BF275</f>
        <v/>
      </c>
      <c r="BH275" s="86" t="inlineStr">
        <is>
          <t>陈工/梁工13217569308</t>
        </is>
      </c>
      <c r="BI275" s="86" t="inlineStr">
        <is>
          <t>广东省 珠海市 香洲区 湾仔街道华发湾玺壹号小区3棟2904房</t>
        </is>
      </c>
      <c r="BJ275" s="86" t="inlineStr">
        <is>
          <t>18466383878-7432</t>
        </is>
      </c>
      <c r="BK275" s="86" t="n"/>
      <c r="BL275" s="210" t="n"/>
      <c r="BM275" s="93" t="n"/>
      <c r="BN275" s="94" t="n"/>
      <c r="BO275" s="93" t="n"/>
      <c r="BP275" s="86" t="n"/>
      <c r="BQ275" s="96" t="n"/>
      <c r="BR275" s="96" t="n"/>
      <c r="BS275" s="97" t="n"/>
      <c r="BT275" s="96" t="n"/>
      <c r="BU275" s="97" t="n"/>
      <c r="BV275" s="96" t="n"/>
      <c r="BW275" s="97" t="n"/>
      <c r="BX275" s="97" t="n"/>
      <c r="BY275" s="97" t="n"/>
      <c r="BZ275" s="97" t="n"/>
      <c r="CH275" s="2" t="n"/>
      <c r="CI275" s="14" t="n"/>
      <c r="CJ275" s="25" t="n"/>
      <c r="CK275" s="25" t="n"/>
      <c r="CL275" s="25" t="n"/>
      <c r="CM275" s="25" t="n"/>
      <c r="CN275" s="25" t="n"/>
      <c r="CO275" s="25" t="n"/>
      <c r="CP275" s="25" t="n"/>
      <c r="CQ275" s="25" t="n"/>
      <c r="CR275" s="25" t="n"/>
      <c r="CS275" s="25" t="n"/>
      <c r="CT275" s="25" t="n"/>
      <c r="CU275" s="25" t="n"/>
      <c r="CV275" s="25" t="n"/>
      <c r="CW275" s="25" t="n"/>
      <c r="CX275" s="25" t="n"/>
      <c r="CY275" s="25" t="n"/>
      <c r="DC275" s="26" t="n"/>
      <c r="DD275" s="26" t="n"/>
      <c r="DE275" s="26" t="n"/>
      <c r="DF275" s="26" t="n"/>
      <c r="DG275" s="26" t="n"/>
      <c r="DH275" s="27" t="n"/>
      <c r="DJ275" s="211" t="inlineStr">
        <is>
          <t>订单表中未找到</t>
        </is>
      </c>
      <c r="DK275" t="inlineStr">
        <is>
          <t>—</t>
        </is>
      </c>
      <c r="DL275" t="inlineStr">
        <is>
          <t>—</t>
        </is>
      </c>
    </row>
    <row r="276" ht="15.75" customHeight="1" s="187">
      <c r="A276" s="84" t="n">
        <v>45947</v>
      </c>
      <c r="B276" s="206" t="inlineStr">
        <is>
          <t>已收货</t>
        </is>
      </c>
      <c r="C276" s="86" t="inlineStr">
        <is>
          <t>3000336098468337182</t>
        </is>
      </c>
      <c r="D276" s="86" t="inlineStr">
        <is>
          <t>杨秀情</t>
        </is>
      </c>
      <c r="E276" s="207" t="n"/>
      <c r="F276" s="207" t="n"/>
      <c r="G276" s="207" t="inlineStr">
        <is>
          <t>样块</t>
        </is>
      </c>
      <c r="H276" s="207" t="inlineStr">
        <is>
          <t>样块</t>
        </is>
      </c>
      <c r="I276" s="89" t="n"/>
      <c r="J276" s="87" t="inlineStr">
        <is>
          <t>已结算</t>
        </is>
      </c>
      <c r="K276" s="86" t="inlineStr">
        <is>
          <t>杭州</t>
        </is>
      </c>
      <c r="L276" s="207">
        <f>SUM(M276:AO276)</f>
        <v/>
      </c>
      <c r="M276" s="207" t="n">
        <v>5</v>
      </c>
      <c r="N276" s="207" t="n"/>
      <c r="O276" s="207" t="n"/>
      <c r="P276" s="207" t="n"/>
      <c r="Q276" s="207" t="n"/>
      <c r="R276" s="207" t="n"/>
      <c r="S276" s="207" t="n"/>
      <c r="T276" s="207" t="n"/>
      <c r="U276" s="207" t="n"/>
      <c r="V276" s="207" t="n"/>
      <c r="W276" s="207" t="n"/>
      <c r="X276" s="207" t="n"/>
      <c r="Y276" s="207" t="n"/>
      <c r="Z276" s="207" t="n"/>
      <c r="AA276" s="207" t="n"/>
      <c r="AB276" s="207" t="n"/>
      <c r="AC276" s="207" t="n"/>
      <c r="AD276" s="207" t="n"/>
      <c r="AE276" s="207" t="n"/>
      <c r="AF276" s="207" t="n"/>
      <c r="AG276" s="207" t="n"/>
      <c r="AH276" s="207" t="n"/>
      <c r="AI276" s="207" t="n"/>
      <c r="AJ276" s="207" t="n"/>
      <c r="AK276" s="207" t="n"/>
      <c r="AL276" s="207" t="n"/>
      <c r="AM276" s="207" t="n">
        <v>2</v>
      </c>
      <c r="AN276" s="207" t="n"/>
      <c r="AO276" s="207" t="n"/>
      <c r="AP276" s="207" t="n">
        <v>5</v>
      </c>
      <c r="AQ276" s="207" t="n">
        <v>0</v>
      </c>
      <c r="AR276" s="207" t="n">
        <v>0</v>
      </c>
      <c r="AS276" s="207" t="n">
        <v>0</v>
      </c>
      <c r="AT276" s="207" t="n">
        <v>0</v>
      </c>
      <c r="AU276" s="207" t="n">
        <v>0</v>
      </c>
      <c r="AV276" s="207" t="n">
        <v>0</v>
      </c>
      <c r="AW276" s="207" t="n">
        <v>0</v>
      </c>
      <c r="AX276" s="208" t="n">
        <v>1</v>
      </c>
      <c r="AY276" s="209">
        <f>L276*AX276+AP276+AQ276+AR276+AV276+AW276+AS276+AT276+AU276</f>
        <v/>
      </c>
      <c r="AZ276" s="207" t="n">
        <v>25</v>
      </c>
      <c r="BA276" s="207" t="n">
        <v>0</v>
      </c>
      <c r="BB276" s="207">
        <f>AZ276*0.006</f>
        <v/>
      </c>
      <c r="BC276" s="209">
        <f>AZ276+BA276-BB276</f>
        <v/>
      </c>
      <c r="BD276" s="207" t="n">
        <v>0</v>
      </c>
      <c r="BE276" s="207" t="n">
        <v>0</v>
      </c>
      <c r="BF276" s="209">
        <f>BD276+BE276</f>
        <v/>
      </c>
      <c r="BG276" s="209">
        <f>BC276-AY276+BF276</f>
        <v/>
      </c>
      <c r="BH276" s="86" t="inlineStr">
        <is>
          <t>杨秀情</t>
        </is>
      </c>
      <c r="BI276" s="86" t="inlineStr">
        <is>
          <t>四川省 成都市 青羊区 汪家拐街道锦里西路锦江时代花园南楼1402</t>
        </is>
      </c>
      <c r="BJ276" s="86" t="inlineStr">
        <is>
          <t>13198536474-3850</t>
        </is>
      </c>
      <c r="BK276" s="86" t="n"/>
      <c r="BL276" s="210" t="n"/>
      <c r="BM276" s="93" t="n"/>
      <c r="BN276" s="94" t="n"/>
      <c r="BO276" s="93" t="n"/>
      <c r="BP276" s="86" t="n"/>
      <c r="BQ276" s="96" t="n"/>
      <c r="BR276" s="96" t="n"/>
      <c r="BS276" s="97" t="n"/>
      <c r="BT276" s="96" t="n"/>
      <c r="BU276" s="97" t="n"/>
      <c r="BV276" s="96" t="n"/>
      <c r="BW276" s="97" t="n"/>
      <c r="BX276" s="97" t="n"/>
      <c r="BY276" s="97" t="n"/>
      <c r="BZ276" s="97" t="n"/>
      <c r="CH276" s="2" t="n"/>
      <c r="CI276" s="14" t="n"/>
      <c r="CJ276" s="25" t="n"/>
      <c r="CK276" s="25" t="n"/>
      <c r="CL276" s="25" t="n"/>
      <c r="CM276" s="25" t="n"/>
      <c r="CN276" s="25" t="n"/>
      <c r="CO276" s="25" t="n"/>
      <c r="CP276" s="25" t="n"/>
      <c r="CQ276" s="25" t="n"/>
      <c r="CR276" s="25" t="n"/>
      <c r="CS276" s="25" t="n"/>
      <c r="CT276" s="25" t="n"/>
      <c r="CU276" s="25" t="n"/>
      <c r="CV276" s="25" t="n"/>
      <c r="CW276" s="25" t="n"/>
      <c r="CX276" s="25" t="n"/>
      <c r="CY276" s="25" t="n"/>
      <c r="DC276" s="26" t="n"/>
      <c r="DD276" s="26" t="n"/>
      <c r="DE276" s="26" t="n"/>
      <c r="DF276" s="26" t="n"/>
      <c r="DG276" s="26" t="n"/>
      <c r="DH276" s="27" t="n"/>
      <c r="DJ276" s="211" t="inlineStr">
        <is>
          <t>订单表中未找到</t>
        </is>
      </c>
      <c r="DK276" t="inlineStr">
        <is>
          <t>—</t>
        </is>
      </c>
      <c r="DL276" t="inlineStr">
        <is>
          <t>—</t>
        </is>
      </c>
    </row>
    <row r="277" ht="15.75" customHeight="1" s="187">
      <c r="A277" s="84" t="n">
        <v>45949</v>
      </c>
      <c r="B277" s="206" t="inlineStr">
        <is>
          <t>已收货</t>
        </is>
      </c>
      <c r="C277" s="86" t="inlineStr">
        <is>
          <t>3005208590940284195</t>
        </is>
      </c>
      <c r="D277" s="86" t="inlineStr">
        <is>
          <t>梁峰</t>
        </is>
      </c>
      <c r="E277" s="207" t="n"/>
      <c r="F277" s="207" t="n"/>
      <c r="G277" s="207" t="inlineStr">
        <is>
          <t>定制全榉木1.6下柜</t>
        </is>
      </c>
      <c r="H277" s="207" t="inlineStr">
        <is>
          <t>榉木餐边柜</t>
        </is>
      </c>
      <c r="I277" s="89" t="n"/>
      <c r="J277" s="87" t="inlineStr">
        <is>
          <t>已结算</t>
        </is>
      </c>
      <c r="K277" s="86" t="inlineStr">
        <is>
          <t>江西</t>
        </is>
      </c>
      <c r="L277" s="207">
        <f>4180+38+22*9+260+5</f>
        <v/>
      </c>
      <c r="M277" s="207">
        <f>4180</f>
        <v/>
      </c>
      <c r="N277" s="207" t="n">
        <v>38</v>
      </c>
      <c r="O277" s="207" t="inlineStr">
        <is>
          <t>22*9</t>
        </is>
      </c>
      <c r="P277" s="207" t="n">
        <v>260</v>
      </c>
      <c r="Q277" s="207" t="n"/>
      <c r="R277" s="207" t="n">
        <v>5</v>
      </c>
      <c r="S277" s="207" t="n"/>
      <c r="T277" s="207" t="n"/>
      <c r="U277" s="207" t="n"/>
      <c r="V277" s="207" t="n"/>
      <c r="W277" s="207" t="n"/>
      <c r="X277" s="207" t="n"/>
      <c r="Y277" s="207" t="n"/>
      <c r="Z277" s="207" t="n"/>
      <c r="AA277" s="207" t="n"/>
      <c r="AB277" s="207" t="n"/>
      <c r="AC277" s="207" t="n"/>
      <c r="AD277" s="207" t="n"/>
      <c r="AE277" s="207" t="n"/>
      <c r="AF277" s="207" t="n"/>
      <c r="AG277" s="207" t="n"/>
      <c r="AH277" s="207" t="n"/>
      <c r="AI277" s="207" t="n"/>
      <c r="AJ277" s="207" t="n"/>
      <c r="AK277" s="207" t="n"/>
      <c r="AL277" s="207" t="n"/>
      <c r="AM277" s="207" t="n">
        <v>260</v>
      </c>
      <c r="AN277" s="207" t="n"/>
      <c r="AO277" s="207" t="n"/>
      <c r="AP277" s="207">
        <f>387-AQ277</f>
        <v/>
      </c>
      <c r="AQ277" s="207" t="n">
        <v>65</v>
      </c>
      <c r="AR277" s="207" t="n">
        <v>0</v>
      </c>
      <c r="AS277" s="207" t="n">
        <v>0</v>
      </c>
      <c r="AT277" s="207" t="n">
        <v>0</v>
      </c>
      <c r="AU277" s="207" t="n">
        <v>0</v>
      </c>
      <c r="AV277" s="207" t="n">
        <v>0</v>
      </c>
      <c r="AW277" s="207" t="n">
        <v>0</v>
      </c>
      <c r="AX277" s="208" t="n">
        <v>1</v>
      </c>
      <c r="AY277" s="209">
        <f>L277*AX277+AP277+AQ277+AR277+AV277+AW277+AS277+AT277+AU277</f>
        <v/>
      </c>
      <c r="AZ277" s="207" t="n">
        <v>5300</v>
      </c>
      <c r="BA277" s="207" t="n">
        <v>0</v>
      </c>
      <c r="BB277" s="207">
        <f>AZ277*0.006</f>
        <v/>
      </c>
      <c r="BC277" s="209">
        <f>AZ277+BA277-BB277</f>
        <v/>
      </c>
      <c r="BD277" s="207" t="n">
        <v>0</v>
      </c>
      <c r="BE277" s="207" t="n">
        <v>0</v>
      </c>
      <c r="BF277" s="209">
        <f>BD277+BE277</f>
        <v/>
      </c>
      <c r="BG277" s="209">
        <f>BC277-AY277+BF277</f>
        <v/>
      </c>
      <c r="BH277" s="207" t="inlineStr">
        <is>
          <t>梁峰</t>
        </is>
      </c>
      <c r="BI277" s="207" t="inlineStr">
        <is>
          <t>广西壮族自治区 柳州市 城中区 静兰街道桂柳路30号碧园大城小院16栋</t>
        </is>
      </c>
      <c r="BJ277" s="207" t="inlineStr">
        <is>
          <t>13078091453-2888</t>
        </is>
      </c>
      <c r="BK277" s="87" t="n"/>
      <c r="BL277" s="210" t="n"/>
      <c r="BM277" s="93" t="n"/>
      <c r="BN277" s="94" t="n"/>
      <c r="BO277" s="93" t="n"/>
      <c r="BP277" s="86" t="n"/>
      <c r="BQ277" s="96" t="n"/>
      <c r="BR277" s="96" t="n"/>
      <c r="BS277" s="97" t="n"/>
      <c r="BT277" s="96" t="n"/>
      <c r="BU277" s="97" t="n"/>
      <c r="BV277" s="96" t="n"/>
      <c r="BW277" s="97" t="n"/>
      <c r="BX277" s="97" t="n"/>
      <c r="BY277" s="97" t="n"/>
      <c r="BZ277" s="97" t="n"/>
      <c r="CA277" s="98" t="n"/>
      <c r="CH277" s="2" t="n"/>
      <c r="CI277" s="14">
        <f>CJ277&amp;CK277</f>
        <v/>
      </c>
      <c r="CJ277" s="25" t="n"/>
      <c r="CK277" s="25" t="n"/>
      <c r="CL277" s="25" t="n"/>
      <c r="CM277" s="25" t="n"/>
      <c r="CN277" s="25" t="n"/>
      <c r="CO277" s="25" t="n"/>
      <c r="CP277" s="25" t="n"/>
      <c r="CQ277" s="25" t="n"/>
      <c r="CR277" s="25" t="n"/>
      <c r="CS277" s="25" t="n"/>
      <c r="CT277" s="25" t="n"/>
      <c r="CU277" s="25" t="n"/>
      <c r="CV277" s="25" t="n"/>
      <c r="CW277" s="25" t="n"/>
      <c r="CX277" s="25" t="n"/>
      <c r="CY277" s="25" t="n"/>
      <c r="CZ277" s="25" t="n"/>
      <c r="DC277" s="26" t="n"/>
      <c r="DD277" s="26" t="n"/>
      <c r="DE277" s="26" t="n"/>
      <c r="DF277" s="26" t="n"/>
      <c r="DG277" s="26" t="n"/>
      <c r="DH277" s="27" t="n"/>
      <c r="DJ277" s="211" t="inlineStr">
        <is>
          <t>订单表中未找到</t>
        </is>
      </c>
      <c r="DK277" t="inlineStr">
        <is>
          <t>—</t>
        </is>
      </c>
      <c r="DL277" t="inlineStr">
        <is>
          <t>—</t>
        </is>
      </c>
    </row>
    <row r="278" ht="15.75" customHeight="1" s="187">
      <c r="A278" s="84" t="n">
        <v>45950</v>
      </c>
      <c r="B278" s="206" t="inlineStr">
        <is>
          <t>已收货</t>
        </is>
      </c>
      <c r="C278" s="86" t="inlineStr">
        <is>
          <t>3006890258636258786</t>
        </is>
      </c>
      <c r="D278" s="86" t="inlineStr">
        <is>
          <t>陈浩南</t>
        </is>
      </c>
      <c r="E278" s="207" t="n"/>
      <c r="F278" s="207" t="n"/>
      <c r="G278" s="87" t="inlineStr">
        <is>
          <t>砂白色2.4米岩板餐桌，定制</t>
        </is>
      </c>
      <c r="H278" s="207" t="inlineStr">
        <is>
          <t>榉木餐桌</t>
        </is>
      </c>
      <c r="I278" s="89" t="inlineStr">
        <is>
          <t>240cm*80cm</t>
        </is>
      </c>
      <c r="J278" s="87" t="inlineStr">
        <is>
          <t>已结算</t>
        </is>
      </c>
      <c r="K278" s="86" t="inlineStr">
        <is>
          <t>江西</t>
        </is>
      </c>
      <c r="L278" s="207">
        <f>SUM(M278:AO278)</f>
        <v/>
      </c>
      <c r="M278" s="207">
        <f>1650</f>
        <v/>
      </c>
      <c r="N278" s="207" t="n"/>
      <c r="O278" s="207" t="n"/>
      <c r="P278" s="207" t="n"/>
      <c r="Q278" s="207" t="n"/>
      <c r="R278" s="207" t="n">
        <v>626</v>
      </c>
      <c r="S278" s="207" t="n"/>
      <c r="T278" s="207" t="n"/>
      <c r="U278" s="207" t="n"/>
      <c r="V278" s="207" t="n"/>
      <c r="W278" s="207" t="n"/>
      <c r="X278" s="207" t="n"/>
      <c r="Y278" s="207" t="n"/>
      <c r="Z278" s="207" t="n"/>
      <c r="AA278" s="207" t="n"/>
      <c r="AB278" s="207" t="n"/>
      <c r="AC278" s="207" t="n"/>
      <c r="AD278" s="207" t="n">
        <v>2.5</v>
      </c>
      <c r="AE278" s="207" t="n"/>
      <c r="AF278" s="207" t="n"/>
      <c r="AG278" s="207" t="n"/>
      <c r="AH278" s="207" t="n"/>
      <c r="AI278" s="207" t="n"/>
      <c r="AJ278" s="207" t="n"/>
      <c r="AK278" s="207" t="n"/>
      <c r="AL278" s="207" t="n"/>
      <c r="AM278" s="207" t="n">
        <v>150</v>
      </c>
      <c r="AN278" s="207" t="n"/>
      <c r="AO278" s="207" t="n"/>
      <c r="AP278" s="207">
        <f>425-AQ278</f>
        <v/>
      </c>
      <c r="AQ278" s="207" t="n">
        <v>68</v>
      </c>
      <c r="AR278" s="207" t="n">
        <v>78</v>
      </c>
      <c r="AS278" s="207" t="n">
        <v>0</v>
      </c>
      <c r="AT278" s="207" t="n">
        <v>0</v>
      </c>
      <c r="AU278" s="207" t="n">
        <v>0</v>
      </c>
      <c r="AV278" s="207" t="n">
        <v>0</v>
      </c>
      <c r="AW278" s="207" t="n">
        <v>0</v>
      </c>
      <c r="AX278" s="208" t="n">
        <v>1</v>
      </c>
      <c r="AY278" s="209">
        <f>L278*AX278+AP278+AQ278+AR278+AV278+AW278+AS278+AT278+AU278</f>
        <v/>
      </c>
      <c r="AZ278" s="207" t="n">
        <v>3245</v>
      </c>
      <c r="BA278" s="207" t="n">
        <v>0</v>
      </c>
      <c r="BB278" s="207">
        <f>AZ278*0.006</f>
        <v/>
      </c>
      <c r="BC278" s="209">
        <f>AZ278+BA278-BB278</f>
        <v/>
      </c>
      <c r="BD278" s="207" t="n">
        <v>0</v>
      </c>
      <c r="BE278" s="207" t="n">
        <v>0</v>
      </c>
      <c r="BF278" s="209">
        <f>BD278+BE278</f>
        <v/>
      </c>
      <c r="BG278" s="209">
        <f>BC278-AY278+BF278</f>
        <v/>
      </c>
      <c r="BH278" s="207" t="inlineStr">
        <is>
          <t>陈浩南</t>
        </is>
      </c>
      <c r="BI278" s="207" t="inlineStr">
        <is>
          <t>广西壮族自治区 南宁市 青秀区 津头街道保利领秀前城秀程府7栋2901号</t>
        </is>
      </c>
      <c r="BJ278" s="207" t="inlineStr">
        <is>
          <t>17677993417-2441</t>
        </is>
      </c>
      <c r="BK278" s="87" t="n"/>
      <c r="BL278" s="210" t="n"/>
      <c r="BM278" s="93" t="n"/>
      <c r="BN278" s="94" t="n"/>
      <c r="BO278" s="93" t="n"/>
      <c r="BP278" s="86" t="n"/>
      <c r="BQ278" s="96" t="n"/>
      <c r="BR278" s="96" t="n"/>
      <c r="BS278" s="97" t="n"/>
      <c r="BT278" s="96" t="n"/>
      <c r="BU278" s="97" t="n"/>
      <c r="BV278" s="96" t="n"/>
      <c r="BW278" s="97" t="n"/>
      <c r="BX278" s="97" t="n"/>
      <c r="BY278" s="97" t="n"/>
      <c r="BZ278" s="97" t="n"/>
      <c r="CA278" s="98" t="n"/>
      <c r="CH278" s="2" t="n"/>
      <c r="CI278" s="14">
        <f>CJ278&amp;CK278</f>
        <v/>
      </c>
      <c r="CJ278" s="25" t="n"/>
      <c r="CK278" s="25" t="n"/>
      <c r="CL278" s="25" t="n"/>
      <c r="CM278" s="25" t="n"/>
      <c r="CN278" s="25" t="n"/>
      <c r="CO278" s="25" t="n"/>
      <c r="CP278" s="25" t="n"/>
      <c r="CQ278" s="25" t="n"/>
      <c r="CR278" s="25" t="n"/>
      <c r="CS278" s="25" t="n"/>
      <c r="CT278" s="25" t="n"/>
      <c r="CU278" s="25" t="n"/>
      <c r="CV278" s="25" t="n"/>
      <c r="CW278" s="25" t="n"/>
      <c r="CX278" s="25" t="n"/>
      <c r="CY278" s="25" t="n"/>
      <c r="CZ278" s="25" t="n"/>
      <c r="DC278" s="26" t="n"/>
      <c r="DD278" s="26" t="n"/>
      <c r="DE278" s="26" t="n"/>
      <c r="DF278" s="26" t="n"/>
      <c r="DG278" s="26" t="n"/>
      <c r="DH278" s="27" t="n"/>
      <c r="DJ278" s="211" t="inlineStr">
        <is>
          <t>订单表中未找到</t>
        </is>
      </c>
      <c r="DK278" t="inlineStr">
        <is>
          <t>—</t>
        </is>
      </c>
      <c r="DL278" t="inlineStr">
        <is>
          <t>—</t>
        </is>
      </c>
    </row>
    <row r="279" ht="15.75" customHeight="1" s="187">
      <c r="A279" s="84" t="n">
        <v>45950</v>
      </c>
      <c r="B279" s="206" t="inlineStr">
        <is>
          <t>已收货</t>
        </is>
      </c>
      <c r="C279" s="86" t="inlineStr">
        <is>
          <t>3007071554811672280</t>
        </is>
      </c>
      <c r="D279" s="207" t="inlineStr">
        <is>
          <t>彭博</t>
        </is>
      </c>
      <c r="E279" s="207" t="n"/>
      <c r="F279" s="207" t="n"/>
      <c r="G279" s="207" t="inlineStr">
        <is>
          <t>砂白色1.6米岩板餐桌</t>
        </is>
      </c>
      <c r="H279" s="207" t="inlineStr">
        <is>
          <t>榉木餐桌</t>
        </is>
      </c>
      <c r="I279" s="89" t="inlineStr">
        <is>
          <t>160cm*85cm</t>
        </is>
      </c>
      <c r="J279" s="87" t="inlineStr">
        <is>
          <t>已结算</t>
        </is>
      </c>
      <c r="K279" s="86" t="inlineStr">
        <is>
          <t>庄毅</t>
        </is>
      </c>
      <c r="L279" s="207">
        <f>SUM(M279:AO279)</f>
        <v/>
      </c>
      <c r="M279" s="207">
        <f>1530</f>
        <v/>
      </c>
      <c r="N279" s="207" t="n"/>
      <c r="O279" s="207" t="n"/>
      <c r="P279" s="207" t="n"/>
      <c r="Q279" s="207" t="n"/>
      <c r="R279" s="207">
        <f>180*1.6*0.85</f>
        <v/>
      </c>
      <c r="S279" s="207" t="n"/>
      <c r="T279" s="207" t="n"/>
      <c r="U279" s="207" t="n"/>
      <c r="V279" s="207" t="n"/>
      <c r="W279" s="207" t="n"/>
      <c r="X279" s="207" t="n"/>
      <c r="Y279" s="207" t="n"/>
      <c r="Z279" s="207" t="n"/>
      <c r="AA279" s="207" t="n"/>
      <c r="AB279" s="207" t="n"/>
      <c r="AC279" s="207" t="n"/>
      <c r="AD279" s="207" t="n">
        <v>2.5</v>
      </c>
      <c r="AE279" s="207" t="n"/>
      <c r="AF279" s="207" t="n"/>
      <c r="AG279" s="207" t="n"/>
      <c r="AH279" s="207" t="n"/>
      <c r="AI279" s="207" t="n"/>
      <c r="AJ279" s="207" t="n"/>
      <c r="AK279" s="207" t="n"/>
      <c r="AL279" s="207" t="n"/>
      <c r="AM279" s="207" t="n"/>
      <c r="AN279" s="207" t="n"/>
      <c r="AO279" s="207" t="n"/>
      <c r="AP279" s="207" t="n">
        <v>342</v>
      </c>
      <c r="AQ279" s="207" t="n">
        <v>0</v>
      </c>
      <c r="AR279" s="207" t="n">
        <v>60</v>
      </c>
      <c r="AS279" s="207" t="n">
        <v>0</v>
      </c>
      <c r="AT279" s="207" t="n">
        <v>0</v>
      </c>
      <c r="AU279" s="207" t="n">
        <v>0</v>
      </c>
      <c r="AV279" s="207" t="n">
        <v>0</v>
      </c>
      <c r="AW279" s="207" t="n">
        <v>0</v>
      </c>
      <c r="AX279" s="208" t="n">
        <v>1</v>
      </c>
      <c r="AY279" s="209">
        <f>L279*AX279+AP279+AQ279+AR279+AV279+AW279+AS279+AT279+AU279</f>
        <v/>
      </c>
      <c r="AZ279" s="207" t="n">
        <v>2753.41</v>
      </c>
      <c r="BA279" s="207" t="n">
        <v>0</v>
      </c>
      <c r="BB279" s="207">
        <f>AZ279*0.006</f>
        <v/>
      </c>
      <c r="BC279" s="209">
        <f>AZ279+BA279-BB279</f>
        <v/>
      </c>
      <c r="BD279" s="207" t="n">
        <v>0</v>
      </c>
      <c r="BE279" s="207" t="n">
        <v>0</v>
      </c>
      <c r="BF279" s="209">
        <f>BD279+BE279</f>
        <v/>
      </c>
      <c r="BG279" s="209">
        <f>BC279-AY279+BF279</f>
        <v/>
      </c>
      <c r="BH279" s="207" t="inlineStr">
        <is>
          <t>彭博</t>
        </is>
      </c>
      <c r="BI279" s="207" t="inlineStr">
        <is>
          <t>黑龙江省 齐齐哈尔市 建华区 北华街道中央公园G10幢G10-1804</t>
        </is>
      </c>
      <c r="BJ279" s="207" t="inlineStr">
        <is>
          <t>15561801741-9353</t>
        </is>
      </c>
      <c r="BK279" s="87" t="inlineStr">
        <is>
          <t>JDVG04535575270，2件</t>
        </is>
      </c>
      <c r="BL279" s="210" t="n"/>
      <c r="BM279" s="93" t="n"/>
      <c r="BN279" s="94" t="n"/>
      <c r="BO279" s="93" t="n"/>
      <c r="BP279" s="86" t="n"/>
      <c r="BQ279" s="96" t="n"/>
      <c r="BR279" s="96" t="n"/>
      <c r="BS279" s="97" t="n"/>
      <c r="BT279" s="96" t="n"/>
      <c r="BU279" s="97" t="n"/>
      <c r="BV279" s="96" t="n"/>
      <c r="BW279" s="97" t="n"/>
      <c r="BX279" s="97" t="n"/>
      <c r="BY279" s="97" t="n"/>
      <c r="BZ279" s="97" t="n"/>
      <c r="CA279" s="98" t="n"/>
      <c r="CH279" s="2" t="n"/>
      <c r="CI279" s="14">
        <f>CJ279&amp;CK279</f>
        <v/>
      </c>
      <c r="CJ279" s="25" t="n"/>
      <c r="CK279" s="25" t="n"/>
      <c r="CL279" s="25" t="n"/>
      <c r="CM279" s="25" t="n"/>
      <c r="CN279" s="25" t="n"/>
      <c r="CO279" s="25" t="n"/>
      <c r="CP279" s="25" t="n"/>
      <c r="CQ279" s="25" t="n"/>
      <c r="CR279" s="25" t="n"/>
      <c r="CS279" s="25" t="n"/>
      <c r="CT279" s="25" t="n"/>
      <c r="CU279" s="25" t="n"/>
      <c r="CV279" s="25" t="n"/>
      <c r="CW279" s="25" t="n"/>
      <c r="CX279" s="25" t="n"/>
      <c r="CY279" s="25" t="n"/>
      <c r="CZ279" s="25" t="n"/>
      <c r="DC279" s="26" t="n"/>
      <c r="DD279" s="26" t="n"/>
      <c r="DE279" s="26" t="n"/>
      <c r="DF279" s="26" t="n"/>
      <c r="DG279" s="26" t="n"/>
      <c r="DH279" s="27" t="n"/>
      <c r="DJ279" s="211" t="inlineStr">
        <is>
          <t>订单表中未找到</t>
        </is>
      </c>
      <c r="DK279" t="inlineStr">
        <is>
          <t>—</t>
        </is>
      </c>
      <c r="DL279" t="inlineStr">
        <is>
          <t>—</t>
        </is>
      </c>
    </row>
    <row r="280" ht="15.75" customHeight="1" s="187">
      <c r="A280" s="84" t="n">
        <v>45950</v>
      </c>
      <c r="B280" s="206" t="inlineStr">
        <is>
          <t>已收货</t>
        </is>
      </c>
      <c r="C280" s="86" t="inlineStr">
        <is>
          <t>3007103666293230079</t>
        </is>
      </c>
      <c r="D280" s="207" t="inlineStr">
        <is>
          <t>陈深丰</t>
        </is>
      </c>
      <c r="E280" s="207" t="n"/>
      <c r="F280" s="207" t="n"/>
      <c r="G280" s="207" t="inlineStr">
        <is>
          <t>洞石餐边柜-洞石整柜2.1米（多抽组合）（分类抽屉+玻璃移门+开门）</t>
        </is>
      </c>
      <c r="H280" s="207" t="inlineStr">
        <is>
          <t>洞石餐边柜</t>
        </is>
      </c>
      <c r="I280" s="89" t="n">
        <v>2100</v>
      </c>
      <c r="J280" s="87" t="inlineStr">
        <is>
          <t>已结算</t>
        </is>
      </c>
      <c r="K280" s="86" t="inlineStr">
        <is>
          <t>庄毅</t>
        </is>
      </c>
      <c r="L280" s="207">
        <f>6000+45*2+2040/6/1.5+76+2.1*0.58*160+(2.1+0.5*2)*60+10+20+501.08+10+40+14+657.08</f>
        <v/>
      </c>
      <c r="M280" s="207">
        <f>6000</f>
        <v/>
      </c>
      <c r="N280" s="207" t="n">
        <v>501.08</v>
      </c>
      <c r="O280" s="207">
        <f>2040/6/1.5</f>
        <v/>
      </c>
      <c r="P280" s="207" t="n">
        <v>76</v>
      </c>
      <c r="Q280" s="207">
        <f>45*2</f>
        <v/>
      </c>
      <c r="R280" s="207">
        <f>2.1*0.58*160+(2.1+0.5*2)*60+30</f>
        <v/>
      </c>
      <c r="S280" s="207" t="n"/>
      <c r="T280" s="207" t="n"/>
      <c r="U280" s="207" t="n"/>
      <c r="V280" s="207" t="n"/>
      <c r="W280" s="207" t="n">
        <v>10</v>
      </c>
      <c r="X280" s="207" t="n">
        <v>20</v>
      </c>
      <c r="Y280" s="207" t="n"/>
      <c r="Z280" s="207">
        <f>3.5+14</f>
        <v/>
      </c>
      <c r="AA280" s="207" t="n"/>
      <c r="AB280" s="207" t="n"/>
      <c r="AC280" s="207" t="n"/>
      <c r="AD280" s="207" t="n">
        <v>40</v>
      </c>
      <c r="AE280" s="207" t="n">
        <v>10</v>
      </c>
      <c r="AF280" s="207" t="n">
        <v>14</v>
      </c>
      <c r="AG280" s="207" t="n"/>
      <c r="AH280" s="207" t="n"/>
      <c r="AI280" s="207" t="n"/>
      <c r="AJ280" s="207" t="n">
        <v>657.08</v>
      </c>
      <c r="AK280" s="207" t="n"/>
      <c r="AL280" s="207" t="n"/>
      <c r="AM280" s="207" t="n"/>
      <c r="AN280" s="207" t="n"/>
      <c r="AO280" s="207" t="n"/>
      <c r="AP280" s="207" t="n">
        <v>749</v>
      </c>
      <c r="AQ280" s="207" t="n">
        <v>0</v>
      </c>
      <c r="AR280" s="207" t="n">
        <v>150</v>
      </c>
      <c r="AS280" s="207" t="n">
        <v>0</v>
      </c>
      <c r="AT280" s="207" t="n">
        <v>196</v>
      </c>
      <c r="AU280" s="207" t="n">
        <v>0</v>
      </c>
      <c r="AV280" s="207" t="n">
        <v>0</v>
      </c>
      <c r="AW280" s="207" t="n">
        <v>0</v>
      </c>
      <c r="AX280" s="208" t="n">
        <v>1</v>
      </c>
      <c r="AY280" s="209">
        <f>L280*AX280+AP280+AQ280+AR280+AV280+AW280+AS280+AT280+AU280</f>
        <v/>
      </c>
      <c r="AZ280" s="207" t="n">
        <v>11029.88</v>
      </c>
      <c r="BA280" s="207" t="n">
        <v>0</v>
      </c>
      <c r="BB280" s="207">
        <f>AZ280*0.006</f>
        <v/>
      </c>
      <c r="BC280" s="209">
        <f>AZ280+BA280-BB280</f>
        <v/>
      </c>
      <c r="BD280" s="207" t="n">
        <v>0</v>
      </c>
      <c r="BE280" s="207" t="n">
        <v>0</v>
      </c>
      <c r="BF280" s="209">
        <f>BD280+BE280</f>
        <v/>
      </c>
      <c r="BG280" s="209">
        <f>BC280-AY280+BF280</f>
        <v/>
      </c>
      <c r="BH280" s="207" t="inlineStr">
        <is>
          <t>陈深丰</t>
        </is>
      </c>
      <c r="BI280" s="207" t="inlineStr">
        <is>
          <t xml:space="preserve">江苏省 南通市 海安市 城东镇 7星首府 5幢2单元1101 </t>
        </is>
      </c>
      <c r="BJ280" s="207" t="inlineStr">
        <is>
          <t>18662904145-1255</t>
        </is>
      </c>
      <c r="BK280" s="87" t="inlineStr">
        <is>
          <t>JDVG04625778893</t>
        </is>
      </c>
      <c r="BL280" s="210" t="n"/>
      <c r="BM280" s="93" t="n"/>
      <c r="BN280" s="94" t="n"/>
      <c r="BO280" s="93" t="n"/>
      <c r="BP280" s="86" t="n"/>
      <c r="BQ280" s="96" t="n"/>
      <c r="BR280" s="96" t="n"/>
      <c r="BS280" s="97" t="n"/>
      <c r="BT280" s="96" t="n"/>
      <c r="BU280" s="97" t="n"/>
      <c r="BV280" s="96" t="n"/>
      <c r="BW280" s="97" t="n"/>
      <c r="BX280" s="97" t="n"/>
      <c r="BY280" s="97" t="n"/>
      <c r="BZ280" s="97" t="n"/>
      <c r="CA280" s="98" t="n"/>
      <c r="CH280" s="2" t="n"/>
      <c r="CI280" s="14">
        <f>CJ280&amp;CK280</f>
        <v/>
      </c>
      <c r="CJ280" s="25" t="n"/>
      <c r="CK280" s="25" t="n"/>
      <c r="CL280" s="25" t="n"/>
      <c r="CM280" s="25" t="n"/>
      <c r="CN280" s="25" t="n"/>
      <c r="CO280" s="25" t="n"/>
      <c r="CP280" s="25" t="n"/>
      <c r="CQ280" s="25" t="n"/>
      <c r="CR280" s="25" t="n"/>
      <c r="CS280" s="25" t="n"/>
      <c r="CT280" s="25" t="n"/>
      <c r="CU280" s="25" t="n"/>
      <c r="CV280" s="25" t="n"/>
      <c r="CW280" s="25" t="n"/>
      <c r="CX280" s="25" t="n"/>
      <c r="CY280" s="25" t="n"/>
      <c r="CZ280" s="25" t="n"/>
      <c r="DC280" s="26" t="n"/>
      <c r="DD280" s="26" t="n"/>
      <c r="DE280" s="26" t="n"/>
      <c r="DF280" s="26" t="n"/>
      <c r="DG280" s="26" t="n"/>
      <c r="DH280" s="27" t="n"/>
      <c r="DJ280" s="211" t="inlineStr">
        <is>
          <t>订单表中未找到</t>
        </is>
      </c>
      <c r="DK280" t="inlineStr">
        <is>
          <t>—</t>
        </is>
      </c>
      <c r="DL280" t="inlineStr">
        <is>
          <t>—</t>
        </is>
      </c>
    </row>
    <row r="281" ht="15.75" customHeight="1" s="187">
      <c r="A281" s="84" t="n">
        <v>45950</v>
      </c>
      <c r="B281" s="206" t="inlineStr">
        <is>
          <t>已收货</t>
        </is>
      </c>
      <c r="C281" s="86" t="inlineStr">
        <is>
          <t>3007104314255873493</t>
        </is>
      </c>
      <c r="D281" s="86" t="inlineStr">
        <is>
          <t>台集运(4225927)</t>
        </is>
      </c>
      <c r="E281" s="207" t="n"/>
      <c r="F281" s="207" t="n"/>
      <c r="G281" s="207" t="inlineStr">
        <is>
          <t>砂白色1.6米岩板餐桌</t>
        </is>
      </c>
      <c r="H281" s="207" t="inlineStr">
        <is>
          <t>榉木餐桌</t>
        </is>
      </c>
      <c r="I281" s="89" t="inlineStr">
        <is>
          <t>160cm*85cm</t>
        </is>
      </c>
      <c r="J281" s="87" t="inlineStr">
        <is>
          <t>已结算</t>
        </is>
      </c>
      <c r="K281" s="86" t="inlineStr">
        <is>
          <t>江西</t>
        </is>
      </c>
      <c r="L281" s="207">
        <f>SUM(M281:AO281)</f>
        <v/>
      </c>
      <c r="M281" s="207">
        <f>1350</f>
        <v/>
      </c>
      <c r="N281" s="207" t="n"/>
      <c r="O281" s="207" t="n"/>
      <c r="P281" s="207" t="n"/>
      <c r="Q281" s="207" t="n"/>
      <c r="R281" s="207" t="n">
        <v>240</v>
      </c>
      <c r="S281" s="207" t="n"/>
      <c r="T281" s="207" t="n"/>
      <c r="U281" s="207" t="n"/>
      <c r="V281" s="207" t="n"/>
      <c r="W281" s="207" t="n"/>
      <c r="X281" s="207" t="n"/>
      <c r="Y281" s="207" t="n"/>
      <c r="Z281" s="207" t="n"/>
      <c r="AA281" s="207" t="n"/>
      <c r="AB281" s="207" t="n"/>
      <c r="AC281" s="207" t="n"/>
      <c r="AD281" s="207" t="n">
        <v>2.5</v>
      </c>
      <c r="AE281" s="207" t="n"/>
      <c r="AF281" s="207" t="n"/>
      <c r="AG281" s="207" t="n"/>
      <c r="AH281" s="207" t="n"/>
      <c r="AI281" s="207" t="n"/>
      <c r="AJ281" s="207" t="n"/>
      <c r="AK281" s="207" t="n"/>
      <c r="AL281" s="207" t="n"/>
      <c r="AM281" s="207" t="n">
        <v>180</v>
      </c>
      <c r="AN281" s="207" t="n"/>
      <c r="AO281" s="207" t="n"/>
      <c r="AP281" s="207">
        <f>136-AQ281</f>
        <v/>
      </c>
      <c r="AQ281" s="207" t="n">
        <v>30</v>
      </c>
      <c r="AR281" s="207" t="n">
        <v>0</v>
      </c>
      <c r="AS281" s="207" t="n">
        <v>0</v>
      </c>
      <c r="AT281" s="207" t="n">
        <v>0</v>
      </c>
      <c r="AU281" s="207" t="n">
        <v>0</v>
      </c>
      <c r="AV281" s="207" t="n">
        <v>0</v>
      </c>
      <c r="AW281" s="207" t="n">
        <v>0</v>
      </c>
      <c r="AX281" s="208" t="n">
        <v>1</v>
      </c>
      <c r="AY281" s="209">
        <f>L281*AX281+AP281+AQ281+AR281+AV281+AW281+AS281+AT281+AU281</f>
        <v/>
      </c>
      <c r="AZ281" s="207" t="n">
        <v>2688.41</v>
      </c>
      <c r="BA281" s="207" t="n">
        <v>0</v>
      </c>
      <c r="BB281" s="207">
        <f>AZ281*0.006</f>
        <v/>
      </c>
      <c r="BC281" s="209">
        <f>AZ281+BA281-BB281</f>
        <v/>
      </c>
      <c r="BD281" s="207" t="n">
        <v>0</v>
      </c>
      <c r="BE281" s="207" t="n">
        <v>0</v>
      </c>
      <c r="BF281" s="209">
        <f>BD281+BE281</f>
        <v/>
      </c>
      <c r="BG281" s="209">
        <f>BC281-AY281+BF281</f>
        <v/>
      </c>
      <c r="BH281" s="86" t="inlineStr">
        <is>
          <t>台集运(4225927)</t>
        </is>
      </c>
      <c r="BI281" s="86" t="inlineStr">
        <is>
          <t>福建省 福州市 平潭县 海坛街道澳前西路邮政大厅B区808仓台集运(4225927)</t>
        </is>
      </c>
      <c r="BJ281" s="86" t="n">
        <v>18319011167</v>
      </c>
      <c r="BK281" s="87" t="n"/>
      <c r="BL281" s="210" t="n"/>
      <c r="BM281" s="93" t="n"/>
      <c r="BN281" s="94" t="n"/>
      <c r="BO281" s="93" t="n"/>
      <c r="BP281" s="86" t="n"/>
      <c r="BQ281" s="96" t="n"/>
      <c r="BR281" s="96" t="n"/>
      <c r="BS281" s="97" t="n"/>
      <c r="BT281" s="96" t="n"/>
      <c r="BU281" s="97" t="n"/>
      <c r="BV281" s="96" t="n"/>
      <c r="BW281" s="97" t="n"/>
      <c r="BX281" s="97" t="n"/>
      <c r="BY281" s="97" t="n"/>
      <c r="BZ281" s="97" t="n"/>
      <c r="CA281" s="98" t="n"/>
      <c r="CH281" s="2" t="n"/>
      <c r="CI281" s="14">
        <f>CJ281&amp;CK281</f>
        <v/>
      </c>
      <c r="CJ281" s="25" t="n"/>
      <c r="CK281" s="25" t="n"/>
      <c r="CL281" s="25" t="n"/>
      <c r="CM281" s="25" t="n"/>
      <c r="CN281" s="25" t="n"/>
      <c r="CO281" s="25" t="n"/>
      <c r="CP281" s="25" t="n"/>
      <c r="CQ281" s="25" t="n"/>
      <c r="CR281" s="25" t="n"/>
      <c r="CS281" s="25" t="n"/>
      <c r="CT281" s="25" t="n"/>
      <c r="CU281" s="25" t="n"/>
      <c r="CV281" s="25" t="n"/>
      <c r="CW281" s="25" t="n"/>
      <c r="CX281" s="25" t="n"/>
      <c r="CY281" s="25" t="n"/>
      <c r="CZ281" s="25" t="n"/>
      <c r="DC281" s="26" t="n"/>
      <c r="DD281" s="26" t="n"/>
      <c r="DE281" s="26" t="n"/>
      <c r="DF281" s="26" t="n"/>
      <c r="DG281" s="26" t="n"/>
      <c r="DH281" s="27" t="n"/>
      <c r="DJ281" s="211" t="inlineStr">
        <is>
          <t>订单表中未找到</t>
        </is>
      </c>
      <c r="DK281" t="inlineStr">
        <is>
          <t>—</t>
        </is>
      </c>
      <c r="DL281" t="inlineStr">
        <is>
          <t>—</t>
        </is>
      </c>
    </row>
    <row r="282" ht="15.75" customHeight="1" s="187">
      <c r="A282" s="84" t="n">
        <v>45950</v>
      </c>
      <c r="B282" s="206" t="inlineStr">
        <is>
          <t>已收货</t>
        </is>
      </c>
      <c r="C282" s="86" t="inlineStr">
        <is>
          <t>4822124187441670649</t>
        </is>
      </c>
      <c r="D282" s="207" t="inlineStr">
        <is>
          <t>大魔王</t>
        </is>
      </c>
      <c r="E282" s="207" t="n"/>
      <c r="F282" s="207" t="n"/>
      <c r="G282" s="207" t="inlineStr">
        <is>
          <t>窄柜-整柜洞石背板-0.8米</t>
        </is>
      </c>
      <c r="H282" s="207" t="inlineStr">
        <is>
          <t>樱桃木窄柜</t>
        </is>
      </c>
      <c r="I282" s="89" t="n">
        <v>800</v>
      </c>
      <c r="J282" s="87" t="inlineStr">
        <is>
          <t>已结算</t>
        </is>
      </c>
      <c r="K282" s="86" t="inlineStr">
        <is>
          <t>庄毅</t>
        </is>
      </c>
      <c r="L282" s="207">
        <f>115+1.16+3.37+3100+1.1+1.03+60/2+4+307.08+54.9+3+0.8*0.48*160+30*5+10</f>
        <v/>
      </c>
      <c r="M282" s="207" t="n">
        <v>3100</v>
      </c>
      <c r="N282" s="207">
        <f>0.758*260+2*55</f>
        <v/>
      </c>
      <c r="O282" s="207">
        <f>115</f>
        <v/>
      </c>
      <c r="P282" s="207" t="n"/>
      <c r="Q282" s="207">
        <f>15*2</f>
        <v/>
      </c>
      <c r="R282" s="207">
        <f>0.8*0.48*160+30</f>
        <v/>
      </c>
      <c r="S282" s="207" t="n">
        <v>54.9</v>
      </c>
      <c r="T282" s="207" t="n"/>
      <c r="U282" s="207" t="n"/>
      <c r="V282" s="207" t="n">
        <v>4</v>
      </c>
      <c r="W282" s="207" t="n"/>
      <c r="X282" s="207" t="n"/>
      <c r="Y282" s="207" t="n"/>
      <c r="Z282" s="207" t="n"/>
      <c r="AA282" s="207" t="n"/>
      <c r="AB282" s="207" t="n"/>
      <c r="AC282" s="207" t="n">
        <v>3.5</v>
      </c>
      <c r="AD282" s="207" t="n"/>
      <c r="AE282" s="207" t="n">
        <v>3</v>
      </c>
      <c r="AF282" s="207" t="n"/>
      <c r="AG282" s="207" t="n"/>
      <c r="AH282" s="207" t="n"/>
      <c r="AI282" s="207" t="n"/>
      <c r="AJ282" s="207" t="n">
        <v>1.2</v>
      </c>
      <c r="AK282" s="207" t="n"/>
      <c r="AL282" s="207" t="n"/>
      <c r="AM282" s="207" t="n"/>
      <c r="AN282" s="207" t="n"/>
      <c r="AO282" s="207" t="n"/>
      <c r="AP282" s="207" t="n">
        <v>222</v>
      </c>
      <c r="AQ282" s="207" t="n">
        <v>0</v>
      </c>
      <c r="AR282" s="207" t="n">
        <v>110</v>
      </c>
      <c r="AS282" s="207" t="n">
        <v>0</v>
      </c>
      <c r="AT282" s="207" t="n">
        <v>0</v>
      </c>
      <c r="AU282" s="207" t="n">
        <v>0</v>
      </c>
      <c r="AV282" s="207" t="n">
        <v>0</v>
      </c>
      <c r="AW282" s="207" t="n">
        <v>0</v>
      </c>
      <c r="AX282" s="208" t="n">
        <v>1</v>
      </c>
      <c r="AY282" s="209">
        <f>L282*AX282+AP282+AQ282+AR282+AV282+AW282+AS282+AT282+AU282</f>
        <v/>
      </c>
      <c r="AZ282" s="207" t="n">
        <v>4819.5</v>
      </c>
      <c r="BA282" s="207" t="n">
        <v>0</v>
      </c>
      <c r="BB282" s="207">
        <f>AZ282*0.006</f>
        <v/>
      </c>
      <c r="BC282" s="209">
        <f>AZ282+BA282-BB282</f>
        <v/>
      </c>
      <c r="BD282" s="207" t="n">
        <v>0</v>
      </c>
      <c r="BE282" s="207" t="n">
        <v>0</v>
      </c>
      <c r="BF282" s="209">
        <f>BD282+BE282</f>
        <v/>
      </c>
      <c r="BG282" s="209">
        <f>BC282-AY282+BF282</f>
        <v/>
      </c>
      <c r="BH282" s="207" t="inlineStr">
        <is>
          <t>大魔王</t>
        </is>
      </c>
      <c r="BI282" s="207" t="inlineStr">
        <is>
          <t>江苏省 南京市 雨花台区 赛虹桥街道长虹路凤凰和美2幢二单元606室</t>
        </is>
      </c>
      <c r="BJ282" s="207" t="inlineStr">
        <is>
          <t>15784004692-4161</t>
        </is>
      </c>
      <c r="BK282" s="87" t="n"/>
      <c r="BL282" s="210" t="n"/>
      <c r="BM282" s="93" t="n"/>
      <c r="BN282" s="94" t="n"/>
      <c r="BO282" s="93" t="n"/>
      <c r="BP282" s="86" t="n"/>
      <c r="BQ282" s="96" t="n"/>
      <c r="BR282" s="96" t="n"/>
      <c r="BS282" s="97" t="n"/>
      <c r="BT282" s="96" t="n"/>
      <c r="BU282" s="97" t="n"/>
      <c r="BV282" s="96" t="n"/>
      <c r="BW282" s="97" t="n"/>
      <c r="BX282" s="97" t="n"/>
      <c r="BY282" s="97" t="n"/>
      <c r="BZ282" s="97" t="n"/>
      <c r="CA282" s="98" t="n"/>
      <c r="CH282" s="2" t="n"/>
      <c r="CI282" s="14">
        <f>CJ282&amp;CK282</f>
        <v/>
      </c>
      <c r="CJ282" s="25" t="n"/>
      <c r="CK282" s="25" t="n"/>
      <c r="CL282" s="25" t="n"/>
      <c r="CM282" s="25" t="n"/>
      <c r="CN282" s="25" t="n"/>
      <c r="CO282" s="25" t="n"/>
      <c r="CP282" s="25" t="n"/>
      <c r="CQ282" s="25" t="n"/>
      <c r="CR282" s="25" t="n"/>
      <c r="CS282" s="25" t="n"/>
      <c r="CT282" s="25" t="n"/>
      <c r="CU282" s="25" t="n"/>
      <c r="CV282" s="25" t="n"/>
      <c r="CW282" s="25" t="n"/>
      <c r="CX282" s="25" t="n"/>
      <c r="CY282" s="25" t="n"/>
      <c r="CZ282" s="25" t="n"/>
      <c r="DC282" s="26" t="n"/>
      <c r="DD282" s="26" t="n"/>
      <c r="DE282" s="26" t="n"/>
      <c r="DF282" s="26" t="n"/>
      <c r="DG282" s="26" t="n"/>
      <c r="DH282" s="27" t="n"/>
      <c r="DJ282" s="211" t="inlineStr">
        <is>
          <t>订单表中未找到</t>
        </is>
      </c>
      <c r="DK282" t="inlineStr">
        <is>
          <t>—</t>
        </is>
      </c>
      <c r="DL282" t="inlineStr">
        <is>
          <t>—</t>
        </is>
      </c>
    </row>
    <row r="283" ht="15.75" customHeight="1" s="187">
      <c r="A283" s="99" t="n">
        <v>45950</v>
      </c>
      <c r="B283" s="100" t="inlineStr">
        <is>
          <t>退货退款</t>
        </is>
      </c>
      <c r="C283" s="101" t="inlineStr">
        <is>
          <t>4822397496198976032</t>
        </is>
      </c>
      <c r="D283" s="100" t="inlineStr">
        <is>
          <t>屈冉冉</t>
        </is>
      </c>
      <c r="E283" s="100" t="n"/>
      <c r="F283" s="100" t="n"/>
      <c r="G283" s="100" t="inlineStr">
        <is>
          <t>樱桃木洞石岩板餐桌2025-1.6米</t>
        </is>
      </c>
      <c r="H283" s="219" t="inlineStr">
        <is>
          <t>樱桃木岩板餐桌2025</t>
        </is>
      </c>
      <c r="I283" s="224" t="inlineStr">
        <is>
          <t>160cm*85cm</t>
        </is>
      </c>
      <c r="J283" s="100" t="inlineStr">
        <is>
          <t>已结算</t>
        </is>
      </c>
      <c r="K283" s="100" t="inlineStr">
        <is>
          <t>庄毅</t>
        </is>
      </c>
      <c r="L283" s="213">
        <f>1200+160*1.6*0.48+2.5</f>
        <v/>
      </c>
      <c r="M283" s="207">
        <f>1200</f>
        <v/>
      </c>
      <c r="N283" s="207" t="n"/>
      <c r="O283" s="207" t="n"/>
      <c r="P283" s="207" t="n"/>
      <c r="Q283" s="207" t="n"/>
      <c r="R283" s="207">
        <f>160*1.6*0.48</f>
        <v/>
      </c>
      <c r="S283" s="207" t="n"/>
      <c r="T283" s="207" t="n"/>
      <c r="U283" s="207" t="n"/>
      <c r="V283" s="207" t="n"/>
      <c r="W283" s="207" t="n"/>
      <c r="X283" s="207" t="n"/>
      <c r="Y283" s="207" t="n"/>
      <c r="Z283" s="207" t="n"/>
      <c r="AA283" s="207" t="n"/>
      <c r="AB283" s="207" t="n"/>
      <c r="AC283" s="207" t="n"/>
      <c r="AD283" s="207" t="n">
        <v>2.5</v>
      </c>
      <c r="AE283" s="207" t="n"/>
      <c r="AF283" s="207" t="n"/>
      <c r="AG283" s="207" t="n"/>
      <c r="AH283" s="207" t="n"/>
      <c r="AI283" s="207" t="n"/>
      <c r="AJ283" s="207" t="n"/>
      <c r="AK283" s="207" t="n"/>
      <c r="AL283" s="207" t="n"/>
      <c r="AM283" s="207" t="n"/>
      <c r="AN283" s="207" t="n"/>
      <c r="AO283" s="207" t="n"/>
      <c r="AP283" s="225" t="n">
        <v>197</v>
      </c>
      <c r="AQ283" s="225" t="n"/>
      <c r="AR283" s="225" t="n">
        <v>65</v>
      </c>
      <c r="AS283" s="213" t="n">
        <v>0</v>
      </c>
      <c r="AT283" s="213" t="n">
        <v>0</v>
      </c>
      <c r="AU283" s="213" t="n">
        <v>0</v>
      </c>
      <c r="AV283" s="213" t="n">
        <v>0</v>
      </c>
      <c r="AW283" s="225" t="n">
        <v>128.1</v>
      </c>
      <c r="AX283" s="214" t="n">
        <v>1</v>
      </c>
      <c r="AY283" s="213">
        <f>L283*AX283+AP283+AQ283+AR283+AV283+AW283+AS283+AT283+AU283</f>
        <v/>
      </c>
      <c r="AZ283" s="213" t="n">
        <v>0</v>
      </c>
      <c r="BA283" s="213" t="n">
        <v>0</v>
      </c>
      <c r="BB283" s="213">
        <f>AZ283*0.006</f>
        <v/>
      </c>
      <c r="BC283" s="213">
        <f>AZ283+BA283-BB283</f>
        <v/>
      </c>
      <c r="BD283" s="213" t="n">
        <v>0</v>
      </c>
      <c r="BE283" s="213" t="n">
        <v>0</v>
      </c>
      <c r="BF283" s="213">
        <f>BD283+BE283</f>
        <v/>
      </c>
      <c r="BG283" s="213">
        <f>BC283-AY283+BF283</f>
        <v/>
      </c>
      <c r="BH283" s="100" t="inlineStr">
        <is>
          <t>屈冉冉</t>
        </is>
      </c>
      <c r="BI283" s="219" t="inlineStr">
        <is>
          <t>湖南省 长沙市 雨花区 洞井街道长沙奥林匹克花园8栋</t>
        </is>
      </c>
      <c r="BJ283" s="101" t="inlineStr">
        <is>
          <t>18697913864-6095</t>
        </is>
      </c>
      <c r="BK283" s="101" t="n"/>
      <c r="BL283" s="219" t="n"/>
      <c r="BM283" s="123" t="n"/>
      <c r="BN283" s="108" t="n"/>
      <c r="BO283" s="123" t="n"/>
      <c r="BP283" s="101" t="n"/>
      <c r="BQ283" s="109" t="n"/>
      <c r="BR283" s="109" t="n"/>
      <c r="BS283" s="100" t="n"/>
      <c r="BT283" s="109" t="n"/>
      <c r="BU283" s="100" t="n"/>
      <c r="BV283" s="109" t="n"/>
      <c r="BW283" s="100" t="n"/>
      <c r="BX283" s="100" t="n"/>
      <c r="BY283" s="100" t="n"/>
      <c r="BZ283" s="100" t="n"/>
      <c r="CA283" s="98" t="n"/>
      <c r="CH283" s="2" t="n"/>
      <c r="CI283" s="14">
        <f>CJ283&amp;CK283</f>
        <v/>
      </c>
      <c r="CY283" s="25" t="n"/>
      <c r="DA283" s="25" t="n"/>
      <c r="DC283" s="26" t="n"/>
      <c r="DD283" s="26" t="n"/>
      <c r="DE283" s="26" t="n"/>
      <c r="DF283" s="26" t="n"/>
      <c r="DG283" s="26" t="n"/>
      <c r="DH283" s="27" t="n"/>
      <c r="DJ283" s="211" t="inlineStr">
        <is>
          <t>订单表中未找到</t>
        </is>
      </c>
      <c r="DK283" t="inlineStr">
        <is>
          <t>—</t>
        </is>
      </c>
      <c r="DL283" t="inlineStr">
        <is>
          <t>—</t>
        </is>
      </c>
    </row>
    <row r="284" ht="15.75" customHeight="1" s="187">
      <c r="A284" s="84" t="n">
        <v>45950</v>
      </c>
      <c r="B284" s="206" t="inlineStr">
        <is>
          <t>已收货</t>
        </is>
      </c>
      <c r="C284" s="86" t="inlineStr">
        <is>
          <t>4822177611954243041</t>
        </is>
      </c>
      <c r="D284" s="207" t="inlineStr">
        <is>
          <t>郑小姐</t>
        </is>
      </c>
      <c r="E284" s="207" t="n"/>
      <c r="F284" s="207" t="n"/>
      <c r="G284" s="207" t="inlineStr">
        <is>
          <t>窄柜-整柜洞石背板-1.2米</t>
        </is>
      </c>
      <c r="H284" s="207" t="inlineStr">
        <is>
          <t>樱桃木窄柜</t>
        </is>
      </c>
      <c r="I284" s="89" t="n">
        <v>1200</v>
      </c>
      <c r="J284" s="87" t="inlineStr">
        <is>
          <t>已结算</t>
        </is>
      </c>
      <c r="K284" s="86" t="inlineStr">
        <is>
          <t>庄毅</t>
        </is>
      </c>
      <c r="L284" s="207">
        <f>3600+115+1.16+3.37+1.1+1.03+76/2+8+411.08+3+10+62.4+160*1.2*0.48+5*30</f>
        <v/>
      </c>
      <c r="M284" s="207">
        <f>3600</f>
        <v/>
      </c>
      <c r="N284" s="207">
        <f>1.158*260+2*55</f>
        <v/>
      </c>
      <c r="O284" s="207" t="n">
        <v>125</v>
      </c>
      <c r="P284" s="207" t="n"/>
      <c r="Q284" s="207">
        <f>38*2</f>
        <v/>
      </c>
      <c r="R284" s="207">
        <f>160*1.2*0.48+30</f>
        <v/>
      </c>
      <c r="S284" s="207" t="n">
        <v>62.4</v>
      </c>
      <c r="T284" s="207" t="n"/>
      <c r="U284" s="207" t="n"/>
      <c r="V284" s="207" t="n"/>
      <c r="W284" s="207" t="n">
        <v>8</v>
      </c>
      <c r="X284" s="207" t="n"/>
      <c r="Y284" s="207" t="n">
        <v>3</v>
      </c>
      <c r="Z284" s="207" t="n"/>
      <c r="AA284" s="207" t="n"/>
      <c r="AB284" s="207" t="n"/>
      <c r="AC284" s="207" t="n">
        <v>3.37</v>
      </c>
      <c r="AD284" s="207" t="n"/>
      <c r="AE284" s="207" t="n"/>
      <c r="AF284" s="207" t="n"/>
      <c r="AG284" s="207" t="n"/>
      <c r="AH284" s="207" t="n"/>
      <c r="AI284" s="207" t="n">
        <v>1.16</v>
      </c>
      <c r="AJ284" s="207" t="n">
        <v>1.1</v>
      </c>
      <c r="AK284" s="207" t="n">
        <v>10</v>
      </c>
      <c r="AL284" s="207" t="n"/>
      <c r="AM284" s="207" t="n"/>
      <c r="AN284" s="207" t="n"/>
      <c r="AO284" s="207" t="n"/>
      <c r="AP284" s="207" t="n">
        <v>224</v>
      </c>
      <c r="AQ284" s="207" t="n">
        <v>0</v>
      </c>
      <c r="AR284" s="207" t="n">
        <v>95</v>
      </c>
      <c r="AS284" s="207" t="n">
        <v>0</v>
      </c>
      <c r="AT284" s="207" t="n">
        <v>0</v>
      </c>
      <c r="AU284" s="207" t="n">
        <v>0</v>
      </c>
      <c r="AV284" s="207" t="n">
        <v>0</v>
      </c>
      <c r="AW284" s="207" t="n">
        <v>0</v>
      </c>
      <c r="AX284" s="208" t="n">
        <v>1</v>
      </c>
      <c r="AY284" s="209">
        <f>L284*AX284+AP284+AQ284+AR284+AV284+AW284+AS284+AT284+AU284</f>
        <v/>
      </c>
      <c r="AZ284" s="207" t="n">
        <v>5628</v>
      </c>
      <c r="BA284" s="207" t="n">
        <v>0</v>
      </c>
      <c r="BB284" s="207">
        <f>AZ284*0.006</f>
        <v/>
      </c>
      <c r="BC284" s="209">
        <f>AZ284+BA284-BB284</f>
        <v/>
      </c>
      <c r="BD284" s="207" t="n">
        <v>0</v>
      </c>
      <c r="BE284" s="207" t="n">
        <v>0</v>
      </c>
      <c r="BF284" s="209">
        <f>BD284+BE284</f>
        <v/>
      </c>
      <c r="BG284" s="209">
        <f>BC284-AY284+BF284</f>
        <v/>
      </c>
      <c r="BH284" s="207" t="inlineStr">
        <is>
          <t>郑小姐</t>
        </is>
      </c>
      <c r="BI284" s="207" t="inlineStr">
        <is>
          <t>江西省 上饶市 信州区 灵溪街道中京未来境(未来苑)5栋2单元503</t>
        </is>
      </c>
      <c r="BJ284" s="207" t="inlineStr">
        <is>
          <t>15579243848-9667</t>
        </is>
      </c>
      <c r="BK284" s="87" t="n"/>
      <c r="BL284" s="210" t="n"/>
      <c r="BM284" s="93" t="n"/>
      <c r="BN284" s="94" t="n"/>
      <c r="BO284" s="93" t="n"/>
      <c r="BP284" s="86" t="n"/>
      <c r="BQ284" s="96" t="n"/>
      <c r="BR284" s="96" t="n"/>
      <c r="BS284" s="97" t="n"/>
      <c r="BT284" s="96" t="n"/>
      <c r="BU284" s="97" t="n"/>
      <c r="BV284" s="96" t="n"/>
      <c r="BW284" s="97" t="n"/>
      <c r="BX284" s="97" t="n"/>
      <c r="BY284" s="97" t="n"/>
      <c r="BZ284" s="97" t="n"/>
      <c r="CA284" s="98" t="n"/>
      <c r="CH284" s="2" t="n"/>
      <c r="CI284" s="14">
        <f>CJ284&amp;CK284</f>
        <v/>
      </c>
      <c r="CJ284" s="25" t="n"/>
      <c r="CK284" s="25" t="n"/>
      <c r="CL284" s="25" t="n"/>
      <c r="CM284" s="25" t="n"/>
      <c r="CN284" s="25" t="n"/>
      <c r="CO284" s="25" t="n"/>
      <c r="CP284" s="25" t="n"/>
      <c r="CQ284" s="25" t="n"/>
      <c r="CR284" s="25" t="n"/>
      <c r="CS284" s="25" t="n"/>
      <c r="CT284" s="25" t="n"/>
      <c r="CU284" s="25" t="n"/>
      <c r="CV284" s="25" t="n"/>
      <c r="CW284" s="25" t="n"/>
      <c r="CX284" s="25" t="n"/>
      <c r="CY284" s="25" t="n"/>
      <c r="CZ284" s="25" t="n"/>
      <c r="DC284" s="26" t="n"/>
      <c r="DD284" s="26" t="n"/>
      <c r="DE284" s="26" t="n"/>
      <c r="DF284" s="26" t="n"/>
      <c r="DG284" s="26" t="n"/>
      <c r="DH284" s="27" t="n"/>
      <c r="DJ284" s="211" t="inlineStr">
        <is>
          <t>订单表中未找到</t>
        </is>
      </c>
      <c r="DK284" t="inlineStr">
        <is>
          <t>—</t>
        </is>
      </c>
      <c r="DL284" t="inlineStr">
        <is>
          <t>—</t>
        </is>
      </c>
    </row>
    <row r="285" ht="15.75" customHeight="1" s="187">
      <c r="A285" s="84" t="n">
        <v>45950</v>
      </c>
      <c r="B285" s="206" t="inlineStr">
        <is>
          <t>已收货</t>
        </is>
      </c>
      <c r="C285" s="86" t="inlineStr">
        <is>
          <t>4822488324526702834</t>
        </is>
      </c>
      <c r="D285" s="207" t="inlineStr">
        <is>
          <t>兰森</t>
        </is>
      </c>
      <c r="E285" s="207" t="n"/>
      <c r="F285" s="207" t="n"/>
      <c r="G285" s="207" t="inlineStr">
        <is>
          <t>窄柜-整柜洞石背板-1.2米-定制</t>
        </is>
      </c>
      <c r="H285" s="207" t="inlineStr">
        <is>
          <t>樱桃木窄柜</t>
        </is>
      </c>
      <c r="I285" s="89" t="n">
        <v>1200</v>
      </c>
      <c r="J285" s="87" t="inlineStr">
        <is>
          <t>已结算</t>
        </is>
      </c>
      <c r="K285" s="86" t="inlineStr">
        <is>
          <t>庄毅</t>
        </is>
      </c>
      <c r="L285" s="207">
        <f>3700+115+1.16+3.37+1.1+1.03+76/2+8+411.08+3+10+62.4+160*1.2*0.48+5*30</f>
        <v/>
      </c>
      <c r="M285" s="207">
        <f>3700</f>
        <v/>
      </c>
      <c r="N285" s="207">
        <f>1.158*260+2*55</f>
        <v/>
      </c>
      <c r="O285" s="207" t="n">
        <v>125</v>
      </c>
      <c r="P285" s="207" t="n"/>
      <c r="Q285" s="207">
        <f>38*2</f>
        <v/>
      </c>
      <c r="R285" s="207">
        <f>160*1.2*0.48+30</f>
        <v/>
      </c>
      <c r="S285" s="207" t="n">
        <v>62.4</v>
      </c>
      <c r="T285" s="207" t="n"/>
      <c r="U285" s="207" t="n"/>
      <c r="V285" s="207" t="n"/>
      <c r="W285" s="207" t="n">
        <v>8</v>
      </c>
      <c r="X285" s="207" t="n"/>
      <c r="Y285" s="207" t="n">
        <v>3</v>
      </c>
      <c r="Z285" s="207" t="n"/>
      <c r="AA285" s="207" t="n"/>
      <c r="AB285" s="207" t="n"/>
      <c r="AC285" s="207" t="n">
        <v>3.37</v>
      </c>
      <c r="AD285" s="207" t="n"/>
      <c r="AE285" s="207" t="n"/>
      <c r="AF285" s="207" t="n"/>
      <c r="AG285" s="207" t="n"/>
      <c r="AH285" s="207" t="n"/>
      <c r="AI285" s="207" t="n">
        <v>1.16</v>
      </c>
      <c r="AJ285" s="207" t="n">
        <v>1.1</v>
      </c>
      <c r="AK285" s="207" t="n">
        <v>10</v>
      </c>
      <c r="AL285" s="207" t="n"/>
      <c r="AM285" s="207" t="n"/>
      <c r="AN285" s="207" t="n"/>
      <c r="AO285" s="207" t="n"/>
      <c r="AP285" s="207" t="n">
        <v>711</v>
      </c>
      <c r="AQ285" s="207" t="n">
        <v>0</v>
      </c>
      <c r="AR285" s="207" t="n">
        <v>90</v>
      </c>
      <c r="AS285" s="207" t="n">
        <v>0</v>
      </c>
      <c r="AT285" s="207" t="n">
        <v>148</v>
      </c>
      <c r="AU285" s="207" t="n">
        <v>0</v>
      </c>
      <c r="AV285" s="207" t="n">
        <v>0</v>
      </c>
      <c r="AW285" s="207">
        <f>30+50</f>
        <v/>
      </c>
      <c r="AX285" s="208" t="n">
        <v>1</v>
      </c>
      <c r="AY285" s="209">
        <f>L285*AX285+AP285+AQ285+AR285+AV285+AW285+AS285+AT285+AU285</f>
        <v/>
      </c>
      <c r="AZ285" s="207" t="n">
        <v>5628</v>
      </c>
      <c r="BA285" s="207" t="n">
        <v>0</v>
      </c>
      <c r="BB285" s="207">
        <f>AZ285*0.006</f>
        <v/>
      </c>
      <c r="BC285" s="209">
        <f>AZ285+BA285-BB285</f>
        <v/>
      </c>
      <c r="BD285" s="207" t="n">
        <v>148</v>
      </c>
      <c r="BE285" s="207" t="n">
        <v>0</v>
      </c>
      <c r="BF285" s="209">
        <f>BD285+BE285</f>
        <v/>
      </c>
      <c r="BG285" s="209">
        <f>BC285-AY285+BF285</f>
        <v/>
      </c>
      <c r="BH285" s="207" t="inlineStr">
        <is>
          <t>兰森</t>
        </is>
      </c>
      <c r="BI285" s="207" t="inlineStr">
        <is>
          <t>重庆 重庆市 渝北区 鸳鸯街道融科蔚城2栋2单元402</t>
        </is>
      </c>
      <c r="BJ285" s="207" t="inlineStr">
        <is>
          <t>14727237431-3991</t>
        </is>
      </c>
      <c r="BK285" s="87" t="n"/>
      <c r="BL285" s="210" t="n"/>
      <c r="BM285" s="93" t="n"/>
      <c r="BN285" s="94" t="n"/>
      <c r="BO285" s="93" t="n"/>
      <c r="BP285" s="86" t="n"/>
      <c r="BQ285" s="96" t="n"/>
      <c r="BR285" s="96" t="n"/>
      <c r="BS285" s="97" t="n"/>
      <c r="BT285" s="96" t="n"/>
      <c r="BU285" s="97" t="n"/>
      <c r="BV285" s="96" t="n"/>
      <c r="BW285" s="97" t="n"/>
      <c r="BX285" s="97" t="n"/>
      <c r="BY285" s="97" t="n"/>
      <c r="BZ285" s="97" t="n"/>
      <c r="CA285" s="98" t="n"/>
      <c r="CH285" s="2" t="n"/>
      <c r="CI285" s="14">
        <f>CJ285&amp;CK285</f>
        <v/>
      </c>
      <c r="CJ285" s="25" t="n"/>
      <c r="CK285" s="25" t="n"/>
      <c r="CL285" s="25" t="n"/>
      <c r="CM285" s="25" t="n"/>
      <c r="CN285" s="25" t="n"/>
      <c r="CO285" s="25" t="n"/>
      <c r="CP285" s="25" t="n"/>
      <c r="CQ285" s="25" t="n"/>
      <c r="CR285" s="25" t="n"/>
      <c r="CS285" s="25" t="n"/>
      <c r="CT285" s="25" t="n"/>
      <c r="CU285" s="25" t="n"/>
      <c r="CV285" s="25" t="n"/>
      <c r="CW285" s="25" t="n"/>
      <c r="CX285" s="25" t="n"/>
      <c r="CY285" s="25" t="n"/>
      <c r="CZ285" s="25" t="n"/>
      <c r="DC285" s="26" t="n"/>
      <c r="DD285" s="26" t="n"/>
      <c r="DE285" s="26" t="n"/>
      <c r="DF285" s="26" t="n"/>
      <c r="DG285" s="26" t="n"/>
      <c r="DH285" s="27" t="n"/>
      <c r="DJ285" s="211" t="inlineStr">
        <is>
          <t>订单表中未找到</t>
        </is>
      </c>
      <c r="DK285" t="inlineStr">
        <is>
          <t>—</t>
        </is>
      </c>
      <c r="DL285" t="inlineStr">
        <is>
          <t>—</t>
        </is>
      </c>
    </row>
    <row r="286" ht="15.75" customHeight="1" s="187">
      <c r="A286" s="84" t="n">
        <v>45950</v>
      </c>
      <c r="B286" s="206" t="inlineStr">
        <is>
          <t>已收货</t>
        </is>
      </c>
      <c r="C286" s="86" t="inlineStr">
        <is>
          <t>3007597944028761478</t>
        </is>
      </c>
      <c r="D286" s="207" t="inlineStr">
        <is>
          <t>于小白</t>
        </is>
      </c>
      <c r="E286" s="207" t="n"/>
      <c r="F286" s="207" t="n"/>
      <c r="G286" s="87" t="inlineStr">
        <is>
          <t>餐边柜1.8米＋双腿桌1.4米（背板多层板）-物流抵扣</t>
        </is>
      </c>
      <c r="H286" s="87" t="inlineStr">
        <is>
          <t>旋转餐边柜</t>
        </is>
      </c>
      <c r="I286" s="89" t="n">
        <v>1800</v>
      </c>
      <c r="J286" s="87" t="inlineStr">
        <is>
          <t>已结算</t>
        </is>
      </c>
      <c r="K286" s="86" t="inlineStr">
        <is>
          <t>江西</t>
        </is>
      </c>
      <c r="L286" s="207">
        <f>SUM(M286:AM286)</f>
        <v/>
      </c>
      <c r="M286" s="207">
        <f>5700</f>
        <v/>
      </c>
      <c r="N286" s="207" t="n"/>
      <c r="O286" s="207" t="n"/>
      <c r="P286" s="207" t="n"/>
      <c r="Q286" s="207" t="n"/>
      <c r="R286" s="207" t="n"/>
      <c r="S286" s="207" t="n">
        <v>14</v>
      </c>
      <c r="T286" s="207" t="n">
        <v>260</v>
      </c>
      <c r="U286" s="207" t="n"/>
      <c r="V286" s="207" t="n"/>
      <c r="W286" s="207" t="n">
        <v>40</v>
      </c>
      <c r="X286" s="207">
        <f>22*9</f>
        <v/>
      </c>
      <c r="Y286" s="207" t="n">
        <v>550</v>
      </c>
      <c r="Z286" s="207" t="n"/>
      <c r="AA286" s="207" t="n"/>
      <c r="AB286" s="207" t="n"/>
      <c r="AC286" s="207" t="n"/>
      <c r="AD286" s="207" t="n">
        <v>7</v>
      </c>
      <c r="AE286" s="207" t="n">
        <v>11.99</v>
      </c>
      <c r="AF286" s="207" t="n">
        <v>550</v>
      </c>
      <c r="AG286" s="207" t="n"/>
      <c r="AH286" s="207" t="n"/>
      <c r="AI286" s="207" t="n"/>
      <c r="AJ286" s="207" t="n">
        <v>72</v>
      </c>
      <c r="AK286" s="207" t="n"/>
      <c r="AL286" s="207" t="n"/>
      <c r="AM286" s="207" t="n"/>
      <c r="AN286" s="207" t="n"/>
      <c r="AO286" s="207" t="n"/>
      <c r="AP286" s="207">
        <f>607-199-AQ286</f>
        <v/>
      </c>
      <c r="AQ286" s="207" t="n">
        <v>48</v>
      </c>
      <c r="AR286" s="207" t="n">
        <v>200</v>
      </c>
      <c r="AS286" s="207" t="n">
        <v>0</v>
      </c>
      <c r="AT286" s="207" t="n">
        <v>199</v>
      </c>
      <c r="AU286" s="207" t="n">
        <v>0</v>
      </c>
      <c r="AV286" s="207" t="n">
        <v>0</v>
      </c>
      <c r="AW286" s="207" t="n">
        <v>0</v>
      </c>
      <c r="AX286" s="208" t="n">
        <v>1</v>
      </c>
      <c r="AY286" s="209">
        <f>L286*AX286+AP286+AQ286+AR286+AV286+AW286+AS286+AT286+AU286</f>
        <v/>
      </c>
      <c r="AZ286" s="207" t="n">
        <v>11479</v>
      </c>
      <c r="BA286" s="207" t="n">
        <v>0</v>
      </c>
      <c r="BB286" s="207">
        <f>AZ286*0.006</f>
        <v/>
      </c>
      <c r="BC286" s="209">
        <f>AZ286+BA286-BB286</f>
        <v/>
      </c>
      <c r="BD286" s="207" t="n">
        <v>0</v>
      </c>
      <c r="BE286" s="207" t="n">
        <v>0</v>
      </c>
      <c r="BF286" s="209">
        <f>BD286+BE286</f>
        <v/>
      </c>
      <c r="BG286" s="209">
        <f>BC286-AY286+BF286</f>
        <v/>
      </c>
      <c r="BH286" s="207" t="inlineStr">
        <is>
          <t>于小白</t>
        </is>
      </c>
      <c r="BI286" s="207" t="inlineStr">
        <is>
          <t>广东省 深圳市 宝安区 石岩街道悦云花园3栋905</t>
        </is>
      </c>
      <c r="BJ286" s="207" t="inlineStr">
        <is>
          <t>13246618265-8351</t>
        </is>
      </c>
      <c r="BK286" s="87" t="n"/>
      <c r="BL286" s="210" t="n"/>
      <c r="BM286" s="93" t="n"/>
      <c r="BN286" s="94" t="n"/>
      <c r="BO286" s="93" t="n"/>
      <c r="BP286" s="86" t="n"/>
      <c r="BQ286" s="96" t="n"/>
      <c r="BR286" s="96" t="n"/>
      <c r="BS286" s="97" t="n"/>
      <c r="BT286" s="96" t="n"/>
      <c r="BU286" s="97" t="n"/>
      <c r="BV286" s="96" t="n"/>
      <c r="BW286" s="97" t="n"/>
      <c r="BX286" s="97" t="n"/>
      <c r="BY286" s="97" t="n"/>
      <c r="BZ286" s="97" t="n"/>
      <c r="CA286" s="98" t="n"/>
      <c r="CH286" s="11" t="n"/>
      <c r="CI286" s="14">
        <f>CJ286&amp;CK286</f>
        <v/>
      </c>
      <c r="CJ286" s="25" t="n"/>
      <c r="CK286" s="25" t="n"/>
      <c r="CL286" s="25" t="n"/>
      <c r="CM286" s="25" t="n"/>
      <c r="CN286" s="25" t="n"/>
      <c r="CO286" s="25" t="n"/>
      <c r="CP286" s="25" t="n"/>
      <c r="CQ286" s="25" t="n"/>
      <c r="CR286" s="25" t="n"/>
      <c r="CS286" s="25" t="n"/>
      <c r="CT286" s="25" t="n"/>
      <c r="CU286" s="25" t="n"/>
      <c r="CV286" s="25" t="n"/>
      <c r="CW286" s="25" t="n"/>
      <c r="CX286" s="25" t="n"/>
      <c r="CY286" s="25" t="n"/>
      <c r="CZ286" s="25" t="n"/>
      <c r="DC286" s="26" t="n"/>
      <c r="DD286" s="26" t="n"/>
      <c r="DE286" s="26" t="n"/>
      <c r="DF286" s="26" t="n"/>
      <c r="DG286" s="26" t="n"/>
      <c r="DH286" s="27" t="n"/>
      <c r="DJ286" s="211" t="inlineStr">
        <is>
          <t>订单表中未找到</t>
        </is>
      </c>
      <c r="DK286" t="inlineStr">
        <is>
          <t>—</t>
        </is>
      </c>
      <c r="DL286" t="inlineStr">
        <is>
          <t>—</t>
        </is>
      </c>
    </row>
    <row r="287" ht="15.75" customHeight="1" s="187">
      <c r="A287" s="84" t="n">
        <v>45950</v>
      </c>
      <c r="B287" s="206" t="inlineStr">
        <is>
          <t>已收货</t>
        </is>
      </c>
      <c r="C287" s="86" t="inlineStr">
        <is>
          <t>4822339647161487538</t>
        </is>
      </c>
      <c r="D287" s="86" t="inlineStr">
        <is>
          <t>阿巴阿巴</t>
        </is>
      </c>
      <c r="E287" s="207" t="n"/>
      <c r="F287" s="207" t="n"/>
      <c r="G287" s="207" t="inlineStr">
        <is>
          <t>窄柜-整柜洞石背板-0.8米-定制</t>
        </is>
      </c>
      <c r="H287" s="207" t="inlineStr">
        <is>
          <t>樱桃木窄柜</t>
        </is>
      </c>
      <c r="I287" s="89" t="n">
        <v>800</v>
      </c>
      <c r="J287" s="87" t="inlineStr">
        <is>
          <t>已结算</t>
        </is>
      </c>
      <c r="K287" s="86" t="inlineStr">
        <is>
          <t>庄毅</t>
        </is>
      </c>
      <c r="L287" s="207">
        <f>115+1.16+3.37+3250+1.1+1.03+60/2+4+307.08+54.9+3+0.8*0.65*160+30*5+10</f>
        <v/>
      </c>
      <c r="M287" s="207" t="n">
        <v>3250</v>
      </c>
      <c r="N287" s="207">
        <f>0.758*260+2*55</f>
        <v/>
      </c>
      <c r="O287" s="207">
        <f>115</f>
        <v/>
      </c>
      <c r="P287" s="207" t="n"/>
      <c r="Q287" s="207">
        <f>15*2</f>
        <v/>
      </c>
      <c r="R287" s="207">
        <f>0.8*0.65*160+30</f>
        <v/>
      </c>
      <c r="S287" s="207" t="n">
        <v>54.9</v>
      </c>
      <c r="T287" s="207" t="n"/>
      <c r="U287" s="207" t="n"/>
      <c r="V287" s="207" t="n">
        <v>4</v>
      </c>
      <c r="W287" s="207" t="n"/>
      <c r="X287" s="207" t="n"/>
      <c r="Y287" s="207" t="n"/>
      <c r="Z287" s="207" t="n"/>
      <c r="AA287" s="207" t="n"/>
      <c r="AB287" s="207" t="n"/>
      <c r="AC287" s="207" t="n">
        <v>3.5</v>
      </c>
      <c r="AD287" s="207" t="n"/>
      <c r="AE287" s="207" t="n">
        <v>3</v>
      </c>
      <c r="AF287" s="207" t="n"/>
      <c r="AG287" s="207" t="n"/>
      <c r="AH287" s="207" t="n"/>
      <c r="AI287" s="207" t="n"/>
      <c r="AJ287" s="207" t="n">
        <v>1.2</v>
      </c>
      <c r="AK287" s="207" t="n"/>
      <c r="AL287" s="207" t="n"/>
      <c r="AM287" s="207" t="n"/>
      <c r="AN287" s="207" t="n"/>
      <c r="AO287" s="207" t="n"/>
      <c r="AP287" s="207" t="n">
        <v>296</v>
      </c>
      <c r="AQ287" s="207" t="n">
        <v>0</v>
      </c>
      <c r="AR287" s="207" t="n">
        <v>80</v>
      </c>
      <c r="AS287" s="207" t="n">
        <v>0</v>
      </c>
      <c r="AT287" s="207" t="n">
        <v>0</v>
      </c>
      <c r="AU287" s="207" t="n">
        <v>0</v>
      </c>
      <c r="AV287" s="207" t="n">
        <v>0</v>
      </c>
      <c r="AW287" s="207" t="n">
        <v>0</v>
      </c>
      <c r="AX287" s="208" t="n">
        <v>1</v>
      </c>
      <c r="AY287" s="209">
        <f>L287*AX287+AP287+AQ287+AR287+AV287+AW287+AS287+AT287+AU287</f>
        <v/>
      </c>
      <c r="AZ287" s="207" t="n">
        <v>4819.5</v>
      </c>
      <c r="BA287" s="207" t="n">
        <v>0</v>
      </c>
      <c r="BB287" s="207">
        <f>AZ287*0.006</f>
        <v/>
      </c>
      <c r="BC287" s="209">
        <f>AZ287+BA287-BB287</f>
        <v/>
      </c>
      <c r="BD287" s="207" t="n">
        <v>0</v>
      </c>
      <c r="BE287" s="207" t="n">
        <v>0</v>
      </c>
      <c r="BF287" s="209">
        <f>BD287+BE287</f>
        <v/>
      </c>
      <c r="BG287" s="209">
        <f>BC287-AY287+BF287</f>
        <v/>
      </c>
      <c r="BH287" s="86" t="inlineStr">
        <is>
          <t>阿巴阿巴</t>
        </is>
      </c>
      <c r="BI287" s="86" t="inlineStr">
        <is>
          <t>湖南省 长沙市 岳麓区 洋湖街道合能洋湖公馆2期9栋304</t>
        </is>
      </c>
      <c r="BJ287" s="86" t="inlineStr">
        <is>
          <t>15527394037-7914</t>
        </is>
      </c>
      <c r="BK287" s="87" t="n"/>
      <c r="BL287" s="210" t="n"/>
      <c r="BM287" s="93" t="n"/>
      <c r="BN287" s="94" t="n"/>
      <c r="BO287" s="93" t="n"/>
      <c r="BP287" s="86" t="n"/>
      <c r="BQ287" s="96" t="n"/>
      <c r="BR287" s="96" t="n"/>
      <c r="BS287" s="97" t="n"/>
      <c r="BT287" s="96" t="n"/>
      <c r="BU287" s="97" t="n"/>
      <c r="BV287" s="96" t="n"/>
      <c r="BW287" s="97" t="n"/>
      <c r="BX287" s="97" t="n"/>
      <c r="BY287" s="97" t="n"/>
      <c r="BZ287" s="97" t="n"/>
      <c r="CA287" s="98" t="n"/>
      <c r="CH287" s="11" t="n"/>
      <c r="CI287" s="14">
        <f>CJ287&amp;CK287</f>
        <v/>
      </c>
      <c r="CJ287" s="25" t="n"/>
      <c r="CK287" s="25" t="n"/>
      <c r="CL287" s="25" t="n"/>
      <c r="CM287" s="25" t="n"/>
      <c r="CN287" s="25" t="n"/>
      <c r="CO287" s="25" t="n"/>
      <c r="CP287" s="25" t="n"/>
      <c r="CQ287" s="25" t="n"/>
      <c r="CR287" s="25" t="n"/>
      <c r="CS287" s="25" t="n"/>
      <c r="CT287" s="25" t="n"/>
      <c r="CU287" s="25" t="n"/>
      <c r="CV287" s="25" t="n"/>
      <c r="CW287" s="25" t="n"/>
      <c r="CX287" s="25" t="n"/>
      <c r="CY287" s="25" t="n"/>
      <c r="CZ287" s="25" t="n"/>
      <c r="DC287" s="26" t="n"/>
      <c r="DD287" s="26" t="n"/>
      <c r="DE287" s="26" t="n"/>
      <c r="DF287" s="26" t="n"/>
      <c r="DG287" s="26" t="n"/>
      <c r="DH287" s="27" t="n"/>
      <c r="DJ287" s="211" t="inlineStr">
        <is>
          <t>订单表中未找到</t>
        </is>
      </c>
      <c r="DK287" t="inlineStr">
        <is>
          <t>—</t>
        </is>
      </c>
      <c r="DL287" t="inlineStr">
        <is>
          <t>—</t>
        </is>
      </c>
    </row>
    <row r="288" ht="15.75" customHeight="1" s="187">
      <c r="A288" s="84" t="n">
        <v>45950</v>
      </c>
      <c r="B288" s="206" t="inlineStr">
        <is>
          <t>已收货</t>
        </is>
      </c>
      <c r="C288" s="86" t="inlineStr">
        <is>
          <t>3007656048739781876</t>
        </is>
      </c>
      <c r="D288" s="207" t="inlineStr">
        <is>
          <t>米雪儿</t>
        </is>
      </c>
      <c r="E288" s="207" t="n"/>
      <c r="F288" s="207" t="n"/>
      <c r="G288" s="207" t="inlineStr">
        <is>
          <t>曜黑柜-整柜-1.5米</t>
        </is>
      </c>
      <c r="H288" s="207" t="inlineStr">
        <is>
          <t>曜黑餐边柜</t>
        </is>
      </c>
      <c r="I288" s="89" t="n">
        <v>1500</v>
      </c>
      <c r="J288" s="87" t="inlineStr">
        <is>
          <t>已结算</t>
        </is>
      </c>
      <c r="K288" s="86" t="inlineStr">
        <is>
          <t>庄毅</t>
        </is>
      </c>
      <c r="L288" s="207">
        <f>9000+76+10+180*1.5*0.48+501+2550/6/1.5+41+30+40+33</f>
        <v/>
      </c>
      <c r="M288" s="207">
        <f>9000</f>
        <v/>
      </c>
      <c r="N288" s="207">
        <f>1.458*260+2*55+12</f>
        <v/>
      </c>
      <c r="O288" s="207">
        <f>2550/6/1.5</f>
        <v/>
      </c>
      <c r="P288" s="207" t="inlineStr">
        <is>
          <t>180*1.5*0.48</t>
        </is>
      </c>
      <c r="Q288" s="207" t="n"/>
      <c r="R288" s="207" t="n"/>
      <c r="S288" s="207" t="n"/>
      <c r="T288" s="207" t="n">
        <v>41</v>
      </c>
      <c r="U288" s="207" t="n">
        <v>10</v>
      </c>
      <c r="V288" s="207" t="n"/>
      <c r="W288" s="207" t="n">
        <v>30</v>
      </c>
      <c r="X288" s="207" t="n">
        <v>40</v>
      </c>
      <c r="Y288" s="207" t="n">
        <v>33</v>
      </c>
      <c r="Z288" s="207" t="n"/>
      <c r="AA288" s="207" t="n">
        <v>76</v>
      </c>
      <c r="AB288" s="207" t="n"/>
      <c r="AC288" s="207" t="n"/>
      <c r="AD288" s="207" t="n"/>
      <c r="AE288" s="207" t="n"/>
      <c r="AF288" s="207" t="n"/>
      <c r="AG288" s="207" t="n"/>
      <c r="AH288" s="207" t="n"/>
      <c r="AI288" s="207" t="n"/>
      <c r="AJ288" s="207" t="n"/>
      <c r="AK288" s="207" t="n"/>
      <c r="AL288" s="207" t="n"/>
      <c r="AM288" s="207" t="n"/>
      <c r="AN288" s="207" t="n"/>
      <c r="AO288" s="207" t="n"/>
      <c r="AP288" s="207" t="n">
        <v>312</v>
      </c>
      <c r="AQ288" s="207" t="n">
        <v>0</v>
      </c>
      <c r="AR288" s="207" t="n">
        <v>189</v>
      </c>
      <c r="AS288" s="207" t="n">
        <v>0</v>
      </c>
      <c r="AT288" s="207" t="n">
        <v>150</v>
      </c>
      <c r="AU288" s="207" t="n">
        <v>0</v>
      </c>
      <c r="AV288" s="207" t="n">
        <v>0</v>
      </c>
      <c r="AW288" s="207" t="n">
        <v>0</v>
      </c>
      <c r="AX288" s="208" t="n">
        <v>1</v>
      </c>
      <c r="AY288" s="209">
        <f>L288*AX288+AP288+AQ288+AR288+AV288+AW288+AS288+AT288+AU288</f>
        <v/>
      </c>
      <c r="AZ288" s="207" t="n">
        <v>13766.63</v>
      </c>
      <c r="BA288" s="207" t="n">
        <v>0</v>
      </c>
      <c r="BB288" s="207">
        <f>AZ288*0.006</f>
        <v/>
      </c>
      <c r="BC288" s="209">
        <f>AZ288+BA288-BB288</f>
        <v/>
      </c>
      <c r="BD288" s="207" t="n">
        <v>150</v>
      </c>
      <c r="BE288" s="207" t="n">
        <v>0</v>
      </c>
      <c r="BF288" s="209">
        <f>BD288+BE288</f>
        <v/>
      </c>
      <c r="BG288" s="209">
        <f>BC288-AY288+BF288</f>
        <v/>
      </c>
      <c r="BH288" s="207" t="inlineStr">
        <is>
          <t>米雪儿</t>
        </is>
      </c>
      <c r="BI288" s="207" t="inlineStr">
        <is>
          <t>上海 上海市 杨浦区 控江路街道杨浦公寓11号楼501室</t>
        </is>
      </c>
      <c r="BJ288" s="207" t="inlineStr">
        <is>
          <t>18466682629-5920</t>
        </is>
      </c>
      <c r="BK288" s="87" t="n"/>
      <c r="BL288" s="210" t="n"/>
      <c r="BM288" s="93" t="n"/>
      <c r="BN288" s="94" t="n"/>
      <c r="BO288" s="93" t="n"/>
      <c r="BP288" s="86" t="n"/>
      <c r="BQ288" s="96" t="n"/>
      <c r="BR288" s="96" t="n"/>
      <c r="BS288" s="97" t="n"/>
      <c r="BT288" s="96" t="n"/>
      <c r="BU288" s="97" t="n"/>
      <c r="BV288" s="96" t="n"/>
      <c r="BW288" s="97" t="n"/>
      <c r="BX288" s="97" t="n"/>
      <c r="BY288" s="97" t="n"/>
      <c r="BZ288" s="97" t="n"/>
      <c r="CA288" s="98" t="n"/>
      <c r="CH288" s="11" t="n"/>
      <c r="CI288" s="14">
        <f>CJ288&amp;CK288</f>
        <v/>
      </c>
      <c r="CJ288" s="25" t="n"/>
      <c r="CK288" s="25" t="n"/>
      <c r="CL288" s="25" t="n"/>
      <c r="CM288" s="25" t="n"/>
      <c r="CN288" s="25" t="n"/>
      <c r="CO288" s="25" t="n"/>
      <c r="CP288" s="25" t="n"/>
      <c r="CQ288" s="25" t="n"/>
      <c r="CR288" s="25" t="n"/>
      <c r="CS288" s="25" t="n"/>
      <c r="CT288" s="25" t="n"/>
      <c r="CU288" s="25" t="n"/>
      <c r="CV288" s="25" t="n"/>
      <c r="CW288" s="25" t="n"/>
      <c r="CX288" s="25" t="n"/>
      <c r="CY288" s="25" t="n"/>
      <c r="CZ288" s="25" t="n"/>
      <c r="DC288" s="26" t="n"/>
      <c r="DD288" s="26" t="n"/>
      <c r="DE288" s="26" t="n"/>
      <c r="DF288" s="26" t="n"/>
      <c r="DG288" s="26" t="n"/>
      <c r="DH288" s="27" t="n"/>
      <c r="DJ288" s="211" t="inlineStr">
        <is>
          <t>订单表中未找到</t>
        </is>
      </c>
      <c r="DK288" t="inlineStr">
        <is>
          <t>—</t>
        </is>
      </c>
      <c r="DL288" t="inlineStr">
        <is>
          <t>—</t>
        </is>
      </c>
    </row>
    <row r="289" ht="15.4" customHeight="1" s="187">
      <c r="A289" s="84" t="n">
        <v>45950</v>
      </c>
      <c r="B289" s="206" t="inlineStr">
        <is>
          <t>已收货</t>
        </is>
      </c>
      <c r="C289" s="86" t="inlineStr">
        <is>
          <t>3007668793657479471</t>
        </is>
      </c>
      <c r="D289" s="207" t="inlineStr">
        <is>
          <t>唐蒋兴</t>
        </is>
      </c>
      <c r="E289" s="207" t="n"/>
      <c r="F289" s="207" t="n"/>
      <c r="G289" s="207" t="inlineStr">
        <is>
          <t>洞石色1.4米岩板餐桌，定制</t>
        </is>
      </c>
      <c r="H289" s="207" t="inlineStr">
        <is>
          <t>榉木餐桌</t>
        </is>
      </c>
      <c r="I289" s="89" t="inlineStr">
        <is>
          <t>140cm*70cm</t>
        </is>
      </c>
      <c r="J289" s="87" t="inlineStr">
        <is>
          <t>已结算</t>
        </is>
      </c>
      <c r="K289" s="86" t="inlineStr">
        <is>
          <t>江西</t>
        </is>
      </c>
      <c r="L289" s="207">
        <f>SUM(M289:AO289)</f>
        <v/>
      </c>
      <c r="M289" s="207">
        <f>1300</f>
        <v/>
      </c>
      <c r="N289" s="207" t="n"/>
      <c r="O289" s="207" t="n"/>
      <c r="P289" s="207" t="n"/>
      <c r="Q289" s="207" t="n"/>
      <c r="R289" s="207" t="n">
        <v>240</v>
      </c>
      <c r="S289" s="207" t="n"/>
      <c r="T289" s="207" t="n"/>
      <c r="U289" s="207" t="n"/>
      <c r="V289" s="207" t="n"/>
      <c r="W289" s="207" t="n"/>
      <c r="X289" s="207" t="n"/>
      <c r="Y289" s="207" t="n"/>
      <c r="Z289" s="207" t="n"/>
      <c r="AA289" s="207" t="n"/>
      <c r="AB289" s="207" t="n"/>
      <c r="AC289" s="207" t="n"/>
      <c r="AD289" s="207" t="n">
        <v>2.5</v>
      </c>
      <c r="AE289" s="207" t="n"/>
      <c r="AF289" s="207" t="n"/>
      <c r="AG289" s="207" t="n"/>
      <c r="AH289" s="207" t="n"/>
      <c r="AI289" s="207" t="n"/>
      <c r="AJ289" s="207" t="n"/>
      <c r="AK289" s="207" t="n"/>
      <c r="AL289" s="207" t="n"/>
      <c r="AM289" s="207" t="n">
        <v>170</v>
      </c>
      <c r="AN289" s="207" t="n"/>
      <c r="AO289" s="207" t="n"/>
      <c r="AP289" s="207">
        <f>127-AQ289</f>
        <v/>
      </c>
      <c r="AQ289" s="207" t="n">
        <v>6</v>
      </c>
      <c r="AR289" s="207" t="n">
        <v>72</v>
      </c>
      <c r="AS289" s="207" t="n">
        <v>0</v>
      </c>
      <c r="AT289" s="207" t="n">
        <v>0</v>
      </c>
      <c r="AU289" s="207" t="n">
        <v>0</v>
      </c>
      <c r="AV289" s="207" t="n">
        <v>0</v>
      </c>
      <c r="AW289" s="207" t="n">
        <v>0</v>
      </c>
      <c r="AX289" s="208" t="n">
        <v>1</v>
      </c>
      <c r="AY289" s="209">
        <f>L289*AX289+AP289+AQ289+AR289+AV289+AW289+AS289+AT289+AU289</f>
        <v/>
      </c>
      <c r="AZ289" s="207">
        <f>2588.89-173.58</f>
        <v/>
      </c>
      <c r="BA289" s="207" t="n">
        <v>0</v>
      </c>
      <c r="BB289" s="207">
        <f>AZ289*0.006</f>
        <v/>
      </c>
      <c r="BC289" s="209">
        <f>AZ289+BA289-BB289</f>
        <v/>
      </c>
      <c r="BD289" s="207" t="n">
        <v>0</v>
      </c>
      <c r="BE289" s="207" t="n">
        <v>0</v>
      </c>
      <c r="BF289" s="209">
        <f>BD289+BE289</f>
        <v/>
      </c>
      <c r="BG289" s="209">
        <f>BC289-AY289+BF289</f>
        <v/>
      </c>
      <c r="BH289" s="207" t="inlineStr">
        <is>
          <t>唐蒋兴</t>
        </is>
      </c>
      <c r="BI289" s="207" t="inlineStr">
        <is>
          <t>四川省 成都市 龙泉驿区 大面街道锦御东府2-2-202</t>
        </is>
      </c>
      <c r="BJ289" s="207" t="inlineStr">
        <is>
          <t>18418948834-8710</t>
        </is>
      </c>
      <c r="BK289" s="87" t="n"/>
      <c r="BL289" s="210" t="n"/>
      <c r="BM289" s="93" t="n"/>
      <c r="BN289" s="94" t="n"/>
      <c r="BO289" s="93" t="n"/>
      <c r="BP289" s="86" t="n"/>
      <c r="BQ289" s="96" t="n"/>
      <c r="BR289" s="96" t="n"/>
      <c r="BS289" s="97" t="n"/>
      <c r="BT289" s="96" t="n"/>
      <c r="BU289" s="97" t="n"/>
      <c r="BV289" s="96" t="n"/>
      <c r="BW289" s="97" t="n"/>
      <c r="BX289" s="97" t="n"/>
      <c r="BY289" s="97" t="n"/>
      <c r="BZ289" s="97" t="n"/>
      <c r="CA289" s="98" t="n"/>
      <c r="CH289" s="11" t="n"/>
      <c r="CI289" s="14">
        <f>CJ289&amp;CK289</f>
        <v/>
      </c>
      <c r="CJ289" s="25" t="n"/>
      <c r="CK289" s="25" t="n"/>
      <c r="CL289" s="25" t="n"/>
      <c r="CM289" s="131" t="n"/>
      <c r="CN289" s="131" t="n"/>
      <c r="CO289" s="25" t="n"/>
      <c r="CP289" s="25" t="n"/>
      <c r="CQ289" s="25" t="n"/>
      <c r="CR289" s="25" t="n"/>
      <c r="CS289" s="25" t="n"/>
      <c r="CT289" s="25" t="n"/>
      <c r="CU289" s="25" t="n"/>
      <c r="CV289" s="25" t="n"/>
      <c r="CW289" s="25" t="n"/>
      <c r="CX289" s="25" t="n"/>
      <c r="CY289" s="25" t="n"/>
      <c r="CZ289" s="25" t="n"/>
      <c r="DC289" s="26" t="n"/>
      <c r="DD289" s="26" t="n"/>
      <c r="DE289" s="26" t="n"/>
      <c r="DF289" s="26" t="n"/>
      <c r="DG289" s="26" t="n"/>
      <c r="DH289" s="27" t="n"/>
      <c r="DJ289" s="211" t="inlineStr">
        <is>
          <t>订单表中未找到</t>
        </is>
      </c>
      <c r="DK289" t="inlineStr">
        <is>
          <t>—</t>
        </is>
      </c>
      <c r="DL289" t="inlineStr">
        <is>
          <t>—</t>
        </is>
      </c>
    </row>
    <row r="290" ht="15.75" customHeight="1" s="187">
      <c r="A290" s="84" t="n">
        <v>45950</v>
      </c>
      <c r="B290" s="206" t="inlineStr">
        <is>
          <t>已收货</t>
        </is>
      </c>
      <c r="C290" s="86" t="inlineStr">
        <is>
          <t>4822510897910487538</t>
        </is>
      </c>
      <c r="D290" s="207" t="inlineStr">
        <is>
          <t>阿巴阿巴</t>
        </is>
      </c>
      <c r="E290" s="207" t="n"/>
      <c r="F290" s="207" t="n"/>
      <c r="G290" s="207" t="inlineStr">
        <is>
          <t>补差价</t>
        </is>
      </c>
      <c r="H290" s="207" t="inlineStr">
        <is>
          <t>樱桃木窄柜</t>
        </is>
      </c>
      <c r="I290" s="89" t="n"/>
      <c r="J290" s="87" t="inlineStr">
        <is>
          <t>已结算</t>
        </is>
      </c>
      <c r="K290" s="86" t="inlineStr">
        <is>
          <t>庄毅</t>
        </is>
      </c>
      <c r="L290" s="207" t="n">
        <v>0</v>
      </c>
      <c r="M290" s="207" t="n">
        <v>0</v>
      </c>
      <c r="N290" s="207" t="n"/>
      <c r="O290" s="207" t="n"/>
      <c r="P290" s="207" t="n"/>
      <c r="Q290" s="207" t="n"/>
      <c r="R290" s="207" t="n"/>
      <c r="S290" s="207" t="n"/>
      <c r="T290" s="207" t="n"/>
      <c r="U290" s="207" t="n"/>
      <c r="V290" s="207" t="n"/>
      <c r="W290" s="207" t="n"/>
      <c r="X290" s="207" t="n"/>
      <c r="Y290" s="207" t="n"/>
      <c r="Z290" s="207" t="n"/>
      <c r="AA290" s="207" t="n"/>
      <c r="AB290" s="207" t="n"/>
      <c r="AC290" s="207" t="n"/>
      <c r="AD290" s="207" t="n"/>
      <c r="AE290" s="207" t="n"/>
      <c r="AF290" s="207" t="n"/>
      <c r="AG290" s="207" t="n"/>
      <c r="AH290" s="207" t="n"/>
      <c r="AI290" s="207" t="n"/>
      <c r="AJ290" s="207" t="n"/>
      <c r="AK290" s="207" t="n"/>
      <c r="AL290" s="207" t="n"/>
      <c r="AM290" s="207" t="n"/>
      <c r="AN290" s="207" t="n"/>
      <c r="AO290" s="207" t="n"/>
      <c r="AP290" s="207" t="n">
        <v>0</v>
      </c>
      <c r="AQ290" s="207" t="n">
        <v>0</v>
      </c>
      <c r="AR290" s="207" t="n">
        <v>0</v>
      </c>
      <c r="AS290" s="207" t="n">
        <v>0</v>
      </c>
      <c r="AT290" s="207" t="n">
        <v>0</v>
      </c>
      <c r="AU290" s="207" t="n">
        <v>0</v>
      </c>
      <c r="AV290" s="207" t="n">
        <v>0</v>
      </c>
      <c r="AW290" s="207" t="n">
        <v>0</v>
      </c>
      <c r="AX290" s="208" t="n">
        <v>1</v>
      </c>
      <c r="AY290" s="209">
        <f>L290*AX290+AP290+AQ290+AR290+AV290+AW290+AS290+AT290+AU290</f>
        <v/>
      </c>
      <c r="AZ290" s="207" t="n">
        <v>304</v>
      </c>
      <c r="BA290" s="207" t="n">
        <v>0</v>
      </c>
      <c r="BB290" s="207">
        <f>AZ290*0.006</f>
        <v/>
      </c>
      <c r="BC290" s="209">
        <f>AZ290+BA290-BB290</f>
        <v/>
      </c>
      <c r="BD290" s="207" t="n">
        <v>0</v>
      </c>
      <c r="BE290" s="207" t="n">
        <v>0</v>
      </c>
      <c r="BF290" s="209">
        <f>BD290+BE290</f>
        <v/>
      </c>
      <c r="BG290" s="209">
        <f>BC290-AY290+BF290</f>
        <v/>
      </c>
      <c r="BH290" s="86" t="inlineStr">
        <is>
          <t>阿巴阿巴</t>
        </is>
      </c>
      <c r="BI290" s="86" t="inlineStr">
        <is>
          <t>湖南省 长沙市 岳麓区 洋湖街道合能洋湖公馆2期9栋304</t>
        </is>
      </c>
      <c r="BJ290" s="86" t="inlineStr">
        <is>
          <t>15527394037-7914</t>
        </is>
      </c>
      <c r="BK290" s="87" t="n"/>
      <c r="BL290" s="210" t="n"/>
      <c r="BM290" s="93" t="n"/>
      <c r="BN290" s="94" t="n"/>
      <c r="BO290" s="93" t="n"/>
      <c r="BP290" s="86" t="n"/>
      <c r="BQ290" s="96" t="n"/>
      <c r="BR290" s="96" t="n"/>
      <c r="BS290" s="97" t="n"/>
      <c r="BT290" s="96" t="n"/>
      <c r="BU290" s="97" t="n"/>
      <c r="BV290" s="96" t="n"/>
      <c r="BW290" s="97" t="n"/>
      <c r="BX290" s="97" t="n"/>
      <c r="BY290" s="97" t="n"/>
      <c r="BZ290" s="97" t="n"/>
      <c r="CA290" s="98" t="n"/>
      <c r="CH290" s="11" t="n"/>
      <c r="CI290" s="14">
        <f>CJ290&amp;CK290</f>
        <v/>
      </c>
      <c r="CJ290" s="25" t="n"/>
      <c r="CK290" s="25" t="n"/>
      <c r="CL290" s="25" t="n"/>
      <c r="CM290" s="25" t="n"/>
      <c r="CN290" s="25" t="n"/>
      <c r="CO290" s="25" t="n"/>
      <c r="CP290" s="25" t="n"/>
      <c r="CQ290" s="25" t="n"/>
      <c r="CR290" s="25" t="n"/>
      <c r="CS290" s="25" t="n"/>
      <c r="CT290" s="25" t="n"/>
      <c r="CU290" s="25" t="n"/>
      <c r="CV290" s="25" t="n"/>
      <c r="CW290" s="25" t="n"/>
      <c r="CX290" s="25" t="n"/>
      <c r="CY290" s="25" t="n"/>
      <c r="CZ290" s="25" t="n"/>
      <c r="DC290" s="26" t="n"/>
      <c r="DD290" s="26" t="n"/>
      <c r="DE290" s="26" t="n"/>
      <c r="DF290" s="26" t="n"/>
      <c r="DG290" s="26" t="n"/>
      <c r="DH290" s="27" t="n"/>
      <c r="DJ290" s="211" t="inlineStr">
        <is>
          <t>订单表中未找到</t>
        </is>
      </c>
      <c r="DK290" t="inlineStr">
        <is>
          <t>—</t>
        </is>
      </c>
      <c r="DL290" t="inlineStr">
        <is>
          <t>—</t>
        </is>
      </c>
    </row>
    <row r="291" ht="15.75" customHeight="1" s="187">
      <c r="A291" s="84" t="n">
        <v>45950</v>
      </c>
      <c r="B291" s="206" t="inlineStr">
        <is>
          <t>已收货</t>
        </is>
      </c>
      <c r="C291" s="86" t="inlineStr">
        <is>
          <t>3007733089387828787</t>
        </is>
      </c>
      <c r="D291" s="207" t="inlineStr">
        <is>
          <t>阿Q</t>
        </is>
      </c>
      <c r="E291" s="207" t="n"/>
      <c r="F291" s="207" t="n"/>
      <c r="G291" s="87" t="inlineStr">
        <is>
          <t>砂白色2.0米岩板餐桌</t>
        </is>
      </c>
      <c r="H291" s="207" t="inlineStr">
        <is>
          <t>榉木餐桌</t>
        </is>
      </c>
      <c r="I291" s="89" t="inlineStr">
        <is>
          <t>200cm*85cm</t>
        </is>
      </c>
      <c r="J291" s="87" t="inlineStr">
        <is>
          <t>已结算</t>
        </is>
      </c>
      <c r="K291" s="86" t="inlineStr">
        <is>
          <t>江西</t>
        </is>
      </c>
      <c r="L291" s="207">
        <f>SUM(M291:AO291)</f>
        <v/>
      </c>
      <c r="M291" s="207">
        <f>1450</f>
        <v/>
      </c>
      <c r="N291" s="207" t="n"/>
      <c r="O291" s="207" t="n"/>
      <c r="P291" s="207" t="n"/>
      <c r="Q291" s="207" t="n"/>
      <c r="R291" s="207" t="n">
        <v>290</v>
      </c>
      <c r="S291" s="207" t="n"/>
      <c r="T291" s="207" t="n"/>
      <c r="U291" s="207" t="n"/>
      <c r="V291" s="207" t="n"/>
      <c r="W291" s="207" t="n"/>
      <c r="X291" s="207" t="n"/>
      <c r="Y291" s="207" t="n"/>
      <c r="Z291" s="207" t="n"/>
      <c r="AA291" s="207" t="n"/>
      <c r="AB291" s="207" t="n"/>
      <c r="AC291" s="207" t="n"/>
      <c r="AD291" s="207" t="n">
        <v>2.5</v>
      </c>
      <c r="AE291" s="207" t="n"/>
      <c r="AF291" s="207" t="n"/>
      <c r="AG291" s="207" t="n"/>
      <c r="AH291" s="207" t="n"/>
      <c r="AI291" s="207" t="n"/>
      <c r="AJ291" s="207" t="n"/>
      <c r="AK291" s="207" t="n"/>
      <c r="AL291" s="207" t="n"/>
      <c r="AM291" s="207" t="n">
        <v>70</v>
      </c>
      <c r="AN291" s="207" t="n"/>
      <c r="AO291" s="207" t="n"/>
      <c r="AP291" s="207" t="n">
        <v>350</v>
      </c>
      <c r="AQ291" s="207" t="n">
        <v>0</v>
      </c>
      <c r="AR291" s="207" t="n">
        <v>0</v>
      </c>
      <c r="AS291" s="207" t="n">
        <v>0</v>
      </c>
      <c r="AT291" s="207" t="n">
        <v>0</v>
      </c>
      <c r="AU291" s="207" t="n">
        <v>0</v>
      </c>
      <c r="AV291" s="207" t="n">
        <v>0</v>
      </c>
      <c r="AW291" s="207" t="n">
        <v>0</v>
      </c>
      <c r="AX291" s="208" t="n">
        <v>1</v>
      </c>
      <c r="AY291" s="209">
        <f>L291*AX291+AP291+AQ291+AR291+AV291+AW291+AS291+AT291+AU291</f>
        <v/>
      </c>
      <c r="AZ291" s="207" t="n">
        <v>2925.31</v>
      </c>
      <c r="BA291" s="207" t="n">
        <v>0</v>
      </c>
      <c r="BB291" s="207">
        <f>AZ291*0.006</f>
        <v/>
      </c>
      <c r="BC291" s="209">
        <f>AZ291+BA291-BB291</f>
        <v/>
      </c>
      <c r="BD291" s="207" t="n">
        <v>0</v>
      </c>
      <c r="BE291" s="207" t="n">
        <v>0</v>
      </c>
      <c r="BF291" s="209">
        <f>BD291+BE291</f>
        <v/>
      </c>
      <c r="BG291" s="209">
        <f>BC291-AY291+BF291</f>
        <v/>
      </c>
      <c r="BH291" s="207" t="inlineStr">
        <is>
          <t>阿Q</t>
        </is>
      </c>
      <c r="BI291" s="207" t="inlineStr">
        <is>
          <t>浙江省 嘉兴市 秀洲区 高照街道交控凌云府2号楼</t>
        </is>
      </c>
      <c r="BJ291" s="207" t="inlineStr">
        <is>
          <t>18413437110-9442</t>
        </is>
      </c>
      <c r="BK291" s="87" t="n"/>
      <c r="BL291" s="210" t="n"/>
      <c r="BM291" s="93" t="n"/>
      <c r="BN291" s="94" t="n"/>
      <c r="BO291" s="93" t="n"/>
      <c r="BP291" s="86" t="n"/>
      <c r="BQ291" s="96" t="n"/>
      <c r="BR291" s="96" t="n"/>
      <c r="BS291" s="97" t="n"/>
      <c r="BT291" s="96" t="n"/>
      <c r="BU291" s="97" t="n"/>
      <c r="BV291" s="96" t="n"/>
      <c r="BW291" s="97" t="n"/>
      <c r="BX291" s="97" t="n"/>
      <c r="BY291" s="97" t="n"/>
      <c r="BZ291" s="97" t="n"/>
      <c r="CA291" s="98" t="n"/>
      <c r="CH291" s="11" t="n"/>
      <c r="CI291" s="14">
        <f>CJ291&amp;CK291</f>
        <v/>
      </c>
      <c r="CJ291" s="25" t="n"/>
      <c r="CK291" s="25" t="n"/>
      <c r="CL291" s="25" t="n"/>
      <c r="CM291" s="25" t="n"/>
      <c r="CN291" s="25" t="n"/>
      <c r="CO291" s="25" t="n"/>
      <c r="CP291" s="25" t="n"/>
      <c r="CQ291" s="25" t="n"/>
      <c r="CR291" s="25" t="n"/>
      <c r="CS291" s="25" t="n"/>
      <c r="CT291" s="25" t="n"/>
      <c r="CU291" s="25" t="n"/>
      <c r="CV291" s="25" t="n"/>
      <c r="CW291" s="25" t="n"/>
      <c r="CX291" s="25" t="n"/>
      <c r="CY291" s="25" t="n"/>
      <c r="CZ291" s="25" t="n"/>
      <c r="DC291" s="26" t="n"/>
      <c r="DD291" s="26" t="n"/>
      <c r="DE291" s="26" t="n"/>
      <c r="DF291" s="26" t="n"/>
      <c r="DG291" s="26" t="n"/>
      <c r="DH291" s="27" t="n"/>
      <c r="DJ291" s="211" t="inlineStr">
        <is>
          <t>订单表中未找到</t>
        </is>
      </c>
      <c r="DK291" t="inlineStr">
        <is>
          <t>—</t>
        </is>
      </c>
      <c r="DL291" t="inlineStr">
        <is>
          <t>—</t>
        </is>
      </c>
    </row>
    <row r="292" ht="15.75" customHeight="1" s="187">
      <c r="A292" s="84" t="n">
        <v>45950</v>
      </c>
      <c r="B292" s="206" t="inlineStr">
        <is>
          <t>已收货</t>
        </is>
      </c>
      <c r="C292" s="86" t="inlineStr">
        <is>
          <t>3007866216793091692</t>
        </is>
      </c>
      <c r="D292" s="86" t="inlineStr">
        <is>
          <t>刘扬</t>
        </is>
      </c>
      <c r="E292" s="207" t="n"/>
      <c r="F292" s="207" t="n"/>
      <c r="G292" s="87" t="inlineStr">
        <is>
          <t>砂白色1.4米岩板餐桌</t>
        </is>
      </c>
      <c r="H292" s="220" t="inlineStr">
        <is>
          <t>榉木餐桌</t>
        </is>
      </c>
      <c r="I292" s="218" t="inlineStr">
        <is>
          <t>140cm*85cm</t>
        </is>
      </c>
      <c r="J292" s="87" t="inlineStr">
        <is>
          <t>已结算</t>
        </is>
      </c>
      <c r="K292" s="86" t="inlineStr">
        <is>
          <t>江西</t>
        </is>
      </c>
      <c r="L292" s="207">
        <f>SUM(M292:AO292)</f>
        <v/>
      </c>
      <c r="M292" s="207">
        <f>1300</f>
        <v/>
      </c>
      <c r="N292" s="207" t="n"/>
      <c r="O292" s="207" t="n"/>
      <c r="P292" s="207" t="n"/>
      <c r="Q292" s="207" t="n"/>
      <c r="R292" s="207" t="n">
        <v>240</v>
      </c>
      <c r="S292" s="207" t="n"/>
      <c r="T292" s="207" t="n"/>
      <c r="U292" s="207" t="n"/>
      <c r="V292" s="207" t="n"/>
      <c r="W292" s="207" t="n"/>
      <c r="X292" s="207" t="n"/>
      <c r="Y292" s="207" t="n"/>
      <c r="Z292" s="207" t="n"/>
      <c r="AA292" s="207" t="n"/>
      <c r="AB292" s="207" t="n"/>
      <c r="AC292" s="207" t="n"/>
      <c r="AD292" s="207" t="n">
        <v>2.5</v>
      </c>
      <c r="AE292" s="207" t="n"/>
      <c r="AF292" s="207" t="n"/>
      <c r="AG292" s="207" t="n"/>
      <c r="AH292" s="207" t="n"/>
      <c r="AI292" s="207" t="n"/>
      <c r="AJ292" s="207" t="n"/>
      <c r="AK292" s="207" t="n"/>
      <c r="AL292" s="207" t="n"/>
      <c r="AM292" s="207" t="n">
        <v>170</v>
      </c>
      <c r="AN292" s="207" t="n"/>
      <c r="AO292" s="207" t="n"/>
      <c r="AP292" s="207">
        <f>115-AQ292</f>
        <v/>
      </c>
      <c r="AQ292" s="207" t="n">
        <v>30</v>
      </c>
      <c r="AR292" s="207" t="n">
        <v>93</v>
      </c>
      <c r="AS292" s="207" t="n">
        <v>0</v>
      </c>
      <c r="AT292" s="207" t="n">
        <v>0</v>
      </c>
      <c r="AU292" s="207" t="n">
        <v>0</v>
      </c>
      <c r="AV292" s="207" t="n">
        <v>0</v>
      </c>
      <c r="AW292" s="207" t="n">
        <v>0</v>
      </c>
      <c r="AX292" s="208" t="n">
        <v>1</v>
      </c>
      <c r="AY292" s="209">
        <f>L292*AX292+AP292+AQ292+AR292+AV292+AW292+AS292+AT292+AU292</f>
        <v/>
      </c>
      <c r="AZ292" s="207" t="n">
        <v>2593.89</v>
      </c>
      <c r="BA292" s="207" t="n">
        <v>0</v>
      </c>
      <c r="BB292" s="207">
        <f>AZ292*0.006</f>
        <v/>
      </c>
      <c r="BC292" s="209">
        <f>AZ292+BA292-BB292</f>
        <v/>
      </c>
      <c r="BD292" s="207" t="n">
        <v>0</v>
      </c>
      <c r="BE292" s="207" t="n">
        <v>0</v>
      </c>
      <c r="BF292" s="209">
        <f>BD292+BE292</f>
        <v/>
      </c>
      <c r="BG292" s="209">
        <f>BC292-AY292+BF292</f>
        <v/>
      </c>
      <c r="BH292" s="86" t="inlineStr">
        <is>
          <t>刘扬</t>
        </is>
      </c>
      <c r="BI292" s="86" t="inlineStr">
        <is>
          <t>浙江省 金华市 金东区 多湖街道紫金湾D区5栋306</t>
        </is>
      </c>
      <c r="BJ292" s="86" t="inlineStr">
        <is>
          <t>15787413622-1566</t>
        </is>
      </c>
      <c r="BK292" s="87" t="n"/>
      <c r="BL292" s="210" t="n"/>
      <c r="BM292" s="93" t="n"/>
      <c r="BN292" s="94" t="n"/>
      <c r="BO292" s="93" t="n"/>
      <c r="BP292" s="86" t="n"/>
      <c r="BQ292" s="96" t="n"/>
      <c r="BR292" s="96" t="n"/>
      <c r="BS292" s="97" t="n"/>
      <c r="BT292" s="96" t="n"/>
      <c r="BU292" s="97" t="n"/>
      <c r="BV292" s="96" t="n"/>
      <c r="BW292" s="97" t="n"/>
      <c r="BX292" s="97" t="n"/>
      <c r="BY292" s="97" t="n"/>
      <c r="BZ292" s="97" t="n"/>
      <c r="CA292" s="98" t="n"/>
      <c r="CH292" s="11" t="n"/>
      <c r="CI292" s="14">
        <f>CJ292&amp;CK292</f>
        <v/>
      </c>
      <c r="CJ292" s="25" t="n"/>
      <c r="CK292" s="25" t="n"/>
      <c r="CL292" s="25" t="n"/>
      <c r="CM292" s="25" t="n"/>
      <c r="CN292" s="25" t="n"/>
      <c r="CO292" s="25" t="n"/>
      <c r="CP292" s="25" t="n"/>
      <c r="CQ292" s="25" t="n"/>
      <c r="CR292" s="25" t="n"/>
      <c r="CS292" s="25" t="n"/>
      <c r="CT292" s="25" t="n"/>
      <c r="CU292" s="25" t="n"/>
      <c r="CV292" s="25" t="n"/>
      <c r="CW292" s="25" t="n"/>
      <c r="CX292" s="25" t="n"/>
      <c r="CY292" s="25" t="n"/>
      <c r="CZ292" s="25" t="n"/>
      <c r="DC292" s="26" t="n"/>
      <c r="DD292" s="26" t="n"/>
      <c r="DE292" s="26" t="n"/>
      <c r="DF292" s="26" t="n"/>
      <c r="DG292" s="26" t="n"/>
      <c r="DH292" s="27" t="n"/>
      <c r="DJ292" s="211" t="inlineStr">
        <is>
          <t>订单表中未找到</t>
        </is>
      </c>
      <c r="DK292" t="inlineStr">
        <is>
          <t>—</t>
        </is>
      </c>
      <c r="DL292" t="inlineStr">
        <is>
          <t>—</t>
        </is>
      </c>
    </row>
    <row r="293" ht="15.75" customHeight="1" s="187">
      <c r="A293" s="99" t="n">
        <v>45950</v>
      </c>
      <c r="B293" s="100" t="inlineStr">
        <is>
          <t>退单</t>
        </is>
      </c>
      <c r="C293" s="101" t="inlineStr">
        <is>
          <t>4822683771552864507</t>
        </is>
      </c>
      <c r="D293" s="100" t="inlineStr">
        <is>
          <t>刘昊然</t>
        </is>
      </c>
      <c r="E293" s="100" t="n"/>
      <c r="F293" s="100" t="n"/>
      <c r="G293" s="100" t="inlineStr">
        <is>
          <t>基础柜-整柜AA柱背板-2.1米</t>
        </is>
      </c>
      <c r="H293" s="100" t="inlineStr">
        <is>
          <t>基础餐边柜</t>
        </is>
      </c>
      <c r="I293" s="102" t="n"/>
      <c r="J293" s="100" t="inlineStr">
        <is>
          <t>已结算</t>
        </is>
      </c>
      <c r="K293" s="100" t="inlineStr">
        <is>
          <t>庄毅</t>
        </is>
      </c>
      <c r="L293" s="212" t="n">
        <v>0</v>
      </c>
      <c r="M293" s="207" t="n">
        <v>0</v>
      </c>
      <c r="N293" s="207" t="n"/>
      <c r="O293" s="207" t="n"/>
      <c r="P293" s="207" t="n"/>
      <c r="Q293" s="207" t="n"/>
      <c r="R293" s="207" t="n"/>
      <c r="S293" s="207" t="n"/>
      <c r="T293" s="207" t="n"/>
      <c r="U293" s="207" t="n"/>
      <c r="V293" s="207" t="n"/>
      <c r="W293" s="207" t="n"/>
      <c r="X293" s="207" t="n"/>
      <c r="Y293" s="207" t="n"/>
      <c r="Z293" s="207" t="n"/>
      <c r="AA293" s="207" t="n"/>
      <c r="AB293" s="207" t="n"/>
      <c r="AC293" s="207" t="n"/>
      <c r="AD293" s="207" t="n"/>
      <c r="AE293" s="207" t="n"/>
      <c r="AF293" s="207" t="n"/>
      <c r="AG293" s="207" t="n"/>
      <c r="AH293" s="207" t="n"/>
      <c r="AI293" s="207" t="n"/>
      <c r="AJ293" s="207" t="n"/>
      <c r="AK293" s="207" t="n"/>
      <c r="AL293" s="207" t="n"/>
      <c r="AM293" s="207" t="n"/>
      <c r="AN293" s="207" t="n"/>
      <c r="AO293" s="207" t="n"/>
      <c r="AP293" s="213" t="n">
        <v>0</v>
      </c>
      <c r="AQ293" s="213" t="n">
        <v>0</v>
      </c>
      <c r="AR293" s="213" t="n">
        <v>0</v>
      </c>
      <c r="AS293" s="213" t="n">
        <v>0</v>
      </c>
      <c r="AT293" s="213" t="n">
        <v>0</v>
      </c>
      <c r="AU293" s="213" t="n">
        <v>0</v>
      </c>
      <c r="AV293" s="213" t="n">
        <v>0</v>
      </c>
      <c r="AW293" s="213" t="n">
        <v>500</v>
      </c>
      <c r="AX293" s="214" t="n">
        <v>1</v>
      </c>
      <c r="AY293" s="213">
        <f>L293*AX293+AP293+AQ293+AR293+AV293+AW293+AS293+AT293+AU293</f>
        <v/>
      </c>
      <c r="AZ293" s="213" t="n">
        <v>0</v>
      </c>
      <c r="BA293" s="213" t="n">
        <v>0</v>
      </c>
      <c r="BB293" s="213">
        <f>AZ293*0.006</f>
        <v/>
      </c>
      <c r="BC293" s="213">
        <f>AZ293+BA293-BB293</f>
        <v/>
      </c>
      <c r="BD293" s="213" t="n">
        <v>500</v>
      </c>
      <c r="BE293" s="213" t="n">
        <v>0</v>
      </c>
      <c r="BF293" s="213">
        <f>BD293+BE293</f>
        <v/>
      </c>
      <c r="BG293" s="213">
        <f>BC293-AY293+BF293</f>
        <v/>
      </c>
      <c r="BH293" s="100" t="inlineStr">
        <is>
          <t>刘昊然</t>
        </is>
      </c>
      <c r="BI293" s="100" t="inlineStr">
        <is>
          <t>广东省 佛山市 顺德区 伦教街道顺德立交桥东北保利中央公园4座402</t>
        </is>
      </c>
      <c r="BJ293" s="100" t="inlineStr">
        <is>
          <t>13202485416-8972</t>
        </is>
      </c>
      <c r="BK293" s="101" t="n"/>
      <c r="BL293" s="215" t="n"/>
      <c r="BM293" s="107" t="n"/>
      <c r="BN293" s="108" t="n"/>
      <c r="BO293" s="107" t="n"/>
      <c r="BP293" s="101" t="n"/>
      <c r="BQ293" s="109" t="n"/>
      <c r="BR293" s="109" t="n"/>
      <c r="BS293" s="100" t="n"/>
      <c r="BT293" s="109" t="n"/>
      <c r="BU293" s="100" t="n"/>
      <c r="BV293" s="109" t="n"/>
      <c r="BW293" s="100" t="n"/>
      <c r="BX293" s="100" t="n"/>
      <c r="BY293" s="100" t="n"/>
      <c r="BZ293" s="100" t="n"/>
      <c r="CA293" s="98" t="n"/>
      <c r="CH293" s="2" t="n"/>
      <c r="CI293" s="14">
        <f>CJ293&amp;CK293</f>
        <v/>
      </c>
      <c r="CY293" s="25" t="n"/>
      <c r="DA293" s="25" t="n"/>
      <c r="DC293" s="26" t="n"/>
      <c r="DD293" s="26" t="n"/>
      <c r="DE293" s="26" t="n"/>
      <c r="DF293" s="26" t="n"/>
      <c r="DG293" s="26" t="n"/>
      <c r="DH293" s="27" t="n"/>
      <c r="DJ293" s="211" t="inlineStr">
        <is>
          <t>订单表中未找到</t>
        </is>
      </c>
      <c r="DK293" t="inlineStr">
        <is>
          <t>—</t>
        </is>
      </c>
      <c r="DL293" t="inlineStr">
        <is>
          <t>—</t>
        </is>
      </c>
    </row>
    <row r="294" ht="15.75" customHeight="1" s="187">
      <c r="A294" s="99" t="n">
        <v>45950</v>
      </c>
      <c r="B294" s="100" t="inlineStr">
        <is>
          <t>退单</t>
        </is>
      </c>
      <c r="C294" s="101" t="inlineStr">
        <is>
          <t>4822926120424338015</t>
        </is>
      </c>
      <c r="D294" s="100" t="inlineStr">
        <is>
          <t>蒋小挪</t>
        </is>
      </c>
      <c r="E294" s="100" t="n"/>
      <c r="F294" s="100" t="n"/>
      <c r="G294" s="100" t="inlineStr">
        <is>
          <t>砂白色1.8米岩板餐桌</t>
        </is>
      </c>
      <c r="H294" s="100" t="inlineStr">
        <is>
          <t>榉木餐桌</t>
        </is>
      </c>
      <c r="I294" s="102" t="inlineStr">
        <is>
          <t>180cm*85cm</t>
        </is>
      </c>
      <c r="J294" s="100" t="inlineStr">
        <is>
          <t>已结算</t>
        </is>
      </c>
      <c r="K294" s="100" t="inlineStr">
        <is>
          <t>庄毅</t>
        </is>
      </c>
      <c r="L294" s="212" t="n">
        <v>0</v>
      </c>
      <c r="M294" s="207" t="n">
        <v>0</v>
      </c>
      <c r="N294" s="207" t="n"/>
      <c r="O294" s="207" t="n"/>
      <c r="P294" s="207" t="n"/>
      <c r="Q294" s="207" t="n"/>
      <c r="R294" s="207" t="n"/>
      <c r="S294" s="207" t="n"/>
      <c r="T294" s="207" t="n"/>
      <c r="U294" s="207" t="n"/>
      <c r="V294" s="207" t="n"/>
      <c r="W294" s="207" t="n"/>
      <c r="X294" s="207" t="n"/>
      <c r="Y294" s="207" t="n"/>
      <c r="Z294" s="207" t="n"/>
      <c r="AA294" s="207" t="n"/>
      <c r="AB294" s="207" t="n"/>
      <c r="AC294" s="207" t="n"/>
      <c r="AD294" s="207" t="n"/>
      <c r="AE294" s="207" t="n"/>
      <c r="AF294" s="207" t="n"/>
      <c r="AG294" s="207" t="n"/>
      <c r="AH294" s="207" t="n"/>
      <c r="AI294" s="207" t="n"/>
      <c r="AJ294" s="207" t="n"/>
      <c r="AK294" s="207" t="n"/>
      <c r="AL294" s="207" t="n"/>
      <c r="AM294" s="207" t="n"/>
      <c r="AN294" s="207" t="n"/>
      <c r="AO294" s="207" t="n"/>
      <c r="AP294" s="213" t="n">
        <v>0</v>
      </c>
      <c r="AQ294" s="213" t="n">
        <v>0</v>
      </c>
      <c r="AR294" s="213" t="n">
        <v>0</v>
      </c>
      <c r="AS294" s="213" t="n">
        <v>0</v>
      </c>
      <c r="AT294" s="213" t="n">
        <v>0</v>
      </c>
      <c r="AU294" s="213" t="n">
        <v>0</v>
      </c>
      <c r="AV294" s="213" t="n">
        <v>0</v>
      </c>
      <c r="AW294" s="213" t="n">
        <v>0</v>
      </c>
      <c r="AX294" s="214" t="n">
        <v>1</v>
      </c>
      <c r="AY294" s="213">
        <f>L294*AX294+AP294+AQ294+AR294+AV294+AW294+AS294+AT294+AU294</f>
        <v/>
      </c>
      <c r="AZ294" s="213" t="n">
        <v>0</v>
      </c>
      <c r="BA294" s="213" t="n">
        <v>0</v>
      </c>
      <c r="BB294" s="213">
        <f>AZ294*0.006</f>
        <v/>
      </c>
      <c r="BC294" s="213">
        <f>AZ294+BA294-BB294</f>
        <v/>
      </c>
      <c r="BD294" s="213" t="n">
        <v>0</v>
      </c>
      <c r="BE294" s="213" t="n">
        <v>0</v>
      </c>
      <c r="BF294" s="213">
        <f>BD294+BE294</f>
        <v/>
      </c>
      <c r="BG294" s="213">
        <f>BC294-AY294+BF294</f>
        <v/>
      </c>
      <c r="BH294" s="100" t="inlineStr">
        <is>
          <t>蒋小挪</t>
        </is>
      </c>
      <c r="BI294" s="100" t="inlineStr">
        <is>
          <t>重庆 重庆市 大渡口区 八桥镇龙湖焕城汐林11栋14-04</t>
        </is>
      </c>
      <c r="BJ294" s="100" t="inlineStr">
        <is>
          <t>15683794435-5854</t>
        </is>
      </c>
      <c r="BK294" s="101" t="n"/>
      <c r="BL294" s="215" t="n"/>
      <c r="BM294" s="107" t="n"/>
      <c r="BN294" s="108" t="n"/>
      <c r="BO294" s="107" t="n"/>
      <c r="BP294" s="101" t="n"/>
      <c r="BQ294" s="109" t="n"/>
      <c r="BR294" s="109" t="n"/>
      <c r="BS294" s="100" t="n"/>
      <c r="BT294" s="109" t="n"/>
      <c r="BU294" s="100" t="n"/>
      <c r="BV294" s="109" t="n"/>
      <c r="BW294" s="100" t="n"/>
      <c r="BX294" s="100" t="n"/>
      <c r="BY294" s="100" t="n"/>
      <c r="BZ294" s="100" t="n"/>
      <c r="CA294" s="98" t="n"/>
      <c r="CH294" s="2" t="n"/>
      <c r="CI294" s="14">
        <f>CJ294&amp;CK294</f>
        <v/>
      </c>
      <c r="CY294" s="25" t="n"/>
      <c r="DA294" s="25" t="n"/>
      <c r="DC294" s="26" t="n"/>
      <c r="DD294" s="26" t="n"/>
      <c r="DE294" s="26" t="n"/>
      <c r="DF294" s="26" t="n"/>
      <c r="DG294" s="26" t="n"/>
      <c r="DH294" s="27" t="n"/>
      <c r="DJ294" s="211" t="inlineStr">
        <is>
          <t>订单表中未找到</t>
        </is>
      </c>
      <c r="DK294" t="inlineStr">
        <is>
          <t>—</t>
        </is>
      </c>
      <c r="DL294" t="inlineStr">
        <is>
          <t>—</t>
        </is>
      </c>
    </row>
    <row r="295" ht="15.75" customHeight="1" s="187">
      <c r="A295" s="84" t="n">
        <v>45950</v>
      </c>
      <c r="B295" s="206" t="inlineStr">
        <is>
          <t>已收货</t>
        </is>
      </c>
      <c r="C295" s="86" t="inlineStr">
        <is>
          <t>3008084844987357151</t>
        </is>
      </c>
      <c r="D295" s="207" t="inlineStr">
        <is>
          <t>陈鹏飞</t>
        </is>
      </c>
      <c r="E295" s="116" t="inlineStr">
        <is>
          <t>延后安装</t>
        </is>
      </c>
      <c r="F295" s="207" t="n"/>
      <c r="G295" s="207" t="inlineStr">
        <is>
          <t>砂白色1.6米岩板餐桌</t>
        </is>
      </c>
      <c r="H295" s="207" t="inlineStr">
        <is>
          <t>榉木餐桌</t>
        </is>
      </c>
      <c r="I295" s="89" t="inlineStr">
        <is>
          <t>160cm*85cm</t>
        </is>
      </c>
      <c r="J295" s="87" t="inlineStr">
        <is>
          <t>已结算</t>
        </is>
      </c>
      <c r="K295" s="86" t="inlineStr">
        <is>
          <t>庄毅</t>
        </is>
      </c>
      <c r="L295" s="207">
        <f>SUM(M295:AO295)</f>
        <v/>
      </c>
      <c r="M295" s="207">
        <f>1530</f>
        <v/>
      </c>
      <c r="N295" s="207" t="n"/>
      <c r="O295" s="207" t="n"/>
      <c r="P295" s="207" t="n"/>
      <c r="Q295" s="207" t="n"/>
      <c r="R295" s="207">
        <f>180*1.8*0.85</f>
        <v/>
      </c>
      <c r="S295" s="207" t="n"/>
      <c r="T295" s="207" t="n"/>
      <c r="U295" s="207" t="n"/>
      <c r="V295" s="207" t="n"/>
      <c r="W295" s="207" t="n"/>
      <c r="X295" s="207" t="n"/>
      <c r="Y295" s="207" t="n"/>
      <c r="Z295" s="207" t="n"/>
      <c r="AA295" s="207" t="n"/>
      <c r="AB295" s="207" t="n"/>
      <c r="AC295" s="207" t="n"/>
      <c r="AD295" s="207" t="n">
        <v>2.5</v>
      </c>
      <c r="AE295" s="207" t="n"/>
      <c r="AF295" s="207" t="n"/>
      <c r="AG295" s="207" t="n"/>
      <c r="AH295" s="207" t="n"/>
      <c r="AI295" s="207" t="n"/>
      <c r="AJ295" s="207" t="n"/>
      <c r="AK295" s="207" t="n"/>
      <c r="AL295" s="207" t="n"/>
      <c r="AM295" s="207" t="n"/>
      <c r="AN295" s="207" t="n"/>
      <c r="AO295" s="207" t="n"/>
      <c r="AP295" s="207" t="n">
        <v>205</v>
      </c>
      <c r="AQ295" s="207" t="n">
        <v>0</v>
      </c>
      <c r="AR295" s="121" t="n">
        <v>150</v>
      </c>
      <c r="AS295" s="207" t="n">
        <v>0</v>
      </c>
      <c r="AT295" s="207" t="n">
        <v>0</v>
      </c>
      <c r="AU295" s="207" t="n">
        <v>0</v>
      </c>
      <c r="AV295" s="207" t="n">
        <v>0</v>
      </c>
      <c r="AW295" s="207" t="n">
        <v>0</v>
      </c>
      <c r="AX295" s="208" t="n">
        <v>1</v>
      </c>
      <c r="AY295" s="209">
        <f>L295*AX295+AP295+AQ295+AR295+AV295+AW295+AS295+AT295+AU295</f>
        <v/>
      </c>
      <c r="AZ295" s="207" t="n">
        <v>2794.6</v>
      </c>
      <c r="BA295" s="207" t="n">
        <v>0</v>
      </c>
      <c r="BB295" s="207">
        <f>AZ295*0.006</f>
        <v/>
      </c>
      <c r="BC295" s="209">
        <f>AZ295+BA295-BB295</f>
        <v/>
      </c>
      <c r="BD295" s="207" t="n">
        <v>0</v>
      </c>
      <c r="BE295" s="207" t="n">
        <v>0</v>
      </c>
      <c r="BF295" s="209">
        <f>BD295+BE295</f>
        <v/>
      </c>
      <c r="BG295" s="209">
        <f>BC295-AY295+BF295</f>
        <v/>
      </c>
      <c r="BH295" s="207" t="inlineStr">
        <is>
          <t>陈鹏飞</t>
        </is>
      </c>
      <c r="BI295" s="207" t="inlineStr">
        <is>
          <t>安徽省 六安市 裕安区 平桥乡将军路华邦和华园142号楼901室</t>
        </is>
      </c>
      <c r="BJ295" s="207" t="inlineStr">
        <is>
          <t>15665458842-5884</t>
        </is>
      </c>
      <c r="BK295" s="87" t="n"/>
      <c r="BL295" s="210" t="n"/>
      <c r="BM295" s="93" t="n"/>
      <c r="BN295" s="94" t="n"/>
      <c r="BO295" s="93" t="n"/>
      <c r="BP295" s="86" t="n"/>
      <c r="BQ295" s="96" t="n"/>
      <c r="BR295" s="96" t="n"/>
      <c r="BS295" s="97" t="n"/>
      <c r="BT295" s="96" t="n"/>
      <c r="BU295" s="97" t="n"/>
      <c r="BV295" s="96" t="n"/>
      <c r="BW295" s="97" t="n"/>
      <c r="BX295" s="97" t="n"/>
      <c r="BY295" s="97" t="n"/>
      <c r="BZ295" s="97" t="n"/>
      <c r="CA295" s="98" t="n"/>
      <c r="CH295" s="11" t="n"/>
      <c r="CI295" s="14">
        <f>CJ295&amp;CK295</f>
        <v/>
      </c>
      <c r="CJ295" s="25" t="n"/>
      <c r="CK295" s="25" t="n"/>
      <c r="CL295" s="25" t="n"/>
      <c r="CM295" s="25" t="n"/>
      <c r="CN295" s="25" t="n"/>
      <c r="CO295" s="25" t="n"/>
      <c r="CP295" s="25" t="n"/>
      <c r="CQ295" s="25" t="n"/>
      <c r="CR295" s="25" t="n"/>
      <c r="CS295" s="25" t="n"/>
      <c r="CT295" s="25" t="n"/>
      <c r="CU295" s="25" t="n"/>
      <c r="CV295" s="25" t="n"/>
      <c r="CW295" s="25" t="n"/>
      <c r="CX295" s="25" t="n"/>
      <c r="CY295" s="25" t="n"/>
      <c r="CZ295" s="25" t="n"/>
      <c r="DC295" s="26" t="n"/>
      <c r="DD295" s="26" t="n"/>
      <c r="DE295" s="26" t="n"/>
      <c r="DF295" s="26" t="n"/>
      <c r="DG295" s="26" t="n"/>
      <c r="DH295" s="27" t="n"/>
      <c r="DJ295" s="211" t="inlineStr">
        <is>
          <t>订单表中未找到</t>
        </is>
      </c>
      <c r="DK295" t="inlineStr">
        <is>
          <t>—</t>
        </is>
      </c>
      <c r="DL295" t="inlineStr">
        <is>
          <t>—</t>
        </is>
      </c>
    </row>
    <row r="296" ht="15.75" customHeight="1" s="187">
      <c r="A296" s="84" t="n">
        <v>45950</v>
      </c>
      <c r="B296" s="206" t="inlineStr">
        <is>
          <t>已收货</t>
        </is>
      </c>
      <c r="C296" s="86" t="inlineStr">
        <is>
          <t>4822942825566386327</t>
        </is>
      </c>
      <c r="D296" s="207" t="inlineStr">
        <is>
          <t>何筱敏</t>
        </is>
      </c>
      <c r="E296" s="207" t="n"/>
      <c r="F296" s="207" t="n"/>
      <c r="G296" s="207" t="inlineStr">
        <is>
          <t>曜黑柜-整柜-2.1米</t>
        </is>
      </c>
      <c r="H296" s="207" t="inlineStr">
        <is>
          <t>曜黑餐边柜</t>
        </is>
      </c>
      <c r="I296" s="89" t="n">
        <v>2100</v>
      </c>
      <c r="J296" s="87" t="inlineStr">
        <is>
          <t>已结算</t>
        </is>
      </c>
      <c r="K296" s="86" t="inlineStr">
        <is>
          <t>庄毅</t>
        </is>
      </c>
      <c r="L296" s="207">
        <f>9800+657.08+2550/6/1.5+2.025*15+20+2.1*0.48*180+30+92+71+45+40+30*5</f>
        <v/>
      </c>
      <c r="M296" s="207">
        <f>9800</f>
        <v/>
      </c>
      <c r="N296" s="207">
        <f>2.058*260+2*55+12</f>
        <v/>
      </c>
      <c r="O296" s="207">
        <f>2550/6/1.5</f>
        <v/>
      </c>
      <c r="P296" s="207" t="inlineStr">
        <is>
          <t>2.025*15</t>
        </is>
      </c>
      <c r="Q296" s="207" t="n"/>
      <c r="R296" s="207">
        <f>2.1*0.48*180+30</f>
        <v/>
      </c>
      <c r="S296" s="207" t="inlineStr">
        <is>
          <t>2.1*0.48*180</t>
        </is>
      </c>
      <c r="T296" s="207" t="inlineStr">
        <is>
          <t>30*5</t>
        </is>
      </c>
      <c r="U296" s="207" t="n">
        <v>20</v>
      </c>
      <c r="V296" s="207" t="n"/>
      <c r="W296" s="207" t="n">
        <v>92</v>
      </c>
      <c r="X296" s="207" t="n">
        <v>71</v>
      </c>
      <c r="Y296" s="207" t="n">
        <v>45</v>
      </c>
      <c r="Z296" s="207" t="n"/>
      <c r="AA296" s="207" t="n"/>
      <c r="AB296" s="207" t="n"/>
      <c r="AC296" s="207" t="n"/>
      <c r="AD296" s="207" t="inlineStr">
        <is>
          <t>30*5</t>
        </is>
      </c>
      <c r="AE296" s="207" t="n">
        <v>40</v>
      </c>
      <c r="AF296" s="207" t="n"/>
      <c r="AG296" s="207" t="n"/>
      <c r="AH296" s="207" t="n"/>
      <c r="AI296" s="207" t="n"/>
      <c r="AJ296" s="207" t="n"/>
      <c r="AK296" s="207" t="n"/>
      <c r="AL296" s="207" t="n"/>
      <c r="AM296" s="207" t="n"/>
      <c r="AN296" s="207" t="n"/>
      <c r="AO296" s="207" t="n"/>
      <c r="AP296" s="207" t="n">
        <v>665</v>
      </c>
      <c r="AQ296" s="207" t="n">
        <v>0</v>
      </c>
      <c r="AR296" s="207" t="n">
        <v>119</v>
      </c>
      <c r="AS296" s="207" t="n">
        <v>0</v>
      </c>
      <c r="AT296" s="207" t="n">
        <v>280</v>
      </c>
      <c r="AU296" s="207" t="n">
        <v>0</v>
      </c>
      <c r="AV296" s="207" t="n">
        <v>0</v>
      </c>
      <c r="AW296" s="207" t="n">
        <v>0</v>
      </c>
      <c r="AX296" s="208" t="n">
        <v>1</v>
      </c>
      <c r="AY296" s="209">
        <f>L296*AX296+AP296+AQ296+AR296+AV296+AW296+AS296+AT296+AU296</f>
        <v/>
      </c>
      <c r="AZ296" s="207" t="n">
        <v>15411.84</v>
      </c>
      <c r="BA296" s="207" t="n">
        <v>0</v>
      </c>
      <c r="BB296" s="207">
        <f>AZ296*0.006</f>
        <v/>
      </c>
      <c r="BC296" s="209">
        <f>AZ296+BA296-BB296</f>
        <v/>
      </c>
      <c r="BD296" s="207" t="n">
        <v>140</v>
      </c>
      <c r="BE296" s="207" t="n">
        <v>0</v>
      </c>
      <c r="BF296" s="209">
        <f>BD296+BE296</f>
        <v/>
      </c>
      <c r="BG296" s="209">
        <f>BC296-AY296+BF296</f>
        <v/>
      </c>
      <c r="BH296" s="86" t="inlineStr">
        <is>
          <t>何筱敏</t>
        </is>
      </c>
      <c r="BI296" s="86" t="inlineStr">
        <is>
          <t>湖南省 长沙市 雨花区 黎托街道古曲南路中隆国际御玺5D1601</t>
        </is>
      </c>
      <c r="BJ296" s="86" t="inlineStr">
        <is>
          <t>18472622865-2374</t>
        </is>
      </c>
      <c r="BK296" s="87" t="n"/>
      <c r="BL296" s="210" t="n"/>
      <c r="BM296" s="93" t="n"/>
      <c r="BN296" s="94" t="n"/>
      <c r="BO296" s="93" t="n"/>
      <c r="BP296" s="86" t="n"/>
      <c r="BQ296" s="96" t="n"/>
      <c r="BR296" s="96" t="n"/>
      <c r="BS296" s="97" t="n"/>
      <c r="BT296" s="96" t="n"/>
      <c r="BU296" s="97" t="n"/>
      <c r="BV296" s="96" t="n"/>
      <c r="BW296" s="97" t="n"/>
      <c r="BX296" s="97" t="n"/>
      <c r="BY296" s="97" t="n"/>
      <c r="BZ296" s="97" t="n"/>
      <c r="CA296" s="98" t="n"/>
      <c r="CH296" s="11" t="n"/>
      <c r="CI296" s="14">
        <f>CJ296&amp;CK296</f>
        <v/>
      </c>
      <c r="CJ296" s="25" t="n"/>
      <c r="CK296" s="25" t="n"/>
      <c r="CL296" s="25" t="n"/>
      <c r="CM296" s="25" t="n"/>
      <c r="CN296" s="25" t="n"/>
      <c r="CO296" s="25" t="n"/>
      <c r="CP296" s="25" t="n"/>
      <c r="CQ296" s="25" t="n"/>
      <c r="CR296" s="25" t="n"/>
      <c r="CS296" s="25" t="n"/>
      <c r="CT296" s="25" t="n"/>
      <c r="CU296" s="25" t="n"/>
      <c r="CV296" s="25" t="n"/>
      <c r="CW296" s="25" t="n"/>
      <c r="CX296" s="25" t="n"/>
      <c r="CY296" s="25" t="n"/>
      <c r="CZ296" s="25" t="n"/>
      <c r="DC296" s="26" t="n"/>
      <c r="DD296" s="26" t="n"/>
      <c r="DE296" s="26" t="n"/>
      <c r="DF296" s="26" t="n"/>
      <c r="DG296" s="26" t="n"/>
      <c r="DH296" s="27" t="n"/>
      <c r="DJ296" s="211" t="inlineStr">
        <is>
          <t>订单表中未找到</t>
        </is>
      </c>
      <c r="DK296" t="inlineStr">
        <is>
          <t>—</t>
        </is>
      </c>
      <c r="DL296" t="inlineStr">
        <is>
          <t>—</t>
        </is>
      </c>
    </row>
    <row r="297" ht="15.75" customHeight="1" s="187">
      <c r="A297" s="84" t="n">
        <v>45950</v>
      </c>
      <c r="B297" s="206" t="inlineStr">
        <is>
          <t>已收货</t>
        </is>
      </c>
      <c r="C297" s="86" t="inlineStr">
        <is>
          <t>4822748354525180833</t>
        </is>
      </c>
      <c r="D297" s="86" t="inlineStr">
        <is>
          <t>陈工/梁工</t>
        </is>
      </c>
      <c r="E297" s="207" t="n"/>
      <c r="F297" s="207" t="n"/>
      <c r="G297" s="87" t="inlineStr">
        <is>
          <t>砂白色1.6米岩板餐桌</t>
        </is>
      </c>
      <c r="H297" s="207" t="inlineStr">
        <is>
          <t>榉木餐桌</t>
        </is>
      </c>
      <c r="I297" s="89" t="inlineStr">
        <is>
          <t>160cm*85cm</t>
        </is>
      </c>
      <c r="J297" s="87" t="inlineStr">
        <is>
          <t>已结算</t>
        </is>
      </c>
      <c r="K297" s="86" t="inlineStr">
        <is>
          <t>江西</t>
        </is>
      </c>
      <c r="L297" s="207">
        <f>SUM(M297:AO297)</f>
        <v/>
      </c>
      <c r="M297" s="207">
        <f>1350</f>
        <v/>
      </c>
      <c r="N297" s="207" t="n"/>
      <c r="O297" s="207" t="n"/>
      <c r="P297" s="207" t="n"/>
      <c r="Q297" s="207" t="n"/>
      <c r="R297" s="207" t="n">
        <v>240</v>
      </c>
      <c r="S297" s="207" t="n"/>
      <c r="T297" s="207" t="n"/>
      <c r="U297" s="207" t="n"/>
      <c r="V297" s="207" t="n"/>
      <c r="W297" s="207" t="n"/>
      <c r="X297" s="207" t="n"/>
      <c r="Y297" s="207" t="n"/>
      <c r="Z297" s="207" t="n"/>
      <c r="AA297" s="207" t="n"/>
      <c r="AB297" s="207" t="n"/>
      <c r="AC297" s="207" t="n"/>
      <c r="AD297" s="207" t="n">
        <v>2.5</v>
      </c>
      <c r="AE297" s="207" t="n"/>
      <c r="AF297" s="207" t="n"/>
      <c r="AG297" s="207" t="n"/>
      <c r="AH297" s="207" t="n"/>
      <c r="AI297" s="207" t="n"/>
      <c r="AJ297" s="207" t="n"/>
      <c r="AK297" s="207" t="n"/>
      <c r="AL297" s="207" t="n"/>
      <c r="AM297" s="207" t="n">
        <v>280</v>
      </c>
      <c r="AN297" s="207" t="n"/>
      <c r="AO297" s="207" t="n"/>
      <c r="AP297" s="207">
        <f>206-AQ297</f>
        <v/>
      </c>
      <c r="AQ297" s="207" t="n">
        <v>45</v>
      </c>
      <c r="AR297" s="207" t="n">
        <v>0</v>
      </c>
      <c r="AS297" s="207" t="n">
        <v>0</v>
      </c>
      <c r="AT297" s="207" t="n">
        <v>0</v>
      </c>
      <c r="AU297" s="207" t="n">
        <v>0</v>
      </c>
      <c r="AV297" s="207" t="n">
        <v>0</v>
      </c>
      <c r="AW297" s="207" t="n">
        <v>0</v>
      </c>
      <c r="AX297" s="208" t="n">
        <v>1</v>
      </c>
      <c r="AY297" s="209">
        <f>L297*AX297+AP297+AQ297+AR297+AV297+AW297+AS297+AT297+AU297</f>
        <v/>
      </c>
      <c r="AZ297" s="207" t="n">
        <v>2693.41</v>
      </c>
      <c r="BA297" s="207" t="n">
        <v>0</v>
      </c>
      <c r="BB297" s="207">
        <f>AZ297*0.006</f>
        <v/>
      </c>
      <c r="BC297" s="209">
        <f>AZ297+BA297-BB297</f>
        <v/>
      </c>
      <c r="BD297" s="207" t="n">
        <v>0</v>
      </c>
      <c r="BE297" s="207" t="n">
        <v>0</v>
      </c>
      <c r="BF297" s="209">
        <f>BD297+BE297</f>
        <v/>
      </c>
      <c r="BG297" s="209">
        <f>BC297-AY297+BF297</f>
        <v/>
      </c>
      <c r="BH297" s="207" t="inlineStr">
        <is>
          <t>陈工/梁工13217569308</t>
        </is>
      </c>
      <c r="BI297" s="207" t="inlineStr">
        <is>
          <t>广东省 珠海市 香洲区 湾仔街道华发湾玺壹号小区3棟2904房</t>
        </is>
      </c>
      <c r="BJ297" s="207" t="inlineStr">
        <is>
          <t>18466388079-1405</t>
        </is>
      </c>
      <c r="BK297" s="87" t="n"/>
      <c r="BL297" s="210" t="n"/>
      <c r="BM297" s="93" t="n"/>
      <c r="BN297" s="94" t="n"/>
      <c r="BO297" s="93" t="n"/>
      <c r="BP297" s="86" t="n"/>
      <c r="BQ297" s="96" t="n"/>
      <c r="BR297" s="96" t="n"/>
      <c r="BS297" s="97" t="n"/>
      <c r="BT297" s="96" t="n"/>
      <c r="BU297" s="97" t="n"/>
      <c r="BV297" s="96" t="n"/>
      <c r="BW297" s="97" t="n"/>
      <c r="BX297" s="97" t="n"/>
      <c r="BY297" s="97" t="n"/>
      <c r="BZ297" s="97" t="n"/>
      <c r="CA297" s="98" t="n"/>
      <c r="CH297" s="2" t="n"/>
      <c r="CI297" s="14">
        <f>CJ297&amp;CK297</f>
        <v/>
      </c>
      <c r="CJ297" s="25" t="n"/>
      <c r="CK297" s="25" t="n"/>
      <c r="CL297" s="25" t="n"/>
      <c r="CM297" s="25" t="n"/>
      <c r="CN297" s="25" t="n"/>
      <c r="CO297" s="25" t="n"/>
      <c r="CP297" s="25" t="n"/>
      <c r="CQ297" s="25" t="n"/>
      <c r="CR297" s="25" t="n"/>
      <c r="CS297" s="25" t="n"/>
      <c r="CT297" s="25" t="n"/>
      <c r="CU297" s="25" t="n"/>
      <c r="CV297" s="25" t="n"/>
      <c r="CW297" s="25" t="n"/>
      <c r="CX297" s="25" t="n"/>
      <c r="CY297" s="25" t="n"/>
      <c r="CZ297" s="25" t="n"/>
      <c r="DC297" s="26" t="n"/>
      <c r="DD297" s="26" t="n"/>
      <c r="DE297" s="26" t="n"/>
      <c r="DF297" s="26" t="n"/>
      <c r="DG297" s="26" t="n"/>
      <c r="DH297" s="27" t="n"/>
      <c r="DJ297" s="211" t="inlineStr">
        <is>
          <t>订单表中未找到</t>
        </is>
      </c>
      <c r="DK297" t="inlineStr">
        <is>
          <t>—</t>
        </is>
      </c>
      <c r="DL297" t="inlineStr">
        <is>
          <t>—</t>
        </is>
      </c>
    </row>
    <row r="298" ht="15.75" customHeight="1" s="187">
      <c r="A298" s="84" t="n">
        <v>45950</v>
      </c>
      <c r="B298" s="206" t="inlineStr">
        <is>
          <t>已收货</t>
        </is>
      </c>
      <c r="C298" s="86" t="inlineStr">
        <is>
          <t>4822871835346129940</t>
        </is>
      </c>
      <c r="D298" s="86" t="inlineStr">
        <is>
          <t>王子艳</t>
        </is>
      </c>
      <c r="E298" s="207" t="n"/>
      <c r="F298" s="207" t="n"/>
      <c r="G298" s="207" t="inlineStr">
        <is>
          <t>洞石整柜2.1米-定制（全景组合）（全景抽屉+玻璃移门+开门）</t>
        </is>
      </c>
      <c r="H298" s="207" t="inlineStr">
        <is>
          <t>洞石餐边柜</t>
        </is>
      </c>
      <c r="I298" s="89" t="n">
        <v>2100</v>
      </c>
      <c r="J298" s="87" t="inlineStr">
        <is>
          <t>已结算</t>
        </is>
      </c>
      <c r="K298" s="86" t="inlineStr">
        <is>
          <t>江西</t>
        </is>
      </c>
      <c r="L298" s="207">
        <f>6300+690+52*2+2040/6/1.5+10+92+20+14+22*7+755.08+470+98</f>
        <v/>
      </c>
      <c r="M298" s="207">
        <f>6300</f>
        <v/>
      </c>
      <c r="N298" s="207" t="n">
        <v>690</v>
      </c>
      <c r="O298" s="207" t="inlineStr">
        <is>
          <t>52*2</t>
        </is>
      </c>
      <c r="P298" s="207" t="inlineStr">
        <is>
          <t>2040/6/1.5</t>
        </is>
      </c>
      <c r="Q298" s="207" t="n"/>
      <c r="R298" s="207" t="n">
        <v>10</v>
      </c>
      <c r="S298" s="207" t="n">
        <v>92</v>
      </c>
      <c r="T298" s="207" t="n">
        <v>20</v>
      </c>
      <c r="U298" s="207" t="n"/>
      <c r="V298" s="207" t="n"/>
      <c r="W298" s="207" t="n">
        <v>14</v>
      </c>
      <c r="X298" s="207">
        <f>22*7</f>
        <v/>
      </c>
      <c r="Y298" s="207" t="n">
        <v>755.08</v>
      </c>
      <c r="Z298" s="207">
        <f>3.5+14</f>
        <v/>
      </c>
      <c r="AA298" s="207" t="n"/>
      <c r="AB298" s="207" t="n"/>
      <c r="AC298" s="207" t="n"/>
      <c r="AD298" s="207" t="n">
        <v>98</v>
      </c>
      <c r="AE298" s="207" t="n">
        <v>470</v>
      </c>
      <c r="AF298" s="207" t="n"/>
      <c r="AG298" s="207" t="n"/>
      <c r="AH298" s="207" t="n"/>
      <c r="AI298" s="207" t="n"/>
      <c r="AJ298" s="207" t="n"/>
      <c r="AK298" s="207" t="n"/>
      <c r="AL298" s="207" t="n"/>
      <c r="AM298" s="207" t="n">
        <v>470</v>
      </c>
      <c r="AN298" s="207" t="n"/>
      <c r="AO298" s="207" t="n"/>
      <c r="AP298" s="207">
        <f>814-AQ298</f>
        <v/>
      </c>
      <c r="AQ298" s="207" t="n">
        <v>119</v>
      </c>
      <c r="AR298" s="207" t="n">
        <v>200</v>
      </c>
      <c r="AS298" s="207" t="n">
        <v>0</v>
      </c>
      <c r="AT298" s="207" t="n">
        <v>178</v>
      </c>
      <c r="AU298" s="207" t="n">
        <v>0</v>
      </c>
      <c r="AV298" s="207" t="n">
        <v>0</v>
      </c>
      <c r="AW298" s="207" t="n">
        <v>200</v>
      </c>
      <c r="AX298" s="208" t="n">
        <v>1</v>
      </c>
      <c r="AY298" s="209">
        <f>L298*AX298+AP298+AQ298+AR298+AV298+AW298+AS298+AT298+AU298</f>
        <v/>
      </c>
      <c r="AZ298" s="207" t="n">
        <v>10645.59</v>
      </c>
      <c r="BA298" s="207" t="n">
        <v>0</v>
      </c>
      <c r="BB298" s="207">
        <f>AZ298*0.006</f>
        <v/>
      </c>
      <c r="BC298" s="209">
        <f>AZ298+BA298-BB298</f>
        <v/>
      </c>
      <c r="BD298" s="207" t="n">
        <v>0</v>
      </c>
      <c r="BE298" s="207" t="n">
        <v>0</v>
      </c>
      <c r="BF298" s="209">
        <f>BD298+BE298</f>
        <v/>
      </c>
      <c r="BG298" s="209">
        <f>BC298-AY298+BF298</f>
        <v/>
      </c>
      <c r="BH298" s="86" t="inlineStr">
        <is>
          <t>王子艳</t>
        </is>
      </c>
      <c r="BI298" s="86" t="inlineStr">
        <is>
          <t>四川省 成都市 龙泉驿区 东安街道保利云上锦苑6栋1单元302号</t>
        </is>
      </c>
      <c r="BJ298" s="86" t="inlineStr">
        <is>
          <t>18423730325-8441</t>
        </is>
      </c>
      <c r="BK298" s="87" t="n"/>
      <c r="BL298" s="210" t="n"/>
      <c r="BM298" s="93" t="n"/>
      <c r="BN298" s="94" t="n"/>
      <c r="BO298" s="93" t="n"/>
      <c r="BP298" s="86" t="n"/>
      <c r="BQ298" s="96" t="n"/>
      <c r="BR298" s="96" t="n"/>
      <c r="BS298" s="97" t="n"/>
      <c r="BT298" s="96" t="n"/>
      <c r="BU298" s="97" t="n"/>
      <c r="BV298" s="96" t="n"/>
      <c r="BW298" s="97" t="n"/>
      <c r="BX298" s="97" t="n"/>
      <c r="BY298" s="97" t="n"/>
      <c r="BZ298" s="97" t="n"/>
      <c r="CA298" s="98" t="n"/>
      <c r="CH298" s="2" t="n"/>
      <c r="CI298" s="14">
        <f>CJ298&amp;CK298</f>
        <v/>
      </c>
      <c r="CJ298" s="25" t="n"/>
      <c r="CK298" s="25" t="n"/>
      <c r="CL298" s="25" t="n"/>
      <c r="CM298" s="25" t="n"/>
      <c r="CN298" s="25" t="n"/>
      <c r="CO298" s="25" t="n"/>
      <c r="CP298" s="25" t="n"/>
      <c r="CQ298" s="25" t="n"/>
      <c r="CR298" s="25" t="n"/>
      <c r="CS298" s="25" t="n"/>
      <c r="CT298" s="25" t="n"/>
      <c r="CU298" s="25" t="n"/>
      <c r="CV298" s="25" t="n"/>
      <c r="CW298" s="25" t="n"/>
      <c r="CX298" s="25" t="n"/>
      <c r="CY298" s="25" t="n"/>
      <c r="CZ298" s="25" t="n"/>
      <c r="DC298" s="26" t="n"/>
      <c r="DD298" s="26" t="n"/>
      <c r="DE298" s="26" t="n"/>
      <c r="DF298" s="26" t="n"/>
      <c r="DG298" s="26" t="n"/>
      <c r="DH298" s="27" t="n"/>
      <c r="DJ298" s="211" t="inlineStr">
        <is>
          <t>订单表中未找到</t>
        </is>
      </c>
      <c r="DK298" t="inlineStr">
        <is>
          <t>—</t>
        </is>
      </c>
      <c r="DL298" t="inlineStr">
        <is>
          <t>—</t>
        </is>
      </c>
    </row>
    <row r="299" ht="15.75" customHeight="1" s="187">
      <c r="A299" s="84" t="n">
        <v>45950</v>
      </c>
      <c r="B299" s="206" t="inlineStr">
        <is>
          <t>已收货</t>
        </is>
      </c>
      <c r="C299" s="86" t="inlineStr">
        <is>
          <t>4823089704225386327</t>
        </is>
      </c>
      <c r="D299" s="207" t="inlineStr">
        <is>
          <t>何筱敏</t>
        </is>
      </c>
      <c r="E299" s="207" t="n"/>
      <c r="F299" s="207" t="n"/>
      <c r="G299" s="207" t="inlineStr">
        <is>
          <t>补差价</t>
        </is>
      </c>
      <c r="H299" s="207" t="n"/>
      <c r="I299" s="89" t="n"/>
      <c r="J299" s="87" t="inlineStr">
        <is>
          <t>已结算</t>
        </is>
      </c>
      <c r="K299" s="86" t="inlineStr">
        <is>
          <t>庄毅</t>
        </is>
      </c>
      <c r="L299" s="207" t="n">
        <v>0</v>
      </c>
      <c r="M299" s="207" t="n">
        <v>0</v>
      </c>
      <c r="N299" s="207" t="n"/>
      <c r="O299" s="207" t="n"/>
      <c r="P299" s="207" t="n"/>
      <c r="Q299" s="207" t="n"/>
      <c r="R299" s="207" t="n"/>
      <c r="S299" s="207" t="n"/>
      <c r="T299" s="207" t="n"/>
      <c r="U299" s="207" t="n"/>
      <c r="V299" s="207" t="n"/>
      <c r="W299" s="207" t="n"/>
      <c r="X299" s="207" t="n"/>
      <c r="Y299" s="207" t="n"/>
      <c r="Z299" s="207" t="n"/>
      <c r="AA299" s="207" t="n"/>
      <c r="AB299" s="207" t="n"/>
      <c r="AC299" s="207" t="n"/>
      <c r="AD299" s="207" t="n"/>
      <c r="AE299" s="207" t="n"/>
      <c r="AF299" s="207" t="n"/>
      <c r="AG299" s="207" t="n"/>
      <c r="AH299" s="207" t="n"/>
      <c r="AI299" s="207" t="n"/>
      <c r="AJ299" s="207" t="n"/>
      <c r="AK299" s="207" t="n"/>
      <c r="AL299" s="207" t="n"/>
      <c r="AM299" s="207" t="n"/>
      <c r="AN299" s="207" t="n"/>
      <c r="AO299" s="207" t="n"/>
      <c r="AP299" s="207" t="n">
        <v>0</v>
      </c>
      <c r="AQ299" s="207" t="n">
        <v>0</v>
      </c>
      <c r="AR299" s="207" t="n">
        <v>0</v>
      </c>
      <c r="AS299" s="207" t="n">
        <v>0</v>
      </c>
      <c r="AT299" s="207" t="n">
        <v>0</v>
      </c>
      <c r="AU299" s="207" t="n">
        <v>0</v>
      </c>
      <c r="AV299" s="207" t="n">
        <v>0</v>
      </c>
      <c r="AW299" s="207" t="n">
        <v>0</v>
      </c>
      <c r="AX299" s="208" t="n">
        <v>1</v>
      </c>
      <c r="AY299" s="209">
        <f>L299*AX299+AP299+AQ299+AR299+AV299+AW299+AS299+AT299+AU299</f>
        <v/>
      </c>
      <c r="AZ299" s="207" t="n">
        <v>200</v>
      </c>
      <c r="BA299" s="207" t="n">
        <v>0</v>
      </c>
      <c r="BB299" s="207">
        <f>AZ299*0.006</f>
        <v/>
      </c>
      <c r="BC299" s="209">
        <f>AZ299+BA299-BB299</f>
        <v/>
      </c>
      <c r="BD299" s="207" t="n">
        <v>0</v>
      </c>
      <c r="BE299" s="207" t="n">
        <v>0</v>
      </c>
      <c r="BF299" s="209">
        <f>BD299+BE299</f>
        <v/>
      </c>
      <c r="BG299" s="209">
        <f>BC299-AY299+BF299</f>
        <v/>
      </c>
      <c r="BH299" s="207" t="inlineStr">
        <is>
          <t>何筱敏</t>
        </is>
      </c>
      <c r="BI299" s="207" t="inlineStr">
        <is>
          <t>湖南省 长沙市 雨花区 黎托街道古曲南路中隆国际御玺5D1601</t>
        </is>
      </c>
      <c r="BJ299" s="207" t="inlineStr">
        <is>
          <t>18466113979-9721</t>
        </is>
      </c>
      <c r="BK299" s="87" t="n"/>
      <c r="BL299" s="210" t="n"/>
      <c r="BM299" s="93" t="n"/>
      <c r="BN299" s="94" t="n"/>
      <c r="BO299" s="93" t="n"/>
      <c r="BP299" s="86" t="n"/>
      <c r="BQ299" s="96" t="n"/>
      <c r="BR299" s="96" t="n"/>
      <c r="BS299" s="97" t="n"/>
      <c r="BT299" s="96" t="n"/>
      <c r="BU299" s="97" t="n"/>
      <c r="BV299" s="96" t="n"/>
      <c r="BW299" s="97" t="n"/>
      <c r="BX299" s="97" t="n"/>
      <c r="BY299" s="97" t="n"/>
      <c r="BZ299" s="97" t="n"/>
      <c r="CA299" s="98" t="n"/>
      <c r="CH299" s="2" t="n"/>
      <c r="CI299" s="14">
        <f>CJ299&amp;CK299</f>
        <v/>
      </c>
      <c r="CJ299" s="25" t="n"/>
      <c r="CK299" s="25" t="n"/>
      <c r="CL299" s="25" t="n"/>
      <c r="CM299" s="25" t="n"/>
      <c r="CN299" s="25" t="n"/>
      <c r="CO299" s="25" t="n"/>
      <c r="CP299" s="25" t="n"/>
      <c r="CQ299" s="25" t="n"/>
      <c r="CR299" s="25" t="n"/>
      <c r="CS299" s="25" t="n"/>
      <c r="CT299" s="25" t="n"/>
      <c r="CU299" s="25" t="n"/>
      <c r="CV299" s="25" t="n"/>
      <c r="CW299" s="25" t="n"/>
      <c r="CX299" s="25" t="n"/>
      <c r="CY299" s="25" t="n"/>
      <c r="CZ299" s="25" t="n"/>
      <c r="DC299" s="26" t="n"/>
      <c r="DD299" s="26" t="n"/>
      <c r="DE299" s="26" t="n"/>
      <c r="DF299" s="26" t="n"/>
      <c r="DG299" s="26" t="n"/>
      <c r="DH299" s="27" t="n"/>
      <c r="DJ299" s="211" t="inlineStr">
        <is>
          <t>订单表中未找到</t>
        </is>
      </c>
      <c r="DK299" t="inlineStr">
        <is>
          <t>—</t>
        </is>
      </c>
      <c r="DL299" t="inlineStr">
        <is>
          <t>—</t>
        </is>
      </c>
    </row>
    <row r="300" ht="15.75" customHeight="1" s="187">
      <c r="A300" s="84" t="n">
        <v>45950</v>
      </c>
      <c r="B300" s="206" t="inlineStr">
        <is>
          <t>已收货</t>
        </is>
      </c>
      <c r="C300" s="86" t="inlineStr">
        <is>
          <t>4823514036265974044</t>
        </is>
      </c>
      <c r="D300" s="207" t="inlineStr">
        <is>
          <t>孙曦</t>
        </is>
      </c>
      <c r="E300" s="207" t="n"/>
      <c r="F300" s="207" t="n"/>
      <c r="G300" s="207" t="inlineStr">
        <is>
          <t>曜黑柜-整柜-2.1米</t>
        </is>
      </c>
      <c r="H300" s="207" t="inlineStr">
        <is>
          <t>曜黑餐边柜</t>
        </is>
      </c>
      <c r="I300" s="89" t="n">
        <v>2100</v>
      </c>
      <c r="J300" s="87" t="inlineStr">
        <is>
          <t>已结算</t>
        </is>
      </c>
      <c r="K300" s="86" t="inlineStr">
        <is>
          <t>江西</t>
        </is>
      </c>
      <c r="L300" s="207">
        <f>9800+657.08+2550/6/1.5+2.025*15+20+2.1*0.48*180+30*5+92+71+45+40+30*5</f>
        <v/>
      </c>
      <c r="M300" s="207">
        <f>9800</f>
        <v/>
      </c>
      <c r="N300" s="207" t="n">
        <v>657.08</v>
      </c>
      <c r="O300" s="207">
        <f>2550/6/1.5</f>
        <v/>
      </c>
      <c r="P300" s="207" t="inlineStr">
        <is>
          <t>2.025*15</t>
        </is>
      </c>
      <c r="Q300" s="207" t="n"/>
      <c r="R300" s="207" t="n"/>
      <c r="S300" s="207" t="inlineStr">
        <is>
          <t>2.1*0.48*180</t>
        </is>
      </c>
      <c r="T300" s="207" t="inlineStr">
        <is>
          <t>30*5</t>
        </is>
      </c>
      <c r="U300" s="207" t="n">
        <v>20</v>
      </c>
      <c r="V300" s="207" t="n"/>
      <c r="W300" s="207" t="n">
        <v>92</v>
      </c>
      <c r="X300" s="207" t="n">
        <v>71</v>
      </c>
      <c r="Y300" s="207" t="n">
        <v>45</v>
      </c>
      <c r="Z300" s="207" t="n"/>
      <c r="AA300" s="207" t="n"/>
      <c r="AB300" s="207" t="n"/>
      <c r="AC300" s="207" t="n"/>
      <c r="AD300" s="207" t="inlineStr">
        <is>
          <t>30*5</t>
        </is>
      </c>
      <c r="AE300" s="207" t="n">
        <v>40</v>
      </c>
      <c r="AF300" s="207" t="n"/>
      <c r="AG300" s="207" t="n"/>
      <c r="AH300" s="207" t="n"/>
      <c r="AI300" s="207" t="n"/>
      <c r="AJ300" s="207" t="n"/>
      <c r="AK300" s="207" t="n"/>
      <c r="AL300" s="207" t="n"/>
      <c r="AM300" s="207" t="n"/>
      <c r="AN300" s="207" t="n"/>
      <c r="AO300" s="207" t="n"/>
      <c r="AP300" s="207" t="n">
        <v>402</v>
      </c>
      <c r="AQ300" s="207" t="n">
        <v>0</v>
      </c>
      <c r="AR300" s="207" t="n">
        <v>150</v>
      </c>
      <c r="AS300" s="207" t="n">
        <v>0</v>
      </c>
      <c r="AT300" s="207" t="n">
        <v>0</v>
      </c>
      <c r="AU300" s="207" t="n">
        <v>0</v>
      </c>
      <c r="AV300" s="207" t="n">
        <v>0</v>
      </c>
      <c r="AW300" s="207" t="n">
        <v>0</v>
      </c>
      <c r="AX300" s="208" t="n">
        <v>1</v>
      </c>
      <c r="AY300" s="209">
        <f>L300*AX300+AP300+AQ300+AR300+AV300+AW300+AS300+AT300+AU300</f>
        <v/>
      </c>
      <c r="AZ300" s="207" t="n">
        <v>15411.84</v>
      </c>
      <c r="BA300" s="207" t="n">
        <v>0</v>
      </c>
      <c r="BB300" s="207">
        <f>AZ300*0.006</f>
        <v/>
      </c>
      <c r="BC300" s="209">
        <f>AZ300+BA300-BB300</f>
        <v/>
      </c>
      <c r="BD300" s="207" t="n">
        <v>0</v>
      </c>
      <c r="BE300" s="207" t="n">
        <v>0</v>
      </c>
      <c r="BF300" s="209">
        <f>BD300+BE300</f>
        <v/>
      </c>
      <c r="BG300" s="209">
        <f>BC300-AY300+BF300</f>
        <v/>
      </c>
      <c r="BH300" s="207" t="inlineStr">
        <is>
          <t>孙曦</t>
        </is>
      </c>
      <c r="BI300" s="207" t="inlineStr">
        <is>
          <t>江苏省 苏州市 虎丘区 狮山街道淮海南街建发缦云华庭1幢2401室</t>
        </is>
      </c>
      <c r="BJ300" s="207" t="inlineStr">
        <is>
          <t>17895052383-8011</t>
        </is>
      </c>
      <c r="BK300" s="87" t="n"/>
      <c r="BL300" s="210" t="n"/>
      <c r="BM300" s="93" t="n"/>
      <c r="BN300" s="94" t="n"/>
      <c r="BO300" s="93" t="n"/>
      <c r="BP300" s="86" t="n"/>
      <c r="BQ300" s="96" t="n"/>
      <c r="BR300" s="96" t="n"/>
      <c r="BS300" s="97" t="n"/>
      <c r="BT300" s="96" t="n"/>
      <c r="BU300" s="97" t="n"/>
      <c r="BV300" s="96" t="n"/>
      <c r="BW300" s="97" t="n"/>
      <c r="BX300" s="97" t="n"/>
      <c r="BY300" s="97" t="n"/>
      <c r="BZ300" s="97" t="n"/>
      <c r="CA300" s="98" t="n"/>
      <c r="CH300" s="2" t="n"/>
      <c r="CI300" s="14">
        <f>CJ300&amp;CK300</f>
        <v/>
      </c>
      <c r="CJ300" s="25" t="n"/>
      <c r="CK300" s="25" t="n"/>
      <c r="CL300" s="25" t="n"/>
      <c r="CM300" s="25" t="n"/>
      <c r="CN300" s="25" t="n"/>
      <c r="CO300" s="25" t="n"/>
      <c r="CP300" s="25" t="n"/>
      <c r="CQ300" s="25" t="n"/>
      <c r="CR300" s="25" t="n"/>
      <c r="CS300" s="25" t="n"/>
      <c r="CT300" s="25" t="n"/>
      <c r="CU300" s="25" t="n"/>
      <c r="CV300" s="25" t="n"/>
      <c r="CW300" s="25" t="n"/>
      <c r="CX300" s="25" t="n"/>
      <c r="CY300" s="25" t="n"/>
      <c r="CZ300" s="25" t="n"/>
      <c r="DC300" s="26" t="n"/>
      <c r="DD300" s="26" t="n"/>
      <c r="DE300" s="26" t="n"/>
      <c r="DF300" s="26" t="n"/>
      <c r="DG300" s="26" t="n"/>
      <c r="DH300" s="27" t="n"/>
      <c r="DJ300" s="211" t="inlineStr">
        <is>
          <t>订单表中未找到</t>
        </is>
      </c>
      <c r="DK300" t="inlineStr">
        <is>
          <t>—</t>
        </is>
      </c>
      <c r="DL300" t="inlineStr">
        <is>
          <t>—</t>
        </is>
      </c>
    </row>
    <row r="301" ht="15.75" customHeight="1" s="187">
      <c r="A301" s="84" t="n">
        <v>45950</v>
      </c>
      <c r="B301" s="206" t="inlineStr">
        <is>
          <t>已收货</t>
        </is>
      </c>
      <c r="C301" s="86" t="inlineStr">
        <is>
          <t>3008617536330005651</t>
        </is>
      </c>
      <c r="D301" s="207" t="inlineStr">
        <is>
          <t>叶宋涛</t>
        </is>
      </c>
      <c r="E301" s="207" t="n"/>
      <c r="F301" s="207" t="n"/>
      <c r="G301" s="207" t="inlineStr">
        <is>
          <t>窄柜-整柜洞石背板-0.8米</t>
        </is>
      </c>
      <c r="H301" s="207" t="inlineStr">
        <is>
          <t>樱桃木窄柜</t>
        </is>
      </c>
      <c r="I301" s="89" t="n">
        <v>800</v>
      </c>
      <c r="J301" s="87" t="inlineStr">
        <is>
          <t>已结算</t>
        </is>
      </c>
      <c r="K301" s="86" t="inlineStr">
        <is>
          <t>庄毅</t>
        </is>
      </c>
      <c r="L301" s="207">
        <f>115+1.16+3.37+3100+1.1+1.03+60/2+4+307.08+54.9+3+0.8*0.48*160+30*5+10</f>
        <v/>
      </c>
      <c r="M301" s="207">
        <f>3100</f>
        <v/>
      </c>
      <c r="N301" s="207">
        <f>0.758*260+2*55</f>
        <v/>
      </c>
      <c r="O301" s="207">
        <f>115</f>
        <v/>
      </c>
      <c r="P301" s="207" t="n"/>
      <c r="Q301" s="207">
        <f>15*2</f>
        <v/>
      </c>
      <c r="R301" s="207">
        <f>0.8*0.48*160+30</f>
        <v/>
      </c>
      <c r="S301" s="207" t="n">
        <v>54.9</v>
      </c>
      <c r="T301" s="207" t="n"/>
      <c r="U301" s="207" t="n"/>
      <c r="V301" s="207" t="n">
        <v>4</v>
      </c>
      <c r="W301" s="207" t="n"/>
      <c r="X301" s="207" t="n"/>
      <c r="Y301" s="207" t="n"/>
      <c r="Z301" s="207" t="n"/>
      <c r="AA301" s="207" t="n"/>
      <c r="AB301" s="207" t="n"/>
      <c r="AC301" s="207" t="n">
        <v>3.5</v>
      </c>
      <c r="AD301" s="207" t="n"/>
      <c r="AE301" s="207" t="n">
        <v>3</v>
      </c>
      <c r="AF301" s="207" t="n"/>
      <c r="AG301" s="207" t="n"/>
      <c r="AH301" s="207" t="n"/>
      <c r="AI301" s="207" t="n"/>
      <c r="AJ301" s="207" t="n">
        <v>1.2</v>
      </c>
      <c r="AK301" s="207" t="n"/>
      <c r="AL301" s="207" t="n"/>
      <c r="AM301" s="207" t="n"/>
      <c r="AN301" s="207" t="n"/>
      <c r="AO301" s="207" t="n"/>
      <c r="AP301" s="207" t="n">
        <v>264</v>
      </c>
      <c r="AQ301" s="207" t="n">
        <v>0</v>
      </c>
      <c r="AR301" s="207" t="n">
        <v>80</v>
      </c>
      <c r="AS301" s="207" t="n">
        <v>0</v>
      </c>
      <c r="AT301" s="207" t="n">
        <v>0</v>
      </c>
      <c r="AU301" s="207" t="n">
        <v>0</v>
      </c>
      <c r="AV301" s="207" t="n">
        <v>0</v>
      </c>
      <c r="AW301" s="207" t="n">
        <v>0</v>
      </c>
      <c r="AX301" s="208" t="n">
        <v>1</v>
      </c>
      <c r="AY301" s="209">
        <f>L301*AX301+AP301+AQ301+AR301+AV301+AW301+AS301+AT301+AU301</f>
        <v/>
      </c>
      <c r="AZ301" s="207" t="n">
        <v>4824.5</v>
      </c>
      <c r="BA301" s="207" t="n">
        <v>0</v>
      </c>
      <c r="BB301" s="207">
        <f>AZ301*0.006</f>
        <v/>
      </c>
      <c r="BC301" s="209">
        <f>AZ301+BA301-BB301</f>
        <v/>
      </c>
      <c r="BD301" s="207" t="n">
        <v>0</v>
      </c>
      <c r="BE301" s="207" t="n">
        <v>0</v>
      </c>
      <c r="BF301" s="209">
        <f>BD301+BE301</f>
        <v/>
      </c>
      <c r="BG301" s="209">
        <f>BC301-AY301+BF301</f>
        <v/>
      </c>
      <c r="BH301" s="207" t="inlineStr">
        <is>
          <t>叶宋涛</t>
        </is>
      </c>
      <c r="BI301" s="207" t="inlineStr">
        <is>
          <t>广西壮族自治区 柳州市 鱼峰区 麒麟街道恒大御府10-1-2001</t>
        </is>
      </c>
      <c r="BJ301" s="207" t="inlineStr">
        <is>
          <t>13117725671-2124</t>
        </is>
      </c>
      <c r="BK301" s="87" t="n"/>
      <c r="BL301" s="210" t="n"/>
      <c r="BM301" s="93" t="n"/>
      <c r="BN301" s="94" t="n"/>
      <c r="BO301" s="93" t="n"/>
      <c r="BP301" s="86" t="n"/>
      <c r="BQ301" s="96" t="n"/>
      <c r="BR301" s="96" t="n"/>
      <c r="BS301" s="97" t="n"/>
      <c r="BT301" s="96" t="n"/>
      <c r="BU301" s="97" t="n"/>
      <c r="BV301" s="96" t="n"/>
      <c r="BW301" s="97" t="n"/>
      <c r="BX301" s="97" t="n"/>
      <c r="BY301" s="97" t="n"/>
      <c r="BZ301" s="97" t="n"/>
      <c r="CA301" s="98" t="n"/>
      <c r="CH301" s="2" t="n"/>
      <c r="CI301" s="14">
        <f>CJ301&amp;CK301</f>
        <v/>
      </c>
      <c r="CJ301" s="25" t="n"/>
      <c r="CK301" s="25" t="n"/>
      <c r="CL301" s="25" t="n"/>
      <c r="CM301" s="25" t="n"/>
      <c r="CN301" s="25" t="n"/>
      <c r="CO301" s="25" t="n"/>
      <c r="CP301" s="25" t="n"/>
      <c r="CQ301" s="25" t="n"/>
      <c r="CR301" s="25" t="n"/>
      <c r="CS301" s="25" t="n"/>
      <c r="CT301" s="25" t="n"/>
      <c r="CU301" s="25" t="n"/>
      <c r="CV301" s="25" t="n"/>
      <c r="CW301" s="25" t="n"/>
      <c r="CX301" s="25" t="n"/>
      <c r="CY301" s="25" t="n"/>
      <c r="CZ301" s="25" t="n"/>
      <c r="DC301" s="26" t="n"/>
      <c r="DD301" s="26" t="n"/>
      <c r="DE301" s="26" t="n"/>
      <c r="DF301" s="26" t="n"/>
      <c r="DG301" s="26" t="n"/>
      <c r="DH301" s="27" t="n"/>
      <c r="DJ301" s="211" t="inlineStr">
        <is>
          <t>订单表中未找到</t>
        </is>
      </c>
      <c r="DK301" t="inlineStr">
        <is>
          <t>—</t>
        </is>
      </c>
      <c r="DL301" t="inlineStr">
        <is>
          <t>—</t>
        </is>
      </c>
    </row>
    <row r="302" ht="15.75" customHeight="1" s="187">
      <c r="A302" s="84" t="n">
        <v>45950</v>
      </c>
      <c r="B302" s="206" t="inlineStr">
        <is>
          <t>已收货</t>
        </is>
      </c>
      <c r="C302" s="86" t="inlineStr">
        <is>
          <t>3007047147919996770</t>
        </is>
      </c>
      <c r="D302" s="86" t="inlineStr">
        <is>
          <t>李先生</t>
        </is>
      </c>
      <c r="E302" s="87" t="n"/>
      <c r="F302" s="87" t="n"/>
      <c r="G302" s="207" t="inlineStr">
        <is>
          <t>窄柜-整柜洞石背板-1.0米</t>
        </is>
      </c>
      <c r="H302" s="207" t="inlineStr">
        <is>
          <t>樱桃木窄柜</t>
        </is>
      </c>
      <c r="I302" s="89" t="n">
        <v>1000</v>
      </c>
      <c r="J302" s="87" t="inlineStr">
        <is>
          <t>已结算</t>
        </is>
      </c>
      <c r="K302" s="86" t="inlineStr">
        <is>
          <t>庄毅</t>
        </is>
      </c>
      <c r="L302" s="207">
        <f>SUM(M302:AO302)</f>
        <v/>
      </c>
      <c r="M302" s="207">
        <f>3300</f>
        <v/>
      </c>
      <c r="N302" s="207">
        <f>0.958*260+2*55</f>
        <v/>
      </c>
      <c r="O302" s="207" t="n">
        <v>120</v>
      </c>
      <c r="P302" s="207" t="n"/>
      <c r="Q302" s="207">
        <f>19*2</f>
        <v/>
      </c>
      <c r="R302" s="207">
        <f>0.48*1*160+30</f>
        <v/>
      </c>
      <c r="S302" s="207" t="n">
        <v>59.23</v>
      </c>
      <c r="T302" s="207" t="n"/>
      <c r="U302" s="207" t="n"/>
      <c r="V302" s="207" t="n">
        <v>5</v>
      </c>
      <c r="W302" s="207" t="n"/>
      <c r="X302" s="207" t="n"/>
      <c r="Y302" s="207" t="n"/>
      <c r="Z302" s="207" t="n"/>
      <c r="AA302" s="207" t="n">
        <v>2</v>
      </c>
      <c r="AB302" s="207" t="n">
        <v>1.1</v>
      </c>
      <c r="AC302" s="207" t="n">
        <v>3.5</v>
      </c>
      <c r="AD302" s="207" t="n"/>
      <c r="AE302" s="207" t="n"/>
      <c r="AF302" s="207" t="n"/>
      <c r="AG302" s="207" t="n"/>
      <c r="AH302" s="207" t="n"/>
      <c r="AI302" s="207" t="n"/>
      <c r="AJ302" s="207" t="n"/>
      <c r="AK302" s="207" t="n"/>
      <c r="AL302" s="207" t="n"/>
      <c r="AM302" s="207" t="n"/>
      <c r="AN302" s="207" t="n"/>
      <c r="AO302" s="207" t="n"/>
      <c r="AP302" s="207" t="n">
        <v>170</v>
      </c>
      <c r="AQ302" s="207" t="n">
        <v>0</v>
      </c>
      <c r="AR302" s="207" t="n">
        <v>108</v>
      </c>
      <c r="AS302" s="207" t="n">
        <v>0</v>
      </c>
      <c r="AT302" s="207" t="n">
        <v>0</v>
      </c>
      <c r="AU302" s="207" t="n">
        <v>0</v>
      </c>
      <c r="AV302" s="207" t="n">
        <v>0</v>
      </c>
      <c r="AW302" s="207" t="n">
        <v>0</v>
      </c>
      <c r="AX302" s="208" t="n">
        <v>1</v>
      </c>
      <c r="AY302" s="209">
        <f>L302*AX302+AP302+AQ302+AR302+AV302+AW302+AS302+AT302+AU302</f>
        <v/>
      </c>
      <c r="AZ302" s="207" t="n">
        <v>5156.5</v>
      </c>
      <c r="BA302" s="207" t="n">
        <v>0</v>
      </c>
      <c r="BB302" s="207">
        <f>AZ302*0.006</f>
        <v/>
      </c>
      <c r="BC302" s="209">
        <f>AZ302+BA302-BB302</f>
        <v/>
      </c>
      <c r="BD302" s="207" t="n">
        <v>0</v>
      </c>
      <c r="BE302" s="207" t="n">
        <v>0</v>
      </c>
      <c r="BF302" s="209">
        <f>BD302+BE302</f>
        <v/>
      </c>
      <c r="BG302" s="209">
        <f>BC302-AY302+BF302</f>
        <v/>
      </c>
      <c r="BH302" s="86" t="inlineStr">
        <is>
          <t>李先生</t>
        </is>
      </c>
      <c r="BI302" s="86" t="inlineStr">
        <is>
          <t>浙江省 杭州市 上城区 笕桥街道万科公园大道1栋1402</t>
        </is>
      </c>
      <c r="BJ302" s="86" t="inlineStr">
        <is>
          <t>18413246566-7467</t>
        </is>
      </c>
      <c r="BK302" s="86" t="n"/>
      <c r="BL302" s="210" t="n"/>
      <c r="BM302" s="93" t="n"/>
      <c r="BN302" s="94" t="n"/>
      <c r="BO302" s="93" t="n"/>
      <c r="BP302" s="86" t="n"/>
      <c r="BQ302" s="96" t="n"/>
      <c r="BR302" s="96" t="n"/>
      <c r="BS302" s="97" t="n"/>
      <c r="BT302" s="96" t="n"/>
      <c r="BU302" s="97" t="n"/>
      <c r="BV302" s="96" t="n"/>
      <c r="BW302" s="97" t="n"/>
      <c r="BX302" s="97" t="n"/>
      <c r="BY302" s="97" t="n"/>
      <c r="BZ302" s="97" t="n"/>
      <c r="CH302" s="2" t="n"/>
      <c r="CI302" s="14" t="n"/>
      <c r="CJ302" s="25" t="n"/>
      <c r="CK302" s="25" t="n"/>
      <c r="CL302" s="25" t="n"/>
      <c r="CM302" s="25" t="n"/>
      <c r="CN302" s="25" t="n"/>
      <c r="CO302" s="25" t="n"/>
      <c r="CP302" s="25" t="n"/>
      <c r="CQ302" s="25" t="n"/>
      <c r="CR302" s="25" t="n"/>
      <c r="CS302" s="25" t="n"/>
      <c r="CT302" s="25" t="n"/>
      <c r="CU302" s="25" t="n"/>
      <c r="CV302" s="25" t="n"/>
      <c r="CW302" s="25" t="n"/>
      <c r="CX302" s="25" t="n"/>
      <c r="CY302" s="25" t="n"/>
      <c r="DC302" s="26" t="n"/>
      <c r="DD302" s="26" t="n"/>
      <c r="DE302" s="26" t="n"/>
      <c r="DF302" s="26" t="n"/>
      <c r="DG302" s="26" t="n"/>
      <c r="DH302" s="27" t="n"/>
      <c r="DJ302" s="211" t="inlineStr">
        <is>
          <t>订单表中未找到</t>
        </is>
      </c>
      <c r="DK302" t="inlineStr">
        <is>
          <t>—</t>
        </is>
      </c>
      <c r="DL302" t="inlineStr">
        <is>
          <t>—</t>
        </is>
      </c>
    </row>
    <row r="303" ht="15.75" customHeight="1" s="187">
      <c r="A303" s="84" t="n">
        <v>45950</v>
      </c>
      <c r="B303" s="206" t="inlineStr">
        <is>
          <t>已收货</t>
        </is>
      </c>
      <c r="C303" s="86" t="inlineStr">
        <is>
          <t>4822098229722147525</t>
        </is>
      </c>
      <c r="D303" s="86" t="inlineStr">
        <is>
          <t>封小姐</t>
        </is>
      </c>
      <c r="E303" s="87" t="n"/>
      <c r="F303" s="87" t="n"/>
      <c r="G303" s="87" t="inlineStr">
        <is>
          <t>砂白色1.4米岩板餐桌</t>
        </is>
      </c>
      <c r="H303" s="207" t="inlineStr">
        <is>
          <t>榉木餐桌</t>
        </is>
      </c>
      <c r="I303" s="218" t="inlineStr">
        <is>
          <t>140cm*85cm</t>
        </is>
      </c>
      <c r="J303" s="87" t="inlineStr">
        <is>
          <t>已结算</t>
        </is>
      </c>
      <c r="K303" s="86" t="inlineStr">
        <is>
          <t>庄毅</t>
        </is>
      </c>
      <c r="L303" s="207">
        <f>SUM(M303:AO303)</f>
        <v/>
      </c>
      <c r="M303" s="207">
        <f>1480</f>
        <v/>
      </c>
      <c r="N303" s="207" t="n"/>
      <c r="O303" s="207" t="n"/>
      <c r="P303" s="207" t="n"/>
      <c r="Q303" s="207" t="n"/>
      <c r="R303" s="207">
        <f>180*1.4*0.85</f>
        <v/>
      </c>
      <c r="S303" s="207" t="n"/>
      <c r="T303" s="207" t="n"/>
      <c r="U303" s="207" t="n"/>
      <c r="V303" s="207" t="n"/>
      <c r="W303" s="207" t="n"/>
      <c r="X303" s="207" t="n"/>
      <c r="Y303" s="207" t="n"/>
      <c r="Z303" s="207" t="n"/>
      <c r="AA303" s="207" t="n"/>
      <c r="AB303" s="207" t="n"/>
      <c r="AC303" s="207" t="n"/>
      <c r="AD303" s="207" t="n">
        <v>2.5</v>
      </c>
      <c r="AE303" s="207" t="n"/>
      <c r="AF303" s="207" t="n"/>
      <c r="AG303" s="207" t="n"/>
      <c r="AH303" s="207" t="n"/>
      <c r="AI303" s="207" t="n"/>
      <c r="AJ303" s="207" t="n"/>
      <c r="AK303" s="207" t="n"/>
      <c r="AL303" s="207" t="n"/>
      <c r="AM303" s="207" t="n"/>
      <c r="AN303" s="207" t="n"/>
      <c r="AO303" s="207" t="n"/>
      <c r="AP303" s="207" t="n">
        <v>150</v>
      </c>
      <c r="AQ303" s="207" t="n">
        <v>0</v>
      </c>
      <c r="AR303" s="207" t="n">
        <v>88</v>
      </c>
      <c r="AS303" s="207" t="n">
        <v>0</v>
      </c>
      <c r="AT303" s="207" t="n">
        <v>0</v>
      </c>
      <c r="AU303" s="207" t="n">
        <v>0</v>
      </c>
      <c r="AV303" s="207" t="n">
        <v>0</v>
      </c>
      <c r="AW303" s="207" t="n">
        <v>0</v>
      </c>
      <c r="AX303" s="208" t="n">
        <v>1</v>
      </c>
      <c r="AY303" s="209">
        <f>L303*AX303+AP303+AQ303+AR303+AV303+AW303+AS303+AT303+AU303</f>
        <v/>
      </c>
      <c r="AZ303" s="207" t="n">
        <v>2593.89</v>
      </c>
      <c r="BA303" s="207" t="n">
        <v>0</v>
      </c>
      <c r="BB303" s="207">
        <f>AZ303*0.006</f>
        <v/>
      </c>
      <c r="BC303" s="209">
        <f>AZ303+BA303-BB303</f>
        <v/>
      </c>
      <c r="BD303" s="207" t="n">
        <v>0</v>
      </c>
      <c r="BE303" s="207" t="n">
        <v>0</v>
      </c>
      <c r="BF303" s="209">
        <f>BD303+BE303</f>
        <v/>
      </c>
      <c r="BG303" s="209">
        <f>BC303-AY303+BF303</f>
        <v/>
      </c>
      <c r="BH303" s="207" t="inlineStr">
        <is>
          <t>封小姐</t>
        </is>
      </c>
      <c r="BI303" s="207" t="inlineStr">
        <is>
          <t>上海 上海市 浦东新区 川沙新镇观宸润府2号302室</t>
        </is>
      </c>
      <c r="BJ303" s="207" t="inlineStr">
        <is>
          <t>13122842324-9097</t>
        </is>
      </c>
      <c r="BK303" s="86" t="n"/>
      <c r="BL303" s="210" t="n"/>
      <c r="BM303" s="93" t="n"/>
      <c r="BN303" s="94" t="n"/>
      <c r="BO303" s="93" t="n"/>
      <c r="BP303" s="86" t="n"/>
      <c r="BQ303" s="96" t="n"/>
      <c r="BR303" s="96" t="n"/>
      <c r="BS303" s="97" t="n"/>
      <c r="BT303" s="96" t="n"/>
      <c r="BU303" s="97" t="n"/>
      <c r="BV303" s="96" t="n"/>
      <c r="BW303" s="97" t="n"/>
      <c r="BX303" s="97" t="n"/>
      <c r="BY303" s="97" t="n"/>
      <c r="BZ303" s="97" t="n"/>
      <c r="CH303" s="2" t="n"/>
      <c r="CI303" s="14" t="n"/>
      <c r="CJ303" s="25" t="n"/>
      <c r="CK303" s="25" t="n"/>
      <c r="CL303" s="25" t="n"/>
      <c r="CM303" s="25" t="n"/>
      <c r="CN303" s="25" t="n"/>
      <c r="CO303" s="25" t="n"/>
      <c r="CP303" s="25" t="n"/>
      <c r="CQ303" s="25" t="n"/>
      <c r="CR303" s="25" t="n"/>
      <c r="CS303" s="25" t="n"/>
      <c r="CT303" s="25" t="n"/>
      <c r="CU303" s="25" t="n"/>
      <c r="CV303" s="25" t="n"/>
      <c r="CW303" s="25" t="n"/>
      <c r="CX303" s="25" t="n"/>
      <c r="CY303" s="25" t="n"/>
      <c r="DC303" s="26" t="n"/>
      <c r="DD303" s="26" t="n"/>
      <c r="DE303" s="26" t="n"/>
      <c r="DF303" s="26" t="n"/>
      <c r="DG303" s="26" t="n"/>
      <c r="DH303" s="27" t="n"/>
      <c r="DJ303" s="211" t="inlineStr">
        <is>
          <t>订单表中未找到</t>
        </is>
      </c>
      <c r="DK303" t="inlineStr">
        <is>
          <t>—</t>
        </is>
      </c>
      <c r="DL303" t="inlineStr">
        <is>
          <t>—</t>
        </is>
      </c>
    </row>
    <row r="304" ht="15.75" customHeight="1" s="187">
      <c r="A304" s="84" t="n">
        <v>45950</v>
      </c>
      <c r="B304" s="206" t="inlineStr">
        <is>
          <t>已收货</t>
        </is>
      </c>
      <c r="C304" s="86" t="inlineStr">
        <is>
          <t>3007612705483994284</t>
        </is>
      </c>
      <c r="D304" s="86" t="inlineStr">
        <is>
          <t>凌婉怡</t>
        </is>
      </c>
      <c r="E304" s="87" t="n"/>
      <c r="F304" s="87" t="n"/>
      <c r="G304" s="207" t="inlineStr">
        <is>
          <t>窄柜-整柜洞石背板-1.0米</t>
        </is>
      </c>
      <c r="H304" s="207" t="inlineStr">
        <is>
          <t>樱桃木窄柜</t>
        </is>
      </c>
      <c r="I304" s="89" t="n">
        <v>1000</v>
      </c>
      <c r="J304" s="87" t="inlineStr">
        <is>
          <t>已结算</t>
        </is>
      </c>
      <c r="K304" s="86" t="inlineStr">
        <is>
          <t>庄毅</t>
        </is>
      </c>
      <c r="L304" s="207">
        <f>SUM(M304:AO304)</f>
        <v/>
      </c>
      <c r="M304" s="207">
        <f>3300</f>
        <v/>
      </c>
      <c r="N304" s="207">
        <f>0.958*260+2*55</f>
        <v/>
      </c>
      <c r="O304" s="207" t="n">
        <v>120</v>
      </c>
      <c r="P304" s="207" t="n"/>
      <c r="Q304" s="207">
        <f>19*2</f>
        <v/>
      </c>
      <c r="R304" s="207" t="n">
        <v>106.8</v>
      </c>
      <c r="S304" s="207" t="n">
        <v>59.23</v>
      </c>
      <c r="T304" s="207" t="n"/>
      <c r="U304" s="207" t="n"/>
      <c r="V304" s="207" t="n">
        <v>5</v>
      </c>
      <c r="W304" s="207" t="n"/>
      <c r="X304" s="207" t="n"/>
      <c r="Y304" s="207" t="n"/>
      <c r="Z304" s="207" t="n"/>
      <c r="AA304" s="207" t="n">
        <v>2</v>
      </c>
      <c r="AB304" s="207" t="n">
        <v>1.1</v>
      </c>
      <c r="AC304" s="207" t="n">
        <v>3.5</v>
      </c>
      <c r="AD304" s="207" t="n"/>
      <c r="AE304" s="207" t="n"/>
      <c r="AF304" s="207" t="n"/>
      <c r="AG304" s="207" t="n"/>
      <c r="AH304" s="207" t="n"/>
      <c r="AI304" s="207" t="n"/>
      <c r="AJ304" s="207" t="n"/>
      <c r="AK304" s="207" t="n"/>
      <c r="AL304" s="207" t="n"/>
      <c r="AM304" s="207" t="n"/>
      <c r="AN304" s="207" t="n"/>
      <c r="AO304" s="207" t="n"/>
      <c r="AP304" s="207" t="n">
        <v>372</v>
      </c>
      <c r="AQ304" s="207" t="n">
        <v>0</v>
      </c>
      <c r="AR304" s="207" t="n">
        <v>118</v>
      </c>
      <c r="AS304" s="207" t="n">
        <v>0</v>
      </c>
      <c r="AT304" s="207" t="n">
        <v>0</v>
      </c>
      <c r="AU304" s="207" t="n">
        <v>0</v>
      </c>
      <c r="AV304" s="207" t="n">
        <v>0</v>
      </c>
      <c r="AW304" s="207" t="n">
        <v>0</v>
      </c>
      <c r="AX304" s="208" t="n">
        <v>1</v>
      </c>
      <c r="AY304" s="209">
        <f>L304*AX304+AP304+AQ304+AR304+AV304+AW304+AS304+AT304+AU304</f>
        <v/>
      </c>
      <c r="AZ304" s="207" t="n">
        <v>5156.5</v>
      </c>
      <c r="BA304" s="207" t="n">
        <v>0</v>
      </c>
      <c r="BB304" s="207">
        <f>AZ304*0.006</f>
        <v/>
      </c>
      <c r="BC304" s="209">
        <f>AZ304+BA304-BB304</f>
        <v/>
      </c>
      <c r="BD304" s="207" t="n">
        <v>0</v>
      </c>
      <c r="BE304" s="207" t="n">
        <v>0</v>
      </c>
      <c r="BF304" s="209">
        <f>BD304+BE304</f>
        <v/>
      </c>
      <c r="BG304" s="209">
        <f>BC304-AY304+BF304</f>
        <v/>
      </c>
      <c r="BH304" s="86" t="inlineStr">
        <is>
          <t>凌婉怡</t>
        </is>
      </c>
      <c r="BI304" s="86" t="inlineStr">
        <is>
          <t xml:space="preserve">上海 上海市 浦东新区 北蔡镇 民乐苑328弄9号302室 </t>
        </is>
      </c>
      <c r="BJ304" s="86" t="inlineStr">
        <is>
          <t>18466666653-7386</t>
        </is>
      </c>
      <c r="BK304" s="86" t="n"/>
      <c r="BL304" s="210" t="n"/>
      <c r="BM304" s="93" t="n"/>
      <c r="BN304" s="94" t="n"/>
      <c r="BO304" s="93" t="n"/>
      <c r="BP304" s="86" t="n"/>
      <c r="BQ304" s="96" t="n"/>
      <c r="BR304" s="96" t="n"/>
      <c r="BS304" s="97" t="n"/>
      <c r="BT304" s="96" t="n"/>
      <c r="BU304" s="97" t="n"/>
      <c r="BV304" s="96" t="n"/>
      <c r="BW304" s="97" t="n"/>
      <c r="BX304" s="97" t="n"/>
      <c r="BY304" s="97" t="n"/>
      <c r="BZ304" s="97" t="n"/>
      <c r="CH304" s="2" t="n"/>
      <c r="CI304" s="14" t="n"/>
      <c r="CJ304" s="25" t="n"/>
      <c r="CK304" s="25" t="n"/>
      <c r="CL304" s="25" t="n"/>
      <c r="CM304" s="25" t="n"/>
      <c r="CN304" s="25" t="n"/>
      <c r="CO304" s="25" t="n"/>
      <c r="CP304" s="25" t="n"/>
      <c r="CQ304" s="25" t="n"/>
      <c r="CR304" s="25" t="n"/>
      <c r="CS304" s="25" t="n"/>
      <c r="CT304" s="25" t="n"/>
      <c r="CU304" s="25" t="n"/>
      <c r="CV304" s="25" t="n"/>
      <c r="CW304" s="25" t="n"/>
      <c r="CX304" s="25" t="n"/>
      <c r="CY304" s="25" t="n"/>
      <c r="DC304" s="26" t="n"/>
      <c r="DD304" s="26" t="n"/>
      <c r="DE304" s="26" t="n"/>
      <c r="DF304" s="26" t="n"/>
      <c r="DG304" s="26" t="n"/>
      <c r="DH304" s="27" t="n"/>
      <c r="DJ304" s="211" t="inlineStr">
        <is>
          <t>订单表中未找到</t>
        </is>
      </c>
      <c r="DK304" t="inlineStr">
        <is>
          <t>—</t>
        </is>
      </c>
      <c r="DL304" t="inlineStr">
        <is>
          <t>—</t>
        </is>
      </c>
    </row>
    <row r="305" ht="15.75" customHeight="1" s="187">
      <c r="A305" s="84" t="n">
        <v>45950</v>
      </c>
      <c r="B305" s="206" t="inlineStr">
        <is>
          <t>已收货</t>
        </is>
      </c>
      <c r="C305" s="86" t="inlineStr">
        <is>
          <t>3007682402226824475</t>
        </is>
      </c>
      <c r="D305" s="86" t="inlineStr">
        <is>
          <t>王文茜</t>
        </is>
      </c>
      <c r="E305" s="87" t="n"/>
      <c r="F305" s="87" t="n"/>
      <c r="G305" s="87" t="inlineStr">
        <is>
          <t>砂白色1.6米岩板餐桌，自己安装</t>
        </is>
      </c>
      <c r="H305" s="207" t="inlineStr">
        <is>
          <t>榉木餐桌</t>
        </is>
      </c>
      <c r="I305" s="89" t="inlineStr">
        <is>
          <t>160cm*85cm</t>
        </is>
      </c>
      <c r="J305" s="87" t="inlineStr">
        <is>
          <t>已结算</t>
        </is>
      </c>
      <c r="K305" s="86" t="inlineStr">
        <is>
          <t>江西</t>
        </is>
      </c>
      <c r="L305" s="207">
        <f>SUM(M305:AO305)</f>
        <v/>
      </c>
      <c r="M305" s="207">
        <f>1520</f>
        <v/>
      </c>
      <c r="N305" s="207" t="n"/>
      <c r="O305" s="207" t="n"/>
      <c r="P305" s="207" t="n"/>
      <c r="Q305" s="207" t="n"/>
      <c r="R305" s="207" t="n">
        <v>240</v>
      </c>
      <c r="S305" s="207" t="n"/>
      <c r="T305" s="207" t="n"/>
      <c r="U305" s="207" t="n"/>
      <c r="V305" s="207" t="n"/>
      <c r="W305" s="207" t="n"/>
      <c r="X305" s="207" t="n"/>
      <c r="Y305" s="207" t="n"/>
      <c r="Z305" s="207" t="n"/>
      <c r="AA305" s="207" t="n"/>
      <c r="AB305" s="207" t="n"/>
      <c r="AC305" s="207" t="n"/>
      <c r="AD305" s="207" t="n">
        <v>2.5</v>
      </c>
      <c r="AE305" s="207" t="n"/>
      <c r="AF305" s="207" t="n"/>
      <c r="AG305" s="207" t="n"/>
      <c r="AH305" s="207" t="n"/>
      <c r="AI305" s="207" t="n"/>
      <c r="AJ305" s="207" t="n"/>
      <c r="AK305" s="207" t="n"/>
      <c r="AL305" s="207" t="n"/>
      <c r="AM305" s="207" t="n">
        <v>170</v>
      </c>
      <c r="AN305" s="207" t="n"/>
      <c r="AO305" s="207" t="n"/>
      <c r="AP305" s="207">
        <f>116-AQ305</f>
        <v/>
      </c>
      <c r="AQ305" s="207" t="n">
        <v>30</v>
      </c>
      <c r="AR305" s="207" t="n">
        <v>0</v>
      </c>
      <c r="AS305" s="207" t="n">
        <v>0</v>
      </c>
      <c r="AT305" s="207" t="n">
        <v>0</v>
      </c>
      <c r="AU305" s="207" t="n">
        <v>0</v>
      </c>
      <c r="AV305" s="207" t="n">
        <v>0</v>
      </c>
      <c r="AW305" s="207" t="n">
        <v>0</v>
      </c>
      <c r="AX305" s="208" t="n">
        <v>1</v>
      </c>
      <c r="AY305" s="209">
        <f>L305*AX305+AP305+AQ305+AR305+AV305+AW305+AS305+AT305+AU305</f>
        <v/>
      </c>
      <c r="AZ305" s="207" t="n">
        <v>2693.41</v>
      </c>
      <c r="BA305" s="207" t="n">
        <v>0</v>
      </c>
      <c r="BB305" s="207">
        <f>AZ305*0.006</f>
        <v/>
      </c>
      <c r="BC305" s="209">
        <f>AZ305+BA305-BB305</f>
        <v/>
      </c>
      <c r="BD305" s="207" t="n">
        <v>0</v>
      </c>
      <c r="BE305" s="207" t="n">
        <v>0</v>
      </c>
      <c r="BF305" s="209">
        <f>BD305+BE305</f>
        <v/>
      </c>
      <c r="BG305" s="209">
        <f>BC305-AY305+BF305</f>
        <v/>
      </c>
      <c r="BH305" s="86" t="inlineStr">
        <is>
          <t>王文茜</t>
        </is>
      </c>
      <c r="BI305" s="86" t="inlineStr">
        <is>
          <t>浙江省 杭州市 钱塘区 河庄街道滨江兴耀湖悦岚湾12栋1401</t>
        </is>
      </c>
      <c r="BJ305" s="86" t="inlineStr">
        <is>
          <t>18413249197-3657</t>
        </is>
      </c>
      <c r="BK305" s="86" t="n"/>
      <c r="BL305" s="210" t="n"/>
      <c r="BM305" s="93" t="n"/>
      <c r="BN305" s="94" t="n"/>
      <c r="BO305" s="93" t="n"/>
      <c r="BP305" s="86" t="n"/>
      <c r="BQ305" s="96" t="n"/>
      <c r="BR305" s="96" t="n"/>
      <c r="BS305" s="97" t="n"/>
      <c r="BT305" s="96" t="n"/>
      <c r="BU305" s="97" t="n"/>
      <c r="BV305" s="96" t="n"/>
      <c r="BW305" s="97" t="n"/>
      <c r="BX305" s="97" t="n"/>
      <c r="BY305" s="97" t="n"/>
      <c r="BZ305" s="97" t="n"/>
      <c r="CH305" s="2" t="n"/>
      <c r="CI305" s="14" t="n"/>
      <c r="CJ305" s="25" t="n"/>
      <c r="CK305" s="25" t="n"/>
      <c r="CL305" s="25" t="n"/>
      <c r="CM305" s="25" t="n"/>
      <c r="CN305" s="25" t="n"/>
      <c r="CO305" s="25" t="n"/>
      <c r="CP305" s="25" t="n"/>
      <c r="CQ305" s="25" t="n"/>
      <c r="CR305" s="25" t="n"/>
      <c r="CS305" s="25" t="n"/>
      <c r="CT305" s="25" t="n"/>
      <c r="CU305" s="25" t="n"/>
      <c r="CV305" s="25" t="n"/>
      <c r="CW305" s="25" t="n"/>
      <c r="CX305" s="25" t="n"/>
      <c r="CY305" s="25" t="n"/>
      <c r="DC305" s="26" t="n"/>
      <c r="DD305" s="26" t="n"/>
      <c r="DE305" s="26" t="n"/>
      <c r="DF305" s="26" t="n"/>
      <c r="DG305" s="26" t="n"/>
      <c r="DH305" s="27" t="n"/>
      <c r="DJ305" s="211" t="inlineStr">
        <is>
          <t>订单表中未找到</t>
        </is>
      </c>
      <c r="DK305" t="inlineStr">
        <is>
          <t>—</t>
        </is>
      </c>
      <c r="DL305" t="inlineStr">
        <is>
          <t>—</t>
        </is>
      </c>
    </row>
    <row r="306" ht="15.75" customHeight="1" s="187">
      <c r="A306" s="84" t="n">
        <v>45950</v>
      </c>
      <c r="B306" s="206" t="inlineStr">
        <is>
          <t>已收货</t>
        </is>
      </c>
      <c r="C306" s="86" t="inlineStr">
        <is>
          <t>4823566632099261921</t>
        </is>
      </c>
      <c r="D306" s="86" t="inlineStr">
        <is>
          <t>一颗盘子</t>
        </is>
      </c>
      <c r="E306" s="87" t="n"/>
      <c r="F306" s="87" t="n"/>
      <c r="G306" s="87" t="inlineStr">
        <is>
          <t>砂白色1.6米岩板餐桌</t>
        </is>
      </c>
      <c r="H306" s="207" t="inlineStr">
        <is>
          <t>榉木餐桌</t>
        </is>
      </c>
      <c r="I306" s="89" t="inlineStr">
        <is>
          <t>160cm*85cm</t>
        </is>
      </c>
      <c r="J306" s="87" t="inlineStr">
        <is>
          <t>已结算</t>
        </is>
      </c>
      <c r="K306" s="86" t="inlineStr">
        <is>
          <t>江西</t>
        </is>
      </c>
      <c r="L306" s="207">
        <f>SUM(M306:AO306)</f>
        <v/>
      </c>
      <c r="M306" s="207">
        <f>1350</f>
        <v/>
      </c>
      <c r="N306" s="207" t="n"/>
      <c r="O306" s="207" t="n"/>
      <c r="P306" s="207" t="n"/>
      <c r="Q306" s="207" t="n"/>
      <c r="R306" s="207" t="n">
        <v>240</v>
      </c>
      <c r="S306" s="207" t="n"/>
      <c r="T306" s="207" t="n"/>
      <c r="U306" s="207" t="n"/>
      <c r="V306" s="207" t="n"/>
      <c r="W306" s="207" t="n"/>
      <c r="X306" s="207" t="n"/>
      <c r="Y306" s="207" t="n"/>
      <c r="Z306" s="207" t="n"/>
      <c r="AA306" s="207" t="n"/>
      <c r="AB306" s="207" t="n"/>
      <c r="AC306" s="207" t="n"/>
      <c r="AD306" s="207" t="n">
        <v>2.5</v>
      </c>
      <c r="AE306" s="207" t="n"/>
      <c r="AF306" s="207" t="n"/>
      <c r="AG306" s="207" t="n"/>
      <c r="AH306" s="207" t="n"/>
      <c r="AI306" s="207" t="n"/>
      <c r="AJ306" s="207" t="n"/>
      <c r="AK306" s="207" t="n"/>
      <c r="AL306" s="207" t="n"/>
      <c r="AM306" s="207" t="n">
        <v>170</v>
      </c>
      <c r="AN306" s="207" t="n"/>
      <c r="AO306" s="207" t="n"/>
      <c r="AP306" s="207">
        <f>121-AQ306</f>
        <v/>
      </c>
      <c r="AQ306" s="207" t="n">
        <v>30</v>
      </c>
      <c r="AR306" s="207" t="n">
        <v>75</v>
      </c>
      <c r="AS306" s="207" t="n">
        <v>0</v>
      </c>
      <c r="AT306" s="207" t="n">
        <v>0</v>
      </c>
      <c r="AU306" s="207" t="n">
        <v>0</v>
      </c>
      <c r="AV306" s="207" t="n">
        <v>0</v>
      </c>
      <c r="AW306" s="207" t="n">
        <v>0</v>
      </c>
      <c r="AX306" s="208" t="n">
        <v>1</v>
      </c>
      <c r="AY306" s="209">
        <f>L306*AX306+AP306+AQ306+AR306+AV306+AW306+AS306+AT306+AU306</f>
        <v/>
      </c>
      <c r="AZ306" s="207" t="n">
        <v>2693.41</v>
      </c>
      <c r="BA306" s="207" t="n">
        <v>0</v>
      </c>
      <c r="BB306" s="207">
        <f>AZ306*0.006</f>
        <v/>
      </c>
      <c r="BC306" s="209">
        <f>AZ306+BA306-BB306</f>
        <v/>
      </c>
      <c r="BD306" s="207" t="n">
        <v>0</v>
      </c>
      <c r="BE306" s="207" t="n">
        <v>0</v>
      </c>
      <c r="BF306" s="209">
        <f>BD306+BE306</f>
        <v/>
      </c>
      <c r="BG306" s="209">
        <f>BC306-AY306+BF306</f>
        <v/>
      </c>
      <c r="BH306" s="86" t="inlineStr">
        <is>
          <t>一颗盘子</t>
        </is>
      </c>
      <c r="BI306" s="86" t="inlineStr">
        <is>
          <t>浙江省 台州市 椒江区 三甲街道体育场路金地翡翠云邸  西门    6-3-101</t>
        </is>
      </c>
      <c r="BJ306" s="86" t="inlineStr">
        <is>
          <t>15786494904-7952</t>
        </is>
      </c>
      <c r="BK306" s="86" t="n"/>
      <c r="BL306" s="210" t="n"/>
      <c r="BM306" s="93" t="n"/>
      <c r="BN306" s="94" t="n"/>
      <c r="BO306" s="93" t="n"/>
      <c r="BP306" s="86" t="n"/>
      <c r="BQ306" s="96" t="n"/>
      <c r="BR306" s="96" t="n"/>
      <c r="BS306" s="97" t="n"/>
      <c r="BT306" s="96" t="n"/>
      <c r="BU306" s="97" t="n"/>
      <c r="BV306" s="96" t="n"/>
      <c r="BW306" s="97" t="n"/>
      <c r="BX306" s="97" t="n"/>
      <c r="BY306" s="97" t="n"/>
      <c r="BZ306" s="97" t="n"/>
      <c r="CH306" s="2" t="n"/>
      <c r="CI306" s="14" t="n"/>
      <c r="CJ306" s="25" t="n"/>
      <c r="CK306" s="25" t="n"/>
      <c r="CL306" s="25" t="n"/>
      <c r="CM306" s="25" t="n"/>
      <c r="CN306" s="25" t="n"/>
      <c r="CO306" s="25" t="n"/>
      <c r="CP306" s="25" t="n"/>
      <c r="CQ306" s="25" t="n"/>
      <c r="CR306" s="25" t="n"/>
      <c r="CS306" s="25" t="n"/>
      <c r="CT306" s="25" t="n"/>
      <c r="CU306" s="25" t="n"/>
      <c r="CV306" s="25" t="n"/>
      <c r="CW306" s="25" t="n"/>
      <c r="CX306" s="25" t="n"/>
      <c r="CY306" s="25" t="n"/>
      <c r="DC306" s="26" t="n"/>
      <c r="DD306" s="26" t="n"/>
      <c r="DE306" s="26" t="n"/>
      <c r="DF306" s="26" t="n"/>
      <c r="DG306" s="26" t="n"/>
      <c r="DH306" s="27" t="n"/>
      <c r="DJ306" s="211" t="inlineStr">
        <is>
          <t>订单表中未找到</t>
        </is>
      </c>
      <c r="DK306" t="inlineStr">
        <is>
          <t>—</t>
        </is>
      </c>
      <c r="DL306" t="inlineStr">
        <is>
          <t>—</t>
        </is>
      </c>
    </row>
    <row r="307" ht="15.75" customHeight="1" s="187">
      <c r="A307" s="84" t="n">
        <v>45951</v>
      </c>
      <c r="B307" s="206" t="inlineStr">
        <is>
          <t>已收货</t>
        </is>
      </c>
      <c r="C307" s="86" t="inlineStr">
        <is>
          <t>3008435594385114781</t>
        </is>
      </c>
      <c r="D307" s="207" t="inlineStr">
        <is>
          <t>龚</t>
        </is>
      </c>
      <c r="E307" s="87" t="n"/>
      <c r="F307" s="87" t="n"/>
      <c r="G307" s="207" t="inlineStr">
        <is>
          <t>窄柜-整柜洞石背板-1.2米</t>
        </is>
      </c>
      <c r="H307" s="207" t="inlineStr">
        <is>
          <t>樱桃木窄柜</t>
        </is>
      </c>
      <c r="I307" s="89" t="n">
        <v>1200</v>
      </c>
      <c r="J307" s="87" t="inlineStr">
        <is>
          <t>已结算</t>
        </is>
      </c>
      <c r="K307" s="86" t="inlineStr">
        <is>
          <t>庄毅</t>
        </is>
      </c>
      <c r="L307" s="207">
        <f>3600+115+1.16+3.37+1.1+1.03+76/2+8+411.08+3+10+62.4+160*1.2*0.48+5*30</f>
        <v/>
      </c>
      <c r="M307" s="207">
        <f>3600</f>
        <v/>
      </c>
      <c r="N307" s="207">
        <f>1.158*260+2*55</f>
        <v/>
      </c>
      <c r="O307" s="207" t="n">
        <v>125</v>
      </c>
      <c r="P307" s="207" t="n"/>
      <c r="Q307" s="207">
        <f>38*2</f>
        <v/>
      </c>
      <c r="R307" s="207">
        <f>160*1.2*0.48+30</f>
        <v/>
      </c>
      <c r="S307" s="207" t="n">
        <v>62.4</v>
      </c>
      <c r="T307" s="207" t="n"/>
      <c r="U307" s="207" t="n"/>
      <c r="V307" s="207" t="n"/>
      <c r="W307" s="207" t="n">
        <v>8</v>
      </c>
      <c r="X307" s="207" t="n"/>
      <c r="Y307" s="207" t="n">
        <v>3</v>
      </c>
      <c r="Z307" s="207" t="n"/>
      <c r="AA307" s="207" t="n"/>
      <c r="AB307" s="207" t="n"/>
      <c r="AC307" s="207" t="n">
        <v>3.37</v>
      </c>
      <c r="AD307" s="207" t="n"/>
      <c r="AE307" s="207" t="n"/>
      <c r="AF307" s="207" t="n"/>
      <c r="AG307" s="207" t="n"/>
      <c r="AH307" s="207" t="n"/>
      <c r="AI307" s="207" t="n">
        <v>1.16</v>
      </c>
      <c r="AJ307" s="207" t="n">
        <v>1.1</v>
      </c>
      <c r="AK307" s="207" t="n">
        <v>10</v>
      </c>
      <c r="AL307" s="207" t="n"/>
      <c r="AM307" s="207" t="n"/>
      <c r="AN307" s="207" t="n"/>
      <c r="AO307" s="207" t="n"/>
      <c r="AP307" s="207" t="n">
        <v>225</v>
      </c>
      <c r="AQ307" s="207" t="n">
        <v>0</v>
      </c>
      <c r="AR307" s="207" t="n">
        <v>96</v>
      </c>
      <c r="AS307" s="207" t="n">
        <v>0</v>
      </c>
      <c r="AT307" s="207" t="n">
        <v>0</v>
      </c>
      <c r="AU307" s="207" t="n">
        <v>0</v>
      </c>
      <c r="AV307" s="207" t="n">
        <v>0</v>
      </c>
      <c r="AW307" s="207" t="n">
        <v>0</v>
      </c>
      <c r="AX307" s="208" t="n">
        <v>1</v>
      </c>
      <c r="AY307" s="209">
        <f>L307*AX307+AP307+AQ307+AR307+AV307+AW307+AS307+AT307+AU307</f>
        <v/>
      </c>
      <c r="AZ307" s="207" t="n">
        <v>5623</v>
      </c>
      <c r="BA307" s="207" t="n">
        <v>0</v>
      </c>
      <c r="BB307" s="207">
        <f>AZ307*0.006</f>
        <v/>
      </c>
      <c r="BC307" s="209">
        <f>AZ307+BA307-BB307</f>
        <v/>
      </c>
      <c r="BD307" s="207" t="n">
        <v>0</v>
      </c>
      <c r="BE307" s="207" t="n">
        <v>0</v>
      </c>
      <c r="BF307" s="209">
        <f>BD307+BE307</f>
        <v/>
      </c>
      <c r="BG307" s="209">
        <f>BC307-AY307+BF307</f>
        <v/>
      </c>
      <c r="BH307" s="207" t="inlineStr">
        <is>
          <t>龚</t>
        </is>
      </c>
      <c r="BI307" s="207" t="inlineStr">
        <is>
          <t>湖北省 襄阳市 襄城区 尹集乡中华紫薇园内</t>
        </is>
      </c>
      <c r="BJ307" s="207" t="inlineStr">
        <is>
          <t>18472219674-5184</t>
        </is>
      </c>
      <c r="BK307" s="87" t="n"/>
      <c r="BL307" s="210" t="n"/>
      <c r="BM307" s="93" t="n"/>
      <c r="BN307" s="94" t="n"/>
      <c r="BO307" s="93" t="n"/>
      <c r="BP307" s="86" t="n"/>
      <c r="BQ307" s="96" t="n"/>
      <c r="BR307" s="96" t="n"/>
      <c r="BS307" s="97" t="n"/>
      <c r="BT307" s="96" t="n"/>
      <c r="BU307" s="97" t="n"/>
      <c r="BV307" s="96" t="n"/>
      <c r="BW307" s="97" t="n"/>
      <c r="BX307" s="97" t="n"/>
      <c r="BY307" s="97" t="n"/>
      <c r="BZ307" s="97" t="n"/>
      <c r="CA307" s="98" t="n"/>
      <c r="CH307" s="2" t="n"/>
      <c r="CI307" s="14">
        <f>CJ307&amp;CK307</f>
        <v/>
      </c>
      <c r="CJ307" s="25" t="n"/>
      <c r="CK307" s="25" t="n"/>
      <c r="CL307" s="25" t="n"/>
      <c r="CM307" s="25" t="n"/>
      <c r="CN307" s="25" t="n"/>
      <c r="CO307" s="25" t="n"/>
      <c r="CP307" s="25" t="n"/>
      <c r="CQ307" s="25" t="n"/>
      <c r="CR307" s="25" t="n"/>
      <c r="CS307" s="25" t="n"/>
      <c r="CT307" s="25" t="n"/>
      <c r="CU307" s="25" t="n"/>
      <c r="CV307" s="25" t="n"/>
      <c r="CW307" s="25" t="n"/>
      <c r="CX307" s="25" t="n"/>
      <c r="CY307" s="25" t="n"/>
      <c r="CZ307" s="25" t="n"/>
      <c r="DC307" s="26" t="n"/>
      <c r="DD307" s="26" t="n"/>
      <c r="DE307" s="26" t="n"/>
      <c r="DF307" s="26" t="n"/>
      <c r="DG307" s="26" t="n"/>
      <c r="DH307" s="27" t="n"/>
      <c r="DJ307" s="211" t="inlineStr">
        <is>
          <t>订单表中未找到</t>
        </is>
      </c>
      <c r="DK307" t="inlineStr">
        <is>
          <t>—</t>
        </is>
      </c>
      <c r="DL307" t="inlineStr">
        <is>
          <t>—</t>
        </is>
      </c>
    </row>
    <row r="308" ht="15.75" customHeight="1" s="187">
      <c r="A308" s="84" t="n">
        <v>45951</v>
      </c>
      <c r="B308" s="206" t="inlineStr">
        <is>
          <t>已收货</t>
        </is>
      </c>
      <c r="C308" s="86" t="inlineStr">
        <is>
          <t>3009416053164568877</t>
        </is>
      </c>
      <c r="D308" s="207" t="inlineStr">
        <is>
          <t>李凡</t>
        </is>
      </c>
      <c r="E308" s="87" t="n"/>
      <c r="F308" s="87" t="n"/>
      <c r="G308" s="207" t="inlineStr">
        <is>
          <t>基础柜-整柜AA柱背板-1.5米</t>
        </is>
      </c>
      <c r="H308" s="207" t="inlineStr">
        <is>
          <t>基础餐边柜</t>
        </is>
      </c>
      <c r="I308" s="89" t="n">
        <v>1500</v>
      </c>
      <c r="J308" s="87" t="inlineStr">
        <is>
          <t>已结算</t>
        </is>
      </c>
      <c r="K308" s="86" t="inlineStr">
        <is>
          <t>江西</t>
        </is>
      </c>
      <c r="L308" s="207">
        <f>4900+22*4+10+489.08+28+52+41+170+260+80</f>
        <v/>
      </c>
      <c r="M308" s="207">
        <f>4900</f>
        <v/>
      </c>
      <c r="N308" s="207" t="inlineStr">
        <is>
          <t>22*4</t>
        </is>
      </c>
      <c r="O308" s="207" t="n">
        <v>10</v>
      </c>
      <c r="P308" s="207" t="n">
        <v>489.08</v>
      </c>
      <c r="Q308" s="207" t="n"/>
      <c r="R308" s="207" t="n">
        <v>28</v>
      </c>
      <c r="S308" s="207" t="n">
        <v>52</v>
      </c>
      <c r="T308" s="207" t="n">
        <v>41</v>
      </c>
      <c r="U308" s="207" t="n"/>
      <c r="V308" s="207" t="n"/>
      <c r="W308" s="207" t="n">
        <v>170</v>
      </c>
      <c r="X308" s="207" t="n">
        <v>260</v>
      </c>
      <c r="Y308" s="207" t="n">
        <v>80</v>
      </c>
      <c r="Z308" s="207" t="n"/>
      <c r="AA308" s="207" t="n"/>
      <c r="AB308" s="207" t="n"/>
      <c r="AC308" s="207" t="n"/>
      <c r="AD308" s="207" t="n"/>
      <c r="AE308" s="207" t="n"/>
      <c r="AF308" s="207" t="n"/>
      <c r="AG308" s="207" t="n"/>
      <c r="AH308" s="207" t="n"/>
      <c r="AI308" s="207" t="n"/>
      <c r="AJ308" s="207" t="n"/>
      <c r="AK308" s="207" t="n"/>
      <c r="AL308" s="207" t="n"/>
      <c r="AM308" s="207" t="n">
        <v>170</v>
      </c>
      <c r="AN308" s="207" t="n"/>
      <c r="AO308" s="207" t="n"/>
      <c r="AP308" s="207" t="n"/>
      <c r="AQ308" s="207" t="n">
        <v>0</v>
      </c>
      <c r="AR308" s="207" t="n">
        <v>400</v>
      </c>
      <c r="AS308" s="207" t="n">
        <v>0</v>
      </c>
      <c r="AT308" s="207" t="n">
        <v>0</v>
      </c>
      <c r="AU308" s="207" t="n">
        <v>0</v>
      </c>
      <c r="AV308" s="207" t="n">
        <v>0</v>
      </c>
      <c r="AW308" s="207" t="n">
        <v>0</v>
      </c>
      <c r="AX308" s="208" t="n">
        <v>1</v>
      </c>
      <c r="AY308" s="209">
        <f>L308*AX308+AP308+AQ308+AR308+AV308+AW308+AS308+AT308+AU308</f>
        <v/>
      </c>
      <c r="AZ308" s="207" t="n">
        <v>7317.98</v>
      </c>
      <c r="BA308" s="207" t="n">
        <v>0</v>
      </c>
      <c r="BB308" s="207">
        <f>AZ308*0.006</f>
        <v/>
      </c>
      <c r="BC308" s="209">
        <f>AZ308+BA308-BB308</f>
        <v/>
      </c>
      <c r="BD308" s="207" t="n">
        <v>0</v>
      </c>
      <c r="BE308" s="207" t="n">
        <v>0</v>
      </c>
      <c r="BF308" s="209">
        <f>BD308+BE308</f>
        <v/>
      </c>
      <c r="BG308" s="209">
        <f>BC308-AY308+BF308</f>
        <v/>
      </c>
      <c r="BH308" s="86" t="inlineStr">
        <is>
          <t>李凡</t>
        </is>
      </c>
      <c r="BI308" s="86" t="inlineStr">
        <is>
          <t>上海 上海市 普陀区 真如镇街道中骏·天悦12号楼1101</t>
        </is>
      </c>
      <c r="BJ308" s="86" t="inlineStr">
        <is>
          <t>18466610190-6629</t>
        </is>
      </c>
      <c r="BK308" s="87" t="n"/>
      <c r="BL308" s="210" t="n"/>
      <c r="BM308" s="93" t="n"/>
      <c r="BN308" s="94" t="n"/>
      <c r="BO308" s="93" t="n"/>
      <c r="BP308" s="86" t="n"/>
      <c r="BQ308" s="96" t="n"/>
      <c r="BR308" s="96" t="n"/>
      <c r="BS308" s="97" t="n"/>
      <c r="BT308" s="96" t="n"/>
      <c r="BU308" s="97" t="n"/>
      <c r="BV308" s="96" t="n"/>
      <c r="BW308" s="97" t="n"/>
      <c r="BX308" s="97" t="n"/>
      <c r="BY308" s="97" t="n"/>
      <c r="BZ308" s="97" t="n"/>
      <c r="CA308" s="98" t="n"/>
      <c r="CH308" s="2" t="n"/>
      <c r="CI308" s="14">
        <f>CJ308&amp;CK308</f>
        <v/>
      </c>
      <c r="CJ308" s="25" t="n"/>
      <c r="CK308" s="25" t="n"/>
      <c r="CL308" s="25" t="n"/>
      <c r="CM308" s="25" t="n"/>
      <c r="CN308" s="25" t="n"/>
      <c r="CO308" s="25" t="n"/>
      <c r="CP308" s="25" t="n"/>
      <c r="CQ308" s="25" t="n"/>
      <c r="CR308" s="25" t="n"/>
      <c r="CS308" s="25" t="n"/>
      <c r="CT308" s="25" t="n"/>
      <c r="CU308" s="25" t="n"/>
      <c r="CV308" s="25" t="n"/>
      <c r="CW308" s="25" t="n"/>
      <c r="CX308" s="25" t="n"/>
      <c r="CY308" s="25" t="n"/>
      <c r="CZ308" s="25" t="n"/>
      <c r="DC308" s="26" t="n"/>
      <c r="DD308" s="26" t="n"/>
      <c r="DE308" s="26" t="n"/>
      <c r="DF308" s="26" t="n"/>
      <c r="DG308" s="26" t="n"/>
      <c r="DH308" s="27" t="n"/>
      <c r="DJ308" s="211" t="inlineStr">
        <is>
          <t>订单表中未找到</t>
        </is>
      </c>
      <c r="DK308" t="inlineStr">
        <is>
          <t>—</t>
        </is>
      </c>
      <c r="DL308" t="inlineStr">
        <is>
          <t>—</t>
        </is>
      </c>
    </row>
    <row r="309" ht="15.75" customHeight="1" s="187">
      <c r="A309" s="84" t="n">
        <v>45951</v>
      </c>
      <c r="B309" s="206" t="inlineStr">
        <is>
          <t>已收货</t>
        </is>
      </c>
      <c r="C309" s="86" t="inlineStr">
        <is>
          <t>3009213338060568877</t>
        </is>
      </c>
      <c r="D309" s="207" t="inlineStr">
        <is>
          <t>李凡</t>
        </is>
      </c>
      <c r="E309" s="87" t="n"/>
      <c r="F309" s="87" t="n"/>
      <c r="G309" s="207" t="inlineStr">
        <is>
          <t>九斗柜-设备柜</t>
        </is>
      </c>
      <c r="H309" s="207" t="inlineStr">
        <is>
          <t>九斗柜</t>
        </is>
      </c>
      <c r="I309" s="89" t="inlineStr">
        <is>
          <t>180cm*40cm</t>
        </is>
      </c>
      <c r="J309" s="87" t="inlineStr">
        <is>
          <t>已结算</t>
        </is>
      </c>
      <c r="K309" s="86" t="inlineStr">
        <is>
          <t>江西</t>
        </is>
      </c>
      <c r="L309" s="207">
        <f>SUM(M309:AO309)</f>
        <v/>
      </c>
      <c r="M309" s="207">
        <f>2700</f>
        <v/>
      </c>
      <c r="N309" s="207" t="n"/>
      <c r="O309" s="207" t="n"/>
      <c r="P309" s="207" t="n">
        <v>105.2</v>
      </c>
      <c r="Q309" s="207" t="n"/>
      <c r="R309" s="207" t="n"/>
      <c r="S309" s="207" t="n"/>
      <c r="T309" s="207" t="n"/>
      <c r="U309" s="207" t="n"/>
      <c r="V309" s="207" t="n"/>
      <c r="W309" s="207" t="n"/>
      <c r="X309" s="207">
        <f>22*9</f>
        <v/>
      </c>
      <c r="Y309" s="207" t="n"/>
      <c r="Z309" s="207" t="n"/>
      <c r="AA309" s="207" t="n"/>
      <c r="AB309" s="207" t="n"/>
      <c r="AC309" s="207" t="n"/>
      <c r="AD309" s="207" t="n"/>
      <c r="AE309" s="207" t="n"/>
      <c r="AF309" s="207" t="n"/>
      <c r="AG309" s="207" t="n"/>
      <c r="AH309" s="207" t="n"/>
      <c r="AI309" s="207" t="n"/>
      <c r="AJ309" s="207" t="n"/>
      <c r="AK309" s="207" t="n"/>
      <c r="AL309" s="207" t="n"/>
      <c r="AM309" s="207" t="n">
        <v>80</v>
      </c>
      <c r="AN309" s="207" t="n"/>
      <c r="AO309" s="207" t="n"/>
      <c r="AP309" s="207" t="n">
        <v>260</v>
      </c>
      <c r="AQ309" s="207" t="n">
        <v>0</v>
      </c>
      <c r="AR309" s="207" t="n">
        <v>0</v>
      </c>
      <c r="AS309" s="207" t="n">
        <v>0</v>
      </c>
      <c r="AT309" s="207" t="n">
        <v>0</v>
      </c>
      <c r="AU309" s="207" t="n">
        <v>0</v>
      </c>
      <c r="AV309" s="207" t="n">
        <v>0</v>
      </c>
      <c r="AW309" s="207" t="n">
        <v>0</v>
      </c>
      <c r="AX309" s="208" t="n">
        <v>1</v>
      </c>
      <c r="AY309" s="209">
        <f>L309*AX309+AP309+AQ309+AR309+AV309+AW309+AS309+AT309+AU309</f>
        <v/>
      </c>
      <c r="AZ309" s="207" t="n">
        <v>3699.15</v>
      </c>
      <c r="BA309" s="207" t="n">
        <v>0</v>
      </c>
      <c r="BB309" s="207">
        <f>AZ309*0.006</f>
        <v/>
      </c>
      <c r="BC309" s="209">
        <f>AZ309+BA309-BB309</f>
        <v/>
      </c>
      <c r="BD309" s="207" t="n">
        <v>0</v>
      </c>
      <c r="BE309" s="207" t="n">
        <v>0</v>
      </c>
      <c r="BF309" s="209">
        <f>BD309+BE309</f>
        <v/>
      </c>
      <c r="BG309" s="209">
        <f>BC309-AY309+BF309</f>
        <v/>
      </c>
      <c r="BH309" s="86" t="inlineStr">
        <is>
          <t>李凡</t>
        </is>
      </c>
      <c r="BI309" s="86" t="inlineStr">
        <is>
          <t>上海 上海市 普陀区 真如镇街道中骏·天悦12号楼1101</t>
        </is>
      </c>
      <c r="BJ309" s="86" t="inlineStr">
        <is>
          <t>18466610190-6629</t>
        </is>
      </c>
      <c r="BK309" s="87" t="n"/>
      <c r="BL309" s="210" t="n"/>
      <c r="BM309" s="93" t="n"/>
      <c r="BN309" s="94" t="n"/>
      <c r="BO309" s="93" t="n"/>
      <c r="BP309" s="86" t="n"/>
      <c r="BQ309" s="96" t="n"/>
      <c r="BR309" s="96" t="n"/>
      <c r="BS309" s="97" t="n"/>
      <c r="BT309" s="96" t="n"/>
      <c r="BU309" s="97" t="n"/>
      <c r="BV309" s="96" t="n"/>
      <c r="BW309" s="97" t="n"/>
      <c r="BX309" s="97" t="n"/>
      <c r="BY309" s="97" t="n"/>
      <c r="BZ309" s="97" t="n"/>
      <c r="CA309" s="98" t="n"/>
      <c r="CH309" s="2" t="n"/>
      <c r="CI309" s="14">
        <f>CJ309&amp;CK309</f>
        <v/>
      </c>
      <c r="CJ309" s="25" t="n"/>
      <c r="CK309" s="25" t="n"/>
      <c r="CL309" s="25" t="n"/>
      <c r="CM309" s="25" t="n"/>
      <c r="CN309" s="25" t="n"/>
      <c r="CO309" s="25" t="n"/>
      <c r="CP309" s="25" t="n"/>
      <c r="CQ309" s="25" t="n"/>
      <c r="CR309" s="25" t="n"/>
      <c r="CS309" s="25" t="n"/>
      <c r="CT309" s="25" t="n"/>
      <c r="CU309" s="25" t="n"/>
      <c r="CV309" s="25" t="n"/>
      <c r="CW309" s="25" t="n"/>
      <c r="CX309" s="25" t="n"/>
      <c r="CY309" s="25" t="n"/>
      <c r="CZ309" s="25" t="n"/>
      <c r="DC309" s="26" t="n"/>
      <c r="DD309" s="26" t="n"/>
      <c r="DE309" s="26" t="n"/>
      <c r="DF309" s="26" t="n"/>
      <c r="DG309" s="26" t="n"/>
      <c r="DH309" s="27" t="n"/>
      <c r="DJ309" s="211" t="inlineStr">
        <is>
          <t>订单表中未找到</t>
        </is>
      </c>
      <c r="DK309" t="inlineStr">
        <is>
          <t>—</t>
        </is>
      </c>
      <c r="DL309" t="inlineStr">
        <is>
          <t>—</t>
        </is>
      </c>
    </row>
    <row r="310" ht="15.75" customHeight="1" s="187">
      <c r="A310" s="84" t="n">
        <v>45951</v>
      </c>
      <c r="B310" s="206" t="inlineStr">
        <is>
          <t>已收货</t>
        </is>
      </c>
      <c r="C310" s="86" t="inlineStr">
        <is>
          <t>4824310611874202406</t>
        </is>
      </c>
      <c r="D310" s="207" t="inlineStr">
        <is>
          <t>李健</t>
        </is>
      </c>
      <c r="E310" s="87" t="n"/>
      <c r="F310" s="87" t="n"/>
      <c r="G310" s="207" t="inlineStr">
        <is>
          <t>九斗柜-设备柜</t>
        </is>
      </c>
      <c r="H310" s="207" t="inlineStr">
        <is>
          <t>九斗柜</t>
        </is>
      </c>
      <c r="I310" s="89" t="inlineStr">
        <is>
          <t>180cm*40cm</t>
        </is>
      </c>
      <c r="J310" s="87" t="inlineStr">
        <is>
          <t>已结算</t>
        </is>
      </c>
      <c r="K310" s="86" t="inlineStr">
        <is>
          <t>江西</t>
        </is>
      </c>
      <c r="L310" s="207">
        <f>SUM(M310:AO310)</f>
        <v/>
      </c>
      <c r="M310" s="207">
        <f>2700</f>
        <v/>
      </c>
      <c r="N310" s="207" t="n"/>
      <c r="O310" s="207" t="n"/>
      <c r="P310" s="207" t="n">
        <v>105.2</v>
      </c>
      <c r="Q310" s="207" t="n"/>
      <c r="R310" s="207" t="n"/>
      <c r="S310" s="207" t="n"/>
      <c r="T310" s="207" t="n"/>
      <c r="U310" s="207" t="n"/>
      <c r="V310" s="207" t="n"/>
      <c r="W310" s="207" t="n"/>
      <c r="X310" s="207">
        <f>22*9</f>
        <v/>
      </c>
      <c r="Y310" s="207" t="n"/>
      <c r="Z310" s="207" t="n"/>
      <c r="AA310" s="207" t="n"/>
      <c r="AB310" s="207" t="n"/>
      <c r="AC310" s="207" t="n"/>
      <c r="AD310" s="207" t="n"/>
      <c r="AE310" s="207" t="n"/>
      <c r="AF310" s="207" t="n"/>
      <c r="AG310" s="207" t="n"/>
      <c r="AH310" s="207" t="n"/>
      <c r="AI310" s="207" t="n"/>
      <c r="AJ310" s="207" t="n"/>
      <c r="AK310" s="207" t="n"/>
      <c r="AL310" s="207" t="n"/>
      <c r="AM310" s="207" t="n">
        <v>150</v>
      </c>
      <c r="AN310" s="207" t="n"/>
      <c r="AO310" s="207" t="n"/>
      <c r="AP310" s="207">
        <f>196-AQ310</f>
        <v/>
      </c>
      <c r="AQ310" s="207" t="n">
        <v>40</v>
      </c>
      <c r="AR310" s="207" t="n">
        <v>0</v>
      </c>
      <c r="AS310" s="207" t="n">
        <v>0</v>
      </c>
      <c r="AT310" s="207" t="n">
        <v>0</v>
      </c>
      <c r="AU310" s="207" t="n">
        <v>0</v>
      </c>
      <c r="AV310" s="207" t="n">
        <v>0</v>
      </c>
      <c r="AW310" s="207" t="n">
        <v>0</v>
      </c>
      <c r="AX310" s="208" t="n">
        <v>1</v>
      </c>
      <c r="AY310" s="209">
        <f>L310*AX310+AP310+AQ310+AR310+AV310+AW310+AS310+AT310+AU310</f>
        <v/>
      </c>
      <c r="AZ310" s="207" t="n">
        <v>3694.15</v>
      </c>
      <c r="BA310" s="207" t="n">
        <v>0</v>
      </c>
      <c r="BB310" s="207">
        <f>AZ310*0.006</f>
        <v/>
      </c>
      <c r="BC310" s="209">
        <f>AZ310+BA310-BB310</f>
        <v/>
      </c>
      <c r="BD310" s="207" t="n">
        <v>0</v>
      </c>
      <c r="BE310" s="207" t="n">
        <v>0</v>
      </c>
      <c r="BF310" s="209">
        <f>BD310+BE310</f>
        <v/>
      </c>
      <c r="BG310" s="209">
        <f>BC310-AY310+BF310</f>
        <v/>
      </c>
      <c r="BH310" s="207" t="inlineStr">
        <is>
          <t>李健</t>
        </is>
      </c>
      <c r="BI310" s="207" t="inlineStr">
        <is>
          <t>安徽省 合肥市 包河区 滨湖世纪社区滨湖世纪城临滨苑南门快递柜</t>
        </is>
      </c>
      <c r="BJ310" s="207" t="inlineStr">
        <is>
          <t>18466819928-2501</t>
        </is>
      </c>
      <c r="BK310" s="87" t="n"/>
      <c r="BL310" s="210" t="n"/>
      <c r="BM310" s="93" t="n"/>
      <c r="BN310" s="94" t="n"/>
      <c r="BO310" s="93" t="n"/>
      <c r="BP310" s="86" t="n"/>
      <c r="BQ310" s="96" t="n"/>
      <c r="BR310" s="96" t="n"/>
      <c r="BS310" s="97" t="n"/>
      <c r="BT310" s="96" t="n"/>
      <c r="BU310" s="97" t="n"/>
      <c r="BV310" s="96" t="n"/>
      <c r="BW310" s="97" t="n"/>
      <c r="BX310" s="97" t="n"/>
      <c r="BY310" s="97" t="n"/>
      <c r="BZ310" s="97" t="n"/>
      <c r="CA310" s="98" t="n"/>
      <c r="CH310" s="2" t="n"/>
      <c r="CI310" s="14">
        <f>CJ310&amp;CK310</f>
        <v/>
      </c>
      <c r="CJ310" s="25" t="n"/>
      <c r="CK310" s="25" t="n"/>
      <c r="CL310" s="25" t="n"/>
      <c r="CM310" s="25" t="n"/>
      <c r="CN310" s="25" t="n"/>
      <c r="CO310" s="25" t="n"/>
      <c r="CP310" s="25" t="n"/>
      <c r="CQ310" s="25" t="n"/>
      <c r="CR310" s="25" t="n"/>
      <c r="CS310" s="25" t="n"/>
      <c r="CT310" s="25" t="n"/>
      <c r="CU310" s="25" t="n"/>
      <c r="CV310" s="25" t="n"/>
      <c r="CW310" s="25" t="n"/>
      <c r="CX310" s="25" t="n"/>
      <c r="CY310" s="25" t="n"/>
      <c r="CZ310" s="25" t="n"/>
      <c r="DC310" s="26" t="n"/>
      <c r="DD310" s="26" t="n"/>
      <c r="DE310" s="26" t="n"/>
      <c r="DF310" s="26" t="n"/>
      <c r="DG310" s="26" t="n"/>
      <c r="DH310" s="27" t="n"/>
      <c r="DJ310" s="211" t="inlineStr">
        <is>
          <t>订单表中未找到</t>
        </is>
      </c>
      <c r="DK310" t="inlineStr">
        <is>
          <t>—</t>
        </is>
      </c>
      <c r="DL310" t="inlineStr">
        <is>
          <t>—</t>
        </is>
      </c>
    </row>
    <row r="311" ht="15.75" customHeight="1" s="187">
      <c r="A311" s="84" t="n">
        <v>45951</v>
      </c>
      <c r="B311" s="226" t="inlineStr">
        <is>
          <t>未发货</t>
        </is>
      </c>
      <c r="C311" s="86" t="inlineStr">
        <is>
          <t>3009966350563657394</t>
        </is>
      </c>
      <c r="D311" s="86" t="inlineStr">
        <is>
          <t>张平</t>
        </is>
      </c>
      <c r="E311" s="87" t="n"/>
      <c r="F311" s="87" t="n"/>
      <c r="G311" s="87" t="inlineStr">
        <is>
          <t>1.8旋转柜</t>
        </is>
      </c>
      <c r="H311" s="87" t="inlineStr">
        <is>
          <t>旋转餐边柜</t>
        </is>
      </c>
      <c r="I311" s="89" t="n">
        <v>1800</v>
      </c>
      <c r="J311" s="87" t="inlineStr">
        <is>
          <t>已结算</t>
        </is>
      </c>
      <c r="K311" s="86" t="inlineStr">
        <is>
          <t>江西</t>
        </is>
      </c>
      <c r="L311" s="207">
        <f>SUM(M311:AM311)</f>
        <v/>
      </c>
      <c r="M311" s="207">
        <f>5500</f>
        <v/>
      </c>
      <c r="N311" s="207" t="n"/>
      <c r="O311" s="207" t="n"/>
      <c r="P311" s="207" t="n"/>
      <c r="Q311" s="207" t="n"/>
      <c r="R311" s="207" t="n"/>
      <c r="S311" s="207" t="n"/>
      <c r="T311" s="207" t="n">
        <v>72</v>
      </c>
      <c r="U311" s="207" t="n"/>
      <c r="V311" s="207" t="n"/>
      <c r="W311" s="207" t="n">
        <v>577</v>
      </c>
      <c r="X311" s="207">
        <f>22*9</f>
        <v/>
      </c>
      <c r="Y311" s="207" t="n">
        <v>38</v>
      </c>
      <c r="Z311" s="207" t="n"/>
      <c r="AA311" s="207" t="n"/>
      <c r="AB311" s="207" t="n"/>
      <c r="AC311" s="207" t="n"/>
      <c r="AD311" s="207" t="n"/>
      <c r="AE311" s="207" t="n"/>
      <c r="AF311" s="207" t="n"/>
      <c r="AG311" s="207" t="n"/>
      <c r="AH311" s="207" t="n"/>
      <c r="AI311" s="207" t="n"/>
      <c r="AJ311" s="207" t="n"/>
      <c r="AK311" s="207" t="n"/>
      <c r="AL311" s="207" t="n"/>
      <c r="AM311" s="207" t="n">
        <v>550</v>
      </c>
      <c r="AN311" s="207" t="n"/>
      <c r="AO311" s="207" t="n"/>
      <c r="AP311" s="121" t="n">
        <v>550</v>
      </c>
      <c r="AQ311" s="121" t="n">
        <v>50</v>
      </c>
      <c r="AR311" s="121" t="n">
        <v>150</v>
      </c>
      <c r="AS311" s="207" t="n">
        <v>0</v>
      </c>
      <c r="AT311" s="207" t="n">
        <v>0</v>
      </c>
      <c r="AU311" s="207" t="n">
        <v>0</v>
      </c>
      <c r="AV311" s="207" t="n">
        <v>0</v>
      </c>
      <c r="AW311" s="207" t="n">
        <v>0</v>
      </c>
      <c r="AX311" s="208" t="n">
        <v>1</v>
      </c>
      <c r="AY311" s="209">
        <f>L311*AX311+AP311+AQ311+AR311+AV311+AW311+AS311+AT311+AU311</f>
        <v/>
      </c>
      <c r="AZ311" s="207" t="n">
        <v>10245.75</v>
      </c>
      <c r="BA311" s="207" t="n">
        <v>0</v>
      </c>
      <c r="BB311" s="207">
        <f>AZ311*0.006</f>
        <v/>
      </c>
      <c r="BC311" s="209">
        <f>AZ311+BA311-BB311</f>
        <v/>
      </c>
      <c r="BD311" s="207" t="n">
        <v>0</v>
      </c>
      <c r="BE311" s="207" t="n">
        <v>0</v>
      </c>
      <c r="BF311" s="209">
        <f>BD311+BE311</f>
        <v/>
      </c>
      <c r="BG311" s="209">
        <f>BC311-AY311+BF311</f>
        <v/>
      </c>
      <c r="BH311" s="86" t="inlineStr">
        <is>
          <t xml:space="preserve">张平 </t>
        </is>
      </c>
      <c r="BI311" s="86" t="inlineStr">
        <is>
          <t>辽宁省大连市金州区拥政街道金地中央公园一期5-3-101</t>
        </is>
      </c>
      <c r="BJ311" s="86" t="n">
        <v>13304091128</v>
      </c>
      <c r="BK311" s="87" t="n"/>
      <c r="BL311" s="210" t="n"/>
      <c r="BM311" s="93" t="n"/>
      <c r="BN311" s="94" t="n"/>
      <c r="BO311" s="93" t="n"/>
      <c r="BP311" s="86" t="n"/>
      <c r="BQ311" s="96" t="n"/>
      <c r="BR311" s="96" t="n"/>
      <c r="BS311" s="97" t="n"/>
      <c r="BT311" s="96" t="n"/>
      <c r="BU311" s="97" t="n"/>
      <c r="BV311" s="96" t="n"/>
      <c r="BW311" s="97" t="n"/>
      <c r="BX311" s="97" t="n"/>
      <c r="BY311" s="97" t="n"/>
      <c r="BZ311" s="97" t="n"/>
      <c r="CA311" s="98" t="n"/>
      <c r="CH311" s="2" t="n"/>
      <c r="CI311" s="14">
        <f>CJ311&amp;CK311</f>
        <v/>
      </c>
      <c r="CJ311" s="25" t="n"/>
      <c r="CK311" s="25" t="n"/>
      <c r="CL311" s="25" t="n"/>
      <c r="CM311" s="25" t="n"/>
      <c r="CN311" s="25" t="n"/>
      <c r="CO311" s="25" t="n"/>
      <c r="CP311" s="25" t="n"/>
      <c r="CQ311" s="25" t="n"/>
      <c r="CR311" s="25" t="n"/>
      <c r="CS311" s="25" t="n"/>
      <c r="CT311" s="25" t="n"/>
      <c r="CU311" s="25" t="n"/>
      <c r="CV311" s="25" t="n"/>
      <c r="CW311" s="25" t="n"/>
      <c r="CX311" s="25" t="n"/>
      <c r="CY311" s="25" t="n"/>
      <c r="CZ311" s="25" t="n"/>
      <c r="DC311" s="26" t="n"/>
      <c r="DD311" s="26" t="n"/>
      <c r="DE311" s="26" t="n"/>
      <c r="DF311" s="26" t="n"/>
      <c r="DG311" s="26" t="n"/>
      <c r="DH311" s="27" t="n"/>
      <c r="DJ311" s="211" t="inlineStr">
        <is>
          <t>订单表中未找到</t>
        </is>
      </c>
      <c r="DK311" t="inlineStr">
        <is>
          <t>—</t>
        </is>
      </c>
      <c r="DL311" t="inlineStr">
        <is>
          <t>—</t>
        </is>
      </c>
    </row>
    <row r="312" ht="15.75" customHeight="1" s="187">
      <c r="A312" s="84" t="n">
        <v>45951</v>
      </c>
      <c r="B312" s="206" t="inlineStr">
        <is>
          <t>已收货</t>
        </is>
      </c>
      <c r="C312" s="86" t="inlineStr">
        <is>
          <t>3010073919334756580</t>
        </is>
      </c>
      <c r="D312" s="207" t="inlineStr">
        <is>
          <t>诗颖 Serene 会员号 58967</t>
        </is>
      </c>
      <c r="E312" s="87" t="n"/>
      <c r="F312" s="87" t="n"/>
      <c r="G312" s="87" t="inlineStr">
        <is>
          <t>砂白色1.8米岩板餐桌</t>
        </is>
      </c>
      <c r="H312" s="207" t="inlineStr">
        <is>
          <t>榉木餐桌</t>
        </is>
      </c>
      <c r="I312" s="89" t="inlineStr">
        <is>
          <t>180cm*85cm</t>
        </is>
      </c>
      <c r="J312" s="87" t="inlineStr">
        <is>
          <t>已结算</t>
        </is>
      </c>
      <c r="K312" s="86" t="inlineStr">
        <is>
          <t>庄毅</t>
        </is>
      </c>
      <c r="L312" s="207">
        <f>SUM(M312:AO312)</f>
        <v/>
      </c>
      <c r="M312" s="207">
        <f>1580</f>
        <v/>
      </c>
      <c r="N312" s="207" t="n"/>
      <c r="O312" s="207" t="n"/>
      <c r="P312" s="207" t="n"/>
      <c r="Q312" s="207" t="n"/>
      <c r="R312" s="207">
        <f>180*1.8*0.85</f>
        <v/>
      </c>
      <c r="S312" s="207" t="n"/>
      <c r="T312" s="207" t="n"/>
      <c r="U312" s="207" t="n"/>
      <c r="V312" s="207" t="n"/>
      <c r="W312" s="207" t="n"/>
      <c r="X312" s="207" t="n"/>
      <c r="Y312" s="207" t="n"/>
      <c r="Z312" s="207" t="n"/>
      <c r="AA312" s="207" t="n"/>
      <c r="AB312" s="207" t="n"/>
      <c r="AC312" s="207" t="n"/>
      <c r="AD312" s="207" t="n">
        <v>2.5</v>
      </c>
      <c r="AE312" s="207" t="n"/>
      <c r="AF312" s="207" t="n"/>
      <c r="AG312" s="207" t="n"/>
      <c r="AH312" s="207" t="n"/>
      <c r="AI312" s="207" t="n"/>
      <c r="AJ312" s="207" t="n"/>
      <c r="AK312" s="207" t="n"/>
      <c r="AL312" s="207" t="n"/>
      <c r="AM312" s="207" t="n"/>
      <c r="AN312" s="207" t="n"/>
      <c r="AO312" s="207" t="n"/>
      <c r="AP312" s="207" t="n">
        <v>201</v>
      </c>
      <c r="AQ312" s="207" t="n">
        <v>0</v>
      </c>
      <c r="AR312" s="207" t="n">
        <v>0</v>
      </c>
      <c r="AS312" s="207" t="n">
        <v>0</v>
      </c>
      <c r="AT312" s="207" t="n">
        <v>0</v>
      </c>
      <c r="AU312" s="207" t="n">
        <v>0</v>
      </c>
      <c r="AV312" s="207" t="n">
        <v>0</v>
      </c>
      <c r="AW312" s="207" t="n">
        <v>0</v>
      </c>
      <c r="AX312" s="208" t="n">
        <v>1</v>
      </c>
      <c r="AY312" s="209">
        <f>L312*AX312+AP312+AQ312+AR312+AV312+AW312+AS312+AT312+AU312</f>
        <v/>
      </c>
      <c r="AZ312" s="207" t="n">
        <v>2794.6</v>
      </c>
      <c r="BA312" s="207" t="n">
        <v>0</v>
      </c>
      <c r="BB312" s="207">
        <f>AZ312*0.006</f>
        <v/>
      </c>
      <c r="BC312" s="209">
        <f>AZ312+BA312-BB312</f>
        <v/>
      </c>
      <c r="BD312" s="207" t="n">
        <v>0</v>
      </c>
      <c r="BE312" s="207" t="n">
        <v>0</v>
      </c>
      <c r="BF312" s="209">
        <f>BD312+BE312</f>
        <v/>
      </c>
      <c r="BG312" s="209">
        <f>BC312-AY312+BF312</f>
        <v/>
      </c>
      <c r="BH312" s="207" t="inlineStr">
        <is>
          <t>诗颖 Serene 会员号 58967</t>
        </is>
      </c>
      <c r="BI312" s="207" t="inlineStr">
        <is>
          <t xml:space="preserve">广东省 东莞市 万江街道 帮凹坊新下路5号A栋 </t>
        </is>
      </c>
      <c r="BJ312" s="207" t="inlineStr">
        <is>
          <t>18824522507-2409</t>
        </is>
      </c>
      <c r="BK312" s="87" t="n"/>
      <c r="BL312" s="210" t="n"/>
      <c r="BM312" s="93" t="n"/>
      <c r="BN312" s="94" t="n"/>
      <c r="BO312" s="93" t="n"/>
      <c r="BP312" s="86" t="n"/>
      <c r="BQ312" s="96" t="n"/>
      <c r="BR312" s="96" t="n"/>
      <c r="BS312" s="97" t="n"/>
      <c r="BT312" s="96" t="n"/>
      <c r="BU312" s="97" t="n"/>
      <c r="BV312" s="96" t="n"/>
      <c r="BW312" s="97" t="n"/>
      <c r="BX312" s="97" t="n"/>
      <c r="BY312" s="97" t="n"/>
      <c r="BZ312" s="97" t="n"/>
      <c r="CA312" s="98" t="n"/>
      <c r="CH312" s="2" t="n"/>
      <c r="CI312" s="14">
        <f>CJ312&amp;CK312</f>
        <v/>
      </c>
      <c r="CJ312" s="25" t="n"/>
      <c r="CK312" s="25" t="n"/>
      <c r="CL312" s="25" t="n"/>
      <c r="CM312" s="25" t="n"/>
      <c r="CN312" s="25" t="n"/>
      <c r="CO312" s="25" t="n"/>
      <c r="CP312" s="25" t="n"/>
      <c r="CQ312" s="25" t="n"/>
      <c r="CR312" s="25" t="n"/>
      <c r="CS312" s="25" t="n"/>
      <c r="CT312" s="25" t="n"/>
      <c r="CU312" s="25" t="n"/>
      <c r="CV312" s="25" t="n"/>
      <c r="CW312" s="25" t="n"/>
      <c r="CX312" s="25" t="n"/>
      <c r="CY312" s="25" t="n"/>
      <c r="CZ312" s="25" t="n"/>
      <c r="DC312" s="26" t="n"/>
      <c r="DD312" s="26" t="n"/>
      <c r="DE312" s="26" t="n"/>
      <c r="DF312" s="26" t="n"/>
      <c r="DG312" s="26" t="n"/>
      <c r="DH312" s="27" t="n"/>
      <c r="DJ312" s="211" t="inlineStr">
        <is>
          <t>订单表中未找到</t>
        </is>
      </c>
      <c r="DK312" t="inlineStr">
        <is>
          <t>—</t>
        </is>
      </c>
      <c r="DL312" t="inlineStr">
        <is>
          <t>—</t>
        </is>
      </c>
    </row>
    <row r="313" ht="15.75" customHeight="1" s="187">
      <c r="A313" s="84" t="n">
        <v>45951</v>
      </c>
      <c r="B313" s="206" t="inlineStr">
        <is>
          <t>已收货</t>
        </is>
      </c>
      <c r="C313" s="86" t="inlineStr">
        <is>
          <t>3010645923820003850</t>
        </is>
      </c>
      <c r="D313" s="207" t="inlineStr">
        <is>
          <t>Lim chee wee</t>
        </is>
      </c>
      <c r="E313" s="87" t="n"/>
      <c r="F313" s="87" t="n"/>
      <c r="G313" s="207" t="inlineStr">
        <is>
          <t>九斗柜-设备柜</t>
        </is>
      </c>
      <c r="H313" s="207" t="inlineStr">
        <is>
          <t>九斗柜</t>
        </is>
      </c>
      <c r="I313" s="89" t="inlineStr">
        <is>
          <t>180cm*40cm</t>
        </is>
      </c>
      <c r="J313" s="87" t="inlineStr">
        <is>
          <t>已结算</t>
        </is>
      </c>
      <c r="K313" s="86" t="inlineStr">
        <is>
          <t>江西</t>
        </is>
      </c>
      <c r="L313" s="207">
        <f>SUM(M313:AO313)</f>
        <v/>
      </c>
      <c r="M313" s="207">
        <f>2700</f>
        <v/>
      </c>
      <c r="N313" s="207" t="n"/>
      <c r="O313" s="207" t="n"/>
      <c r="P313" s="207" t="n">
        <v>105.2</v>
      </c>
      <c r="Q313" s="207" t="n"/>
      <c r="R313" s="207" t="n"/>
      <c r="S313" s="207" t="n"/>
      <c r="T313" s="207" t="n"/>
      <c r="U313" s="207" t="n"/>
      <c r="V313" s="207" t="n"/>
      <c r="W313" s="207" t="n"/>
      <c r="X313" s="207">
        <f>22*9</f>
        <v/>
      </c>
      <c r="Y313" s="207" t="n"/>
      <c r="Z313" s="207" t="n"/>
      <c r="AA313" s="207" t="n"/>
      <c r="AB313" s="207" t="n"/>
      <c r="AC313" s="207" t="n"/>
      <c r="AD313" s="207" t="n"/>
      <c r="AE313" s="207" t="n"/>
      <c r="AF313" s="207" t="n"/>
      <c r="AG313" s="207" t="n"/>
      <c r="AH313" s="207" t="n"/>
      <c r="AI313" s="207" t="n"/>
      <c r="AJ313" s="207" t="n"/>
      <c r="AK313" s="207" t="n"/>
      <c r="AL313" s="207" t="n"/>
      <c r="AM313" s="207" t="n">
        <v>180</v>
      </c>
      <c r="AN313" s="207" t="n"/>
      <c r="AO313" s="207" t="n"/>
      <c r="AP313" s="207" t="n">
        <v>216</v>
      </c>
      <c r="AQ313" s="207" t="n">
        <v>0</v>
      </c>
      <c r="AR313" s="207" t="n">
        <v>0</v>
      </c>
      <c r="AS313" s="207" t="n">
        <v>0</v>
      </c>
      <c r="AT313" s="207" t="n">
        <v>0</v>
      </c>
      <c r="AU313" s="207" t="n">
        <v>0</v>
      </c>
      <c r="AV313" s="207" t="n">
        <v>0</v>
      </c>
      <c r="AW313" s="207" t="n">
        <v>0</v>
      </c>
      <c r="AX313" s="208" t="n">
        <v>1</v>
      </c>
      <c r="AY313" s="209">
        <f>L313*AX313+AP313+AQ313+AR313+AV313+AW313+AS313+AT313+AU313</f>
        <v/>
      </c>
      <c r="AZ313" s="207" t="n">
        <v>3694.15</v>
      </c>
      <c r="BA313" s="207" t="n">
        <v>0</v>
      </c>
      <c r="BB313" s="207">
        <f>AZ313*0.006</f>
        <v/>
      </c>
      <c r="BC313" s="209">
        <f>AZ313+BA313-BB313</f>
        <v/>
      </c>
      <c r="BD313" s="207" t="n">
        <v>0</v>
      </c>
      <c r="BE313" s="207" t="n">
        <v>0</v>
      </c>
      <c r="BF313" s="209">
        <f>BD313+BE313</f>
        <v/>
      </c>
      <c r="BG313" s="209">
        <f>BC313-AY313+BF313</f>
        <v/>
      </c>
      <c r="BH313" s="207" t="inlineStr">
        <is>
          <t>Lim chee wee</t>
        </is>
      </c>
      <c r="BI313" s="207" t="inlineStr">
        <is>
          <t>广东省 广州市 增城区 仙村镇#WAZ3245Q#荔新九路1号普洛斯增城物流园 A4新马集运仓（新加坡集运）@GSWXTVL3</t>
        </is>
      </c>
      <c r="BJ313" s="207" t="n">
        <v>19022061397</v>
      </c>
      <c r="BK313" s="87" t="n"/>
      <c r="BL313" s="210" t="n"/>
      <c r="BM313" s="93" t="n"/>
      <c r="BN313" s="94" t="n"/>
      <c r="BO313" s="93" t="n"/>
      <c r="BP313" s="86" t="n"/>
      <c r="BQ313" s="96" t="n"/>
      <c r="BR313" s="96" t="n"/>
      <c r="BS313" s="97" t="n"/>
      <c r="BT313" s="96" t="n"/>
      <c r="BU313" s="97" t="n"/>
      <c r="BV313" s="96" t="n"/>
      <c r="BW313" s="97" t="n"/>
      <c r="BX313" s="97" t="n"/>
      <c r="BY313" s="97" t="n"/>
      <c r="BZ313" s="97" t="n"/>
      <c r="CA313" s="98" t="n"/>
      <c r="CH313" s="2" t="n"/>
      <c r="CI313" s="14">
        <f>CJ313&amp;CK313</f>
        <v/>
      </c>
      <c r="CJ313" s="25" t="n"/>
      <c r="CK313" s="25" t="n"/>
      <c r="CL313" s="25" t="n"/>
      <c r="CM313" s="25" t="n"/>
      <c r="CN313" s="25" t="n"/>
      <c r="CO313" s="25" t="n"/>
      <c r="CP313" s="25" t="n"/>
      <c r="CQ313" s="25" t="n"/>
      <c r="CR313" s="25" t="n"/>
      <c r="CS313" s="25" t="n"/>
      <c r="CT313" s="25" t="n"/>
      <c r="CU313" s="25" t="n"/>
      <c r="CV313" s="25" t="n"/>
      <c r="CW313" s="25" t="n"/>
      <c r="CX313" s="25" t="n"/>
      <c r="CY313" s="25" t="n"/>
      <c r="CZ313" s="25" t="n"/>
      <c r="DC313" s="26" t="n"/>
      <c r="DD313" s="26" t="n"/>
      <c r="DE313" s="26" t="n"/>
      <c r="DF313" s="26" t="n"/>
      <c r="DG313" s="26" t="n"/>
      <c r="DH313" s="27" t="n"/>
      <c r="DJ313" s="211" t="inlineStr">
        <is>
          <t>订单表中未找到</t>
        </is>
      </c>
      <c r="DK313" t="inlineStr">
        <is>
          <t>—</t>
        </is>
      </c>
      <c r="DL313" t="inlineStr">
        <is>
          <t>—</t>
        </is>
      </c>
    </row>
    <row r="314" ht="15.75" customHeight="1" s="187">
      <c r="A314" s="84" t="n">
        <v>45951</v>
      </c>
      <c r="B314" s="206" t="inlineStr">
        <is>
          <t>已收货</t>
        </is>
      </c>
      <c r="C314" s="86" t="inlineStr">
        <is>
          <t>4825879165598059438</t>
        </is>
      </c>
      <c r="D314" s="207" t="inlineStr">
        <is>
          <t>王智萍</t>
        </is>
      </c>
      <c r="E314" s="87" t="n"/>
      <c r="F314" s="87" t="n"/>
      <c r="G314" s="207" t="inlineStr">
        <is>
          <t>洞石餐边柜-洞石整柜1.8米（全景组合）（全景抽屉+分类抽屉+开门）</t>
        </is>
      </c>
      <c r="H314" s="207" t="inlineStr">
        <is>
          <t>洞石餐边柜</t>
        </is>
      </c>
      <c r="I314" s="89" t="n">
        <v>1800</v>
      </c>
      <c r="J314" s="87" t="inlineStr">
        <is>
          <t>已结算</t>
        </is>
      </c>
      <c r="K314" s="86" t="inlineStr">
        <is>
          <t>庄毅</t>
        </is>
      </c>
      <c r="L314" s="207">
        <f>5850+40*2+2040/6/1.5+80+1.8*0.5*160+(1.8+0.5*2)*60+33+20+10+14+501.08+10</f>
        <v/>
      </c>
      <c r="M314" s="207">
        <f>5850</f>
        <v/>
      </c>
      <c r="N314" s="207" t="n"/>
      <c r="O314" s="207">
        <f>2040/6/1.5</f>
        <v/>
      </c>
      <c r="P314" s="207" t="n">
        <v>80</v>
      </c>
      <c r="Q314" s="207">
        <f>40*2</f>
        <v/>
      </c>
      <c r="R314" s="207" t="inlineStr">
        <is>
          <t>1.8*0.5*160</t>
        </is>
      </c>
      <c r="S314" s="207" t="inlineStr">
        <is>
          <t>(1.8</t>
        </is>
      </c>
      <c r="T314" s="207" t="inlineStr">
        <is>
          <t>0.5*2)*60</t>
        </is>
      </c>
      <c r="U314" s="207" t="n"/>
      <c r="V314" s="207" t="n"/>
      <c r="W314" s="207" t="n">
        <v>33</v>
      </c>
      <c r="X314" s="207" t="n">
        <v>20</v>
      </c>
      <c r="Y314" s="207" t="n">
        <v>10</v>
      </c>
      <c r="Z314" s="207" t="n"/>
      <c r="AA314" s="207" t="n"/>
      <c r="AB314" s="207" t="n"/>
      <c r="AC314" s="207" t="n"/>
      <c r="AD314" s="207" t="n">
        <v>501.08</v>
      </c>
      <c r="AE314" s="207" t="n">
        <v>14</v>
      </c>
      <c r="AF314" s="207" t="n">
        <v>10</v>
      </c>
      <c r="AG314" s="207" t="n"/>
      <c r="AH314" s="207" t="n"/>
      <c r="AI314" s="207" t="n"/>
      <c r="AJ314" s="207" t="n"/>
      <c r="AK314" s="207" t="n"/>
      <c r="AL314" s="207" t="n"/>
      <c r="AM314" s="207" t="n"/>
      <c r="AN314" s="207" t="n"/>
      <c r="AO314" s="207" t="n"/>
      <c r="AP314" s="207" t="n">
        <v>637</v>
      </c>
      <c r="AQ314" s="207" t="n">
        <v>0</v>
      </c>
      <c r="AR314" s="207" t="n">
        <v>108</v>
      </c>
      <c r="AS314" s="207" t="n">
        <v>0</v>
      </c>
      <c r="AT314" s="207" t="n">
        <v>158</v>
      </c>
      <c r="AU314" s="207" t="n">
        <v>0</v>
      </c>
      <c r="AV314" s="207" t="n">
        <v>0</v>
      </c>
      <c r="AW314" s="207" t="n">
        <v>0</v>
      </c>
      <c r="AX314" s="208" t="n">
        <v>1</v>
      </c>
      <c r="AY314" s="209">
        <f>L314*AX314+AP314+AQ314+AR314+AV314+AW314+AS314+AT314+AU314</f>
        <v/>
      </c>
      <c r="AZ314" s="207" t="n">
        <v>10118.93</v>
      </c>
      <c r="BA314" s="207" t="n">
        <v>0</v>
      </c>
      <c r="BB314" s="207">
        <f>AZ314*0.006</f>
        <v/>
      </c>
      <c r="BC314" s="209">
        <f>AZ314+BA314-BB314</f>
        <v/>
      </c>
      <c r="BD314" s="207" t="n">
        <v>0</v>
      </c>
      <c r="BE314" s="207" t="n">
        <v>0</v>
      </c>
      <c r="BF314" s="209">
        <f>BD314+BE314</f>
        <v/>
      </c>
      <c r="BG314" s="209">
        <f>BC314-AY314+BF314</f>
        <v/>
      </c>
      <c r="BH314" s="207" t="inlineStr">
        <is>
          <t>王智萍</t>
        </is>
      </c>
      <c r="BI314" s="207" t="inlineStr">
        <is>
          <t>贵州省 黔西南布依族苗族自治州 兴义市 桔山街道吉地小区C3-702室</t>
        </is>
      </c>
      <c r="BJ314" s="207" t="inlineStr">
        <is>
          <t>15786410571-5205</t>
        </is>
      </c>
      <c r="BK314" s="87" t="n"/>
      <c r="BL314" s="210" t="n"/>
      <c r="BM314" s="93" t="n"/>
      <c r="BN314" s="94" t="n"/>
      <c r="BO314" s="93" t="n"/>
      <c r="BP314" s="86" t="n"/>
      <c r="BQ314" s="96" t="n"/>
      <c r="BR314" s="96" t="n"/>
      <c r="BS314" s="97" t="n"/>
      <c r="BT314" s="96" t="n"/>
      <c r="BU314" s="97" t="n"/>
      <c r="BV314" s="96" t="n"/>
      <c r="BW314" s="97" t="n"/>
      <c r="BX314" s="97" t="n"/>
      <c r="BY314" s="97" t="n"/>
      <c r="BZ314" s="97" t="n"/>
      <c r="CA314" s="98" t="n"/>
      <c r="CH314" s="2" t="n"/>
      <c r="CI314" s="14">
        <f>CJ314&amp;CK314</f>
        <v/>
      </c>
      <c r="CJ314" s="25" t="n"/>
      <c r="CK314" s="25" t="n"/>
      <c r="CL314" s="25" t="n"/>
      <c r="CM314" s="25" t="n"/>
      <c r="CN314" s="25" t="n"/>
      <c r="CO314" s="25" t="n"/>
      <c r="CP314" s="25" t="n"/>
      <c r="CQ314" s="25" t="n"/>
      <c r="CR314" s="25" t="n"/>
      <c r="CS314" s="25" t="n"/>
      <c r="CT314" s="25" t="n"/>
      <c r="CU314" s="25" t="n"/>
      <c r="CV314" s="25" t="n"/>
      <c r="CW314" s="25" t="n"/>
      <c r="CX314" s="25" t="n"/>
      <c r="CY314" s="25" t="n"/>
      <c r="CZ314" s="25" t="n"/>
      <c r="DC314" s="26" t="n"/>
      <c r="DD314" s="26" t="n"/>
      <c r="DE314" s="26" t="n"/>
      <c r="DF314" s="26" t="n"/>
      <c r="DG314" s="26" t="n"/>
      <c r="DH314" s="27" t="n"/>
      <c r="DJ314" s="211" t="inlineStr">
        <is>
          <t>订单表中未找到</t>
        </is>
      </c>
      <c r="DK314" t="inlineStr">
        <is>
          <t>—</t>
        </is>
      </c>
      <c r="DL314" t="inlineStr">
        <is>
          <t>—</t>
        </is>
      </c>
    </row>
    <row r="315" ht="15.75" customHeight="1" s="187">
      <c r="A315" s="84" t="n">
        <v>45951</v>
      </c>
      <c r="B315" s="206" t="inlineStr">
        <is>
          <t>已收货</t>
        </is>
      </c>
      <c r="C315" s="86" t="inlineStr">
        <is>
          <t>4825832546662106931</t>
        </is>
      </c>
      <c r="D315" s="207" t="inlineStr">
        <is>
          <t>吳愛玲</t>
        </is>
      </c>
      <c r="E315" s="87" t="n"/>
      <c r="F315" s="87" t="n"/>
      <c r="G315" s="207" t="inlineStr">
        <is>
          <t>窄柜-整柜洞石背板-1.2米</t>
        </is>
      </c>
      <c r="H315" s="207" t="inlineStr">
        <is>
          <t>樱桃木窄柜</t>
        </is>
      </c>
      <c r="I315" s="89" t="n">
        <v>1200</v>
      </c>
      <c r="J315" s="87" t="inlineStr">
        <is>
          <t>已结算</t>
        </is>
      </c>
      <c r="K315" s="86" t="inlineStr">
        <is>
          <t>庄毅</t>
        </is>
      </c>
      <c r="L315" s="207">
        <f>3650+115+1.16+3.37+1.1+1.03+76/2+8+411.08+3+10+62.4+160*1.2*0.48+5*30+55*3</f>
        <v/>
      </c>
      <c r="M315" s="207">
        <f>3650</f>
        <v/>
      </c>
      <c r="N315" s="207">
        <f>1.158*260+2*55</f>
        <v/>
      </c>
      <c r="O315" s="207" t="n">
        <v>125</v>
      </c>
      <c r="P315" s="207" t="n"/>
      <c r="Q315" s="207">
        <f>38*2</f>
        <v/>
      </c>
      <c r="R315" s="207">
        <f>160*1.2*0.48+30</f>
        <v/>
      </c>
      <c r="S315" s="207" t="n">
        <v>62.4</v>
      </c>
      <c r="T315" s="207" t="n"/>
      <c r="U315" s="207" t="n"/>
      <c r="V315" s="207" t="n"/>
      <c r="W315" s="207" t="n">
        <v>8</v>
      </c>
      <c r="X315" s="207" t="n"/>
      <c r="Y315" s="207" t="n">
        <v>3</v>
      </c>
      <c r="Z315" s="207" t="n"/>
      <c r="AA315" s="207" t="n"/>
      <c r="AB315" s="207" t="n"/>
      <c r="AC315" s="207" t="n">
        <v>3.37</v>
      </c>
      <c r="AD315" s="207" t="n"/>
      <c r="AE315" s="207" t="n"/>
      <c r="AF315" s="207" t="n"/>
      <c r="AG315" s="207" t="n"/>
      <c r="AH315" s="207" t="n"/>
      <c r="AI315" s="207" t="n">
        <v>1.16</v>
      </c>
      <c r="AJ315" s="207" t="n">
        <v>1.1</v>
      </c>
      <c r="AK315" s="207" t="n">
        <v>10</v>
      </c>
      <c r="AL315" s="207" t="n"/>
      <c r="AM315" s="207" t="n"/>
      <c r="AN315" s="207" t="n"/>
      <c r="AO315" s="207" t="n"/>
      <c r="AP315" s="207" t="n">
        <v>224</v>
      </c>
      <c r="AQ315" s="207" t="n"/>
      <c r="AR315" s="207" t="n">
        <v>88</v>
      </c>
      <c r="AS315" s="207" t="n">
        <v>0</v>
      </c>
      <c r="AT315" s="207" t="n">
        <v>0</v>
      </c>
      <c r="AU315" s="207" t="n">
        <v>0</v>
      </c>
      <c r="AV315" s="207" t="n">
        <v>0</v>
      </c>
      <c r="AW315" s="207" t="n">
        <v>0</v>
      </c>
      <c r="AX315" s="208" t="n">
        <v>1</v>
      </c>
      <c r="AY315" s="209">
        <f>L315*AX315+AP315+AQ315+AR315+AV315+AW315+AS315+AT315+AU315</f>
        <v/>
      </c>
      <c r="AZ315" s="207" t="n">
        <v>5628</v>
      </c>
      <c r="BA315" s="207" t="n">
        <v>0</v>
      </c>
      <c r="BB315" s="207">
        <f>AZ315*0.006</f>
        <v/>
      </c>
      <c r="BC315" s="209">
        <f>AZ315+BA315-BB315</f>
        <v/>
      </c>
      <c r="BD315" s="207" t="n">
        <v>0</v>
      </c>
      <c r="BE315" s="207" t="n">
        <v>0</v>
      </c>
      <c r="BF315" s="209">
        <f>BD315+BE315</f>
        <v/>
      </c>
      <c r="BG315" s="209">
        <f>BC315-AY315+BF315</f>
        <v/>
      </c>
      <c r="BH315" s="86" t="inlineStr">
        <is>
          <t>吳愛玲</t>
        </is>
      </c>
      <c r="BI315" s="86" t="inlineStr">
        <is>
          <t>福建省 漳州市 龙海区 东园镇福建省漳州市龙海区东园镇仓里路888号龙海普洛斯物流园A2库二层台集运@QF@U5FVXM#UR742A3DJUND7#</t>
        </is>
      </c>
      <c r="BJ315" s="86" t="n">
        <v>18319011167</v>
      </c>
      <c r="BK315" s="87" t="n"/>
      <c r="BL315" s="210" t="n"/>
      <c r="BM315" s="93" t="n"/>
      <c r="BN315" s="94" t="n"/>
      <c r="BO315" s="93" t="n"/>
      <c r="BP315" s="86" t="n"/>
      <c r="BQ315" s="96" t="n"/>
      <c r="BR315" s="96" t="n"/>
      <c r="BS315" s="97" t="n"/>
      <c r="BT315" s="96" t="n"/>
      <c r="BU315" s="97" t="n"/>
      <c r="BV315" s="96" t="n"/>
      <c r="BW315" s="97" t="n"/>
      <c r="BX315" s="97" t="n"/>
      <c r="BY315" s="97" t="n"/>
      <c r="BZ315" s="97" t="n"/>
      <c r="CA315" s="98" t="n"/>
      <c r="CH315" s="2" t="n"/>
      <c r="CI315" s="14">
        <f>CJ315&amp;CK315</f>
        <v/>
      </c>
      <c r="CJ315" s="25" t="n"/>
      <c r="CK315" s="25" t="n"/>
      <c r="CL315" s="25" t="n"/>
      <c r="CM315" s="25" t="n"/>
      <c r="CN315" s="25" t="n"/>
      <c r="CO315" s="25" t="n"/>
      <c r="CP315" s="25" t="n"/>
      <c r="CQ315" s="25" t="n"/>
      <c r="CR315" s="25" t="n"/>
      <c r="CS315" s="25" t="n"/>
      <c r="CT315" s="25" t="n"/>
      <c r="CU315" s="25" t="n"/>
      <c r="CV315" s="25" t="n"/>
      <c r="CW315" s="25" t="n"/>
      <c r="CX315" s="25" t="n"/>
      <c r="CY315" s="25" t="n"/>
      <c r="CZ315" s="25" t="n"/>
      <c r="DC315" s="26" t="n"/>
      <c r="DD315" s="26" t="n"/>
      <c r="DE315" s="26" t="n"/>
      <c r="DF315" s="26" t="n"/>
      <c r="DG315" s="26" t="n"/>
      <c r="DH315" s="27" t="n"/>
      <c r="DJ315" s="211" t="inlineStr">
        <is>
          <t>订单表中未找到</t>
        </is>
      </c>
      <c r="DK315" t="inlineStr">
        <is>
          <t>—</t>
        </is>
      </c>
      <c r="DL315" t="inlineStr">
        <is>
          <t>—</t>
        </is>
      </c>
    </row>
    <row r="316" ht="15.75" customHeight="1" s="187">
      <c r="A316" s="84" t="n">
        <v>45951</v>
      </c>
      <c r="B316" s="206" t="inlineStr">
        <is>
          <t>已收货</t>
        </is>
      </c>
      <c r="C316" s="86" t="inlineStr">
        <is>
          <t>4823779287541123021</t>
        </is>
      </c>
      <c r="D316" s="207" t="inlineStr">
        <is>
          <t>颜振</t>
        </is>
      </c>
      <c r="E316" s="87" t="n"/>
      <c r="F316" s="87" t="n"/>
      <c r="G316" s="207" t="inlineStr">
        <is>
          <t>样块*2</t>
        </is>
      </c>
      <c r="H316" s="130" t="inlineStr">
        <is>
          <t>样块</t>
        </is>
      </c>
      <c r="I316" s="89" t="n"/>
      <c r="J316" s="87" t="inlineStr">
        <is>
          <t>已结算</t>
        </is>
      </c>
      <c r="K316" s="86" t="inlineStr">
        <is>
          <t>杭州</t>
        </is>
      </c>
      <c r="L316" s="207">
        <f>SUM(M316:AO316)</f>
        <v/>
      </c>
      <c r="M316" s="207" t="n">
        <v>10</v>
      </c>
      <c r="N316" s="207" t="n"/>
      <c r="O316" s="207" t="n"/>
      <c r="P316" s="207" t="n"/>
      <c r="Q316" s="207" t="n"/>
      <c r="R316" s="207" t="n"/>
      <c r="S316" s="207" t="n"/>
      <c r="T316" s="207" t="n"/>
      <c r="U316" s="207" t="n"/>
      <c r="V316" s="207" t="n"/>
      <c r="W316" s="207" t="n"/>
      <c r="X316" s="207" t="n"/>
      <c r="Y316" s="207" t="n"/>
      <c r="Z316" s="207" t="n"/>
      <c r="AA316" s="207" t="n"/>
      <c r="AB316" s="207" t="n"/>
      <c r="AC316" s="207" t="n"/>
      <c r="AD316" s="207" t="n"/>
      <c r="AE316" s="207" t="n"/>
      <c r="AF316" s="207" t="n"/>
      <c r="AG316" s="207" t="n"/>
      <c r="AH316" s="207" t="n"/>
      <c r="AI316" s="207" t="n"/>
      <c r="AJ316" s="207" t="n"/>
      <c r="AK316" s="207" t="n"/>
      <c r="AL316" s="207" t="n"/>
      <c r="AM316" s="207" t="n">
        <v>2</v>
      </c>
      <c r="AN316" s="207" t="n"/>
      <c r="AO316" s="207" t="n"/>
      <c r="AP316" s="207" t="n">
        <v>5</v>
      </c>
      <c r="AQ316" s="207" t="n">
        <v>0</v>
      </c>
      <c r="AR316" s="207" t="n">
        <v>0</v>
      </c>
      <c r="AS316" s="207" t="n">
        <v>0</v>
      </c>
      <c r="AT316" s="207" t="n">
        <v>0</v>
      </c>
      <c r="AU316" s="207" t="n">
        <v>0</v>
      </c>
      <c r="AV316" s="207" t="n">
        <v>0</v>
      </c>
      <c r="AW316" s="207" t="n">
        <v>0</v>
      </c>
      <c r="AX316" s="208" t="n">
        <v>1</v>
      </c>
      <c r="AY316" s="209">
        <f>L316*AX316+AP316+AQ316+AR316+AV316+AW316+AS316+AT316+AU316</f>
        <v/>
      </c>
      <c r="AZ316" s="207" t="n">
        <v>42.4</v>
      </c>
      <c r="BA316" s="207" t="n">
        <v>0</v>
      </c>
      <c r="BB316" s="207">
        <f>AZ316*0.006</f>
        <v/>
      </c>
      <c r="BC316" s="209">
        <f>AZ316+BA316-BB316</f>
        <v/>
      </c>
      <c r="BD316" s="207" t="n">
        <v>0</v>
      </c>
      <c r="BE316" s="207" t="n">
        <v>0</v>
      </c>
      <c r="BF316" s="209">
        <f>BD316+BE316</f>
        <v/>
      </c>
      <c r="BG316" s="209">
        <f>BC316-AY316+BF316</f>
        <v/>
      </c>
      <c r="BH316" s="207" t="inlineStr">
        <is>
          <t>颜振</t>
        </is>
      </c>
      <c r="BI316" s="86" t="inlineStr">
        <is>
          <t>福建省 漳州市 龙海区 东园镇福建省漳州市龙海区东园镇仓里路888号龙海普洛斯物流园A2库二层台集运@QF@U5FVXM#UR742A3DJUND7#</t>
        </is>
      </c>
      <c r="BJ316" s="86" t="n">
        <v>18319011167</v>
      </c>
      <c r="BK316" s="86" t="n"/>
      <c r="BL316" s="210" t="n"/>
      <c r="BM316" s="93" t="n"/>
      <c r="BN316" s="94" t="n"/>
      <c r="BO316" s="93" t="n"/>
      <c r="BP316" s="86" t="n"/>
      <c r="BQ316" s="96" t="n"/>
      <c r="BR316" s="96" t="n"/>
      <c r="BS316" s="97" t="n"/>
      <c r="BT316" s="96" t="n"/>
      <c r="BU316" s="97" t="n"/>
      <c r="BV316" s="96" t="n"/>
      <c r="BW316" s="97" t="n"/>
      <c r="BX316" s="97" t="n"/>
      <c r="BY316" s="97" t="n"/>
      <c r="BZ316" s="97" t="n"/>
      <c r="CH316" s="2" t="n"/>
      <c r="CI316" s="14" t="n"/>
      <c r="CJ316" s="25" t="n"/>
      <c r="CK316" s="25" t="n"/>
      <c r="CL316" s="25" t="n"/>
      <c r="CM316" s="25" t="n"/>
      <c r="CN316" s="25" t="n"/>
      <c r="CO316" s="25" t="n"/>
      <c r="CP316" s="25" t="n"/>
      <c r="CQ316" s="25" t="n"/>
      <c r="CR316" s="25" t="n"/>
      <c r="CS316" s="25" t="n"/>
      <c r="CT316" s="25" t="n"/>
      <c r="CU316" s="25" t="n"/>
      <c r="CV316" s="25" t="n"/>
      <c r="CW316" s="25" t="n"/>
      <c r="CX316" s="25" t="n"/>
      <c r="CY316" s="25" t="n"/>
      <c r="DC316" s="26" t="n"/>
      <c r="DD316" s="26" t="n"/>
      <c r="DE316" s="26" t="n"/>
      <c r="DF316" s="26" t="n"/>
      <c r="DG316" s="26" t="n"/>
      <c r="DH316" s="27" t="n"/>
      <c r="DJ316" s="211" t="inlineStr">
        <is>
          <t>订单表中未找到</t>
        </is>
      </c>
      <c r="DK316" t="inlineStr">
        <is>
          <t>—</t>
        </is>
      </c>
      <c r="DL316" t="inlineStr">
        <is>
          <t>—</t>
        </is>
      </c>
    </row>
    <row r="317" ht="15.75" customHeight="1" s="187">
      <c r="A317" s="84" t="n">
        <v>45952</v>
      </c>
      <c r="B317" s="206" t="inlineStr">
        <is>
          <t>已收货</t>
        </is>
      </c>
      <c r="C317" s="86" t="inlineStr">
        <is>
          <t>3011907001330375988</t>
        </is>
      </c>
      <c r="D317" s="86" t="inlineStr">
        <is>
          <t>干志远</t>
        </is>
      </c>
      <c r="E317" s="87" t="n"/>
      <c r="F317" s="87" t="n"/>
      <c r="G317" s="87" t="inlineStr">
        <is>
          <t>砂白色1.4米岩板餐桌</t>
        </is>
      </c>
      <c r="H317" s="207" t="inlineStr">
        <is>
          <t>榉木餐桌</t>
        </is>
      </c>
      <c r="I317" s="89" t="inlineStr">
        <is>
          <t>140cm*85cm</t>
        </is>
      </c>
      <c r="J317" s="87" t="inlineStr">
        <is>
          <t>已结算</t>
        </is>
      </c>
      <c r="K317" s="86" t="inlineStr">
        <is>
          <t>江西</t>
        </is>
      </c>
      <c r="L317" s="207">
        <f>SUM(M317:AO317)</f>
        <v/>
      </c>
      <c r="M317" s="207">
        <f>1300</f>
        <v/>
      </c>
      <c r="N317" s="207" t="n"/>
      <c r="O317" s="207" t="n"/>
      <c r="P317" s="207" t="n"/>
      <c r="Q317" s="207" t="n"/>
      <c r="R317" s="207" t="n">
        <v>240</v>
      </c>
      <c r="S317" s="207" t="n"/>
      <c r="T317" s="207" t="n"/>
      <c r="U317" s="207" t="n"/>
      <c r="V317" s="207" t="n"/>
      <c r="W317" s="207" t="n"/>
      <c r="X317" s="207" t="n"/>
      <c r="Y317" s="207" t="n"/>
      <c r="Z317" s="207" t="n"/>
      <c r="AA317" s="207" t="n"/>
      <c r="AB317" s="207" t="n"/>
      <c r="AC317" s="207" t="n"/>
      <c r="AD317" s="207" t="n">
        <v>2.5</v>
      </c>
      <c r="AE317" s="207" t="n"/>
      <c r="AF317" s="207" t="n"/>
      <c r="AG317" s="207" t="n"/>
      <c r="AH317" s="207" t="n"/>
      <c r="AI317" s="207" t="n"/>
      <c r="AJ317" s="207" t="n"/>
      <c r="AK317" s="207" t="n"/>
      <c r="AL317" s="207" t="n"/>
      <c r="AM317" s="207" t="n">
        <v>170</v>
      </c>
      <c r="AN317" s="207" t="n"/>
      <c r="AO317" s="207" t="n"/>
      <c r="AP317" s="207">
        <f>144-AQ317</f>
        <v/>
      </c>
      <c r="AQ317" s="207" t="n">
        <v>35</v>
      </c>
      <c r="AR317" s="207" t="n">
        <v>118</v>
      </c>
      <c r="AS317" s="207" t="n">
        <v>0</v>
      </c>
      <c r="AT317" s="207" t="n">
        <v>0</v>
      </c>
      <c r="AU317" s="207" t="n">
        <v>0</v>
      </c>
      <c r="AV317" s="207" t="n">
        <v>0</v>
      </c>
      <c r="AW317" s="207" t="n">
        <v>0</v>
      </c>
      <c r="AX317" s="208" t="n">
        <v>1</v>
      </c>
      <c r="AY317" s="209">
        <f>L317*AX317+AP317+AQ317+AR317+AV317+AW317+AS317+AT317+AU317</f>
        <v/>
      </c>
      <c r="AZ317" s="207" t="n">
        <v>2588.89</v>
      </c>
      <c r="BA317" s="207" t="n">
        <v>0</v>
      </c>
      <c r="BB317" s="207">
        <f>AZ317*0.006</f>
        <v/>
      </c>
      <c r="BC317" s="209">
        <f>AZ317+BA317-BB317</f>
        <v/>
      </c>
      <c r="BD317" s="207" t="n">
        <v>0</v>
      </c>
      <c r="BE317" s="207" t="n">
        <v>0</v>
      </c>
      <c r="BF317" s="209">
        <f>BD317+BE317</f>
        <v/>
      </c>
      <c r="BG317" s="209">
        <f>BC317-AY317+BF317</f>
        <v/>
      </c>
      <c r="BH317" s="86" t="inlineStr">
        <is>
          <t>干志远</t>
        </is>
      </c>
      <c r="BI317" s="86" t="inlineStr">
        <is>
          <t>浙江省 温州市 乐清市 城东街道胜利路与百珍东路交叉口星海明筑24-1503</t>
        </is>
      </c>
      <c r="BJ317" s="86" t="inlineStr">
        <is>
          <t>15786748639-5559</t>
        </is>
      </c>
      <c r="BK317" s="87" t="n"/>
      <c r="BL317" s="210" t="n"/>
      <c r="BM317" s="93" t="n"/>
      <c r="BN317" s="94" t="n"/>
      <c r="BO317" s="93" t="n"/>
      <c r="BP317" s="86" t="n"/>
      <c r="BQ317" s="96" t="n"/>
      <c r="BR317" s="96" t="n"/>
      <c r="BS317" s="97" t="n"/>
      <c r="BT317" s="96" t="n"/>
      <c r="BU317" s="97" t="n"/>
      <c r="BV317" s="96" t="n"/>
      <c r="BW317" s="97" t="n"/>
      <c r="BX317" s="97" t="n"/>
      <c r="BY317" s="97" t="n"/>
      <c r="BZ317" s="97" t="n"/>
      <c r="CA317" s="98" t="n"/>
      <c r="CH317" s="2" t="n"/>
      <c r="CI317" s="14">
        <f>CJ317&amp;CK317</f>
        <v/>
      </c>
      <c r="CJ317" s="25" t="n"/>
      <c r="CK317" s="25" t="n"/>
      <c r="CL317" s="25" t="n"/>
      <c r="CM317" s="25" t="n"/>
      <c r="CN317" s="25" t="n"/>
      <c r="CO317" s="25" t="n"/>
      <c r="CP317" s="25" t="n"/>
      <c r="CQ317" s="25" t="n"/>
      <c r="CR317" s="25" t="n"/>
      <c r="CS317" s="25" t="n"/>
      <c r="CT317" s="25" t="n"/>
      <c r="CU317" s="25" t="n"/>
      <c r="CV317" s="25" t="n"/>
      <c r="CW317" s="25" t="n"/>
      <c r="CX317" s="25" t="n"/>
      <c r="CY317" s="25" t="n"/>
      <c r="CZ317" s="25" t="n"/>
      <c r="DC317" s="26" t="n"/>
      <c r="DD317" s="26" t="n"/>
      <c r="DE317" s="26" t="n"/>
      <c r="DF317" s="26" t="n"/>
      <c r="DG317" s="26" t="n"/>
      <c r="DH317" s="27" t="n"/>
      <c r="DJ317" s="211" t="inlineStr">
        <is>
          <t>订单表中未找到</t>
        </is>
      </c>
      <c r="DK317" t="inlineStr">
        <is>
          <t>—</t>
        </is>
      </c>
      <c r="DL317" t="inlineStr">
        <is>
          <t>—</t>
        </is>
      </c>
    </row>
    <row r="318" ht="15.75" customHeight="1" s="187">
      <c r="A318" s="84" t="n">
        <v>45952</v>
      </c>
      <c r="B318" s="206" t="inlineStr">
        <is>
          <t>已收货</t>
        </is>
      </c>
      <c r="C318" s="86" t="inlineStr">
        <is>
          <t>3012335652479815057</t>
        </is>
      </c>
      <c r="D318" s="207" t="inlineStr">
        <is>
          <t>项一丹</t>
        </is>
      </c>
      <c r="E318" s="87" t="n"/>
      <c r="F318" s="87" t="n"/>
      <c r="G318" s="207" t="inlineStr">
        <is>
          <t>洞石餐边柜定制-1.7米-251022</t>
        </is>
      </c>
      <c r="H318" s="207" t="inlineStr">
        <is>
          <t>洞石餐边柜</t>
        </is>
      </c>
      <c r="I318" s="89" t="n">
        <v>1700</v>
      </c>
      <c r="J318" s="87" t="inlineStr">
        <is>
          <t>已结算</t>
        </is>
      </c>
      <c r="K318" s="86" t="inlineStr">
        <is>
          <t>庄毅</t>
        </is>
      </c>
      <c r="L318" s="207">
        <f>5750+30*2+12+18+2040/6/1.5+76+1.7*0.5*160+(1.7+0.58*2)*60+10+20+501.08+10+40+14+30+27+550</f>
        <v/>
      </c>
      <c r="M318" s="207">
        <f>5750</f>
        <v/>
      </c>
      <c r="N318" s="207" t="n"/>
      <c r="O318" s="207" t="n">
        <v>12</v>
      </c>
      <c r="P318" s="207" t="n">
        <v>18</v>
      </c>
      <c r="Q318" s="207">
        <f>30*2</f>
        <v/>
      </c>
      <c r="R318" s="207" t="inlineStr">
        <is>
          <t>2040/6/1.5</t>
        </is>
      </c>
      <c r="S318" s="207" t="n">
        <v>76</v>
      </c>
      <c r="T318" s="207" t="inlineStr">
        <is>
          <t>1.7*0.5*160</t>
        </is>
      </c>
      <c r="U318" s="207" t="n"/>
      <c r="V318" s="207" t="n"/>
      <c r="W318" s="207" t="inlineStr">
        <is>
          <t>(1.7</t>
        </is>
      </c>
      <c r="X318" s="207" t="inlineStr">
        <is>
          <t>0.58*2)*60</t>
        </is>
      </c>
      <c r="Y318" s="207" t="n">
        <v>10</v>
      </c>
      <c r="Z318" s="207" t="n"/>
      <c r="AA318" s="207" t="n"/>
      <c r="AB318" s="207" t="n"/>
      <c r="AC318" s="207" t="n">
        <v>14</v>
      </c>
      <c r="AD318" s="207" t="n">
        <v>501.08</v>
      </c>
      <c r="AE318" s="207" t="n">
        <v>20</v>
      </c>
      <c r="AF318" s="207" t="n">
        <v>10</v>
      </c>
      <c r="AG318" s="207" t="n"/>
      <c r="AH318" s="207" t="n"/>
      <c r="AI318" s="207" t="n"/>
      <c r="AJ318" s="207" t="n">
        <v>40</v>
      </c>
      <c r="AK318" s="207" t="n"/>
      <c r="AL318" s="207" t="n"/>
      <c r="AM318" s="207" t="n">
        <v>30</v>
      </c>
      <c r="AN318" s="207" t="n">
        <v>27</v>
      </c>
      <c r="AO318" s="207" t="n">
        <v>550</v>
      </c>
      <c r="AP318" s="121">
        <f>283-AQ318</f>
        <v/>
      </c>
      <c r="AQ318" s="207" t="n">
        <v>50</v>
      </c>
      <c r="AR318" s="207" t="n">
        <v>118</v>
      </c>
      <c r="AS318" s="207" t="n">
        <v>0</v>
      </c>
      <c r="AT318" s="207" t="n">
        <v>268</v>
      </c>
      <c r="AU318" s="207" t="n">
        <v>0</v>
      </c>
      <c r="AV318" s="207" t="n">
        <v>0</v>
      </c>
      <c r="AW318" s="207" t="n">
        <v>0</v>
      </c>
      <c r="AX318" s="208" t="n">
        <v>1</v>
      </c>
      <c r="AY318" s="209">
        <f>L318*AX318+AP318+AQ318+AR318+AV318+AW318+AS318+AT318+AU318</f>
        <v/>
      </c>
      <c r="AZ318" s="207" t="n">
        <v>9860.459999999999</v>
      </c>
      <c r="BA318" s="207" t="n">
        <v>0</v>
      </c>
      <c r="BB318" s="207">
        <f>AZ318*0.006</f>
        <v/>
      </c>
      <c r="BC318" s="209">
        <f>AZ318+BA318-BB318</f>
        <v/>
      </c>
      <c r="BD318" s="207" t="n">
        <v>0</v>
      </c>
      <c r="BE318" s="207" t="n">
        <v>0</v>
      </c>
      <c r="BF318" s="209">
        <f>BD318+BE318</f>
        <v/>
      </c>
      <c r="BG318" s="209">
        <f>BC318-AY318+BF318</f>
        <v/>
      </c>
      <c r="BH318" s="207" t="inlineStr">
        <is>
          <t>项一丹</t>
        </is>
      </c>
      <c r="BI318" s="207" t="inlineStr">
        <is>
          <t>山东省 烟台市 福山区 福新街道第一国际11号楼1单元2902</t>
        </is>
      </c>
      <c r="BJ318" s="207" t="inlineStr">
        <is>
          <t>17895453306-4977</t>
        </is>
      </c>
      <c r="BK318" s="87" t="n"/>
      <c r="BL318" s="210" t="n"/>
      <c r="BM318" s="93" t="n"/>
      <c r="BN318" s="94" t="n"/>
      <c r="BO318" s="93" t="n"/>
      <c r="BP318" s="86" t="n"/>
      <c r="BQ318" s="96" t="n"/>
      <c r="BR318" s="96" t="n"/>
      <c r="BS318" s="97" t="n"/>
      <c r="BT318" s="96" t="n"/>
      <c r="BU318" s="97" t="n"/>
      <c r="BV318" s="96" t="n"/>
      <c r="BW318" s="97" t="n"/>
      <c r="BX318" s="97" t="n"/>
      <c r="BY318" s="97" t="n"/>
      <c r="BZ318" s="97" t="n"/>
      <c r="CA318" s="98" t="n"/>
      <c r="CH318" s="2" t="n"/>
      <c r="CI318" s="14">
        <f>CJ318&amp;CK318</f>
        <v/>
      </c>
      <c r="CJ318" s="25" t="n"/>
      <c r="CK318" s="25" t="n"/>
      <c r="CL318" s="25" t="n"/>
      <c r="CM318" s="25" t="n"/>
      <c r="CN318" s="25" t="n"/>
      <c r="CO318" s="25" t="n"/>
      <c r="CP318" s="25" t="n"/>
      <c r="CQ318" s="25" t="n"/>
      <c r="CR318" s="25" t="n"/>
      <c r="CS318" s="25" t="n"/>
      <c r="CT318" s="25" t="n"/>
      <c r="CU318" s="25" t="n"/>
      <c r="CV318" s="25" t="n"/>
      <c r="CW318" s="25" t="n"/>
      <c r="CX318" s="25" t="n"/>
      <c r="CY318" s="25" t="n"/>
      <c r="CZ318" s="25" t="n"/>
      <c r="DC318" s="26" t="n"/>
      <c r="DD318" s="26" t="n"/>
      <c r="DE318" s="26" t="n"/>
      <c r="DF318" s="26" t="n"/>
      <c r="DG318" s="26" t="n"/>
      <c r="DH318" s="27" t="n"/>
      <c r="DJ318" s="211" t="inlineStr">
        <is>
          <t>订单表中未找到</t>
        </is>
      </c>
      <c r="DK318" t="inlineStr">
        <is>
          <t>—</t>
        </is>
      </c>
      <c r="DL318" t="inlineStr">
        <is>
          <t>—</t>
        </is>
      </c>
    </row>
    <row r="319" ht="15.75" customHeight="1" s="187">
      <c r="A319" s="84" t="n">
        <v>45952</v>
      </c>
      <c r="B319" s="206" t="inlineStr">
        <is>
          <t>已收货</t>
        </is>
      </c>
      <c r="C319" s="86" t="inlineStr">
        <is>
          <t>3012328308546815057</t>
        </is>
      </c>
      <c r="D319" s="207" t="inlineStr">
        <is>
          <t>项一丹</t>
        </is>
      </c>
      <c r="E319" s="87" t="n"/>
      <c r="F319" s="87" t="n"/>
      <c r="G319" s="207" t="inlineStr">
        <is>
          <t>补差价</t>
        </is>
      </c>
      <c r="H319" s="207" t="inlineStr">
        <is>
          <t>洞石餐边柜</t>
        </is>
      </c>
      <c r="I319" s="89" t="n"/>
      <c r="J319" s="87" t="inlineStr">
        <is>
          <t>已结算</t>
        </is>
      </c>
      <c r="K319" s="86" t="inlineStr">
        <is>
          <t>庄毅-江西</t>
        </is>
      </c>
      <c r="L319" s="207" t="n">
        <v>1700</v>
      </c>
      <c r="M319" s="207" t="n">
        <v>1700</v>
      </c>
      <c r="N319" s="207" t="n"/>
      <c r="O319" s="207" t="n"/>
      <c r="P319" s="207" t="n"/>
      <c r="Q319" s="207" t="n"/>
      <c r="R319" s="207" t="n"/>
      <c r="S319" s="207" t="n"/>
      <c r="T319" s="207" t="n"/>
      <c r="U319" s="207" t="n"/>
      <c r="V319" s="207" t="n"/>
      <c r="W319" s="207" t="n"/>
      <c r="X319" s="207" t="n"/>
      <c r="Y319" s="207" t="n"/>
      <c r="Z319" s="207" t="n"/>
      <c r="AA319" s="207" t="n"/>
      <c r="AB319" s="207" t="n"/>
      <c r="AC319" s="207" t="n"/>
      <c r="AD319" s="207" t="n"/>
      <c r="AE319" s="207" t="n"/>
      <c r="AF319" s="207" t="n"/>
      <c r="AG319" s="207" t="n"/>
      <c r="AH319" s="207" t="n"/>
      <c r="AI319" s="207" t="n"/>
      <c r="AJ319" s="207" t="n"/>
      <c r="AK319" s="207" t="n"/>
      <c r="AL319" s="207" t="n"/>
      <c r="AM319" s="207" t="n"/>
      <c r="AN319" s="207" t="n"/>
      <c r="AO319" s="207" t="n"/>
      <c r="AP319" s="207" t="n">
        <v>0</v>
      </c>
      <c r="AQ319" s="207" t="n">
        <v>0</v>
      </c>
      <c r="AR319" s="207" t="n">
        <v>180</v>
      </c>
      <c r="AS319" s="207" t="n">
        <v>0</v>
      </c>
      <c r="AT319" s="207" t="n">
        <v>0</v>
      </c>
      <c r="AU319" s="207" t="n">
        <v>0</v>
      </c>
      <c r="AV319" s="207" t="n">
        <v>0</v>
      </c>
      <c r="AW319" s="207" t="n">
        <v>0</v>
      </c>
      <c r="AX319" s="208" t="n">
        <v>1</v>
      </c>
      <c r="AY319" s="209">
        <f>L319*AX319+AP319+AQ319+AR319+AV319+AW319+AS319+AT319+AU319</f>
        <v/>
      </c>
      <c r="AZ319" s="207" t="n">
        <v>272</v>
      </c>
      <c r="BA319" s="207" t="n">
        <v>0</v>
      </c>
      <c r="BB319" s="207">
        <f>AZ319*0.006</f>
        <v/>
      </c>
      <c r="BC319" s="209">
        <f>AZ319+BA319-BB319</f>
        <v/>
      </c>
      <c r="BD319" s="207" t="n">
        <v>0</v>
      </c>
      <c r="BE319" s="207" t="n">
        <v>0</v>
      </c>
      <c r="BF319" s="209">
        <f>BD319+BE319</f>
        <v/>
      </c>
      <c r="BG319" s="209">
        <f>BC319-AY319+BF319</f>
        <v/>
      </c>
      <c r="BH319" s="207" t="inlineStr">
        <is>
          <t>项一丹</t>
        </is>
      </c>
      <c r="BI319" s="207" t="inlineStr">
        <is>
          <t>山东省 烟台市 福山区 福新街道第一国际11号楼1单元2902</t>
        </is>
      </c>
      <c r="BJ319" s="207" t="inlineStr">
        <is>
          <t>17895453306-4977</t>
        </is>
      </c>
      <c r="BK319" s="87" t="n"/>
      <c r="BL319" s="210" t="n"/>
      <c r="BM319" s="93" t="n"/>
      <c r="BN319" s="94" t="n"/>
      <c r="BO319" s="93" t="n"/>
      <c r="BP319" s="86" t="n"/>
      <c r="BQ319" s="96" t="n"/>
      <c r="BR319" s="96" t="n"/>
      <c r="BS319" s="97" t="n"/>
      <c r="BT319" s="96" t="n"/>
      <c r="BU319" s="97" t="n"/>
      <c r="BV319" s="96" t="n"/>
      <c r="BW319" s="97" t="n"/>
      <c r="BX319" s="97" t="n"/>
      <c r="BY319" s="97" t="n"/>
      <c r="BZ319" s="97" t="n"/>
      <c r="CA319" s="98" t="n"/>
      <c r="CH319" s="2" t="n"/>
      <c r="CI319" s="14">
        <f>CJ319&amp;CK319</f>
        <v/>
      </c>
      <c r="CJ319" s="25" t="n"/>
      <c r="CK319" s="25" t="n"/>
      <c r="CL319" s="25" t="n"/>
      <c r="CM319" s="25" t="n"/>
      <c r="CN319" s="25" t="n"/>
      <c r="CO319" s="25" t="n"/>
      <c r="CP319" s="25" t="n"/>
      <c r="CQ319" s="25" t="n"/>
      <c r="CR319" s="25" t="n"/>
      <c r="CS319" s="25" t="n"/>
      <c r="CT319" s="25" t="n"/>
      <c r="CU319" s="25" t="n"/>
      <c r="CV319" s="25" t="n"/>
      <c r="CW319" s="25" t="n"/>
      <c r="CX319" s="25" t="n"/>
      <c r="CY319" s="25" t="n"/>
      <c r="CZ319" s="25" t="n"/>
      <c r="DC319" s="26" t="n"/>
      <c r="DD319" s="26" t="n"/>
      <c r="DE319" s="26" t="n"/>
      <c r="DF319" s="26" t="n"/>
      <c r="DG319" s="26" t="n"/>
      <c r="DH319" s="27" t="n"/>
      <c r="DJ319" s="211" t="inlineStr">
        <is>
          <t>订单表中未找到</t>
        </is>
      </c>
      <c r="DK319" t="inlineStr">
        <is>
          <t>—</t>
        </is>
      </c>
      <c r="DL319" t="inlineStr">
        <is>
          <t>—</t>
        </is>
      </c>
    </row>
    <row r="320" ht="15.75" customHeight="1" s="187">
      <c r="A320" s="84" t="n">
        <v>45952</v>
      </c>
      <c r="B320" s="206" t="inlineStr">
        <is>
          <t>已收货</t>
        </is>
      </c>
      <c r="C320" s="86" t="inlineStr">
        <is>
          <t>4827338246936523448</t>
        </is>
      </c>
      <c r="D320" s="207" t="inlineStr">
        <is>
          <t>姚璐</t>
        </is>
      </c>
      <c r="E320" s="87" t="n"/>
      <c r="F320" s="87" t="n"/>
      <c r="G320" s="207" t="inlineStr">
        <is>
          <t>窄柜-整柜洞石背板-1.0米</t>
        </is>
      </c>
      <c r="H320" s="207" t="inlineStr">
        <is>
          <t>樱桃木窄柜</t>
        </is>
      </c>
      <c r="I320" s="89" t="n">
        <v>1000</v>
      </c>
      <c r="J320" s="87" t="inlineStr">
        <is>
          <t>已结算</t>
        </is>
      </c>
      <c r="K320" s="86" t="inlineStr">
        <is>
          <t>庄毅</t>
        </is>
      </c>
      <c r="L320" s="207">
        <f>SUM(M320:AO320)</f>
        <v/>
      </c>
      <c r="M320" s="207">
        <f>3300</f>
        <v/>
      </c>
      <c r="N320" s="207">
        <f>0.958*260+2*55</f>
        <v/>
      </c>
      <c r="O320" s="207" t="n">
        <v>120</v>
      </c>
      <c r="P320" s="207" t="n"/>
      <c r="Q320" s="207">
        <f>19*2</f>
        <v/>
      </c>
      <c r="R320" s="207" t="n">
        <v>106.8</v>
      </c>
      <c r="S320" s="207" t="n">
        <v>59.23</v>
      </c>
      <c r="T320" s="207" t="n"/>
      <c r="U320" s="207" t="n"/>
      <c r="V320" s="207" t="n">
        <v>5</v>
      </c>
      <c r="W320" s="207" t="n"/>
      <c r="X320" s="207" t="n"/>
      <c r="Y320" s="207" t="n"/>
      <c r="Z320" s="207" t="n"/>
      <c r="AA320" s="207" t="n">
        <v>2</v>
      </c>
      <c r="AB320" s="207" t="n">
        <v>1.1</v>
      </c>
      <c r="AC320" s="207" t="n">
        <v>3.5</v>
      </c>
      <c r="AD320" s="207" t="n"/>
      <c r="AE320" s="207" t="n"/>
      <c r="AF320" s="207" t="n"/>
      <c r="AG320" s="207" t="n"/>
      <c r="AH320" s="207" t="n"/>
      <c r="AI320" s="207" t="n"/>
      <c r="AJ320" s="207" t="n"/>
      <c r="AK320" s="207" t="n"/>
      <c r="AL320" s="207" t="n"/>
      <c r="AM320" s="207" t="n"/>
      <c r="AN320" s="207" t="n"/>
      <c r="AO320" s="207" t="n"/>
      <c r="AP320" s="207" t="n">
        <v>423</v>
      </c>
      <c r="AQ320" s="207" t="n">
        <v>0</v>
      </c>
      <c r="AR320" s="207" t="n">
        <v>65</v>
      </c>
      <c r="AS320" s="207" t="n">
        <v>0</v>
      </c>
      <c r="AT320" s="207" t="n">
        <v>0</v>
      </c>
      <c r="AU320" s="207" t="n">
        <v>0</v>
      </c>
      <c r="AV320" s="207" t="n">
        <v>0</v>
      </c>
      <c r="AW320" s="207" t="n">
        <v>0</v>
      </c>
      <c r="AX320" s="208" t="n">
        <v>1</v>
      </c>
      <c r="AY320" s="209">
        <f>L320*AX320+AP320+AQ320+AR320+AV320+AW320+AS320+AT320+AU320</f>
        <v/>
      </c>
      <c r="AZ320" s="207" t="n">
        <v>5151.5</v>
      </c>
      <c r="BA320" s="207" t="n">
        <v>0</v>
      </c>
      <c r="BB320" s="207">
        <f>AZ320*0.006</f>
        <v/>
      </c>
      <c r="BC320" s="209">
        <f>AZ320+BA320-BB320</f>
        <v/>
      </c>
      <c r="BD320" s="207" t="n">
        <v>0</v>
      </c>
      <c r="BE320" s="207" t="n">
        <v>0</v>
      </c>
      <c r="BF320" s="209">
        <f>BD320+BE320</f>
        <v/>
      </c>
      <c r="BG320" s="209">
        <f>BC320-AY320+BF320</f>
        <v/>
      </c>
      <c r="BH320" s="207" t="inlineStr">
        <is>
          <t>姚璐</t>
        </is>
      </c>
      <c r="BI320" s="207" t="inlineStr">
        <is>
          <t>辽宁省 营口市 西市区 滨海街道富甲凯旋门2期24号楼3单元702</t>
        </is>
      </c>
      <c r="BJ320" s="207" t="inlineStr">
        <is>
          <t>13019220359-4661</t>
        </is>
      </c>
      <c r="BK320" s="87" t="n"/>
      <c r="BL320" s="210" t="n"/>
      <c r="BM320" s="93" t="n"/>
      <c r="BN320" s="94" t="n"/>
      <c r="BO320" s="93" t="n"/>
      <c r="BP320" s="86" t="n"/>
      <c r="BQ320" s="96" t="n"/>
      <c r="BR320" s="96" t="n"/>
      <c r="BS320" s="97" t="n"/>
      <c r="BT320" s="96" t="n"/>
      <c r="BU320" s="97" t="n"/>
      <c r="BV320" s="96" t="n"/>
      <c r="BW320" s="97" t="n"/>
      <c r="BX320" s="97" t="n"/>
      <c r="BY320" s="97" t="n"/>
      <c r="BZ320" s="97" t="n"/>
      <c r="CA320" s="98" t="n"/>
      <c r="CH320" s="2" t="n"/>
      <c r="CI320" s="14">
        <f>CJ320&amp;CK320</f>
        <v/>
      </c>
      <c r="CJ320" s="25" t="n"/>
      <c r="CK320" s="25" t="n"/>
      <c r="CL320" s="25" t="n"/>
      <c r="CM320" s="25" t="n"/>
      <c r="CN320" s="25" t="n"/>
      <c r="CO320" s="25" t="n"/>
      <c r="CP320" s="25" t="n"/>
      <c r="CQ320" s="25" t="n"/>
      <c r="CR320" s="25" t="n"/>
      <c r="CS320" s="25" t="n"/>
      <c r="CT320" s="25" t="n"/>
      <c r="CU320" s="25" t="n"/>
      <c r="CV320" s="25" t="n"/>
      <c r="CW320" s="25" t="n"/>
      <c r="CX320" s="25" t="n"/>
      <c r="CY320" s="25" t="n"/>
      <c r="CZ320" s="25" t="n"/>
      <c r="DC320" s="26" t="n"/>
      <c r="DD320" s="26" t="n"/>
      <c r="DE320" s="26" t="n"/>
      <c r="DF320" s="26" t="n"/>
      <c r="DG320" s="26" t="n"/>
      <c r="DH320" s="27" t="n"/>
      <c r="DJ320" s="211" t="inlineStr">
        <is>
          <t>订单表中未找到</t>
        </is>
      </c>
      <c r="DK320" t="inlineStr">
        <is>
          <t>—</t>
        </is>
      </c>
      <c r="DL320" t="inlineStr">
        <is>
          <t>—</t>
        </is>
      </c>
    </row>
    <row r="321" ht="15.75" customHeight="1" s="187">
      <c r="A321" s="84" t="n">
        <v>45952</v>
      </c>
      <c r="B321" s="206" t="inlineStr">
        <is>
          <t>已收货</t>
        </is>
      </c>
      <c r="C321" s="86" t="inlineStr">
        <is>
          <t>4827434762056700229</t>
        </is>
      </c>
      <c r="D321" s="86" t="inlineStr">
        <is>
          <t>周黑佑利</t>
        </is>
      </c>
      <c r="E321" s="87" t="n"/>
      <c r="F321" s="87" t="n"/>
      <c r="G321" s="87" t="inlineStr">
        <is>
          <t>砂白色1.5米岩板餐桌，定制</t>
        </is>
      </c>
      <c r="H321" s="207" t="inlineStr">
        <is>
          <t>榉木餐桌</t>
        </is>
      </c>
      <c r="I321" s="89" t="inlineStr">
        <is>
          <t>150cm*75cm</t>
        </is>
      </c>
      <c r="J321" s="87" t="inlineStr">
        <is>
          <t>已结算</t>
        </is>
      </c>
      <c r="K321" s="86" t="inlineStr">
        <is>
          <t>江西</t>
        </is>
      </c>
      <c r="L321" s="207">
        <f>SUM(M321:AO321)</f>
        <v/>
      </c>
      <c r="M321" s="207">
        <f>1300</f>
        <v/>
      </c>
      <c r="N321" s="207" t="n"/>
      <c r="O321" s="207" t="n"/>
      <c r="P321" s="207" t="n"/>
      <c r="Q321" s="207" t="n"/>
      <c r="R321" s="207" t="n">
        <v>220</v>
      </c>
      <c r="S321" s="207" t="n"/>
      <c r="T321" s="207" t="n"/>
      <c r="U321" s="207" t="n"/>
      <c r="V321" s="207" t="n"/>
      <c r="W321" s="207" t="n"/>
      <c r="X321" s="207" t="n"/>
      <c r="Y321" s="207" t="n"/>
      <c r="Z321" s="207" t="n"/>
      <c r="AA321" s="207" t="n"/>
      <c r="AB321" s="207" t="n"/>
      <c r="AC321" s="207" t="n"/>
      <c r="AD321" s="207" t="n">
        <v>2.5</v>
      </c>
      <c r="AE321" s="207" t="n"/>
      <c r="AF321" s="207" t="n"/>
      <c r="AG321" s="207" t="n"/>
      <c r="AH321" s="207" t="n"/>
      <c r="AI321" s="207" t="n"/>
      <c r="AJ321" s="207" t="n"/>
      <c r="AK321" s="207" t="n"/>
      <c r="AL321" s="207" t="n"/>
      <c r="AM321" s="207" t="n">
        <v>170</v>
      </c>
      <c r="AN321" s="207" t="n"/>
      <c r="AO321" s="207" t="n"/>
      <c r="AP321" s="207">
        <f>112-AQ321</f>
        <v/>
      </c>
      <c r="AQ321" s="207" t="n">
        <v>30</v>
      </c>
      <c r="AR321" s="207" t="n">
        <v>88</v>
      </c>
      <c r="AS321" s="207" t="n">
        <v>0</v>
      </c>
      <c r="AT321" s="207" t="n">
        <v>0</v>
      </c>
      <c r="AU321" s="207" t="n">
        <v>0</v>
      </c>
      <c r="AV321" s="207" t="n">
        <v>0</v>
      </c>
      <c r="AW321" s="207" t="n">
        <v>0</v>
      </c>
      <c r="AX321" s="208" t="n">
        <v>1</v>
      </c>
      <c r="AY321" s="209">
        <f>L321*AX321+AP321+AQ321+AR321+AV321+AW321+AS321+AT321+AU321</f>
        <v/>
      </c>
      <c r="AZ321" s="207" t="n">
        <v>2593.89</v>
      </c>
      <c r="BA321" s="207" t="n">
        <v>0</v>
      </c>
      <c r="BB321" s="207">
        <f>AZ321*0.006</f>
        <v/>
      </c>
      <c r="BC321" s="209">
        <f>AZ321+BA321-BB321</f>
        <v/>
      </c>
      <c r="BD321" s="207" t="n">
        <v>0</v>
      </c>
      <c r="BE321" s="207" t="n">
        <v>0</v>
      </c>
      <c r="BF321" s="209">
        <f>BD321+BE321</f>
        <v/>
      </c>
      <c r="BG321" s="209">
        <f>BC321-AY321+BF321</f>
        <v/>
      </c>
      <c r="BH321" s="86" t="inlineStr">
        <is>
          <t>周黑佑利</t>
        </is>
      </c>
      <c r="BI321" s="86" t="inlineStr">
        <is>
          <t>江苏省 南京市 雨花台区 赛虹桥街道南河东寓2栋三单元2712</t>
        </is>
      </c>
      <c r="BJ321" s="86" t="inlineStr">
        <is>
          <t>15780928627-8967</t>
        </is>
      </c>
      <c r="BK321" s="87" t="n"/>
      <c r="BL321" s="210" t="n"/>
      <c r="BM321" s="93" t="n"/>
      <c r="BN321" s="94" t="n"/>
      <c r="BO321" s="93" t="n"/>
      <c r="BP321" s="86" t="n"/>
      <c r="BQ321" s="96" t="n"/>
      <c r="BR321" s="96" t="n"/>
      <c r="BS321" s="97" t="n"/>
      <c r="BT321" s="96" t="n"/>
      <c r="BU321" s="97" t="n"/>
      <c r="BV321" s="96" t="n"/>
      <c r="BW321" s="97" t="n"/>
      <c r="BX321" s="97" t="n"/>
      <c r="BY321" s="97" t="n"/>
      <c r="BZ321" s="97" t="n"/>
      <c r="CA321" s="98" t="n"/>
      <c r="CH321" s="2" t="n"/>
      <c r="CI321" s="14">
        <f>CJ321&amp;CK321</f>
        <v/>
      </c>
      <c r="CJ321" s="25" t="n"/>
      <c r="CK321" s="25" t="n"/>
      <c r="CL321" s="25" t="n"/>
      <c r="CM321" s="25" t="n"/>
      <c r="CN321" s="25" t="n"/>
      <c r="CO321" s="25" t="n"/>
      <c r="CP321" s="25" t="n"/>
      <c r="CQ321" s="25" t="n"/>
      <c r="CR321" s="25" t="n"/>
      <c r="CS321" s="25" t="n"/>
      <c r="CT321" s="25" t="n"/>
      <c r="CU321" s="25" t="n"/>
      <c r="CV321" s="25" t="n"/>
      <c r="CW321" s="25" t="n"/>
      <c r="CX321" s="25" t="n"/>
      <c r="CY321" s="25" t="n"/>
      <c r="CZ321" s="25" t="n"/>
      <c r="DC321" s="26" t="n"/>
      <c r="DD321" s="26" t="n"/>
      <c r="DE321" s="26" t="n"/>
      <c r="DF321" s="26" t="n"/>
      <c r="DG321" s="26" t="n"/>
      <c r="DH321" s="27" t="n"/>
      <c r="DJ321" s="211" t="inlineStr">
        <is>
          <t>订单表中未找到</t>
        </is>
      </c>
      <c r="DK321" t="inlineStr">
        <is>
          <t>—</t>
        </is>
      </c>
      <c r="DL321" t="inlineStr">
        <is>
          <t>—</t>
        </is>
      </c>
    </row>
    <row r="322" ht="15.75" customHeight="1" s="187">
      <c r="A322" s="84" t="n">
        <v>45952</v>
      </c>
      <c r="B322" s="206" t="inlineStr">
        <is>
          <t>已收货</t>
        </is>
      </c>
      <c r="C322" s="86" t="inlineStr">
        <is>
          <t>4827688489835700229</t>
        </is>
      </c>
      <c r="D322" s="86" t="inlineStr">
        <is>
          <t>周黑佑利</t>
        </is>
      </c>
      <c r="E322" s="87" t="n"/>
      <c r="F322" s="87" t="n"/>
      <c r="G322" s="207" t="inlineStr">
        <is>
          <t>补差价</t>
        </is>
      </c>
      <c r="H322" s="207" t="inlineStr">
        <is>
          <t>榉木餐桌</t>
        </is>
      </c>
      <c r="I322" s="89" t="n"/>
      <c r="J322" s="87" t="inlineStr">
        <is>
          <t>已结算</t>
        </is>
      </c>
      <c r="K322" s="86" t="inlineStr">
        <is>
          <t>江西</t>
        </is>
      </c>
      <c r="L322" s="207">
        <f>SUM(M322:AO322)</f>
        <v/>
      </c>
      <c r="M322" s="207" t="n">
        <v>0</v>
      </c>
      <c r="N322" s="207" t="n"/>
      <c r="O322" s="207" t="n"/>
      <c r="P322" s="207" t="n"/>
      <c r="Q322" s="207" t="n"/>
      <c r="R322" s="207" t="n"/>
      <c r="S322" s="207" t="n"/>
      <c r="T322" s="207" t="n"/>
      <c r="U322" s="207" t="n"/>
      <c r="V322" s="207" t="n"/>
      <c r="W322" s="207" t="n"/>
      <c r="X322" s="207" t="n"/>
      <c r="Y322" s="207" t="n"/>
      <c r="Z322" s="207" t="n"/>
      <c r="AA322" s="207" t="n"/>
      <c r="AB322" s="207" t="n"/>
      <c r="AC322" s="207" t="n"/>
      <c r="AD322" s="207" t="n"/>
      <c r="AE322" s="207" t="n"/>
      <c r="AF322" s="207" t="n"/>
      <c r="AG322" s="207" t="n"/>
      <c r="AH322" s="207" t="n"/>
      <c r="AI322" s="207" t="n"/>
      <c r="AJ322" s="207" t="n"/>
      <c r="AK322" s="207" t="n"/>
      <c r="AL322" s="207" t="n"/>
      <c r="AM322" s="207" t="n"/>
      <c r="AN322" s="207" t="n"/>
      <c r="AO322" s="207" t="n"/>
      <c r="AP322" s="207" t="n">
        <v>0</v>
      </c>
      <c r="AQ322" s="207" t="n">
        <v>0</v>
      </c>
      <c r="AR322" s="207" t="n">
        <v>0</v>
      </c>
      <c r="AS322" s="207" t="n">
        <v>0</v>
      </c>
      <c r="AT322" s="207" t="n">
        <v>0</v>
      </c>
      <c r="AU322" s="207" t="n">
        <v>0</v>
      </c>
      <c r="AV322" s="207" t="n">
        <v>0</v>
      </c>
      <c r="AW322" s="207" t="n">
        <v>0</v>
      </c>
      <c r="AX322" s="208" t="n">
        <v>1</v>
      </c>
      <c r="AY322" s="209">
        <f>L322*AX322+AP322+AQ322+AR322+AV322+AW322+AS322+AT322+AU322</f>
        <v/>
      </c>
      <c r="AZ322" s="207" t="n">
        <v>42</v>
      </c>
      <c r="BA322" s="207" t="n">
        <v>0</v>
      </c>
      <c r="BB322" s="207">
        <f>AZ322*0.006</f>
        <v/>
      </c>
      <c r="BC322" s="209">
        <f>AZ322+BA322-BB322</f>
        <v/>
      </c>
      <c r="BD322" s="207" t="n">
        <v>0</v>
      </c>
      <c r="BE322" s="207" t="n">
        <v>0</v>
      </c>
      <c r="BF322" s="209">
        <f>BD322+BE322</f>
        <v/>
      </c>
      <c r="BG322" s="209">
        <f>BC322-AY322+BF322</f>
        <v/>
      </c>
      <c r="BH322" s="86" t="inlineStr">
        <is>
          <t>周黑佑利</t>
        </is>
      </c>
      <c r="BI322" s="86" t="inlineStr">
        <is>
          <t>江苏省 南京市 雨花台区 赛虹桥街道南河东寓2栋三单元2712</t>
        </is>
      </c>
      <c r="BJ322" s="86" t="inlineStr">
        <is>
          <t>15780928627-8967</t>
        </is>
      </c>
      <c r="BK322" s="87" t="n"/>
      <c r="BL322" s="210" t="n"/>
      <c r="BM322" s="93" t="n"/>
      <c r="BN322" s="94" t="n"/>
      <c r="BO322" s="93" t="n"/>
      <c r="BP322" s="86" t="n"/>
      <c r="BQ322" s="96" t="n"/>
      <c r="BR322" s="96" t="n"/>
      <c r="BS322" s="97" t="n"/>
      <c r="BT322" s="96" t="n"/>
      <c r="BU322" s="97" t="n"/>
      <c r="BV322" s="96" t="n"/>
      <c r="BW322" s="97" t="n"/>
      <c r="BX322" s="97" t="n"/>
      <c r="BY322" s="97" t="n"/>
      <c r="BZ322" s="97" t="n"/>
      <c r="CA322" s="98" t="n"/>
      <c r="CH322" s="2" t="n"/>
      <c r="CI322" s="14">
        <f>CJ322&amp;CK322</f>
        <v/>
      </c>
      <c r="CJ322" s="25" t="n"/>
      <c r="CK322" s="25" t="n"/>
      <c r="CL322" s="25" t="n"/>
      <c r="CM322" s="25" t="n"/>
      <c r="CN322" s="25" t="n"/>
      <c r="CO322" s="25" t="n"/>
      <c r="CP322" s="25" t="n"/>
      <c r="CQ322" s="25" t="n"/>
      <c r="CR322" s="25" t="n"/>
      <c r="CS322" s="25" t="n"/>
      <c r="CT322" s="25" t="n"/>
      <c r="CU322" s="25" t="n"/>
      <c r="CV322" s="25" t="n"/>
      <c r="CW322" s="25" t="n"/>
      <c r="CX322" s="25" t="n"/>
      <c r="CY322" s="25" t="n"/>
      <c r="CZ322" s="25" t="n"/>
      <c r="DC322" s="26" t="n"/>
      <c r="DD322" s="26" t="n"/>
      <c r="DE322" s="26" t="n"/>
      <c r="DF322" s="26" t="n"/>
      <c r="DG322" s="26" t="n"/>
      <c r="DH322" s="27" t="n"/>
      <c r="DJ322" s="211" t="inlineStr">
        <is>
          <t>订单表中未找到</t>
        </is>
      </c>
      <c r="DK322" t="inlineStr">
        <is>
          <t>—</t>
        </is>
      </c>
      <c r="DL322" t="inlineStr">
        <is>
          <t>—</t>
        </is>
      </c>
    </row>
    <row r="323" ht="15.75" customHeight="1" s="187">
      <c r="A323" s="84" t="n">
        <v>45952</v>
      </c>
      <c r="B323" s="206" t="inlineStr">
        <is>
          <t>已收货</t>
        </is>
      </c>
      <c r="C323" s="86" t="inlineStr">
        <is>
          <t>4828570092557670025</t>
        </is>
      </c>
      <c r="D323" s="207" t="inlineStr">
        <is>
          <t>秦女士</t>
        </is>
      </c>
      <c r="E323" s="87" t="n"/>
      <c r="F323" s="87" t="n"/>
      <c r="G323" s="207" t="inlineStr">
        <is>
          <t>洞石整柜1.8米-定制（全景抽屉+分类抽屉+开门）</t>
        </is>
      </c>
      <c r="H323" s="207" t="inlineStr">
        <is>
          <t>洞石餐边柜</t>
        </is>
      </c>
      <c r="I323" s="89" t="n">
        <v>1800</v>
      </c>
      <c r="J323" s="87" t="inlineStr">
        <is>
          <t>已结算</t>
        </is>
      </c>
      <c r="K323" s="86" t="inlineStr">
        <is>
          <t>庄毅</t>
        </is>
      </c>
      <c r="L323" s="207">
        <f>8350+40*2+2040/6/1.5+80+1.8*0.5*160+(1.8+0.5*2)*60+33+20+10+14+501.08+10</f>
        <v/>
      </c>
      <c r="M323" s="207">
        <f>8350</f>
        <v/>
      </c>
      <c r="N323" s="207" t="n"/>
      <c r="O323" s="207">
        <f>2040/6/1.5</f>
        <v/>
      </c>
      <c r="P323" s="207" t="n">
        <v>80</v>
      </c>
      <c r="Q323" s="207">
        <f>40*2</f>
        <v/>
      </c>
      <c r="R323" s="207" t="inlineStr">
        <is>
          <t>1.8*0.5*160</t>
        </is>
      </c>
      <c r="S323" s="207" t="inlineStr">
        <is>
          <t>(1.8</t>
        </is>
      </c>
      <c r="T323" s="207" t="inlineStr">
        <is>
          <t>0.5*2)*60</t>
        </is>
      </c>
      <c r="U323" s="207" t="n"/>
      <c r="V323" s="207" t="n"/>
      <c r="W323" s="207" t="n">
        <v>33</v>
      </c>
      <c r="X323" s="207" t="n">
        <v>20</v>
      </c>
      <c r="Y323" s="207" t="n">
        <v>10</v>
      </c>
      <c r="Z323" s="207" t="n"/>
      <c r="AA323" s="207" t="n"/>
      <c r="AB323" s="207" t="n"/>
      <c r="AC323" s="207" t="n"/>
      <c r="AD323" s="207" t="n">
        <v>501.08</v>
      </c>
      <c r="AE323" s="207" t="n">
        <v>14</v>
      </c>
      <c r="AF323" s="207" t="n">
        <v>10</v>
      </c>
      <c r="AG323" s="207" t="n"/>
      <c r="AH323" s="207" t="n"/>
      <c r="AI323" s="207" t="n"/>
      <c r="AJ323" s="207" t="n"/>
      <c r="AK323" s="207" t="n"/>
      <c r="AL323" s="207" t="n"/>
      <c r="AM323" s="207" t="n"/>
      <c r="AN323" s="207" t="n"/>
      <c r="AO323" s="207" t="n"/>
      <c r="AP323" s="207" t="n">
        <v>1054</v>
      </c>
      <c r="AQ323" s="207" t="n">
        <v>0</v>
      </c>
      <c r="AR323" s="207" t="n">
        <v>150</v>
      </c>
      <c r="AS323" s="207" t="n">
        <v>0</v>
      </c>
      <c r="AT323" s="207" t="n">
        <v>0</v>
      </c>
      <c r="AU323" s="207" t="n">
        <v>0</v>
      </c>
      <c r="AV323" s="207" t="n">
        <v>0</v>
      </c>
      <c r="AW323" s="207" t="n">
        <v>0</v>
      </c>
      <c r="AX323" s="208" t="n">
        <v>1</v>
      </c>
      <c r="AY323" s="209">
        <f>L323*AX323+AP323+AQ323+AR323+AV323+AW323+AS323+AT323+AU323</f>
        <v/>
      </c>
      <c r="AZ323" s="207" t="n">
        <v>10113.93</v>
      </c>
      <c r="BA323" s="207" t="n">
        <v>0</v>
      </c>
      <c r="BB323" s="207">
        <f>AZ323*0.006</f>
        <v/>
      </c>
      <c r="BC323" s="209">
        <f>AZ323+BA323-BB323</f>
        <v/>
      </c>
      <c r="BD323" s="207" t="n">
        <v>0</v>
      </c>
      <c r="BE323" s="207" t="n">
        <v>0</v>
      </c>
      <c r="BF323" s="209">
        <f>BD323+BE323</f>
        <v/>
      </c>
      <c r="BG323" s="209">
        <f>BC323-AY323+BF323</f>
        <v/>
      </c>
      <c r="BH323" s="207" t="inlineStr">
        <is>
          <t>秦女士</t>
        </is>
      </c>
      <c r="BI323" s="207" t="inlineStr">
        <is>
          <t>重庆 重庆市 江北区 铁山坪街道金科·太阳海岸66栋5号</t>
        </is>
      </c>
      <c r="BJ323" s="207" t="inlineStr">
        <is>
          <t>14723331325-5297</t>
        </is>
      </c>
      <c r="BK323" s="87" t="n"/>
      <c r="BL323" s="210" t="n"/>
      <c r="BM323" s="93" t="n"/>
      <c r="BN323" s="94" t="n"/>
      <c r="BO323" s="93" t="n"/>
      <c r="BP323" s="86" t="n"/>
      <c r="BQ323" s="96" t="n"/>
      <c r="BR323" s="96" t="n"/>
      <c r="BS323" s="97" t="n"/>
      <c r="BT323" s="96" t="n"/>
      <c r="BU323" s="97" t="n"/>
      <c r="BV323" s="96" t="n"/>
      <c r="BW323" s="97" t="n"/>
      <c r="BX323" s="97" t="n"/>
      <c r="BY323" s="97" t="n"/>
      <c r="BZ323" s="97" t="n"/>
      <c r="CA323" s="98" t="n"/>
      <c r="CH323" s="2" t="n"/>
      <c r="CI323" s="14">
        <f>CJ323&amp;CK323</f>
        <v/>
      </c>
      <c r="CJ323" s="25" t="n"/>
      <c r="CK323" s="25" t="n"/>
      <c r="CL323" s="25" t="n"/>
      <c r="CM323" s="25" t="n"/>
      <c r="CN323" s="25" t="n"/>
      <c r="CO323" s="25" t="n"/>
      <c r="CP323" s="25" t="n"/>
      <c r="CQ323" s="25" t="n"/>
      <c r="CR323" s="25" t="n"/>
      <c r="CS323" s="25" t="n"/>
      <c r="CT323" s="25" t="n"/>
      <c r="CU323" s="25" t="n"/>
      <c r="CV323" s="25" t="n"/>
      <c r="CW323" s="25" t="n"/>
      <c r="CX323" s="25" t="n"/>
      <c r="CY323" s="25" t="n"/>
      <c r="CZ323" s="25" t="n"/>
      <c r="DC323" s="26" t="n"/>
      <c r="DD323" s="26" t="n"/>
      <c r="DE323" s="26" t="n"/>
      <c r="DF323" s="26" t="n"/>
      <c r="DG323" s="26" t="n"/>
      <c r="DH323" s="27" t="n"/>
      <c r="DJ323" s="211" t="inlineStr">
        <is>
          <t>订单表中未找到</t>
        </is>
      </c>
      <c r="DK323" t="inlineStr">
        <is>
          <t>—</t>
        </is>
      </c>
      <c r="DL323" t="inlineStr">
        <is>
          <t>—</t>
        </is>
      </c>
    </row>
    <row r="324" ht="15.75" customHeight="1" s="187">
      <c r="A324" s="84" t="n">
        <v>45952</v>
      </c>
      <c r="B324" s="206" t="inlineStr">
        <is>
          <t>已收货</t>
        </is>
      </c>
      <c r="C324" s="86" t="inlineStr">
        <is>
          <t>4828654584036532836</t>
        </is>
      </c>
      <c r="D324" s="207" t="inlineStr">
        <is>
          <t>秦女士</t>
        </is>
      </c>
      <c r="E324" s="87" t="n"/>
      <c r="F324" s="87" t="n"/>
      <c r="G324" s="207" t="inlineStr">
        <is>
          <t>洞石下柜-玻璃开门柜-90cm</t>
        </is>
      </c>
      <c r="H324" s="207" t="inlineStr">
        <is>
          <t>洞石餐边柜</t>
        </is>
      </c>
      <c r="I324" s="89" t="n">
        <v>900</v>
      </c>
      <c r="J324" s="87" t="inlineStr">
        <is>
          <t>已结算</t>
        </is>
      </c>
      <c r="K324" s="86" t="inlineStr">
        <is>
          <t>庄毅</t>
        </is>
      </c>
      <c r="L324" s="207" t="n">
        <v>0</v>
      </c>
      <c r="M324" s="207" t="n">
        <v>0</v>
      </c>
      <c r="N324" s="207" t="n"/>
      <c r="O324" s="207" t="n"/>
      <c r="P324" s="207" t="n"/>
      <c r="Q324" s="207" t="n"/>
      <c r="R324" s="207" t="n"/>
      <c r="S324" s="207" t="n"/>
      <c r="T324" s="207" t="n"/>
      <c r="U324" s="207" t="n"/>
      <c r="V324" s="207" t="n"/>
      <c r="W324" s="207" t="n"/>
      <c r="X324" s="207" t="n"/>
      <c r="Y324" s="207" t="n"/>
      <c r="Z324" s="207" t="n"/>
      <c r="AA324" s="207" t="n"/>
      <c r="AB324" s="207" t="n"/>
      <c r="AC324" s="207" t="n"/>
      <c r="AD324" s="207" t="n"/>
      <c r="AE324" s="207" t="n"/>
      <c r="AF324" s="207" t="n"/>
      <c r="AG324" s="207" t="n"/>
      <c r="AH324" s="207" t="n"/>
      <c r="AI324" s="207" t="n"/>
      <c r="AJ324" s="207" t="n"/>
      <c r="AK324" s="207" t="n"/>
      <c r="AL324" s="207" t="n"/>
      <c r="AM324" s="207" t="n"/>
      <c r="AN324" s="207" t="n"/>
      <c r="AO324" s="207" t="n"/>
      <c r="AP324" s="207" t="n">
        <v>0</v>
      </c>
      <c r="AQ324" s="207" t="n">
        <v>0</v>
      </c>
      <c r="AR324" s="207" t="n">
        <v>0</v>
      </c>
      <c r="AS324" s="207" t="n">
        <v>0</v>
      </c>
      <c r="AT324" s="207" t="n">
        <v>0</v>
      </c>
      <c r="AU324" s="207" t="n">
        <v>0</v>
      </c>
      <c r="AV324" s="207" t="n">
        <v>0</v>
      </c>
      <c r="AW324" s="207" t="n">
        <v>0</v>
      </c>
      <c r="AX324" s="208" t="n">
        <v>1</v>
      </c>
      <c r="AY324" s="209">
        <f>L324*AX324+AP324+AQ324+AR324+AV324+AW324+AS324+AT324+AU324</f>
        <v/>
      </c>
      <c r="AZ324" s="207" t="n">
        <v>3699.2</v>
      </c>
      <c r="BA324" s="207" t="n">
        <v>0</v>
      </c>
      <c r="BB324" s="207">
        <f>AZ324*0.006</f>
        <v/>
      </c>
      <c r="BC324" s="209">
        <f>AZ324+BA324-BB324</f>
        <v/>
      </c>
      <c r="BD324" s="207" t="n">
        <v>0</v>
      </c>
      <c r="BE324" s="207" t="n">
        <v>0</v>
      </c>
      <c r="BF324" s="209">
        <f>BD324+BE324</f>
        <v/>
      </c>
      <c r="BG324" s="209">
        <f>BC324-AY324+BF324</f>
        <v/>
      </c>
      <c r="BH324" s="207" t="inlineStr">
        <is>
          <t>秦女士</t>
        </is>
      </c>
      <c r="BI324" s="207" t="inlineStr">
        <is>
          <t>重庆 重庆市 江北区 铁山坪街道金科·太阳海岸66栋5号</t>
        </is>
      </c>
      <c r="BJ324" s="207" t="inlineStr">
        <is>
          <t>14723331325-5297</t>
        </is>
      </c>
      <c r="BK324" s="87" t="n"/>
      <c r="BL324" s="210" t="n"/>
      <c r="BM324" s="93" t="n"/>
      <c r="BN324" s="94" t="n"/>
      <c r="BO324" s="93" t="n"/>
      <c r="BP324" s="86" t="n"/>
      <c r="BQ324" s="96" t="n"/>
      <c r="BR324" s="96" t="n"/>
      <c r="BS324" s="97" t="n"/>
      <c r="BT324" s="96" t="n"/>
      <c r="BU324" s="97" t="n"/>
      <c r="BV324" s="96" t="n"/>
      <c r="BW324" s="97" t="n"/>
      <c r="BX324" s="97" t="n"/>
      <c r="BY324" s="97" t="n"/>
      <c r="BZ324" s="97" t="n"/>
      <c r="CA324" s="98" t="n"/>
      <c r="CH324" s="2" t="n"/>
      <c r="CI324" s="14">
        <f>CJ324&amp;CK324</f>
        <v/>
      </c>
      <c r="CJ324" s="25" t="n"/>
      <c r="CK324" s="25" t="n"/>
      <c r="CL324" s="25" t="n"/>
      <c r="CM324" s="25" t="n"/>
      <c r="CN324" s="25" t="n"/>
      <c r="CO324" s="25" t="n"/>
      <c r="CP324" s="25" t="n"/>
      <c r="CQ324" s="25" t="n"/>
      <c r="CR324" s="25" t="n"/>
      <c r="CS324" s="25" t="n"/>
      <c r="CT324" s="25" t="n"/>
      <c r="CU324" s="25" t="n"/>
      <c r="CV324" s="25" t="n"/>
      <c r="CW324" s="25" t="n"/>
      <c r="CX324" s="25" t="n"/>
      <c r="CY324" s="25" t="n"/>
      <c r="CZ324" s="25" t="n"/>
      <c r="DC324" s="26" t="n"/>
      <c r="DD324" s="26" t="n"/>
      <c r="DE324" s="26" t="n"/>
      <c r="DF324" s="26" t="n"/>
      <c r="DG324" s="26" t="n"/>
      <c r="DH324" s="27" t="n"/>
      <c r="DJ324" s="211" t="inlineStr">
        <is>
          <t>订单表中未找到</t>
        </is>
      </c>
      <c r="DK324" t="inlineStr">
        <is>
          <t>—</t>
        </is>
      </c>
      <c r="DL324" t="inlineStr">
        <is>
          <t>—</t>
        </is>
      </c>
    </row>
    <row r="325" ht="15.75" customHeight="1" s="187">
      <c r="A325" s="84" t="n">
        <v>45952</v>
      </c>
      <c r="B325" s="206" t="inlineStr">
        <is>
          <t>已收货</t>
        </is>
      </c>
      <c r="C325" s="86" t="inlineStr">
        <is>
          <t>3013504680299507393</t>
        </is>
      </c>
      <c r="D325" s="207" t="inlineStr">
        <is>
          <t>李伟峰</t>
        </is>
      </c>
      <c r="E325" s="87" t="n"/>
      <c r="F325" s="87" t="n"/>
      <c r="G325" s="207" t="inlineStr">
        <is>
          <t>曜黑柜-整柜-1.8米</t>
        </is>
      </c>
      <c r="H325" s="207" t="inlineStr">
        <is>
          <t>曜黑餐边柜</t>
        </is>
      </c>
      <c r="I325" s="89" t="n">
        <v>1800</v>
      </c>
      <c r="J325" s="87" t="inlineStr">
        <is>
          <t>已结算</t>
        </is>
      </c>
      <c r="K325" s="86" t="inlineStr">
        <is>
          <t>庄毅</t>
        </is>
      </c>
      <c r="L325" s="207">
        <f>9400+180*1.8*0.48+33+40+65+40+40+2550/6/1.5+567.08+10+20+2.88+10.5+620</f>
        <v/>
      </c>
      <c r="M325" s="207">
        <f>9400</f>
        <v/>
      </c>
      <c r="N325" s="207">
        <f>1.758*260+2*55+12</f>
        <v/>
      </c>
      <c r="O325" s="207">
        <f>2550/6/1.5</f>
        <v/>
      </c>
      <c r="P325" s="207" t="n">
        <v>40</v>
      </c>
      <c r="Q325" s="207" t="n"/>
      <c r="R325" s="207">
        <f>1.8*0.48*180+30</f>
        <v/>
      </c>
      <c r="S325" s="207" t="n">
        <v>40</v>
      </c>
      <c r="T325" s="207" t="n">
        <v>40</v>
      </c>
      <c r="U325" s="207" t="n">
        <v>33</v>
      </c>
      <c r="V325" s="207" t="n"/>
      <c r="W325" s="207" t="inlineStr">
        <is>
          <t>2550/6/1.5</t>
        </is>
      </c>
      <c r="X325" s="207" t="n">
        <v>567.08</v>
      </c>
      <c r="Y325" s="207" t="n">
        <v>10</v>
      </c>
      <c r="Z325" s="207" t="n"/>
      <c r="AA325" s="207" t="n"/>
      <c r="AB325" s="207" t="n"/>
      <c r="AC325" s="207" t="n"/>
      <c r="AD325" s="207" t="n"/>
      <c r="AE325" s="207" t="n">
        <v>20</v>
      </c>
      <c r="AF325" s="207" t="n">
        <v>10.5</v>
      </c>
      <c r="AG325" s="207" t="n"/>
      <c r="AH325" s="207" t="n"/>
      <c r="AI325" s="207" t="n"/>
      <c r="AJ325" s="207" t="n">
        <v>620</v>
      </c>
      <c r="AK325" s="207" t="n">
        <v>65</v>
      </c>
      <c r="AL325" s="207" t="n"/>
      <c r="AM325" s="207" t="n"/>
      <c r="AN325" s="207" t="n"/>
      <c r="AO325" s="207" t="n"/>
      <c r="AP325" s="207">
        <f>504+55</f>
        <v/>
      </c>
      <c r="AQ325" s="207" t="n">
        <v>0</v>
      </c>
      <c r="AR325" s="207" t="n">
        <v>140</v>
      </c>
      <c r="AS325" s="207" t="n">
        <v>0</v>
      </c>
      <c r="AT325" s="207">
        <f>168+228-188</f>
        <v/>
      </c>
      <c r="AU325" s="207" t="n">
        <v>0</v>
      </c>
      <c r="AV325" s="207" t="n">
        <v>0</v>
      </c>
      <c r="AW325" s="207" t="n">
        <v>500</v>
      </c>
      <c r="AX325" s="208" t="n">
        <v>1</v>
      </c>
      <c r="AY325" s="209">
        <f>L325*AX325+AP325+AQ325+AR325+AV325+AW325+AS325+AT325+AU325</f>
        <v/>
      </c>
      <c r="AZ325" s="207" t="n">
        <v>14621.61</v>
      </c>
      <c r="BA325" s="207" t="n">
        <v>0</v>
      </c>
      <c r="BB325" s="207">
        <f>AZ325*0.006</f>
        <v/>
      </c>
      <c r="BC325" s="209">
        <f>AZ325+BA325-BB325</f>
        <v/>
      </c>
      <c r="BD325" s="207" t="n">
        <v>0</v>
      </c>
      <c r="BE325" s="207" t="n">
        <v>0</v>
      </c>
      <c r="BF325" s="209">
        <f>BD325+BE325</f>
        <v/>
      </c>
      <c r="BG325" s="209">
        <f>BC325-AY325+BF325</f>
        <v/>
      </c>
      <c r="BH325" s="207" t="inlineStr">
        <is>
          <t>李伟峰</t>
        </is>
      </c>
      <c r="BI325" s="207" t="inlineStr">
        <is>
          <t>山东省 日照市 岚山区 岚山头街道 多岛海沂州海湾小区五号楼一单元802</t>
        </is>
      </c>
      <c r="BJ325" s="207" t="inlineStr">
        <is>
          <t>15784068110-3061</t>
        </is>
      </c>
      <c r="BK325" s="87" t="n"/>
      <c r="BL325" s="210" t="n"/>
      <c r="BM325" s="93" t="n"/>
      <c r="BN325" s="94" t="n"/>
      <c r="BO325" s="93" t="n"/>
      <c r="BP325" s="86" t="n"/>
      <c r="BQ325" s="96" t="n"/>
      <c r="BR325" s="96" t="n"/>
      <c r="BS325" s="97" t="n"/>
      <c r="BT325" s="96" t="n"/>
      <c r="BU325" s="97" t="n"/>
      <c r="BV325" s="96" t="n"/>
      <c r="BW325" s="97" t="n"/>
      <c r="BX325" s="97" t="n"/>
      <c r="BY325" s="97" t="n"/>
      <c r="BZ325" s="97" t="n"/>
      <c r="CA325" s="98" t="n"/>
      <c r="CH325" s="2" t="n"/>
      <c r="CI325" s="14">
        <f>CJ325&amp;CK325</f>
        <v/>
      </c>
      <c r="CJ325" s="25" t="n"/>
      <c r="CK325" s="25" t="n"/>
      <c r="CL325" s="25" t="n"/>
      <c r="CM325" s="25" t="n"/>
      <c r="CN325" s="25" t="n"/>
      <c r="CO325" s="25" t="n"/>
      <c r="CP325" s="25" t="n"/>
      <c r="CQ325" s="25" t="n"/>
      <c r="CR325" s="25" t="n"/>
      <c r="CS325" s="25" t="n"/>
      <c r="CT325" s="25" t="n"/>
      <c r="CU325" s="25" t="n"/>
      <c r="CV325" s="25" t="n"/>
      <c r="CW325" s="25" t="n"/>
      <c r="CX325" s="25" t="n"/>
      <c r="CY325" s="25" t="n"/>
      <c r="CZ325" s="25" t="n"/>
      <c r="DC325" s="26" t="n"/>
      <c r="DD325" s="26" t="n"/>
      <c r="DE325" s="26" t="n"/>
      <c r="DF325" s="26" t="n"/>
      <c r="DG325" s="26" t="n"/>
      <c r="DH325" s="27" t="n"/>
      <c r="DJ325" s="211" t="inlineStr">
        <is>
          <t>订单表中未找到</t>
        </is>
      </c>
      <c r="DK325" t="inlineStr">
        <is>
          <t>—</t>
        </is>
      </c>
      <c r="DL325" t="inlineStr">
        <is>
          <t>—</t>
        </is>
      </c>
    </row>
    <row r="326" ht="15.75" customHeight="1" s="187">
      <c r="A326" s="84" t="n">
        <v>45953</v>
      </c>
      <c r="B326" s="206" t="inlineStr">
        <is>
          <t>已收货</t>
        </is>
      </c>
      <c r="C326" s="86" t="inlineStr">
        <is>
          <t>4828882933195113032</t>
        </is>
      </c>
      <c r="D326" s="207" t="inlineStr">
        <is>
          <t>黄颖</t>
        </is>
      </c>
      <c r="E326" s="87" t="n"/>
      <c r="F326" s="87" t="n"/>
      <c r="G326" s="207" t="inlineStr">
        <is>
          <t>樱桃木洞石岩板餐桌2025-2米-定制</t>
        </is>
      </c>
      <c r="H326" s="207" t="inlineStr">
        <is>
          <t>樱桃木岩板餐桌2025</t>
        </is>
      </c>
      <c r="I326" s="89" t="inlineStr">
        <is>
          <t>200cm*100cm</t>
        </is>
      </c>
      <c r="J326" s="87" t="inlineStr">
        <is>
          <t>已结算</t>
        </is>
      </c>
      <c r="K326" s="86" t="inlineStr">
        <is>
          <t>庄毅</t>
        </is>
      </c>
      <c r="L326" s="207">
        <f>1480+2*0.85*180+2.5</f>
        <v/>
      </c>
      <c r="M326" s="207">
        <f>1480</f>
        <v/>
      </c>
      <c r="N326" s="207" t="n"/>
      <c r="O326" s="207" t="n"/>
      <c r="P326" s="207" t="n"/>
      <c r="Q326" s="207" t="n"/>
      <c r="R326" s="207">
        <f>2*0.85*180</f>
        <v/>
      </c>
      <c r="S326" s="207" t="n"/>
      <c r="T326" s="207" t="n"/>
      <c r="U326" s="207" t="n"/>
      <c r="V326" s="207" t="n"/>
      <c r="W326" s="207" t="n"/>
      <c r="X326" s="207" t="n"/>
      <c r="Y326" s="207" t="n"/>
      <c r="Z326" s="207" t="n"/>
      <c r="AA326" s="207" t="n"/>
      <c r="AB326" s="207" t="n"/>
      <c r="AC326" s="207" t="n"/>
      <c r="AD326" s="207" t="n">
        <v>2.5</v>
      </c>
      <c r="AE326" s="207" t="n"/>
      <c r="AF326" s="207" t="n"/>
      <c r="AG326" s="207" t="n"/>
      <c r="AH326" s="207" t="n"/>
      <c r="AI326" s="207" t="n"/>
      <c r="AJ326" s="207" t="n"/>
      <c r="AK326" s="207" t="n"/>
      <c r="AL326" s="207" t="n"/>
      <c r="AM326" s="207" t="n"/>
      <c r="AN326" s="207" t="n"/>
      <c r="AO326" s="207" t="n"/>
      <c r="AP326" s="207" t="n">
        <v>232</v>
      </c>
      <c r="AQ326" s="207" t="n">
        <v>0</v>
      </c>
      <c r="AR326" s="207" t="n">
        <v>88</v>
      </c>
      <c r="AS326" s="207" t="n">
        <v>0</v>
      </c>
      <c r="AT326" s="207" t="n">
        <v>0</v>
      </c>
      <c r="AU326" s="207" t="n">
        <v>0</v>
      </c>
      <c r="AV326" s="207" t="n">
        <v>0</v>
      </c>
      <c r="AW326" s="207" t="n">
        <v>0</v>
      </c>
      <c r="AX326" s="208" t="n">
        <v>1</v>
      </c>
      <c r="AY326" s="209">
        <f>L326*AX326+AP326+AQ326+AR326+AV326+AW326+AS326+AT326+AU326</f>
        <v/>
      </c>
      <c r="AZ326" s="207" t="n">
        <v>2240.34</v>
      </c>
      <c r="BA326" s="207" t="n">
        <v>0</v>
      </c>
      <c r="BB326" s="207">
        <f>AZ326*0.006</f>
        <v/>
      </c>
      <c r="BC326" s="209">
        <f>AZ326+BA326-BB326</f>
        <v/>
      </c>
      <c r="BD326" s="207" t="n">
        <v>0</v>
      </c>
      <c r="BE326" s="207" t="n">
        <v>0</v>
      </c>
      <c r="BF326" s="209">
        <f>BD326+BE326</f>
        <v/>
      </c>
      <c r="BG326" s="209">
        <f>BC326-AY326+BF326</f>
        <v/>
      </c>
      <c r="BH326" s="207" t="inlineStr">
        <is>
          <t>黄颖</t>
        </is>
      </c>
      <c r="BI326" s="207" t="inlineStr">
        <is>
          <t>北京 北京市 东城区 天坛街道 天坛府五期1号楼三单元701</t>
        </is>
      </c>
      <c r="BJ326" s="207" t="inlineStr">
        <is>
          <t>18400988570-5195</t>
        </is>
      </c>
      <c r="BK326" s="87" t="n"/>
      <c r="BL326" s="210" t="n"/>
      <c r="BM326" s="93" t="n"/>
      <c r="BN326" s="94" t="n"/>
      <c r="BO326" s="93" t="n"/>
      <c r="BP326" s="86" t="n"/>
      <c r="BQ326" s="96" t="n"/>
      <c r="BR326" s="96" t="n"/>
      <c r="BS326" s="97" t="n"/>
      <c r="BT326" s="96" t="n"/>
      <c r="BU326" s="97" t="n"/>
      <c r="BV326" s="96" t="n"/>
      <c r="BW326" s="97" t="n"/>
      <c r="BX326" s="97" t="n"/>
      <c r="BY326" s="97" t="n"/>
      <c r="BZ326" s="97" t="n"/>
      <c r="CA326" s="98" t="n"/>
      <c r="CH326" s="2" t="n"/>
      <c r="CI326" s="14">
        <f>CJ326&amp;CK326</f>
        <v/>
      </c>
      <c r="CJ326" s="25" t="n"/>
      <c r="CK326" s="25" t="n"/>
      <c r="CL326" s="25" t="n"/>
      <c r="CM326" s="25" t="n"/>
      <c r="CN326" s="25" t="n"/>
      <c r="CO326" s="25" t="n"/>
      <c r="CP326" s="25" t="n"/>
      <c r="CQ326" s="25" t="n"/>
      <c r="CR326" s="25" t="n"/>
      <c r="CS326" s="25" t="n"/>
      <c r="CT326" s="25" t="n"/>
      <c r="CU326" s="25" t="n"/>
      <c r="CV326" s="25" t="n"/>
      <c r="CW326" s="25" t="n"/>
      <c r="CX326" s="25" t="n"/>
      <c r="CY326" s="25" t="n"/>
      <c r="CZ326" s="25" t="n"/>
      <c r="DC326" s="26" t="n"/>
      <c r="DD326" s="26" t="n"/>
      <c r="DE326" s="26" t="n"/>
      <c r="DF326" s="26" t="n"/>
      <c r="DG326" s="26" t="n"/>
      <c r="DH326" s="27" t="n"/>
      <c r="DJ326" s="211" t="inlineStr">
        <is>
          <t>订单表中未找到</t>
        </is>
      </c>
      <c r="DK326" t="inlineStr">
        <is>
          <t>—</t>
        </is>
      </c>
      <c r="DL326" t="inlineStr">
        <is>
          <t>—</t>
        </is>
      </c>
    </row>
    <row r="327" ht="15.75" customHeight="1" s="187">
      <c r="A327" s="84" t="n">
        <v>45953</v>
      </c>
      <c r="B327" s="206" t="inlineStr">
        <is>
          <t>已收货</t>
        </is>
      </c>
      <c r="C327" s="86" t="inlineStr">
        <is>
          <t>4828671614755113032</t>
        </is>
      </c>
      <c r="D327" s="207" t="inlineStr">
        <is>
          <t>黄颖</t>
        </is>
      </c>
      <c r="E327" s="87" t="n"/>
      <c r="F327" s="87" t="n"/>
      <c r="G327" s="207" t="inlineStr">
        <is>
          <t>补差价</t>
        </is>
      </c>
      <c r="H327" s="207" t="inlineStr">
        <is>
          <t>樱桃木岩板餐桌2025</t>
        </is>
      </c>
      <c r="I327" s="89" t="n"/>
      <c r="J327" s="87" t="inlineStr">
        <is>
          <t>已结算</t>
        </is>
      </c>
      <c r="K327" s="86" t="inlineStr">
        <is>
          <t>庄毅</t>
        </is>
      </c>
      <c r="L327" s="207" t="n">
        <v>0</v>
      </c>
      <c r="M327" s="207" t="n">
        <v>0</v>
      </c>
      <c r="N327" s="207" t="n"/>
      <c r="O327" s="207" t="n"/>
      <c r="P327" s="207" t="n"/>
      <c r="Q327" s="207" t="n"/>
      <c r="R327" s="207" t="n"/>
      <c r="S327" s="207" t="n"/>
      <c r="T327" s="207" t="n"/>
      <c r="U327" s="207" t="n"/>
      <c r="V327" s="207" t="n"/>
      <c r="W327" s="207" t="n"/>
      <c r="X327" s="207" t="n"/>
      <c r="Y327" s="207" t="n"/>
      <c r="Z327" s="207" t="n"/>
      <c r="AA327" s="207" t="n"/>
      <c r="AB327" s="207" t="n"/>
      <c r="AC327" s="207" t="n"/>
      <c r="AD327" s="207" t="n">
        <v>2.5</v>
      </c>
      <c r="AE327" s="207" t="n"/>
      <c r="AF327" s="207" t="n"/>
      <c r="AG327" s="207" t="n"/>
      <c r="AH327" s="207" t="n"/>
      <c r="AI327" s="207" t="n"/>
      <c r="AJ327" s="207" t="n"/>
      <c r="AK327" s="207" t="n"/>
      <c r="AL327" s="207" t="n"/>
      <c r="AM327" s="207" t="n"/>
      <c r="AN327" s="207" t="n"/>
      <c r="AO327" s="207" t="n"/>
      <c r="AP327" s="207" t="n">
        <v>0</v>
      </c>
      <c r="AQ327" s="207" t="n">
        <v>0</v>
      </c>
      <c r="AR327" s="207" t="n">
        <v>0</v>
      </c>
      <c r="AS327" s="207" t="n">
        <v>0</v>
      </c>
      <c r="AT327" s="207" t="n">
        <v>0</v>
      </c>
      <c r="AU327" s="207" t="n">
        <v>0</v>
      </c>
      <c r="AV327" s="207" t="n">
        <v>0</v>
      </c>
      <c r="AW327" s="207" t="n">
        <v>0</v>
      </c>
      <c r="AX327" s="208" t="n">
        <v>1</v>
      </c>
      <c r="AY327" s="209">
        <f>L327*AX327+AP327+AQ327+AR327+AV327+AW327+AS327+AT327+AU327</f>
        <v/>
      </c>
      <c r="AZ327" s="207" t="n">
        <v>360</v>
      </c>
      <c r="BA327" s="207" t="n">
        <v>0</v>
      </c>
      <c r="BB327" s="207">
        <f>AZ327*0.006</f>
        <v/>
      </c>
      <c r="BC327" s="209">
        <f>AZ327+BA327-BB327</f>
        <v/>
      </c>
      <c r="BD327" s="207" t="n">
        <v>0</v>
      </c>
      <c r="BE327" s="207" t="n">
        <v>0</v>
      </c>
      <c r="BF327" s="209">
        <f>BD327+BE327</f>
        <v/>
      </c>
      <c r="BG327" s="209">
        <f>BC327-AY327+BF327</f>
        <v/>
      </c>
      <c r="BH327" s="207" t="inlineStr">
        <is>
          <t>黄颖</t>
        </is>
      </c>
      <c r="BI327" s="207" t="inlineStr">
        <is>
          <t>北京 北京市 东城区 天坛街道 天坛府五期1号楼三单元701</t>
        </is>
      </c>
      <c r="BJ327" s="207" t="inlineStr">
        <is>
          <t>18400988570-5195</t>
        </is>
      </c>
      <c r="BK327" s="87" t="n"/>
      <c r="BL327" s="210" t="n"/>
      <c r="BM327" s="93" t="n"/>
      <c r="BN327" s="94" t="n"/>
      <c r="BO327" s="93" t="n"/>
      <c r="BP327" s="86" t="n"/>
      <c r="BQ327" s="96" t="n"/>
      <c r="BR327" s="96" t="n"/>
      <c r="BS327" s="97" t="n"/>
      <c r="BT327" s="96" t="n"/>
      <c r="BU327" s="97" t="n"/>
      <c r="BV327" s="96" t="n"/>
      <c r="BW327" s="97" t="n"/>
      <c r="BX327" s="97" t="n"/>
      <c r="BY327" s="97" t="n"/>
      <c r="BZ327" s="97" t="n"/>
      <c r="CA327" s="98" t="n"/>
      <c r="CH327" s="2" t="n"/>
      <c r="CI327" s="14">
        <f>CJ327&amp;CK327</f>
        <v/>
      </c>
      <c r="CJ327" s="25" t="n"/>
      <c r="CK327" s="25" t="n"/>
      <c r="CL327" s="25" t="n"/>
      <c r="CM327" s="25" t="n"/>
      <c r="CN327" s="25" t="n"/>
      <c r="CO327" s="25" t="n"/>
      <c r="CP327" s="25" t="n"/>
      <c r="CQ327" s="25" t="n"/>
      <c r="CR327" s="25" t="n"/>
      <c r="CS327" s="25" t="n"/>
      <c r="CT327" s="25" t="n"/>
      <c r="CU327" s="25" t="n"/>
      <c r="CV327" s="25" t="n"/>
      <c r="CW327" s="25" t="n"/>
      <c r="CX327" s="25" t="n"/>
      <c r="CY327" s="25" t="n"/>
      <c r="CZ327" s="25" t="n"/>
      <c r="DC327" s="26" t="n"/>
      <c r="DD327" s="26" t="n"/>
      <c r="DE327" s="26" t="n"/>
      <c r="DF327" s="26" t="n"/>
      <c r="DG327" s="26" t="n"/>
      <c r="DH327" s="27" t="n"/>
      <c r="DJ327" s="211" t="inlineStr">
        <is>
          <t>订单表中未找到</t>
        </is>
      </c>
      <c r="DK327" t="inlineStr">
        <is>
          <t>—</t>
        </is>
      </c>
      <c r="DL327" t="inlineStr">
        <is>
          <t>—</t>
        </is>
      </c>
    </row>
    <row r="328" ht="15.75" customHeight="1" s="187">
      <c r="A328" s="84" t="n">
        <v>45953</v>
      </c>
      <c r="B328" s="206" t="inlineStr">
        <is>
          <t>已收货</t>
        </is>
      </c>
      <c r="C328" s="86" t="inlineStr">
        <is>
          <t>4829348592810492434</t>
        </is>
      </c>
      <c r="D328" s="207" t="inlineStr">
        <is>
          <t>袁先生</t>
        </is>
      </c>
      <c r="E328" s="87" t="n"/>
      <c r="F328" s="87" t="n"/>
      <c r="G328" s="87" t="inlineStr">
        <is>
          <t>砂白色1.4米岩板餐桌，定制</t>
        </is>
      </c>
      <c r="H328" s="207" t="inlineStr">
        <is>
          <t>榉木餐桌</t>
        </is>
      </c>
      <c r="I328" s="89" t="inlineStr">
        <is>
          <t>140cm*80cm</t>
        </is>
      </c>
      <c r="J328" s="87" t="inlineStr">
        <is>
          <t>已结算</t>
        </is>
      </c>
      <c r="K328" s="86" t="inlineStr">
        <is>
          <t>庄毅</t>
        </is>
      </c>
      <c r="L328" s="207">
        <f>SUM(M328:AO328)</f>
        <v/>
      </c>
      <c r="M328" s="207">
        <f>1450</f>
        <v/>
      </c>
      <c r="N328" s="207" t="n"/>
      <c r="O328" s="207" t="n"/>
      <c r="P328" s="207" t="n"/>
      <c r="Q328" s="207" t="n"/>
      <c r="R328" s="207">
        <f>180*1.4*0.8</f>
        <v/>
      </c>
      <c r="S328" s="207" t="n"/>
      <c r="T328" s="207" t="n"/>
      <c r="U328" s="207" t="n"/>
      <c r="V328" s="207" t="n"/>
      <c r="W328" s="207" t="n"/>
      <c r="X328" s="207" t="n"/>
      <c r="Y328" s="207" t="n"/>
      <c r="Z328" s="207" t="n"/>
      <c r="AA328" s="207" t="n"/>
      <c r="AB328" s="207" t="n"/>
      <c r="AC328" s="207" t="n"/>
      <c r="AD328" s="207" t="n">
        <v>2.5</v>
      </c>
      <c r="AE328" s="207" t="n"/>
      <c r="AF328" s="207" t="n"/>
      <c r="AG328" s="207" t="n"/>
      <c r="AH328" s="207" t="n"/>
      <c r="AI328" s="207" t="n"/>
      <c r="AJ328" s="207" t="n"/>
      <c r="AK328" s="207" t="n"/>
      <c r="AL328" s="207" t="n"/>
      <c r="AM328" s="207" t="n"/>
      <c r="AN328" s="207" t="n"/>
      <c r="AO328" s="207" t="n"/>
      <c r="AP328" s="207" t="n">
        <v>183</v>
      </c>
      <c r="AQ328" s="207" t="n">
        <v>0</v>
      </c>
      <c r="AR328" s="207" t="n">
        <v>88</v>
      </c>
      <c r="AS328" s="207" t="n">
        <v>0</v>
      </c>
      <c r="AT328" s="207" t="n">
        <v>0</v>
      </c>
      <c r="AU328" s="207" t="n">
        <v>0</v>
      </c>
      <c r="AV328" s="207" t="n">
        <v>0</v>
      </c>
      <c r="AW328" s="207" t="n">
        <v>0</v>
      </c>
      <c r="AX328" s="208" t="n">
        <v>1</v>
      </c>
      <c r="AY328" s="209">
        <f>L328*AX328+AP328+AQ328+AR328+AV328+AW328+AS328+AT328+AU328</f>
        <v/>
      </c>
      <c r="AZ328" s="207" t="n">
        <v>2557.65</v>
      </c>
      <c r="BA328" s="207" t="n">
        <v>0</v>
      </c>
      <c r="BB328" s="207">
        <f>AZ328*0.006</f>
        <v/>
      </c>
      <c r="BC328" s="209">
        <f>AZ328+BA328-BB328</f>
        <v/>
      </c>
      <c r="BD328" s="207" t="n">
        <v>0</v>
      </c>
      <c r="BE328" s="207" t="n">
        <v>0</v>
      </c>
      <c r="BF328" s="209">
        <f>BD328+BE328</f>
        <v/>
      </c>
      <c r="BG328" s="209">
        <f>BC328-AY328+BF328</f>
        <v/>
      </c>
      <c r="BH328" s="207" t="inlineStr">
        <is>
          <t>袁先生</t>
        </is>
      </c>
      <c r="BI328" s="207" t="inlineStr">
        <is>
          <t>广东省 深圳市 罗湖区 翠竹街道益田御龙天地1D3805</t>
        </is>
      </c>
      <c r="BJ328" s="207" t="inlineStr">
        <is>
          <t>13189734574-9832</t>
        </is>
      </c>
      <c r="BK328" s="87" t="n"/>
      <c r="BL328" s="210" t="n"/>
      <c r="BM328" s="93" t="n"/>
      <c r="BN328" s="94" t="n"/>
      <c r="BO328" s="93" t="n"/>
      <c r="BP328" s="86" t="n"/>
      <c r="BQ328" s="96" t="n"/>
      <c r="BR328" s="96" t="n"/>
      <c r="BS328" s="97" t="n"/>
      <c r="BT328" s="96" t="n"/>
      <c r="BU328" s="97" t="n"/>
      <c r="BV328" s="96" t="n"/>
      <c r="BW328" s="97" t="n"/>
      <c r="BX328" s="97" t="n"/>
      <c r="BY328" s="97" t="n"/>
      <c r="BZ328" s="97" t="n"/>
      <c r="CA328" s="98" t="n"/>
      <c r="CH328" s="2" t="n"/>
      <c r="CI328" s="14">
        <f>CJ328&amp;CK328</f>
        <v/>
      </c>
      <c r="CJ328" s="25" t="n"/>
      <c r="CK328" s="25" t="n"/>
      <c r="CL328" s="25" t="n"/>
      <c r="CM328" s="25" t="n"/>
      <c r="CN328" s="25" t="n"/>
      <c r="CO328" s="25" t="n"/>
      <c r="CP328" s="25" t="n"/>
      <c r="CQ328" s="25" t="n"/>
      <c r="CR328" s="25" t="n"/>
      <c r="CS328" s="25" t="n"/>
      <c r="CT328" s="25" t="n"/>
      <c r="CU328" s="25" t="n"/>
      <c r="CV328" s="25" t="n"/>
      <c r="CW328" s="25" t="n"/>
      <c r="CX328" s="25" t="n"/>
      <c r="CY328" s="25" t="n"/>
      <c r="DC328" s="26" t="n"/>
      <c r="DD328" s="26" t="n"/>
      <c r="DE328" s="26" t="n"/>
      <c r="DF328" s="26" t="n"/>
      <c r="DG328" s="26" t="n"/>
      <c r="DH328" s="27" t="n"/>
      <c r="DJ328" s="211" t="inlineStr">
        <is>
          <t>订单表中未找到</t>
        </is>
      </c>
      <c r="DK328" t="inlineStr">
        <is>
          <t>—</t>
        </is>
      </c>
      <c r="DL328" t="inlineStr">
        <is>
          <t>—</t>
        </is>
      </c>
    </row>
    <row r="329" ht="15.75" customHeight="1" s="187">
      <c r="A329" s="84" t="n">
        <v>45953</v>
      </c>
      <c r="B329" s="206" t="inlineStr">
        <is>
          <t>已收货</t>
        </is>
      </c>
      <c r="C329" s="86" t="inlineStr">
        <is>
          <t>3014726916568082291</t>
        </is>
      </c>
      <c r="D329" s="86" t="inlineStr">
        <is>
          <t>陈逸翔</t>
        </is>
      </c>
      <c r="E329" s="87" t="n"/>
      <c r="F329" s="87" t="n"/>
      <c r="G329" s="87" t="inlineStr">
        <is>
          <t>插座</t>
        </is>
      </c>
      <c r="H329" s="207" t="inlineStr">
        <is>
          <t>配件</t>
        </is>
      </c>
      <c r="I329" s="89" t="n"/>
      <c r="J329" s="87" t="inlineStr">
        <is>
          <t>已结算</t>
        </is>
      </c>
      <c r="K329" s="86" t="inlineStr">
        <is>
          <t>其他</t>
        </is>
      </c>
      <c r="L329" s="207" t="n">
        <v>55</v>
      </c>
      <c r="M329" s="207" t="n">
        <v>55</v>
      </c>
      <c r="N329" s="207" t="n"/>
      <c r="O329" s="207" t="n"/>
      <c r="P329" s="207" t="n"/>
      <c r="Q329" s="207" t="n"/>
      <c r="R329" s="207" t="n"/>
      <c r="S329" s="207" t="n"/>
      <c r="T329" s="207" t="n"/>
      <c r="U329" s="207" t="n"/>
      <c r="V329" s="207" t="n"/>
      <c r="W329" s="207" t="n"/>
      <c r="X329" s="207" t="n"/>
      <c r="Y329" s="207" t="n"/>
      <c r="Z329" s="207" t="n"/>
      <c r="AA329" s="207" t="n"/>
      <c r="AB329" s="207" t="n"/>
      <c r="AC329" s="207" t="n"/>
      <c r="AD329" s="207" t="n"/>
      <c r="AE329" s="207" t="n"/>
      <c r="AF329" s="207" t="n"/>
      <c r="AG329" s="207" t="n"/>
      <c r="AH329" s="207" t="n"/>
      <c r="AI329" s="207" t="n"/>
      <c r="AJ329" s="207" t="n"/>
      <c r="AK329" s="207" t="n"/>
      <c r="AL329" s="207" t="n"/>
      <c r="AM329" s="207" t="n"/>
      <c r="AN329" s="207" t="n"/>
      <c r="AO329" s="207" t="n"/>
      <c r="AP329" s="207" t="n">
        <v>8</v>
      </c>
      <c r="AQ329" s="207" t="n">
        <v>0</v>
      </c>
      <c r="AR329" s="207" t="n">
        <v>0</v>
      </c>
      <c r="AS329" s="207" t="n">
        <v>0</v>
      </c>
      <c r="AT329" s="207" t="n">
        <v>0</v>
      </c>
      <c r="AU329" s="207" t="n">
        <v>0</v>
      </c>
      <c r="AV329" s="207" t="n">
        <v>0</v>
      </c>
      <c r="AW329" s="207" t="n">
        <v>0</v>
      </c>
      <c r="AX329" s="208" t="n">
        <v>1</v>
      </c>
      <c r="AY329" s="209">
        <f>L329*AX329+AP329+AQ329+AR329+AV329+AW329+AS329+AT329+AU329</f>
        <v/>
      </c>
      <c r="AZ329" s="207" t="n">
        <v>100</v>
      </c>
      <c r="BA329" s="207" t="n">
        <v>0</v>
      </c>
      <c r="BB329" s="207">
        <f>AZ329*0.006</f>
        <v/>
      </c>
      <c r="BC329" s="209">
        <f>AZ329+BA329-BB329</f>
        <v/>
      </c>
      <c r="BD329" s="207" t="n">
        <v>0</v>
      </c>
      <c r="BE329" s="207" t="n">
        <v>0</v>
      </c>
      <c r="BF329" s="209">
        <f>BD329+BE329</f>
        <v/>
      </c>
      <c r="BG329" s="209">
        <f>BC329-AY329+BF329</f>
        <v/>
      </c>
      <c r="BH329" s="86" t="inlineStr">
        <is>
          <t>陈逸翔</t>
        </is>
      </c>
      <c r="BI329" s="86" t="inlineStr">
        <is>
          <t>浙江省 衢州市 柯城区 白云街道三江东路玉龙湾9幢1单元601</t>
        </is>
      </c>
      <c r="BJ329" s="86" t="inlineStr">
        <is>
          <t>18413211430-1215</t>
        </is>
      </c>
      <c r="BK329" s="87" t="n"/>
      <c r="BL329" s="210" t="n"/>
      <c r="BM329" s="93" t="n"/>
      <c r="BN329" s="94" t="n"/>
      <c r="BO329" s="93" t="n"/>
      <c r="BP329" s="86" t="n"/>
      <c r="BQ329" s="96" t="n"/>
      <c r="BR329" s="96" t="n"/>
      <c r="BS329" s="97" t="n"/>
      <c r="BT329" s="96" t="n"/>
      <c r="BU329" s="97" t="n"/>
      <c r="BV329" s="96" t="n"/>
      <c r="BW329" s="97" t="n"/>
      <c r="BX329" s="97" t="n"/>
      <c r="BY329" s="97" t="n"/>
      <c r="BZ329" s="97" t="n"/>
      <c r="CA329" s="98" t="n"/>
      <c r="CH329" s="2" t="n"/>
      <c r="CI329" s="14">
        <f>CJ329&amp;CK329</f>
        <v/>
      </c>
      <c r="CJ329" s="25" t="n"/>
      <c r="CK329" s="25" t="n"/>
      <c r="CL329" s="25" t="n"/>
      <c r="CM329" s="25" t="n"/>
      <c r="CN329" s="25" t="n"/>
      <c r="CO329" s="25" t="n"/>
      <c r="CP329" s="25" t="n"/>
      <c r="CQ329" s="25" t="n"/>
      <c r="CR329" s="25" t="n"/>
      <c r="CS329" s="25" t="n"/>
      <c r="CT329" s="25" t="n"/>
      <c r="CU329" s="25" t="n"/>
      <c r="CV329" s="25" t="n"/>
      <c r="CW329" s="25" t="n"/>
      <c r="CX329" s="25" t="n"/>
      <c r="CY329" s="25" t="n"/>
      <c r="DC329" s="26" t="n"/>
      <c r="DD329" s="26" t="n"/>
      <c r="DE329" s="26" t="n"/>
      <c r="DF329" s="26" t="n"/>
      <c r="DG329" s="26" t="n"/>
      <c r="DH329" s="27" t="n"/>
      <c r="DJ329" s="211" t="inlineStr">
        <is>
          <t>订单表中未找到</t>
        </is>
      </c>
      <c r="DK329" t="inlineStr">
        <is>
          <t>—</t>
        </is>
      </c>
      <c r="DL329" t="inlineStr">
        <is>
          <t>—</t>
        </is>
      </c>
    </row>
    <row r="330" ht="15.75" customHeight="1" s="187">
      <c r="A330" s="84" t="n">
        <v>45953</v>
      </c>
      <c r="B330" s="206" t="inlineStr">
        <is>
          <t>已收货</t>
        </is>
      </c>
      <c r="C330" s="86" t="inlineStr">
        <is>
          <t>3014620575231372667</t>
        </is>
      </c>
      <c r="D330" s="207" t="inlineStr">
        <is>
          <t>丁旭芝</t>
        </is>
      </c>
      <c r="E330" s="87" t="n"/>
      <c r="F330" s="87" t="n"/>
      <c r="G330" s="207" t="inlineStr">
        <is>
          <t>砂白色1.6米岩板餐桌</t>
        </is>
      </c>
      <c r="H330" s="207" t="inlineStr">
        <is>
          <t>榉木餐桌</t>
        </is>
      </c>
      <c r="I330" s="89" t="inlineStr">
        <is>
          <t>160cm*85cm</t>
        </is>
      </c>
      <c r="J330" s="87" t="inlineStr">
        <is>
          <t>已结算</t>
        </is>
      </c>
      <c r="K330" s="86" t="inlineStr">
        <is>
          <t>庄毅</t>
        </is>
      </c>
      <c r="L330" s="207">
        <f>SUM(M330:AO330)</f>
        <v/>
      </c>
      <c r="M330" s="207">
        <f>1530</f>
        <v/>
      </c>
      <c r="N330" s="207" t="n"/>
      <c r="O330" s="207" t="n"/>
      <c r="P330" s="207" t="n"/>
      <c r="Q330" s="207" t="n"/>
      <c r="R330" s="207">
        <f>180*1.6*0.85</f>
        <v/>
      </c>
      <c r="S330" s="207" t="n"/>
      <c r="T330" s="207" t="n"/>
      <c r="U330" s="207" t="n"/>
      <c r="V330" s="207" t="n"/>
      <c r="W330" s="207" t="n"/>
      <c r="X330" s="207" t="n"/>
      <c r="Y330" s="207" t="n"/>
      <c r="Z330" s="207" t="n"/>
      <c r="AA330" s="207" t="n"/>
      <c r="AB330" s="207" t="n"/>
      <c r="AC330" s="207" t="n"/>
      <c r="AD330" s="207" t="n">
        <v>2.5</v>
      </c>
      <c r="AE330" s="207" t="n"/>
      <c r="AF330" s="207" t="n"/>
      <c r="AG330" s="207" t="n"/>
      <c r="AH330" s="207" t="n"/>
      <c r="AI330" s="207" t="n"/>
      <c r="AJ330" s="207" t="n"/>
      <c r="AK330" s="207" t="n"/>
      <c r="AL330" s="207" t="n"/>
      <c r="AM330" s="207" t="n"/>
      <c r="AN330" s="207" t="n"/>
      <c r="AO330" s="207" t="n"/>
      <c r="AP330" s="207" t="n">
        <v>200</v>
      </c>
      <c r="AQ330" s="207" t="n"/>
      <c r="AR330" s="207" t="n">
        <v>65</v>
      </c>
      <c r="AS330" s="207" t="n">
        <v>0</v>
      </c>
      <c r="AT330" s="207" t="n">
        <v>0</v>
      </c>
      <c r="AU330" s="207" t="n">
        <v>0</v>
      </c>
      <c r="AV330" s="207" t="n">
        <v>0</v>
      </c>
      <c r="AW330" s="207" t="n">
        <v>0</v>
      </c>
      <c r="AX330" s="208" t="n">
        <v>1</v>
      </c>
      <c r="AY330" s="209">
        <f>L330*AX330+AP330+AQ330+AR330+AV330+AW330+AS330+AT330+AU330</f>
        <v/>
      </c>
      <c r="AZ330" s="207" t="n">
        <v>2688.41</v>
      </c>
      <c r="BA330" s="207" t="n">
        <v>0</v>
      </c>
      <c r="BB330" s="207">
        <f>AZ330*0.006</f>
        <v/>
      </c>
      <c r="BC330" s="209">
        <f>AZ330+BA330-BB330</f>
        <v/>
      </c>
      <c r="BD330" s="207" t="n">
        <v>0</v>
      </c>
      <c r="BE330" s="207" t="n">
        <v>0</v>
      </c>
      <c r="BF330" s="209">
        <f>BD330+BE330</f>
        <v/>
      </c>
      <c r="BG330" s="209">
        <f>BC330-AY330+BF330</f>
        <v/>
      </c>
      <c r="BH330" s="86" t="inlineStr">
        <is>
          <t>丁旭芝</t>
        </is>
      </c>
      <c r="BI330" s="86" t="inlineStr">
        <is>
          <t>广东省 潮州市 湘桥区 西新街道建兴街20号建安花园十幢602号</t>
        </is>
      </c>
      <c r="BJ330" s="86" t="inlineStr">
        <is>
          <t>17896683051-2898</t>
        </is>
      </c>
      <c r="BK330" s="87" t="n"/>
      <c r="BL330" s="210" t="n"/>
      <c r="BM330" s="93" t="n"/>
      <c r="BN330" s="94" t="n"/>
      <c r="BO330" s="93" t="n"/>
      <c r="BP330" s="86" t="n"/>
      <c r="BQ330" s="96" t="n"/>
      <c r="BR330" s="96" t="n"/>
      <c r="BS330" s="97" t="n"/>
      <c r="BT330" s="96" t="n"/>
      <c r="BU330" s="97" t="n"/>
      <c r="BV330" s="96" t="n"/>
      <c r="BW330" s="97" t="n"/>
      <c r="BX330" s="97" t="n"/>
      <c r="BY330" s="97" t="n"/>
      <c r="BZ330" s="97" t="n"/>
      <c r="CA330" s="98" t="n"/>
      <c r="CH330" s="2" t="n"/>
      <c r="CI330" s="14">
        <f>CJ330&amp;CK330</f>
        <v/>
      </c>
      <c r="CJ330" s="25" t="n"/>
      <c r="CK330" s="25" t="n"/>
      <c r="CL330" s="25" t="n"/>
      <c r="CM330" s="25" t="n"/>
      <c r="CN330" s="25" t="n"/>
      <c r="CO330" s="25" t="n"/>
      <c r="CP330" s="25" t="n"/>
      <c r="CQ330" s="25" t="n"/>
      <c r="CR330" s="25" t="n"/>
      <c r="CS330" s="25" t="n"/>
      <c r="CT330" s="25" t="n"/>
      <c r="CU330" s="25" t="n"/>
      <c r="CV330" s="25" t="n"/>
      <c r="CW330" s="25" t="n"/>
      <c r="CX330" s="25" t="n"/>
      <c r="CY330" s="25" t="n"/>
      <c r="DC330" s="26" t="n"/>
      <c r="DD330" s="26" t="n"/>
      <c r="DE330" s="26" t="n"/>
      <c r="DF330" s="26" t="n"/>
      <c r="DG330" s="26" t="n"/>
      <c r="DH330" s="27" t="n"/>
      <c r="DJ330" s="211" t="inlineStr">
        <is>
          <t>订单表中未找到</t>
        </is>
      </c>
      <c r="DK330" t="inlineStr">
        <is>
          <t>—</t>
        </is>
      </c>
      <c r="DL330" t="inlineStr">
        <is>
          <t>—</t>
        </is>
      </c>
    </row>
    <row r="331" ht="15.75" customHeight="1" s="187">
      <c r="A331" s="84" t="n">
        <v>45953</v>
      </c>
      <c r="B331" s="206" t="inlineStr">
        <is>
          <t>已收货</t>
        </is>
      </c>
      <c r="C331" s="86" t="inlineStr">
        <is>
          <t>4830191136625573414</t>
        </is>
      </c>
      <c r="D331" s="207" t="inlineStr">
        <is>
          <t>袁丹</t>
        </is>
      </c>
      <c r="E331" s="116" t="inlineStr">
        <is>
          <t>产品成本+抽屉轨道+岩板+洞石背板+铝合金隔板轨道+灯带+电力轨道+打包+玻璃</t>
        </is>
      </c>
      <c r="F331" s="87" t="n"/>
      <c r="G331" s="207" t="inlineStr">
        <is>
          <t>洞石餐边柜定制-1.5米-251023</t>
        </is>
      </c>
      <c r="H331" s="207" t="inlineStr">
        <is>
          <t>洞石餐边柜</t>
        </is>
      </c>
      <c r="I331" s="89" t="n">
        <v>1500</v>
      </c>
      <c r="J331" s="87" t="inlineStr">
        <is>
          <t>已结算</t>
        </is>
      </c>
      <c r="K331" s="86" t="inlineStr">
        <is>
          <t>江西</t>
        </is>
      </c>
      <c r="L331" s="207">
        <f>4500+22*6+520+2040/6/1.5+38*2+52*2+489.08+370+42</f>
        <v/>
      </c>
      <c r="M331" s="207">
        <f>4500</f>
        <v/>
      </c>
      <c r="N331" s="207">
        <f>1.458*260+2*55</f>
        <v/>
      </c>
      <c r="O331" s="207">
        <f>2040/6/1.5</f>
        <v/>
      </c>
      <c r="P331" s="207" t="n"/>
      <c r="Q331" s="207">
        <f>38*2</f>
        <v/>
      </c>
      <c r="R331" s="207" t="n">
        <v>520</v>
      </c>
      <c r="S331" s="207">
        <f>52*2</f>
        <v/>
      </c>
      <c r="T331" s="207" t="n">
        <v>42</v>
      </c>
      <c r="U331" s="207" t="n"/>
      <c r="V331" s="207" t="n"/>
      <c r="W331" s="207" t="n">
        <v>5</v>
      </c>
      <c r="X331" s="207">
        <f>22*6</f>
        <v/>
      </c>
      <c r="Y331" s="207">
        <f>1.1+3.5</f>
        <v/>
      </c>
      <c r="Z331" s="207">
        <f>3.5+14</f>
        <v/>
      </c>
      <c r="AA331" s="207" t="n"/>
      <c r="AB331" s="207" t="n"/>
      <c r="AC331" s="207" t="n">
        <v>7</v>
      </c>
      <c r="AD331" s="207" t="n"/>
      <c r="AE331" s="207" t="n"/>
      <c r="AF331" s="207" t="n"/>
      <c r="AG331" s="207" t="n"/>
      <c r="AH331" s="207" t="n"/>
      <c r="AI331" s="207" t="n"/>
      <c r="AJ331" s="207" t="n"/>
      <c r="AK331" s="207" t="n"/>
      <c r="AL331" s="207" t="n"/>
      <c r="AM331" s="207" t="n">
        <v>370</v>
      </c>
      <c r="AN331" s="207" t="n"/>
      <c r="AO331" s="207" t="n"/>
      <c r="AP331" s="207">
        <f>447-AQ331</f>
        <v/>
      </c>
      <c r="AQ331" s="207" t="n">
        <v>107</v>
      </c>
      <c r="AR331" s="207" t="n">
        <v>98</v>
      </c>
      <c r="AS331" s="207" t="n">
        <v>0</v>
      </c>
      <c r="AT331" s="207" t="n">
        <v>0</v>
      </c>
      <c r="AU331" s="207" t="n">
        <v>0</v>
      </c>
      <c r="AV331" s="207" t="n">
        <v>0</v>
      </c>
      <c r="AW331" s="207" t="n">
        <v>0</v>
      </c>
      <c r="AX331" s="208" t="n">
        <v>1</v>
      </c>
      <c r="AY331" s="209">
        <f>L331*AX331+AP331+AQ331+AR331+AV331+AW331+AS331+AT331+AU331</f>
        <v/>
      </c>
      <c r="AZ331" s="207" t="n">
        <v>9294.870000000001</v>
      </c>
      <c r="BA331" s="207" t="n">
        <v>0</v>
      </c>
      <c r="BB331" s="207">
        <f>AZ331*0.006</f>
        <v/>
      </c>
      <c r="BC331" s="209">
        <f>AZ331+BA331-BB331</f>
        <v/>
      </c>
      <c r="BD331" s="207" t="n">
        <v>0</v>
      </c>
      <c r="BE331" s="207" t="n">
        <v>0</v>
      </c>
      <c r="BF331" s="209">
        <f>BD331+BE331</f>
        <v/>
      </c>
      <c r="BG331" s="209">
        <f>BC331-AY331+BF331</f>
        <v/>
      </c>
      <c r="BH331" s="207" t="inlineStr">
        <is>
          <t>袁丹</t>
        </is>
      </c>
      <c r="BI331" s="207" t="inlineStr">
        <is>
          <t>江苏省 常州市 新北区 三井街道泱境雅园13-甲-1001</t>
        </is>
      </c>
      <c r="BJ331" s="207" t="n">
        <v>13775616190</v>
      </c>
      <c r="BK331" s="87" t="n"/>
      <c r="BL331" s="210" t="n"/>
      <c r="BM331" s="93" t="n"/>
      <c r="BN331" s="94" t="n"/>
      <c r="BO331" s="93" t="n"/>
      <c r="BP331" s="86" t="n"/>
      <c r="BQ331" s="96" t="n"/>
      <c r="BR331" s="96" t="n"/>
      <c r="BS331" s="97" t="n"/>
      <c r="BT331" s="96" t="n"/>
      <c r="BU331" s="97" t="n"/>
      <c r="BV331" s="96" t="n"/>
      <c r="BW331" s="97" t="n"/>
      <c r="BX331" s="97" t="n"/>
      <c r="BY331" s="97" t="n"/>
      <c r="BZ331" s="97" t="n"/>
      <c r="CA331" s="98" t="n"/>
      <c r="CH331" s="2" t="n"/>
      <c r="CI331" s="14">
        <f>CJ331&amp;CK331</f>
        <v/>
      </c>
      <c r="CJ331" s="25" t="n"/>
      <c r="CK331" s="25" t="n"/>
      <c r="CL331" s="25" t="n"/>
      <c r="CM331" s="25" t="n"/>
      <c r="CN331" s="25" t="n"/>
      <c r="CO331" s="25" t="n"/>
      <c r="CP331" s="25" t="n"/>
      <c r="CQ331" s="25" t="n"/>
      <c r="CR331" s="25" t="n"/>
      <c r="CS331" s="25" t="n"/>
      <c r="CT331" s="25" t="n"/>
      <c r="CU331" s="25" t="n"/>
      <c r="CV331" s="25" t="n"/>
      <c r="CW331" s="25" t="n"/>
      <c r="CX331" s="25" t="n"/>
      <c r="CY331" s="25" t="n"/>
      <c r="DC331" s="26" t="n"/>
      <c r="DD331" s="26" t="n"/>
      <c r="DE331" s="26" t="n"/>
      <c r="DF331" s="26" t="n"/>
      <c r="DG331" s="26" t="n"/>
      <c r="DH331" s="27" t="n"/>
      <c r="DJ331" s="211" t="inlineStr">
        <is>
          <t>订单表中未找到</t>
        </is>
      </c>
      <c r="DK331" t="inlineStr">
        <is>
          <t>—</t>
        </is>
      </c>
      <c r="DL331" t="inlineStr">
        <is>
          <t>—</t>
        </is>
      </c>
    </row>
    <row r="332" ht="15.75" customHeight="1" s="187">
      <c r="A332" s="84" t="n">
        <v>45953</v>
      </c>
      <c r="B332" s="206" t="inlineStr">
        <is>
          <t>已收货</t>
        </is>
      </c>
      <c r="C332" s="86" t="inlineStr">
        <is>
          <t>4830150709166573414</t>
        </is>
      </c>
      <c r="D332" s="207" t="inlineStr">
        <is>
          <t>袁丹</t>
        </is>
      </c>
      <c r="E332" s="87" t="n"/>
      <c r="F332" s="87" t="n"/>
      <c r="G332" s="207" t="inlineStr">
        <is>
          <t>补差价</t>
        </is>
      </c>
      <c r="H332" s="207" t="inlineStr">
        <is>
          <t>洞石餐边柜</t>
        </is>
      </c>
      <c r="I332" s="89" t="n"/>
      <c r="J332" s="87" t="inlineStr">
        <is>
          <t>已结算</t>
        </is>
      </c>
      <c r="K332" s="86" t="inlineStr">
        <is>
          <t>江西</t>
        </is>
      </c>
      <c r="L332" s="207" t="n">
        <v>0</v>
      </c>
      <c r="M332" s="207" t="n">
        <v>0</v>
      </c>
      <c r="N332" s="207" t="n"/>
      <c r="O332" s="207" t="n"/>
      <c r="P332" s="207" t="n"/>
      <c r="Q332" s="207" t="n"/>
      <c r="R332" s="207" t="n"/>
      <c r="S332" s="207" t="n"/>
      <c r="T332" s="207" t="n"/>
      <c r="U332" s="207" t="n"/>
      <c r="V332" s="207" t="n"/>
      <c r="W332" s="207" t="n"/>
      <c r="X332" s="207" t="n"/>
      <c r="Y332" s="207" t="n"/>
      <c r="Z332" s="207" t="n"/>
      <c r="AA332" s="207" t="n"/>
      <c r="AB332" s="207" t="n"/>
      <c r="AC332" s="207" t="n"/>
      <c r="AD332" s="207" t="n"/>
      <c r="AE332" s="207" t="n"/>
      <c r="AF332" s="207" t="n"/>
      <c r="AG332" s="207" t="n"/>
      <c r="AH332" s="207" t="n"/>
      <c r="AI332" s="207" t="n"/>
      <c r="AJ332" s="207" t="n"/>
      <c r="AK332" s="207" t="n"/>
      <c r="AL332" s="207" t="n"/>
      <c r="AM332" s="207" t="n"/>
      <c r="AN332" s="207" t="n"/>
      <c r="AO332" s="207" t="n"/>
      <c r="AP332" s="207" t="n">
        <v>0</v>
      </c>
      <c r="AQ332" s="207" t="n">
        <v>0</v>
      </c>
      <c r="AR332" s="207" t="n">
        <v>0</v>
      </c>
      <c r="AS332" s="207" t="n">
        <v>0</v>
      </c>
      <c r="AT332" s="207" t="n">
        <v>0</v>
      </c>
      <c r="AU332" s="207" t="n">
        <v>0</v>
      </c>
      <c r="AV332" s="207" t="n">
        <v>0</v>
      </c>
      <c r="AW332" s="207" t="n">
        <v>0</v>
      </c>
      <c r="AX332" s="208" t="n">
        <v>1</v>
      </c>
      <c r="AY332" s="209">
        <f>L332*AX332+AP332+AQ332+AR332+AV332+AW332+AS332+AT332+AU332</f>
        <v/>
      </c>
      <c r="AZ332" s="207" t="n">
        <v>206</v>
      </c>
      <c r="BA332" s="207" t="n">
        <v>0</v>
      </c>
      <c r="BB332" s="207">
        <f>AZ332*0.006</f>
        <v/>
      </c>
      <c r="BC332" s="209">
        <f>AZ332+BA332-BB332</f>
        <v/>
      </c>
      <c r="BD332" s="207" t="n">
        <v>0</v>
      </c>
      <c r="BE332" s="207" t="n">
        <v>0</v>
      </c>
      <c r="BF332" s="209">
        <f>BD332+BE332</f>
        <v/>
      </c>
      <c r="BG332" s="209">
        <f>BC332-AY332+BF332</f>
        <v/>
      </c>
      <c r="BH332" s="207" t="inlineStr">
        <is>
          <t>袁丹</t>
        </is>
      </c>
      <c r="BI332" s="207" t="inlineStr">
        <is>
          <t>江苏省 常州市 新北区 三井街道泱境雅园13-甲-1001</t>
        </is>
      </c>
      <c r="BJ332" s="207" t="n">
        <v>13775616190</v>
      </c>
      <c r="BK332" s="87" t="n"/>
      <c r="BL332" s="210" t="n"/>
      <c r="BM332" s="93" t="n"/>
      <c r="BN332" s="94" t="n"/>
      <c r="BO332" s="93" t="n"/>
      <c r="BP332" s="86" t="n"/>
      <c r="BQ332" s="96" t="n"/>
      <c r="BR332" s="96" t="n"/>
      <c r="BS332" s="97" t="n"/>
      <c r="BT332" s="96" t="n"/>
      <c r="BU332" s="97" t="n"/>
      <c r="BV332" s="96" t="n"/>
      <c r="BW332" s="97" t="n"/>
      <c r="BX332" s="97" t="n"/>
      <c r="BY332" s="97" t="n"/>
      <c r="BZ332" s="97" t="n"/>
      <c r="CA332" s="98" t="n"/>
      <c r="CH332" s="2" t="n"/>
      <c r="CI332" s="14">
        <f>CJ332&amp;CK332</f>
        <v/>
      </c>
      <c r="CJ332" s="25" t="n"/>
      <c r="CK332" s="25" t="n"/>
      <c r="CL332" s="25" t="n"/>
      <c r="CM332" s="25" t="n"/>
      <c r="CN332" s="25" t="n"/>
      <c r="CO332" s="25" t="n"/>
      <c r="CP332" s="25" t="n"/>
      <c r="CQ332" s="25" t="n"/>
      <c r="CR332" s="25" t="n"/>
      <c r="CS332" s="25" t="n"/>
      <c r="CT332" s="25" t="n"/>
      <c r="CU332" s="25" t="n"/>
      <c r="CV332" s="25" t="n"/>
      <c r="CW332" s="25" t="n"/>
      <c r="CX332" s="25" t="n"/>
      <c r="CY332" s="25" t="n"/>
      <c r="DC332" s="26" t="n"/>
      <c r="DD332" s="26" t="n"/>
      <c r="DE332" s="26" t="n"/>
      <c r="DF332" s="26" t="n"/>
      <c r="DG332" s="26" t="n"/>
      <c r="DH332" s="27" t="n"/>
      <c r="DJ332" s="211" t="inlineStr">
        <is>
          <t>订单表中未找到</t>
        </is>
      </c>
      <c r="DK332" t="inlineStr">
        <is>
          <t>—</t>
        </is>
      </c>
      <c r="DL332" t="inlineStr">
        <is>
          <t>—</t>
        </is>
      </c>
    </row>
    <row r="333" ht="15.75" customHeight="1" s="187">
      <c r="A333" s="84" t="n">
        <v>45953</v>
      </c>
      <c r="B333" s="206" t="inlineStr">
        <is>
          <t>已收货</t>
        </is>
      </c>
      <c r="C333" s="86" t="inlineStr">
        <is>
          <t>4831111585701199506</t>
        </is>
      </c>
      <c r="D333" s="207" t="inlineStr">
        <is>
          <t>曾先生</t>
        </is>
      </c>
      <c r="E333" s="87" t="n"/>
      <c r="F333" s="87" t="n"/>
      <c r="G333" s="207" t="inlineStr">
        <is>
          <t>九斗柜-设备柜</t>
        </is>
      </c>
      <c r="H333" s="207" t="inlineStr">
        <is>
          <t>九斗柜</t>
        </is>
      </c>
      <c r="I333" s="89" t="inlineStr">
        <is>
          <t>180cm*40cm</t>
        </is>
      </c>
      <c r="J333" s="87" t="inlineStr">
        <is>
          <t>已结算</t>
        </is>
      </c>
      <c r="K333" s="86" t="inlineStr">
        <is>
          <t>江西</t>
        </is>
      </c>
      <c r="L333" s="207">
        <f>2700+22*9+180+150+105.2</f>
        <v/>
      </c>
      <c r="M333" s="207">
        <f>2700</f>
        <v/>
      </c>
      <c r="N333" s="207" t="n"/>
      <c r="O333" s="207" t="n">
        <v>180</v>
      </c>
      <c r="P333" s="207" t="n">
        <v>105.2</v>
      </c>
      <c r="Q333" s="207" t="n"/>
      <c r="R333" s="207" t="n"/>
      <c r="S333" s="207" t="n"/>
      <c r="T333" s="207" t="n"/>
      <c r="U333" s="207" t="n"/>
      <c r="V333" s="207" t="n"/>
      <c r="W333" s="207" t="n"/>
      <c r="X333" s="207">
        <f>22*9</f>
        <v/>
      </c>
      <c r="Y333" s="207" t="n"/>
      <c r="Z333" s="207" t="n"/>
      <c r="AA333" s="207" t="n"/>
      <c r="AB333" s="207" t="n"/>
      <c r="AC333" s="207" t="n"/>
      <c r="AD333" s="207" t="n"/>
      <c r="AE333" s="207" t="n"/>
      <c r="AF333" s="207" t="n"/>
      <c r="AG333" s="207" t="n"/>
      <c r="AH333" s="207" t="n"/>
      <c r="AI333" s="207" t="n"/>
      <c r="AJ333" s="207" t="n"/>
      <c r="AK333" s="207" t="n"/>
      <c r="AL333" s="207" t="n"/>
      <c r="AM333" s="207" t="n">
        <v>150</v>
      </c>
      <c r="AN333" s="207" t="n"/>
      <c r="AO333" s="207" t="n"/>
      <c r="AP333" s="207">
        <f>257-AQ333</f>
        <v/>
      </c>
      <c r="AQ333" s="207" t="n">
        <v>40</v>
      </c>
      <c r="AR333" s="207" t="n">
        <v>0</v>
      </c>
      <c r="AS333" s="207" t="n">
        <v>0</v>
      </c>
      <c r="AT333" s="207" t="n">
        <v>0</v>
      </c>
      <c r="AU333" s="207" t="n">
        <v>0</v>
      </c>
      <c r="AV333" s="207" t="n">
        <v>0</v>
      </c>
      <c r="AW333" s="207" t="n">
        <v>30</v>
      </c>
      <c r="AX333" s="208" t="n">
        <v>1</v>
      </c>
      <c r="AY333" s="209">
        <f>L333*AX333+AP333+AQ333+AR333+AV333+AW333+AS333+AT333+AU333</f>
        <v/>
      </c>
      <c r="AZ333" s="207" t="n">
        <v>3699.15</v>
      </c>
      <c r="BA333" s="207" t="n">
        <v>0</v>
      </c>
      <c r="BB333" s="207">
        <f>AZ333*0.006</f>
        <v/>
      </c>
      <c r="BC333" s="209">
        <f>AZ333+BA333-BB333</f>
        <v/>
      </c>
      <c r="BD333" s="207" t="n">
        <v>0</v>
      </c>
      <c r="BE333" s="207" t="n">
        <v>0</v>
      </c>
      <c r="BF333" s="209">
        <f>BD333+BE333</f>
        <v/>
      </c>
      <c r="BG333" s="209">
        <f>BC333-AY333+BF333</f>
        <v/>
      </c>
      <c r="BH333" s="207" t="inlineStr">
        <is>
          <t>曾先生</t>
        </is>
      </c>
      <c r="BI333" s="207" t="inlineStr">
        <is>
          <t>四川省</t>
        </is>
      </c>
      <c r="BJ333" s="207" t="inlineStr">
        <is>
          <t>13140356980-7733</t>
        </is>
      </c>
      <c r="BK333" s="87" t="n"/>
      <c r="BL333" s="210" t="n"/>
      <c r="BM333" s="93" t="n"/>
      <c r="BN333" s="94" t="n"/>
      <c r="BO333" s="93" t="n"/>
      <c r="BP333" s="86" t="n"/>
      <c r="BQ333" s="96" t="n"/>
      <c r="BR333" s="96" t="n"/>
      <c r="BS333" s="97" t="n"/>
      <c r="BT333" s="96" t="n"/>
      <c r="BU333" s="97" t="n"/>
      <c r="BV333" s="96" t="n"/>
      <c r="BW333" s="97" t="n"/>
      <c r="BX333" s="97" t="n"/>
      <c r="BY333" s="97" t="n"/>
      <c r="BZ333" s="97" t="n"/>
      <c r="CA333" s="98" t="n"/>
      <c r="CH333" s="2" t="n"/>
      <c r="CI333" s="14">
        <f>CJ333&amp;CK333</f>
        <v/>
      </c>
      <c r="CJ333" s="25" t="n"/>
      <c r="CK333" s="25" t="n"/>
      <c r="CL333" s="25" t="n"/>
      <c r="CM333" s="25" t="n"/>
      <c r="CN333" s="25" t="n"/>
      <c r="CO333" s="25" t="n"/>
      <c r="CP333" s="25" t="n"/>
      <c r="CQ333" s="25" t="n"/>
      <c r="CR333" s="25" t="n"/>
      <c r="CS333" s="25" t="n"/>
      <c r="CT333" s="25" t="n"/>
      <c r="CU333" s="25" t="n"/>
      <c r="CV333" s="25" t="n"/>
      <c r="CW333" s="25" t="n"/>
      <c r="CX333" s="25" t="n"/>
      <c r="CY333" s="25" t="n"/>
      <c r="DC333" s="26" t="n"/>
      <c r="DD333" s="26" t="n"/>
      <c r="DE333" s="26" t="n"/>
      <c r="DF333" s="26" t="n"/>
      <c r="DG333" s="26" t="n"/>
      <c r="DH333" s="27" t="n"/>
      <c r="DJ333" s="211" t="inlineStr">
        <is>
          <t>订单表中未找到</t>
        </is>
      </c>
      <c r="DK333" t="inlineStr">
        <is>
          <t>—</t>
        </is>
      </c>
      <c r="DL333" t="inlineStr">
        <is>
          <t>—</t>
        </is>
      </c>
    </row>
    <row r="334" ht="15.75" customHeight="1" s="187">
      <c r="A334" s="84" t="n">
        <v>45953</v>
      </c>
      <c r="B334" s="206" t="inlineStr">
        <is>
          <t>已收货</t>
        </is>
      </c>
      <c r="C334" s="86" t="inlineStr">
        <is>
          <t>4831288272671492434</t>
        </is>
      </c>
      <c r="D334" s="86" t="inlineStr">
        <is>
          <t>袁先生</t>
        </is>
      </c>
      <c r="E334" s="87" t="n"/>
      <c r="F334" s="87" t="n"/>
      <c r="G334" s="207" t="inlineStr">
        <is>
          <t>补差价</t>
        </is>
      </c>
      <c r="H334" s="207" t="inlineStr">
        <is>
          <t>榉木餐桌</t>
        </is>
      </c>
      <c r="I334" s="89" t="n"/>
      <c r="J334" s="87" t="inlineStr">
        <is>
          <t>已结算</t>
        </is>
      </c>
      <c r="K334" s="86" t="inlineStr">
        <is>
          <t>庄毅</t>
        </is>
      </c>
      <c r="L334" s="207">
        <f>SUM(M334:AO334)</f>
        <v/>
      </c>
      <c r="M334" s="207" t="n">
        <v>0</v>
      </c>
      <c r="N334" s="207" t="n"/>
      <c r="O334" s="207" t="n"/>
      <c r="P334" s="207" t="n"/>
      <c r="Q334" s="207" t="n"/>
      <c r="R334" s="207" t="n"/>
      <c r="S334" s="207" t="n"/>
      <c r="T334" s="207" t="n"/>
      <c r="U334" s="207" t="n"/>
      <c r="V334" s="207" t="n"/>
      <c r="W334" s="207" t="n"/>
      <c r="X334" s="207" t="n"/>
      <c r="Y334" s="207" t="n"/>
      <c r="Z334" s="207" t="n"/>
      <c r="AA334" s="207" t="n"/>
      <c r="AB334" s="207" t="n"/>
      <c r="AC334" s="207" t="n"/>
      <c r="AD334" s="207" t="n"/>
      <c r="AE334" s="207" t="n"/>
      <c r="AF334" s="207" t="n"/>
      <c r="AG334" s="207" t="n"/>
      <c r="AH334" s="207" t="n"/>
      <c r="AI334" s="207" t="n"/>
      <c r="AJ334" s="207" t="n"/>
      <c r="AK334" s="207" t="n"/>
      <c r="AL334" s="207" t="n"/>
      <c r="AM334" s="207" t="n"/>
      <c r="AN334" s="207" t="n"/>
      <c r="AO334" s="207" t="n"/>
      <c r="AP334" s="207" t="n">
        <v>0</v>
      </c>
      <c r="AQ334" s="207" t="n">
        <v>0</v>
      </c>
      <c r="AR334" s="207" t="n">
        <v>0</v>
      </c>
      <c r="AS334" s="207" t="n">
        <v>0</v>
      </c>
      <c r="AT334" s="207" t="n">
        <v>0</v>
      </c>
      <c r="AU334" s="207" t="n">
        <v>0</v>
      </c>
      <c r="AV334" s="207" t="n">
        <v>0</v>
      </c>
      <c r="AW334" s="207" t="n">
        <v>0</v>
      </c>
      <c r="AX334" s="208" t="n">
        <v>1</v>
      </c>
      <c r="AY334" s="209">
        <f>L334*AX334+AP334+AQ334+AR334+AV334+AW334+AS334+AT334+AU334</f>
        <v/>
      </c>
      <c r="AZ334" s="207" t="n">
        <v>17</v>
      </c>
      <c r="BA334" s="207" t="n">
        <v>0</v>
      </c>
      <c r="BB334" s="207">
        <f>AZ334*0.006</f>
        <v/>
      </c>
      <c r="BC334" s="209">
        <f>AZ334+BA334-BB334</f>
        <v/>
      </c>
      <c r="BD334" s="207" t="n">
        <v>0</v>
      </c>
      <c r="BE334" s="207" t="n">
        <v>0</v>
      </c>
      <c r="BF334" s="209">
        <f>BD334+BE334</f>
        <v/>
      </c>
      <c r="BG334" s="209">
        <f>BC334-AY334+BF334</f>
        <v/>
      </c>
      <c r="BH334" s="86" t="inlineStr">
        <is>
          <t>袁先生</t>
        </is>
      </c>
      <c r="BI334" s="86" t="inlineStr">
        <is>
          <t>广东省 深圳市 罗湖区 翠竹街道益田御龙天地1D3805</t>
        </is>
      </c>
      <c r="BJ334" s="86" t="inlineStr">
        <is>
          <t>13189734574-9832</t>
        </is>
      </c>
      <c r="BK334" s="87" t="n"/>
      <c r="BL334" s="210" t="n"/>
      <c r="BM334" s="93" t="n"/>
      <c r="BN334" s="94" t="n"/>
      <c r="BO334" s="93" t="n"/>
      <c r="BP334" s="86" t="n"/>
      <c r="BQ334" s="96" t="n"/>
      <c r="BR334" s="96" t="n"/>
      <c r="BS334" s="97" t="n"/>
      <c r="BT334" s="96" t="n"/>
      <c r="BU334" s="97" t="n"/>
      <c r="BV334" s="96" t="n"/>
      <c r="BW334" s="97" t="n"/>
      <c r="BX334" s="97" t="n"/>
      <c r="BY334" s="97" t="n"/>
      <c r="BZ334" s="97" t="n"/>
      <c r="CA334" s="98" t="n"/>
      <c r="CH334" s="2" t="n"/>
      <c r="CI334" s="14">
        <f>CJ334&amp;CK334</f>
        <v/>
      </c>
      <c r="CJ334" s="25" t="n"/>
      <c r="CK334" s="25" t="n"/>
      <c r="CL334" s="25" t="n"/>
      <c r="CM334" s="25" t="n"/>
      <c r="CN334" s="25" t="n"/>
      <c r="CO334" s="25" t="n"/>
      <c r="CP334" s="25" t="n"/>
      <c r="CQ334" s="25" t="n"/>
      <c r="CR334" s="25" t="n"/>
      <c r="CS334" s="25" t="n"/>
      <c r="CT334" s="25" t="n"/>
      <c r="CU334" s="25" t="n"/>
      <c r="CV334" s="25" t="n"/>
      <c r="CW334" s="25" t="n"/>
      <c r="CX334" s="25" t="n"/>
      <c r="CY334" s="25" t="n"/>
      <c r="DC334" s="26" t="n"/>
      <c r="DD334" s="26" t="n"/>
      <c r="DE334" s="26" t="n"/>
      <c r="DF334" s="26" t="n"/>
      <c r="DG334" s="26" t="n"/>
      <c r="DH334" s="27" t="n"/>
      <c r="DJ334" s="211" t="inlineStr">
        <is>
          <t>订单表中未找到</t>
        </is>
      </c>
      <c r="DK334" t="inlineStr">
        <is>
          <t>—</t>
        </is>
      </c>
      <c r="DL334" t="inlineStr">
        <is>
          <t>—</t>
        </is>
      </c>
    </row>
    <row r="335" ht="15.75" customHeight="1" s="187">
      <c r="A335" s="84" t="n">
        <v>45953</v>
      </c>
      <c r="B335" s="206" t="inlineStr">
        <is>
          <t>已收货</t>
        </is>
      </c>
      <c r="C335" s="86" t="inlineStr">
        <is>
          <t>4828695519583053214</t>
        </is>
      </c>
      <c r="D335" s="110" t="inlineStr">
        <is>
          <t>周喆浩</t>
        </is>
      </c>
      <c r="E335" s="87" t="n"/>
      <c r="F335" s="87" t="n"/>
      <c r="G335" s="207" t="inlineStr">
        <is>
          <t>样块*2</t>
        </is>
      </c>
      <c r="H335" s="130" t="inlineStr">
        <is>
          <t>样块</t>
        </is>
      </c>
      <c r="I335" s="89" t="n"/>
      <c r="J335" s="87" t="inlineStr">
        <is>
          <t>已结算</t>
        </is>
      </c>
      <c r="K335" s="86" t="inlineStr">
        <is>
          <t>杭州</t>
        </is>
      </c>
      <c r="L335" s="207">
        <f>SUM(M335:AO335)</f>
        <v/>
      </c>
      <c r="M335" s="207" t="n">
        <v>10</v>
      </c>
      <c r="N335" s="207" t="n"/>
      <c r="O335" s="207" t="n"/>
      <c r="P335" s="207" t="n"/>
      <c r="Q335" s="207" t="n"/>
      <c r="R335" s="207" t="n"/>
      <c r="S335" s="207" t="n"/>
      <c r="T335" s="207" t="n"/>
      <c r="U335" s="207" t="n"/>
      <c r="V335" s="207" t="n"/>
      <c r="W335" s="207" t="n"/>
      <c r="X335" s="207" t="n"/>
      <c r="Y335" s="207" t="n"/>
      <c r="Z335" s="207" t="n"/>
      <c r="AA335" s="207" t="n"/>
      <c r="AB335" s="207" t="n"/>
      <c r="AC335" s="207" t="n"/>
      <c r="AD335" s="207" t="n"/>
      <c r="AE335" s="207" t="n"/>
      <c r="AF335" s="207" t="n"/>
      <c r="AG335" s="207" t="n"/>
      <c r="AH335" s="207" t="n"/>
      <c r="AI335" s="207" t="n"/>
      <c r="AJ335" s="207" t="n"/>
      <c r="AK335" s="207" t="n"/>
      <c r="AL335" s="207" t="n"/>
      <c r="AM335" s="207" t="n">
        <v>2</v>
      </c>
      <c r="AN335" s="207" t="n"/>
      <c r="AO335" s="207" t="n"/>
      <c r="AP335" s="207" t="n">
        <v>5</v>
      </c>
      <c r="AQ335" s="207" t="n">
        <v>0</v>
      </c>
      <c r="AR335" s="207" t="n">
        <v>0</v>
      </c>
      <c r="AS335" s="207" t="n">
        <v>0</v>
      </c>
      <c r="AT335" s="207" t="n">
        <v>0</v>
      </c>
      <c r="AU335" s="207" t="n">
        <v>0</v>
      </c>
      <c r="AV335" s="207" t="n">
        <v>0</v>
      </c>
      <c r="AW335" s="207" t="n">
        <v>0</v>
      </c>
      <c r="AX335" s="208" t="n">
        <v>1</v>
      </c>
      <c r="AY335" s="209">
        <f>L335*AX335+AP335+AQ335+AR335+AV335+AW335+AS335+AT335+AU335</f>
        <v/>
      </c>
      <c r="AZ335" s="207" t="n">
        <v>42.4</v>
      </c>
      <c r="BA335" s="207" t="n">
        <v>0</v>
      </c>
      <c r="BB335" s="207">
        <f>AZ335*0.006</f>
        <v/>
      </c>
      <c r="BC335" s="209">
        <f>AZ335+BA335-BB335</f>
        <v/>
      </c>
      <c r="BD335" s="207" t="n">
        <v>0</v>
      </c>
      <c r="BE335" s="207" t="n">
        <v>0</v>
      </c>
      <c r="BF335" s="209">
        <f>BD335+BE335</f>
        <v/>
      </c>
      <c r="BG335" s="209">
        <f>BC335-AY335+BF335</f>
        <v/>
      </c>
      <c r="BH335" s="86" t="inlineStr">
        <is>
          <t>周喆浩</t>
        </is>
      </c>
      <c r="BI335" s="86" t="inlineStr">
        <is>
          <t>上海 上海市 浦东新区 唐镇万嘉欣苑17号楼804(送货上门)</t>
        </is>
      </c>
      <c r="BJ335" s="86" t="inlineStr">
        <is>
          <t>18466942030-2701</t>
        </is>
      </c>
      <c r="BK335" s="86" t="n"/>
      <c r="BL335" s="210" t="n"/>
      <c r="BM335" s="93" t="n"/>
      <c r="BN335" s="94" t="n"/>
      <c r="BO335" s="93" t="n"/>
      <c r="BP335" s="86" t="n"/>
      <c r="BQ335" s="96" t="n"/>
      <c r="BR335" s="96" t="n"/>
      <c r="BS335" s="97" t="n"/>
      <c r="BT335" s="96" t="n"/>
      <c r="BU335" s="97" t="n"/>
      <c r="BV335" s="96" t="n"/>
      <c r="BW335" s="97" t="n"/>
      <c r="BX335" s="97" t="n"/>
      <c r="BY335" s="97" t="n"/>
      <c r="BZ335" s="97" t="n"/>
      <c r="CH335" s="2" t="n"/>
      <c r="CI335" s="14" t="n"/>
      <c r="CJ335" s="25" t="n"/>
      <c r="CK335" s="25" t="n"/>
      <c r="CL335" s="25" t="n"/>
      <c r="CM335" s="25" t="n"/>
      <c r="CN335" s="25" t="n"/>
      <c r="CO335" s="25" t="n"/>
      <c r="CP335" s="25" t="n"/>
      <c r="CQ335" s="25" t="n"/>
      <c r="CR335" s="25" t="n"/>
      <c r="CS335" s="25" t="n"/>
      <c r="CT335" s="25" t="n"/>
      <c r="CU335" s="25" t="n"/>
      <c r="CV335" s="25" t="n"/>
      <c r="CW335" s="25" t="n"/>
      <c r="CX335" s="25" t="n"/>
      <c r="CY335" s="25" t="n"/>
      <c r="DC335" s="26" t="n"/>
      <c r="DD335" s="26" t="n"/>
      <c r="DE335" s="26" t="n"/>
      <c r="DF335" s="26" t="n"/>
      <c r="DG335" s="26" t="n"/>
      <c r="DH335" s="27" t="n"/>
      <c r="DJ335" s="211" t="inlineStr">
        <is>
          <t>订单表中未找到</t>
        </is>
      </c>
      <c r="DK335" t="inlineStr">
        <is>
          <t>—</t>
        </is>
      </c>
      <c r="DL335" t="inlineStr">
        <is>
          <t>—</t>
        </is>
      </c>
    </row>
    <row r="336" ht="15.75" customHeight="1" s="187">
      <c r="A336" s="84" t="n">
        <v>45954</v>
      </c>
      <c r="B336" s="206" t="inlineStr">
        <is>
          <t>已收货</t>
        </is>
      </c>
      <c r="C336" s="86" t="inlineStr">
        <is>
          <t>4831772869641170608</t>
        </is>
      </c>
      <c r="D336" s="86" t="inlineStr">
        <is>
          <t>林先生</t>
        </is>
      </c>
      <c r="E336" s="87" t="n"/>
      <c r="F336" s="87" t="n"/>
      <c r="G336" s="87" t="inlineStr">
        <is>
          <t>样块</t>
        </is>
      </c>
      <c r="H336" s="130" t="inlineStr">
        <is>
          <t>样块</t>
        </is>
      </c>
      <c r="I336" s="89" t="n"/>
      <c r="J336" s="87" t="inlineStr">
        <is>
          <t>已结算</t>
        </is>
      </c>
      <c r="K336" s="86" t="inlineStr">
        <is>
          <t>杭州</t>
        </is>
      </c>
      <c r="L336" s="207">
        <f>SUM(M336:AO336)</f>
        <v/>
      </c>
      <c r="M336" s="207" t="n">
        <v>5</v>
      </c>
      <c r="N336" s="207" t="n"/>
      <c r="O336" s="207" t="n"/>
      <c r="P336" s="207" t="n"/>
      <c r="Q336" s="207" t="n"/>
      <c r="R336" s="207" t="n"/>
      <c r="S336" s="207" t="n"/>
      <c r="T336" s="207" t="n"/>
      <c r="U336" s="207" t="n"/>
      <c r="V336" s="207" t="n"/>
      <c r="W336" s="207" t="n"/>
      <c r="X336" s="207" t="n"/>
      <c r="Y336" s="207" t="n"/>
      <c r="Z336" s="207" t="n"/>
      <c r="AA336" s="207" t="n"/>
      <c r="AB336" s="207" t="n"/>
      <c r="AC336" s="207" t="n"/>
      <c r="AD336" s="207" t="n"/>
      <c r="AE336" s="207" t="n"/>
      <c r="AF336" s="207" t="n"/>
      <c r="AG336" s="207" t="n"/>
      <c r="AH336" s="207" t="n"/>
      <c r="AI336" s="207" t="n"/>
      <c r="AJ336" s="207" t="n"/>
      <c r="AK336" s="207" t="n"/>
      <c r="AL336" s="207" t="n"/>
      <c r="AM336" s="207" t="n">
        <v>2</v>
      </c>
      <c r="AN336" s="207" t="n"/>
      <c r="AO336" s="207" t="n"/>
      <c r="AP336" s="207" t="n">
        <v>5</v>
      </c>
      <c r="AQ336" s="207" t="n">
        <v>0</v>
      </c>
      <c r="AR336" s="207" t="n">
        <v>0</v>
      </c>
      <c r="AS336" s="207" t="n">
        <v>0</v>
      </c>
      <c r="AT336" s="207" t="n">
        <v>0</v>
      </c>
      <c r="AU336" s="207" t="n">
        <v>0</v>
      </c>
      <c r="AV336" s="207" t="n">
        <v>0</v>
      </c>
      <c r="AW336" s="207" t="n">
        <v>0</v>
      </c>
      <c r="AX336" s="208" t="n">
        <v>1</v>
      </c>
      <c r="AY336" s="209">
        <f>L336*AX336+AP336+AQ336+AR336+AV336+AW336+AS336+AT336+AU336</f>
        <v/>
      </c>
      <c r="AZ336" s="207" t="n">
        <v>16.2</v>
      </c>
      <c r="BA336" s="207" t="n">
        <v>0</v>
      </c>
      <c r="BB336" s="207">
        <f>AZ336*0.006</f>
        <v/>
      </c>
      <c r="BC336" s="209">
        <f>AZ336+BA336-BB336</f>
        <v/>
      </c>
      <c r="BD336" s="207" t="n">
        <v>0</v>
      </c>
      <c r="BE336" s="207" t="n">
        <v>0</v>
      </c>
      <c r="BF336" s="209">
        <f>BD336+BE336</f>
        <v/>
      </c>
      <c r="BG336" s="209">
        <f>BC336-AY336+BF336</f>
        <v/>
      </c>
      <c r="BH336" s="86" t="inlineStr">
        <is>
          <t>林先生</t>
        </is>
      </c>
      <c r="BI336" s="86" t="inlineStr">
        <is>
          <t>广东省 广州市 番禺区 南村镇广州雅居乐花园一尺山居20栋1903房</t>
        </is>
      </c>
      <c r="BJ336" s="86" t="inlineStr">
        <is>
          <t>18466126756-5859</t>
        </is>
      </c>
      <c r="BK336" s="86" t="n"/>
      <c r="BL336" s="210" t="n"/>
      <c r="BM336" s="93" t="n"/>
      <c r="BN336" s="94" t="n"/>
      <c r="BO336" s="93" t="n"/>
      <c r="BP336" s="86" t="n"/>
      <c r="BQ336" s="96" t="n"/>
      <c r="BR336" s="96" t="n"/>
      <c r="BS336" s="97" t="n"/>
      <c r="BT336" s="96" t="n"/>
      <c r="BU336" s="97" t="n"/>
      <c r="BV336" s="96" t="n"/>
      <c r="BW336" s="97" t="n"/>
      <c r="BX336" s="97" t="n"/>
      <c r="BY336" s="97" t="n"/>
      <c r="BZ336" s="97" t="n"/>
      <c r="CH336" s="2" t="n"/>
      <c r="CI336" s="14" t="n"/>
      <c r="CJ336" s="25" t="n"/>
      <c r="CK336" s="25" t="n"/>
      <c r="CL336" s="25" t="n"/>
      <c r="CM336" s="25" t="n"/>
      <c r="CN336" s="25" t="n"/>
      <c r="CO336" s="25" t="n"/>
      <c r="CP336" s="25" t="n"/>
      <c r="CQ336" s="25" t="n"/>
      <c r="CR336" s="25" t="n"/>
      <c r="CS336" s="25" t="n"/>
      <c r="CT336" s="25" t="n"/>
      <c r="CU336" s="25" t="n"/>
      <c r="CV336" s="25" t="n"/>
      <c r="CW336" s="25" t="n"/>
      <c r="CX336" s="25" t="n"/>
      <c r="CY336" s="25" t="n"/>
      <c r="DC336" s="26" t="n"/>
      <c r="DD336" s="26" t="n"/>
      <c r="DE336" s="26" t="n"/>
      <c r="DF336" s="26" t="n"/>
      <c r="DG336" s="26" t="n"/>
      <c r="DH336" s="27" t="n"/>
      <c r="DJ336" s="211" t="inlineStr">
        <is>
          <t>订单表中未找到</t>
        </is>
      </c>
      <c r="DK336" t="inlineStr">
        <is>
          <t>—</t>
        </is>
      </c>
      <c r="DL336" t="inlineStr">
        <is>
          <t>—</t>
        </is>
      </c>
    </row>
    <row r="337" ht="15.75" customHeight="1" s="187">
      <c r="A337" s="84" t="n">
        <v>45954</v>
      </c>
      <c r="B337" s="206" t="inlineStr">
        <is>
          <t>已收货</t>
        </is>
      </c>
      <c r="C337" s="86" t="inlineStr">
        <is>
          <t>3017278813822624661</t>
        </is>
      </c>
      <c r="D337" s="86" t="inlineStr">
        <is>
          <t>李绮</t>
        </is>
      </c>
      <c r="E337" s="87" t="n"/>
      <c r="F337" s="87" t="n"/>
      <c r="G337" s="87" t="inlineStr">
        <is>
          <t>砂白色1.8米岩板餐桌，自己安装</t>
        </is>
      </c>
      <c r="H337" s="207" t="inlineStr">
        <is>
          <t>榉木餐桌</t>
        </is>
      </c>
      <c r="I337" s="89" t="inlineStr">
        <is>
          <t>180cm*85cm</t>
        </is>
      </c>
      <c r="J337" s="87" t="inlineStr">
        <is>
          <t>已结算</t>
        </is>
      </c>
      <c r="K337" s="86" t="inlineStr">
        <is>
          <t>江西</t>
        </is>
      </c>
      <c r="L337" s="207">
        <f>SUM(M337:AO337)</f>
        <v/>
      </c>
      <c r="M337" s="207">
        <f>1500</f>
        <v/>
      </c>
      <c r="N337" s="207" t="n"/>
      <c r="O337" s="207" t="n"/>
      <c r="P337" s="207" t="n"/>
      <c r="Q337" s="207" t="n"/>
      <c r="R337" s="207" t="n">
        <v>240</v>
      </c>
      <c r="S337" s="207" t="n"/>
      <c r="T337" s="207" t="n"/>
      <c r="U337" s="207" t="n"/>
      <c r="V337" s="207" t="n"/>
      <c r="W337" s="207" t="n"/>
      <c r="X337" s="207" t="n"/>
      <c r="Y337" s="207" t="n"/>
      <c r="Z337" s="207" t="n"/>
      <c r="AA337" s="207" t="n"/>
      <c r="AB337" s="207" t="n"/>
      <c r="AC337" s="207" t="n"/>
      <c r="AD337" s="207" t="n">
        <v>2.5</v>
      </c>
      <c r="AE337" s="207" t="n"/>
      <c r="AF337" s="207" t="n"/>
      <c r="AG337" s="207" t="n"/>
      <c r="AH337" s="207" t="n"/>
      <c r="AI337" s="207" t="n"/>
      <c r="AJ337" s="207" t="n"/>
      <c r="AK337" s="207" t="n"/>
      <c r="AL337" s="207" t="n"/>
      <c r="AM337" s="207" t="n">
        <v>80</v>
      </c>
      <c r="AN337" s="207" t="n"/>
      <c r="AO337" s="207" t="n"/>
      <c r="AP337" s="207" t="n">
        <v>100</v>
      </c>
      <c r="AQ337" s="207" t="n">
        <v>0</v>
      </c>
      <c r="AR337" s="207" t="n">
        <v>0</v>
      </c>
      <c r="AS337" s="207" t="n">
        <v>0</v>
      </c>
      <c r="AT337" s="207" t="n">
        <v>0</v>
      </c>
      <c r="AU337" s="207" t="n">
        <v>0</v>
      </c>
      <c r="AV337" s="207" t="n">
        <v>0</v>
      </c>
      <c r="AW337" s="207" t="n">
        <v>0</v>
      </c>
      <c r="AX337" s="208" t="n">
        <v>1</v>
      </c>
      <c r="AY337" s="209">
        <f>L337*AX337+AP337+AQ337+AR337+AV337+AW337+AS337+AT337+AU337</f>
        <v/>
      </c>
      <c r="AZ337" s="207" t="n">
        <v>2789.6</v>
      </c>
      <c r="BA337" s="207" t="n">
        <v>0</v>
      </c>
      <c r="BB337" s="207">
        <f>AZ337*0.006</f>
        <v/>
      </c>
      <c r="BC337" s="209">
        <f>AZ337+BA337-BB337</f>
        <v/>
      </c>
      <c r="BD337" s="207" t="n">
        <v>0</v>
      </c>
      <c r="BE337" s="207" t="n">
        <v>0</v>
      </c>
      <c r="BF337" s="209">
        <f>BD337+BE337</f>
        <v/>
      </c>
      <c r="BG337" s="209">
        <f>BC337-AY337+BF337</f>
        <v/>
      </c>
      <c r="BH337" s="86" t="inlineStr">
        <is>
          <t>李绮</t>
        </is>
      </c>
      <c r="BI337" s="86" t="inlineStr">
        <is>
          <t>上海上海市长宁区周家桥街道武夷路718弄1号404</t>
        </is>
      </c>
      <c r="BJ337" s="86" t="inlineStr">
        <is>
          <t>13162802424-3232</t>
        </is>
      </c>
      <c r="BK337" s="86" t="n"/>
      <c r="BL337" s="210" t="n"/>
      <c r="BM337" s="93" t="n"/>
      <c r="BN337" s="94" t="n"/>
      <c r="BO337" s="93" t="n"/>
      <c r="BP337" s="86" t="n"/>
      <c r="BQ337" s="96" t="n"/>
      <c r="BR337" s="96" t="n"/>
      <c r="BS337" s="97" t="n"/>
      <c r="BT337" s="96" t="n"/>
      <c r="BU337" s="97" t="n"/>
      <c r="BV337" s="96" t="n"/>
      <c r="BW337" s="97" t="n"/>
      <c r="BX337" s="97" t="n"/>
      <c r="BY337" s="97" t="n"/>
      <c r="BZ337" s="97" t="n"/>
      <c r="CH337" s="2" t="n"/>
      <c r="CI337" s="14" t="n"/>
      <c r="CJ337" s="25" t="n"/>
      <c r="CK337" s="25" t="n"/>
      <c r="CL337" s="25" t="n"/>
      <c r="CM337" s="25" t="n"/>
      <c r="CN337" s="25" t="n"/>
      <c r="CO337" s="25" t="n"/>
      <c r="CP337" s="25" t="n"/>
      <c r="CQ337" s="25" t="n"/>
      <c r="CR337" s="25" t="n"/>
      <c r="CS337" s="25" t="n"/>
      <c r="CT337" s="25" t="n"/>
      <c r="CU337" s="25" t="n"/>
      <c r="CV337" s="25" t="n"/>
      <c r="CW337" s="25" t="n"/>
      <c r="CX337" s="25" t="n"/>
      <c r="CY337" s="25" t="n"/>
      <c r="DC337" s="26" t="n"/>
      <c r="DD337" s="26" t="n"/>
      <c r="DE337" s="26" t="n"/>
      <c r="DF337" s="26" t="n"/>
      <c r="DG337" s="26" t="n"/>
      <c r="DH337" s="27" t="n"/>
      <c r="DJ337" s="211" t="inlineStr">
        <is>
          <t>订单表中未找到</t>
        </is>
      </c>
      <c r="DK337" t="inlineStr">
        <is>
          <t>—</t>
        </is>
      </c>
      <c r="DL337" t="inlineStr">
        <is>
          <t>—</t>
        </is>
      </c>
    </row>
    <row r="338" ht="15.75" customHeight="1" s="187">
      <c r="A338" s="84" t="n">
        <v>45954</v>
      </c>
      <c r="B338" s="206" t="inlineStr">
        <is>
          <t>已收货</t>
        </is>
      </c>
      <c r="C338" s="86" t="inlineStr">
        <is>
          <t>3016793965259618396</t>
        </is>
      </c>
      <c r="D338" s="86" t="inlineStr">
        <is>
          <t>尹鑫</t>
        </is>
      </c>
      <c r="E338" s="87" t="n"/>
      <c r="F338" s="87" t="n"/>
      <c r="G338" s="207" t="inlineStr">
        <is>
          <t>补差价</t>
        </is>
      </c>
      <c r="H338" s="87" t="inlineStr">
        <is>
          <t>旋转餐边柜</t>
        </is>
      </c>
      <c r="I338" s="89" t="n"/>
      <c r="J338" s="87" t="inlineStr">
        <is>
          <t>已结算</t>
        </is>
      </c>
      <c r="K338" s="86" t="inlineStr">
        <is>
          <t>江西</t>
        </is>
      </c>
      <c r="L338" s="207">
        <f>SUM(M338:AM338)</f>
        <v/>
      </c>
      <c r="M338" s="207">
        <f>5800</f>
        <v/>
      </c>
      <c r="N338" s="207" t="n"/>
      <c r="O338" s="207" t="n"/>
      <c r="P338" s="207" t="n"/>
      <c r="Q338" s="207" t="n"/>
      <c r="R338" s="207" t="n"/>
      <c r="S338" s="207" t="n"/>
      <c r="T338" s="207" t="n"/>
      <c r="U338" s="207" t="n"/>
      <c r="V338" s="207" t="n"/>
      <c r="W338" s="207" t="n"/>
      <c r="X338" s="207" t="n"/>
      <c r="Y338" s="207" t="n"/>
      <c r="Z338" s="207" t="n"/>
      <c r="AA338" s="207" t="n"/>
      <c r="AB338" s="207" t="n"/>
      <c r="AC338" s="207" t="n"/>
      <c r="AD338" s="207" t="n"/>
      <c r="AE338" s="207" t="n"/>
      <c r="AF338" s="207" t="n"/>
      <c r="AG338" s="207" t="n"/>
      <c r="AH338" s="207" t="n"/>
      <c r="AI338" s="207" t="n"/>
      <c r="AJ338" s="207" t="n"/>
      <c r="AK338" s="207" t="n"/>
      <c r="AL338" s="207" t="n"/>
      <c r="AM338" s="207" t="n">
        <v>530</v>
      </c>
      <c r="AN338" s="207" t="n"/>
      <c r="AO338" s="207" t="n"/>
      <c r="AP338" s="207">
        <f>990-AQ338</f>
        <v/>
      </c>
      <c r="AQ338" s="207" t="n">
        <v>138</v>
      </c>
      <c r="AR338" s="207" t="n">
        <v>200</v>
      </c>
      <c r="AS338" s="207" t="n">
        <v>0</v>
      </c>
      <c r="AT338" s="207" t="n">
        <v>0</v>
      </c>
      <c r="AU338" s="207" t="n">
        <v>0</v>
      </c>
      <c r="AV338" s="207" t="n">
        <v>0</v>
      </c>
      <c r="AW338" s="207" t="n">
        <v>0</v>
      </c>
      <c r="AX338" s="208" t="n">
        <v>1</v>
      </c>
      <c r="AY338" s="209">
        <f>L338*AX338+AP338+AQ338+AR338+AV338+AW338+AS338+AT338+AU338</f>
        <v/>
      </c>
      <c r="AZ338" s="207" t="n">
        <v>5431.85</v>
      </c>
      <c r="BA338" s="207" t="n">
        <v>0</v>
      </c>
      <c r="BB338" s="207">
        <f>AZ338*0.006</f>
        <v/>
      </c>
      <c r="BC338" s="209">
        <f>AZ338+BA338-BB338</f>
        <v/>
      </c>
      <c r="BD338" s="207" t="n">
        <v>0</v>
      </c>
      <c r="BE338" s="207" t="n">
        <v>0</v>
      </c>
      <c r="BF338" s="209">
        <f>BD338+BE338</f>
        <v/>
      </c>
      <c r="BG338" s="209">
        <f>BC338-AY338+BF338</f>
        <v/>
      </c>
      <c r="BH338" s="86" t="inlineStr">
        <is>
          <t>尹鑫</t>
        </is>
      </c>
      <c r="BI338" s="86" t="inlineStr">
        <is>
          <t>四川省 宜宾市 长宁县 长宁镇恒润领御 5 栋 9-3</t>
        </is>
      </c>
      <c r="BJ338" s="86" t="inlineStr">
        <is>
          <t>13042355180-8211</t>
        </is>
      </c>
      <c r="BK338" s="87" t="n"/>
      <c r="BL338" s="210" t="n"/>
      <c r="BM338" s="93" t="n"/>
      <c r="BN338" s="94" t="n"/>
      <c r="BO338" s="93" t="n"/>
      <c r="BP338" s="86" t="n"/>
      <c r="BQ338" s="96" t="n"/>
      <c r="BR338" s="96" t="n"/>
      <c r="BS338" s="97" t="n"/>
      <c r="BT338" s="96" t="n"/>
      <c r="BU338" s="97" t="n"/>
      <c r="BV338" s="96" t="n"/>
      <c r="BW338" s="97" t="n"/>
      <c r="BX338" s="97" t="n"/>
      <c r="BY338" s="97" t="n"/>
      <c r="BZ338" s="97" t="n"/>
      <c r="CA338" s="98" t="n"/>
      <c r="CH338" s="2" t="n"/>
      <c r="CI338" s="14">
        <f>CJ338&amp;CK338</f>
        <v/>
      </c>
      <c r="CJ338" s="25" t="n"/>
      <c r="CK338" s="25" t="n"/>
      <c r="CL338" s="25" t="n"/>
      <c r="CM338" s="25" t="n"/>
      <c r="CN338" s="25" t="n"/>
      <c r="CO338" s="25" t="n"/>
      <c r="CP338" s="25" t="n"/>
      <c r="CQ338" s="25" t="n"/>
      <c r="CR338" s="25" t="n"/>
      <c r="CS338" s="25" t="n"/>
      <c r="CT338" s="25" t="n"/>
      <c r="CU338" s="25" t="n"/>
      <c r="CV338" s="25" t="n"/>
      <c r="CW338" s="25" t="n"/>
      <c r="CX338" s="25" t="n"/>
      <c r="CY338" s="25" t="n"/>
      <c r="DC338" s="26" t="n"/>
      <c r="DD338" s="26" t="n"/>
      <c r="DE338" s="26" t="n"/>
      <c r="DF338" s="26" t="n"/>
      <c r="DG338" s="26" t="n"/>
      <c r="DH338" s="27" t="n"/>
      <c r="DJ338" s="211" t="inlineStr">
        <is>
          <t>订单表中未找到</t>
        </is>
      </c>
      <c r="DK338" t="inlineStr">
        <is>
          <t>—</t>
        </is>
      </c>
      <c r="DL338" t="inlineStr">
        <is>
          <t>—</t>
        </is>
      </c>
    </row>
    <row r="339" ht="15.75" customHeight="1" s="187">
      <c r="A339" s="84" t="n">
        <v>45954</v>
      </c>
      <c r="B339" s="206" t="inlineStr">
        <is>
          <t>已收货</t>
        </is>
      </c>
      <c r="C339" s="86" t="inlineStr">
        <is>
          <t>3016837633122618396</t>
        </is>
      </c>
      <c r="D339" s="86" t="inlineStr">
        <is>
          <t>尹鑫</t>
        </is>
      </c>
      <c r="E339" s="87" t="n"/>
      <c r="F339" s="87" t="n"/>
      <c r="G339" s="207" t="inlineStr">
        <is>
          <t>定制1.95旋转柜</t>
        </is>
      </c>
      <c r="H339" s="87" t="inlineStr">
        <is>
          <t>旋转餐边柜</t>
        </is>
      </c>
      <c r="I339" s="89" t="n">
        <v>1950</v>
      </c>
      <c r="J339" s="87" t="inlineStr">
        <is>
          <t>已结算</t>
        </is>
      </c>
      <c r="K339" s="86" t="inlineStr">
        <is>
          <t>江西</t>
        </is>
      </c>
      <c r="L339" s="207" t="n">
        <v>0</v>
      </c>
      <c r="M339" s="207" t="n">
        <v>0</v>
      </c>
      <c r="N339" s="207" t="n"/>
      <c r="O339" s="207" t="n"/>
      <c r="P339" s="207" t="n"/>
      <c r="Q339" s="207" t="n"/>
      <c r="R339" s="207" t="n"/>
      <c r="S339" s="207" t="n"/>
      <c r="T339" s="207" t="n"/>
      <c r="U339" s="207" t="n"/>
      <c r="V339" s="207" t="n"/>
      <c r="W339" s="207" t="n"/>
      <c r="X339" s="207" t="n"/>
      <c r="Y339" s="207" t="n"/>
      <c r="Z339" s="207" t="n"/>
      <c r="AA339" s="207" t="n"/>
      <c r="AB339" s="207" t="n"/>
      <c r="AC339" s="207" t="n"/>
      <c r="AD339" s="207" t="n"/>
      <c r="AE339" s="207" t="n"/>
      <c r="AF339" s="207" t="n"/>
      <c r="AG339" s="207" t="n"/>
      <c r="AH339" s="207" t="n"/>
      <c r="AI339" s="207" t="n"/>
      <c r="AJ339" s="207" t="n"/>
      <c r="AK339" s="207" t="n"/>
      <c r="AL339" s="207" t="n"/>
      <c r="AM339" s="207" t="n"/>
      <c r="AN339" s="207" t="n"/>
      <c r="AO339" s="207" t="n"/>
      <c r="AP339" s="207" t="n">
        <v>0</v>
      </c>
      <c r="AQ339" s="207" t="n">
        <v>0</v>
      </c>
      <c r="AR339" s="207" t="n">
        <v>0</v>
      </c>
      <c r="AS339" s="207" t="n">
        <v>0</v>
      </c>
      <c r="AT339" s="207" t="n">
        <v>0</v>
      </c>
      <c r="AU339" s="207" t="n">
        <v>0</v>
      </c>
      <c r="AV339" s="207" t="n">
        <v>0</v>
      </c>
      <c r="AW339" s="207" t="n">
        <v>0</v>
      </c>
      <c r="AX339" s="208" t="n">
        <v>1</v>
      </c>
      <c r="AY339" s="209">
        <f>L339*AX339+AP339+AQ339+AR339+AV339+AW339+AS339+AT339+AU339</f>
        <v/>
      </c>
      <c r="AZ339" s="207" t="n">
        <v>5436.85</v>
      </c>
      <c r="BA339" s="207" t="n">
        <v>0</v>
      </c>
      <c r="BB339" s="207">
        <f>AZ339*0.006</f>
        <v/>
      </c>
      <c r="BC339" s="209">
        <f>AZ339+BA339-BB339</f>
        <v/>
      </c>
      <c r="BD339" s="207" t="n">
        <v>0</v>
      </c>
      <c r="BE339" s="207" t="n">
        <v>0</v>
      </c>
      <c r="BF339" s="209">
        <f>BD339+BE339</f>
        <v/>
      </c>
      <c r="BG339" s="209">
        <f>BC339-AY339+BF339</f>
        <v/>
      </c>
      <c r="BH339" s="207" t="inlineStr">
        <is>
          <t>尹鑫</t>
        </is>
      </c>
      <c r="BI339" s="207" t="inlineStr">
        <is>
          <t>四川省 宜宾市 长宁县 长宁镇恒润领御 5 栋 9-3</t>
        </is>
      </c>
      <c r="BJ339" s="207" t="inlineStr">
        <is>
          <t>13042355180-8211</t>
        </is>
      </c>
      <c r="BK339" s="87" t="n"/>
      <c r="BL339" s="210" t="n"/>
      <c r="BM339" s="93" t="n"/>
      <c r="BN339" s="94" t="n"/>
      <c r="BO339" s="93" t="n"/>
      <c r="BP339" s="86" t="n"/>
      <c r="BQ339" s="96" t="n"/>
      <c r="BR339" s="96" t="n"/>
      <c r="BS339" s="97" t="n"/>
      <c r="BT339" s="96" t="n"/>
      <c r="BU339" s="97" t="n"/>
      <c r="BV339" s="96" t="n"/>
      <c r="BW339" s="97" t="n"/>
      <c r="BX339" s="97" t="n"/>
      <c r="BY339" s="97" t="n"/>
      <c r="BZ339" s="97" t="n"/>
      <c r="CA339" s="98" t="n"/>
      <c r="CH339" s="2" t="n"/>
      <c r="CI339" s="14">
        <f>CJ339&amp;CK339</f>
        <v/>
      </c>
      <c r="CJ339" s="25" t="n"/>
      <c r="CK339" s="25" t="n"/>
      <c r="CL339" s="25" t="n"/>
      <c r="CM339" s="25" t="n"/>
      <c r="CN339" s="25" t="n"/>
      <c r="CO339" s="25" t="n"/>
      <c r="CP339" s="25" t="n"/>
      <c r="CQ339" s="25" t="n"/>
      <c r="CR339" s="25" t="n"/>
      <c r="CS339" s="25" t="n"/>
      <c r="CT339" s="25" t="n"/>
      <c r="CU339" s="25" t="n"/>
      <c r="CV339" s="25" t="n"/>
      <c r="CW339" s="25" t="n"/>
      <c r="CX339" s="25" t="n"/>
      <c r="CY339" s="25" t="n"/>
      <c r="DC339" s="26" t="n"/>
      <c r="DD339" s="26" t="n"/>
      <c r="DE339" s="26" t="n"/>
      <c r="DF339" s="26" t="n"/>
      <c r="DG339" s="26" t="n"/>
      <c r="DH339" s="27" t="n"/>
      <c r="DJ339" s="211" t="inlineStr">
        <is>
          <t>订单表中未找到</t>
        </is>
      </c>
      <c r="DK339" t="inlineStr">
        <is>
          <t>—</t>
        </is>
      </c>
      <c r="DL339" t="inlineStr">
        <is>
          <t>—</t>
        </is>
      </c>
    </row>
    <row r="340" ht="15.75" customHeight="1" s="187">
      <c r="A340" s="84" t="n">
        <v>45954</v>
      </c>
      <c r="B340" s="206" t="inlineStr">
        <is>
          <t>已收货</t>
        </is>
      </c>
      <c r="C340" s="86" t="inlineStr">
        <is>
          <t>3016879862979415756</t>
        </is>
      </c>
      <c r="D340" s="86" t="inlineStr">
        <is>
          <t>冯莹欣</t>
        </is>
      </c>
      <c r="E340" s="87" t="n"/>
      <c r="F340" s="87" t="n"/>
      <c r="G340" s="87" t="inlineStr">
        <is>
          <t>2.1榉木柜</t>
        </is>
      </c>
      <c r="H340" s="207" t="inlineStr">
        <is>
          <t>榉木餐边柜</t>
        </is>
      </c>
      <c r="I340" s="89" t="n">
        <v>2100</v>
      </c>
      <c r="J340" s="87" t="inlineStr">
        <is>
          <t>已结算</t>
        </is>
      </c>
      <c r="K340" s="86" t="inlineStr">
        <is>
          <t>江西</t>
        </is>
      </c>
      <c r="L340" s="207">
        <f>4300+320+22*5+1225+228+300+48+46+8+20</f>
        <v/>
      </c>
      <c r="M340" s="207">
        <f>4300</f>
        <v/>
      </c>
      <c r="N340" s="207" t="n">
        <v>320</v>
      </c>
      <c r="O340" s="207" t="inlineStr">
        <is>
          <t>22*5</t>
        </is>
      </c>
      <c r="P340" s="207" t="n">
        <v>1225</v>
      </c>
      <c r="Q340" s="207" t="n"/>
      <c r="R340" s="207" t="n">
        <v>228</v>
      </c>
      <c r="S340" s="207" t="n">
        <v>300</v>
      </c>
      <c r="T340" s="207" t="n">
        <v>48</v>
      </c>
      <c r="U340" s="207" t="n"/>
      <c r="V340" s="207" t="n"/>
      <c r="W340" s="207" t="n">
        <v>46</v>
      </c>
      <c r="X340" s="207" t="n">
        <v>8</v>
      </c>
      <c r="Y340" s="207" t="n">
        <v>20</v>
      </c>
      <c r="Z340" s="207" t="n"/>
      <c r="AA340" s="207" t="n"/>
      <c r="AB340" s="207" t="n"/>
      <c r="AC340" s="207" t="n"/>
      <c r="AD340" s="207" t="n"/>
      <c r="AE340" s="207" t="n"/>
      <c r="AF340" s="207" t="n"/>
      <c r="AG340" s="207" t="n"/>
      <c r="AH340" s="207" t="n"/>
      <c r="AI340" s="207" t="n"/>
      <c r="AJ340" s="207" t="n"/>
      <c r="AK340" s="207" t="n"/>
      <c r="AL340" s="207" t="n"/>
      <c r="AM340" s="207" t="n">
        <v>300</v>
      </c>
      <c r="AN340" s="207" t="n"/>
      <c r="AO340" s="207" t="n"/>
      <c r="AP340" s="207">
        <f>511-AQ340</f>
        <v/>
      </c>
      <c r="AQ340" s="207" t="n">
        <v>107</v>
      </c>
      <c r="AR340" s="207" t="n">
        <v>120</v>
      </c>
      <c r="AS340" s="207" t="n">
        <v>0</v>
      </c>
      <c r="AT340" s="207" t="n">
        <v>0</v>
      </c>
      <c r="AU340" s="207" t="n">
        <v>0</v>
      </c>
      <c r="AV340" s="207" t="n">
        <v>0</v>
      </c>
      <c r="AW340" s="207" t="n">
        <v>0</v>
      </c>
      <c r="AX340" s="208" t="n">
        <v>1</v>
      </c>
      <c r="AY340" s="209">
        <f>L340*AX340+AP340+AQ340+AR340+AV340+AW340+AS340+AT340+AU340</f>
        <v/>
      </c>
      <c r="AZ340" s="207" t="n">
        <v>8040.12</v>
      </c>
      <c r="BA340" s="207" t="n">
        <v>0</v>
      </c>
      <c r="BB340" s="207">
        <f>AZ340*0.006</f>
        <v/>
      </c>
      <c r="BC340" s="209">
        <f>AZ340+BA340-BB340</f>
        <v/>
      </c>
      <c r="BD340" s="207" t="n">
        <v>0</v>
      </c>
      <c r="BE340" s="207" t="n">
        <v>0</v>
      </c>
      <c r="BF340" s="209">
        <f>BD340+BE340</f>
        <v/>
      </c>
      <c r="BG340" s="209">
        <f>BC340-AY340+BF340</f>
        <v/>
      </c>
      <c r="BH340" s="86" t="inlineStr">
        <is>
          <t>冯莹欣</t>
        </is>
      </c>
      <c r="BI340" s="86" t="inlineStr">
        <is>
          <t>福建省 宁德市 蕉城区 金涵畲族乡绿城·天湖明月8栋1单元203</t>
        </is>
      </c>
      <c r="BJ340" s="86" t="inlineStr">
        <is>
          <t>18480100090-4901</t>
        </is>
      </c>
      <c r="BK340" s="87" t="n"/>
      <c r="BL340" s="210" t="n"/>
      <c r="BM340" s="93" t="n"/>
      <c r="BN340" s="94" t="n"/>
      <c r="BO340" s="93" t="n"/>
      <c r="BP340" s="86" t="n"/>
      <c r="BQ340" s="96" t="n"/>
      <c r="BR340" s="96" t="n"/>
      <c r="BS340" s="97" t="n"/>
      <c r="BT340" s="96" t="n"/>
      <c r="BU340" s="97" t="n"/>
      <c r="BV340" s="96" t="n"/>
      <c r="BW340" s="97" t="n"/>
      <c r="BX340" s="97" t="n"/>
      <c r="BY340" s="97" t="n"/>
      <c r="BZ340" s="97" t="n"/>
      <c r="CA340" s="98" t="n"/>
      <c r="CH340" s="2" t="n"/>
      <c r="CI340" s="14">
        <f>CJ340&amp;CK340</f>
        <v/>
      </c>
      <c r="CJ340" s="25" t="n"/>
      <c r="CK340" s="25" t="n"/>
      <c r="CL340" s="25" t="n"/>
      <c r="CM340" s="25" t="n"/>
      <c r="CN340" s="25" t="n"/>
      <c r="CO340" s="25" t="n"/>
      <c r="CP340" s="25" t="n"/>
      <c r="CQ340" s="25" t="n"/>
      <c r="CR340" s="25" t="n"/>
      <c r="CS340" s="25" t="n"/>
      <c r="CT340" s="25" t="n"/>
      <c r="CU340" s="25" t="n"/>
      <c r="CV340" s="25" t="n"/>
      <c r="CW340" s="25" t="n"/>
      <c r="CX340" s="25" t="n"/>
      <c r="CY340" s="25" t="n"/>
      <c r="DC340" s="26" t="n"/>
      <c r="DD340" s="26" t="n"/>
      <c r="DE340" s="26" t="n"/>
      <c r="DF340" s="26" t="n"/>
      <c r="DG340" s="26" t="n"/>
      <c r="DH340" s="27" t="n"/>
      <c r="DJ340" s="211" t="inlineStr">
        <is>
          <t>订单表中未找到</t>
        </is>
      </c>
      <c r="DK340" t="inlineStr">
        <is>
          <t>—</t>
        </is>
      </c>
      <c r="DL340" t="inlineStr">
        <is>
          <t>—</t>
        </is>
      </c>
    </row>
    <row r="341" ht="15.75" customHeight="1" s="187">
      <c r="A341" s="84" t="n">
        <v>45954</v>
      </c>
      <c r="B341" s="206" t="inlineStr">
        <is>
          <t>已收货</t>
        </is>
      </c>
      <c r="C341" s="86" t="inlineStr">
        <is>
          <t>3017497226906174293</t>
        </is>
      </c>
      <c r="D341" s="86" t="inlineStr">
        <is>
          <t>微微笑</t>
        </is>
      </c>
      <c r="E341" s="87" t="inlineStr">
        <is>
          <t>产品成本+配件（连接片+铁销）+悬浮五金+玻璃把手+抽屉轨道+洞洞板+打包+玻璃+电力轨道+岩板</t>
        </is>
      </c>
      <c r="F341" s="87" t="n"/>
      <c r="G341" s="207" t="inlineStr">
        <is>
          <t>2.1柜+1.6单腿</t>
        </is>
      </c>
      <c r="H341" s="87" t="inlineStr">
        <is>
          <t>旋转餐边柜</t>
        </is>
      </c>
      <c r="I341" s="89" t="n">
        <v>2100</v>
      </c>
      <c r="J341" s="87" t="inlineStr">
        <is>
          <t>已结算</t>
        </is>
      </c>
      <c r="K341" s="86" t="inlineStr">
        <is>
          <t>江西</t>
        </is>
      </c>
      <c r="L341" s="207">
        <f>SUM(M341:AM341)</f>
        <v/>
      </c>
      <c r="M341" s="207">
        <f>5700</f>
        <v/>
      </c>
      <c r="N341" s="207" t="n"/>
      <c r="O341" s="207" t="n"/>
      <c r="P341" s="207" t="n"/>
      <c r="Q341" s="207" t="n"/>
      <c r="R341" s="207" t="n"/>
      <c r="S341" s="207" t="n"/>
      <c r="T341" s="207" t="n"/>
      <c r="U341" s="207" t="n"/>
      <c r="V341" s="207" t="n"/>
      <c r="W341" s="207" t="n"/>
      <c r="X341" s="207" t="n"/>
      <c r="Y341" s="207" t="n"/>
      <c r="Z341" s="207" t="n"/>
      <c r="AA341" s="207" t="n"/>
      <c r="AB341" s="207" t="n"/>
      <c r="AC341" s="207" t="n"/>
      <c r="AD341" s="207" t="n"/>
      <c r="AE341" s="207" t="n"/>
      <c r="AF341" s="207" t="n"/>
      <c r="AG341" s="207" t="n"/>
      <c r="AH341" s="207" t="n"/>
      <c r="AI341" s="207" t="n"/>
      <c r="AJ341" s="207" t="n"/>
      <c r="AK341" s="207" t="n"/>
      <c r="AL341" s="207" t="n"/>
      <c r="AM341" s="207" t="n">
        <v>550</v>
      </c>
      <c r="AN341" s="207" t="n"/>
      <c r="AO341" s="207" t="n"/>
      <c r="AP341" s="207">
        <f>1248+70-AQ341</f>
        <v/>
      </c>
      <c r="AQ341" s="207" t="n">
        <v>140</v>
      </c>
      <c r="AR341" s="207" t="n">
        <v>178</v>
      </c>
      <c r="AS341" s="207" t="n">
        <v>0</v>
      </c>
      <c r="AT341" s="207" t="n">
        <v>0</v>
      </c>
      <c r="AU341" s="207" t="n">
        <v>0</v>
      </c>
      <c r="AV341" s="207" t="n">
        <v>0</v>
      </c>
      <c r="AW341" s="207" t="n">
        <v>0</v>
      </c>
      <c r="AX341" s="208" t="n">
        <v>1</v>
      </c>
      <c r="AY341" s="209">
        <f>L341*AX341+AP341+AQ341+AR341+AV341+AW341+AS341+AT341+AU341</f>
        <v/>
      </c>
      <c r="AZ341" s="207" t="n">
        <v>10552.29</v>
      </c>
      <c r="BA341" s="207" t="n">
        <v>0</v>
      </c>
      <c r="BB341" s="207">
        <f>AZ341*0.006</f>
        <v/>
      </c>
      <c r="BC341" s="209">
        <f>AZ341+BA341-BB341</f>
        <v/>
      </c>
      <c r="BD341" s="207" t="n">
        <v>0</v>
      </c>
      <c r="BE341" s="207" t="n">
        <v>0</v>
      </c>
      <c r="BF341" s="209">
        <f>BD341+BE341</f>
        <v/>
      </c>
      <c r="BG341" s="209">
        <f>BC341-AY341+BF341</f>
        <v/>
      </c>
      <c r="BH341" s="207" t="inlineStr">
        <is>
          <t>微微笑</t>
        </is>
      </c>
      <c r="BI341" s="207" t="inlineStr">
        <is>
          <t>吉林省 长春市 南关区 盛世街道华惠路 国信御湖公馆东区41栋3单元206 送货上门</t>
        </is>
      </c>
      <c r="BJ341" s="207" t="inlineStr">
        <is>
          <t>15780623109-9815</t>
        </is>
      </c>
      <c r="BK341" s="87" t="n"/>
      <c r="BL341" s="210" t="n"/>
      <c r="BM341" s="93" t="n"/>
      <c r="BN341" s="94" t="n"/>
      <c r="BO341" s="93" t="n"/>
      <c r="BP341" s="86" t="n"/>
      <c r="BQ341" s="96" t="n"/>
      <c r="BR341" s="96" t="n"/>
      <c r="BS341" s="97" t="n"/>
      <c r="BT341" s="96" t="n"/>
      <c r="BU341" s="97" t="n"/>
      <c r="BV341" s="96" t="n"/>
      <c r="BW341" s="97" t="n"/>
      <c r="BX341" s="97" t="n"/>
      <c r="BY341" s="97" t="n"/>
      <c r="BZ341" s="97" t="n"/>
      <c r="CA341" s="98" t="n"/>
      <c r="CH341" s="2" t="n"/>
      <c r="CI341" s="14">
        <f>CJ341&amp;CK341</f>
        <v/>
      </c>
      <c r="CJ341" s="25" t="n"/>
      <c r="CK341" s="25" t="n"/>
      <c r="CL341" s="25" t="n"/>
      <c r="CM341" s="25" t="n"/>
      <c r="CN341" s="25" t="n"/>
      <c r="CO341" s="25" t="n"/>
      <c r="CP341" s="25" t="n"/>
      <c r="CQ341" s="25" t="n"/>
      <c r="CR341" s="25" t="n"/>
      <c r="CS341" s="25" t="n"/>
      <c r="CT341" s="25" t="n"/>
      <c r="CU341" s="25" t="n"/>
      <c r="CV341" s="25" t="n"/>
      <c r="CW341" s="25" t="n"/>
      <c r="CX341" s="25" t="n"/>
      <c r="CY341" s="25" t="n"/>
      <c r="DC341" s="26" t="n"/>
      <c r="DD341" s="26" t="n"/>
      <c r="DE341" s="26" t="n"/>
      <c r="DF341" s="26" t="n"/>
      <c r="DG341" s="26" t="n"/>
      <c r="DH341" s="27" t="n"/>
      <c r="DJ341" s="211" t="inlineStr">
        <is>
          <t>订单表中未找到</t>
        </is>
      </c>
      <c r="DK341" t="inlineStr">
        <is>
          <t>—</t>
        </is>
      </c>
      <c r="DL341" t="inlineStr">
        <is>
          <t>—</t>
        </is>
      </c>
    </row>
    <row r="342" ht="15.75" customHeight="1" s="187">
      <c r="A342" s="84" t="n">
        <v>45954</v>
      </c>
      <c r="B342" s="206" t="inlineStr">
        <is>
          <t>已收货</t>
        </is>
      </c>
      <c r="C342" s="86" t="inlineStr">
        <is>
          <t>4832796711733483440</t>
        </is>
      </c>
      <c r="D342" s="207" t="inlineStr">
        <is>
          <t>刘女士</t>
        </is>
      </c>
      <c r="E342" s="87" t="n"/>
      <c r="F342" s="87" t="n"/>
      <c r="G342" s="207" t="inlineStr">
        <is>
          <t>洞石整柜2.1米（全景组合）（全景抽屉+玻璃移门+开门）</t>
        </is>
      </c>
      <c r="H342" s="207" t="inlineStr">
        <is>
          <t>洞石餐边柜</t>
        </is>
      </c>
      <c r="I342" s="89" t="n">
        <v>2100</v>
      </c>
      <c r="J342" s="87" t="inlineStr">
        <is>
          <t>已结算</t>
        </is>
      </c>
      <c r="K342" s="86" t="inlineStr">
        <is>
          <t>庄毅</t>
        </is>
      </c>
      <c r="L342" s="207">
        <f>5960+45*2+2040/6/1.5+76+2.1*0.58*160+(2.1+0.5*2)*60+10+20+501.08+10+40+14+657.08</f>
        <v/>
      </c>
      <c r="M342" s="207">
        <f>5960</f>
        <v/>
      </c>
      <c r="N342" s="207" t="n"/>
      <c r="O342" s="207">
        <f>2040/6/1.5</f>
        <v/>
      </c>
      <c r="P342" s="207" t="n">
        <v>76</v>
      </c>
      <c r="Q342" s="207">
        <f>45*2</f>
        <v/>
      </c>
      <c r="R342" s="207">
        <f>2.1*0.58*160+(2.1+0.5*2)*60+30</f>
        <v/>
      </c>
      <c r="S342" s="207" t="n"/>
      <c r="T342" s="207" t="n">
        <v>10</v>
      </c>
      <c r="U342" s="207" t="n"/>
      <c r="V342" s="207" t="n"/>
      <c r="W342" s="207" t="n">
        <v>20</v>
      </c>
      <c r="X342" s="207" t="n">
        <v>501.08</v>
      </c>
      <c r="Y342" s="207" t="n">
        <v>10</v>
      </c>
      <c r="Z342" s="207" t="n">
        <v>40</v>
      </c>
      <c r="AA342" s="207" t="n"/>
      <c r="AB342" s="207" t="n"/>
      <c r="AC342" s="207" t="n"/>
      <c r="AD342" s="207" t="n">
        <v>657.08</v>
      </c>
      <c r="AE342" s="207" t="n">
        <v>14</v>
      </c>
      <c r="AF342" s="207" t="n">
        <v>14</v>
      </c>
      <c r="AG342" s="207" t="n"/>
      <c r="AH342" s="207" t="n"/>
      <c r="AI342" s="207" t="n"/>
      <c r="AJ342" s="207" t="n">
        <v>657.08</v>
      </c>
      <c r="AK342" s="207" t="n"/>
      <c r="AL342" s="207" t="n"/>
      <c r="AM342" s="207" t="n"/>
      <c r="AN342" s="207" t="n"/>
      <c r="AO342" s="207" t="n"/>
      <c r="AP342" s="207" t="n">
        <v>2194</v>
      </c>
      <c r="AQ342" s="207" t="n">
        <v>0</v>
      </c>
      <c r="AR342" s="207" t="n">
        <v>139</v>
      </c>
      <c r="AS342" s="207" t="n">
        <v>0</v>
      </c>
      <c r="AT342" s="207" t="n">
        <v>298</v>
      </c>
      <c r="AU342" s="207" t="n">
        <v>0</v>
      </c>
      <c r="AV342" s="207" t="n">
        <v>0</v>
      </c>
      <c r="AW342" s="207" t="n">
        <v>50</v>
      </c>
      <c r="AX342" s="208" t="n">
        <v>1</v>
      </c>
      <c r="AY342" s="209">
        <f>L342*AX342+AP342+AQ342+AR342+AV342+AW342+AS342+AT342+AU342</f>
        <v/>
      </c>
      <c r="AZ342" s="207" t="n">
        <v>10645.59</v>
      </c>
      <c r="BA342" s="207" t="n">
        <v>0</v>
      </c>
      <c r="BB342" s="207">
        <f>AZ342*0.006</f>
        <v/>
      </c>
      <c r="BC342" s="209">
        <f>AZ342+BA342-BB342</f>
        <v/>
      </c>
      <c r="BD342" s="207" t="n">
        <v>298</v>
      </c>
      <c r="BE342" s="207" t="n">
        <v>0</v>
      </c>
      <c r="BF342" s="209">
        <f>BD342+BE342</f>
        <v/>
      </c>
      <c r="BG342" s="209">
        <f>BC342-AY342+BF342</f>
        <v/>
      </c>
      <c r="BH342" s="207" t="inlineStr">
        <is>
          <t>刘女士</t>
        </is>
      </c>
      <c r="BI342" s="207" t="inlineStr">
        <is>
          <t>甘肃省</t>
        </is>
      </c>
      <c r="BJ342" s="207" t="inlineStr">
        <is>
          <t>15784010367-4055</t>
        </is>
      </c>
      <c r="BK342" s="87" t="n"/>
      <c r="BL342" s="210" t="n"/>
      <c r="BM342" s="93" t="n"/>
      <c r="BN342" s="94" t="n"/>
      <c r="BO342" s="93" t="n"/>
      <c r="BP342" s="86" t="n"/>
      <c r="BQ342" s="96" t="n"/>
      <c r="BR342" s="96" t="n"/>
      <c r="BS342" s="97" t="n"/>
      <c r="BT342" s="96" t="n"/>
      <c r="BU342" s="97" t="n"/>
      <c r="BV342" s="96" t="n"/>
      <c r="BW342" s="97" t="n"/>
      <c r="BX342" s="97" t="n"/>
      <c r="BY342" s="97" t="n"/>
      <c r="BZ342" s="97" t="n"/>
      <c r="CA342" s="98" t="n"/>
      <c r="CH342" s="2" t="n"/>
      <c r="CI342" s="14">
        <f>CJ342&amp;CK342</f>
        <v/>
      </c>
      <c r="CJ342" s="25" t="n"/>
      <c r="CK342" s="25" t="n"/>
      <c r="CL342" s="25" t="n"/>
      <c r="CM342" s="25" t="n"/>
      <c r="CN342" s="25" t="n"/>
      <c r="CO342" s="25" t="n"/>
      <c r="CP342" s="25" t="n"/>
      <c r="CQ342" s="25" t="n"/>
      <c r="CR342" s="25" t="n"/>
      <c r="CS342" s="25" t="n"/>
      <c r="CT342" s="25" t="n"/>
      <c r="CU342" s="25" t="n"/>
      <c r="CV342" s="25" t="n"/>
      <c r="CW342" s="25" t="n"/>
      <c r="CX342" s="25" t="n"/>
      <c r="CY342" s="25" t="n"/>
      <c r="DC342" s="26" t="n"/>
      <c r="DD342" s="26" t="n"/>
      <c r="DE342" s="26" t="n"/>
      <c r="DF342" s="26" t="n"/>
      <c r="DG342" s="26" t="n"/>
      <c r="DH342" s="27" t="n"/>
      <c r="DJ342" s="211" t="inlineStr">
        <is>
          <t>订单表中未找到</t>
        </is>
      </c>
      <c r="DK342" t="inlineStr">
        <is>
          <t>—</t>
        </is>
      </c>
      <c r="DL342" t="inlineStr">
        <is>
          <t>—</t>
        </is>
      </c>
    </row>
    <row r="343" ht="15.75" customHeight="1" s="187">
      <c r="A343" s="84" t="n">
        <v>45954</v>
      </c>
      <c r="B343" s="206" t="inlineStr">
        <is>
          <t>已收货</t>
        </is>
      </c>
      <c r="C343" s="86" t="inlineStr">
        <is>
          <t>3017742961728999599</t>
        </is>
      </c>
      <c r="D343" s="207" t="inlineStr">
        <is>
          <t>卞宇</t>
        </is>
      </c>
      <c r="E343" s="87" t="n"/>
      <c r="F343" s="87" t="n"/>
      <c r="G343" s="207" t="inlineStr">
        <is>
          <t>九斗柜-设备柜</t>
        </is>
      </c>
      <c r="H343" s="207" t="inlineStr">
        <is>
          <t>九斗柜</t>
        </is>
      </c>
      <c r="I343" s="89" t="inlineStr">
        <is>
          <t>180cm*40cm</t>
        </is>
      </c>
      <c r="J343" s="87" t="inlineStr">
        <is>
          <t>已结算</t>
        </is>
      </c>
      <c r="K343" s="86" t="inlineStr">
        <is>
          <t>江西</t>
        </is>
      </c>
      <c r="L343" s="207">
        <f>SUM(M343:AO343)</f>
        <v/>
      </c>
      <c r="M343" s="207">
        <f>2700</f>
        <v/>
      </c>
      <c r="N343" s="207" t="n"/>
      <c r="O343" s="207" t="n">
        <v>180</v>
      </c>
      <c r="P343" s="207" t="n">
        <v>105.2</v>
      </c>
      <c r="Q343" s="207" t="n"/>
      <c r="R343" s="207" t="n"/>
      <c r="S343" s="207" t="n"/>
      <c r="T343" s="207" t="n"/>
      <c r="U343" s="207" t="n"/>
      <c r="V343" s="207" t="n"/>
      <c r="W343" s="207" t="n"/>
      <c r="X343" s="207">
        <f>22*9</f>
        <v/>
      </c>
      <c r="Y343" s="207" t="n"/>
      <c r="Z343" s="207" t="n"/>
      <c r="AA343" s="207" t="n"/>
      <c r="AB343" s="207" t="n"/>
      <c r="AC343" s="207" t="n"/>
      <c r="AD343" s="207" t="n"/>
      <c r="AE343" s="207" t="n"/>
      <c r="AF343" s="207" t="n"/>
      <c r="AG343" s="207" t="n"/>
      <c r="AH343" s="207" t="n"/>
      <c r="AI343" s="207" t="n"/>
      <c r="AJ343" s="207" t="n"/>
      <c r="AK343" s="207" t="n"/>
      <c r="AL343" s="207" t="n"/>
      <c r="AM343" s="207" t="n">
        <v>150</v>
      </c>
      <c r="AN343" s="207" t="n"/>
      <c r="AO343" s="207" t="n"/>
      <c r="AP343" s="207">
        <f>300-AQ343</f>
        <v/>
      </c>
      <c r="AQ343" s="207" t="n">
        <v>40</v>
      </c>
      <c r="AR343" s="207" t="n">
        <v>0</v>
      </c>
      <c r="AS343" s="207" t="n">
        <v>0</v>
      </c>
      <c r="AT343" s="207" t="n">
        <v>0</v>
      </c>
      <c r="AU343" s="207" t="n">
        <v>0</v>
      </c>
      <c r="AV343" s="207" t="n">
        <v>0</v>
      </c>
      <c r="AW343" s="207" t="n">
        <v>0</v>
      </c>
      <c r="AX343" s="208" t="n">
        <v>1</v>
      </c>
      <c r="AY343" s="209">
        <f>L343*AX343+AP343+AQ343+AR343+AV343+AW343+AS343+AT343+AU343</f>
        <v/>
      </c>
      <c r="AZ343" s="207" t="n">
        <v>3699.15</v>
      </c>
      <c r="BA343" s="207" t="n">
        <v>0</v>
      </c>
      <c r="BB343" s="207">
        <f>AZ343*0.006</f>
        <v/>
      </c>
      <c r="BC343" s="209">
        <f>AZ343+BA343-BB343</f>
        <v/>
      </c>
      <c r="BD343" s="207" t="n">
        <v>0</v>
      </c>
      <c r="BE343" s="207" t="n">
        <v>0</v>
      </c>
      <c r="BF343" s="209">
        <f>BD343+BE343</f>
        <v/>
      </c>
      <c r="BG343" s="209">
        <f>BC343-AY343+BF343</f>
        <v/>
      </c>
      <c r="BH343" s="207" t="inlineStr">
        <is>
          <t>卞宇</t>
        </is>
      </c>
      <c r="BI343" s="207" t="inlineStr">
        <is>
          <t>重庆</t>
        </is>
      </c>
      <c r="BJ343" s="207" t="inlineStr">
        <is>
          <t>18466859790-7664</t>
        </is>
      </c>
      <c r="BK343" s="87" t="n"/>
      <c r="BL343" s="210" t="n"/>
      <c r="BM343" s="93" t="n"/>
      <c r="BN343" s="94" t="n"/>
      <c r="BO343" s="93" t="n"/>
      <c r="BP343" s="86" t="n"/>
      <c r="BQ343" s="96" t="n"/>
      <c r="BR343" s="96" t="n"/>
      <c r="BS343" s="97" t="n"/>
      <c r="BT343" s="96" t="n"/>
      <c r="BU343" s="97" t="n"/>
      <c r="BV343" s="96" t="n"/>
      <c r="BW343" s="97" t="n"/>
      <c r="BX343" s="97" t="n"/>
      <c r="BY343" s="97" t="n"/>
      <c r="BZ343" s="97" t="n"/>
      <c r="CA343" s="98" t="n"/>
      <c r="CH343" s="2" t="n"/>
      <c r="CI343" s="14">
        <f>CJ343&amp;CK343</f>
        <v/>
      </c>
      <c r="CJ343" s="25" t="n"/>
      <c r="CK343" s="25" t="n"/>
      <c r="CL343" s="25" t="n"/>
      <c r="CM343" s="25" t="n"/>
      <c r="CN343" s="25" t="n"/>
      <c r="CO343" s="25" t="n"/>
      <c r="CP343" s="25" t="n"/>
      <c r="CQ343" s="25" t="n"/>
      <c r="CR343" s="25" t="n"/>
      <c r="CS343" s="25" t="n"/>
      <c r="CT343" s="25" t="n"/>
      <c r="CU343" s="25" t="n"/>
      <c r="CV343" s="25" t="n"/>
      <c r="CW343" s="25" t="n"/>
      <c r="CX343" s="25" t="n"/>
      <c r="CY343" s="25" t="n"/>
      <c r="DC343" s="26" t="n"/>
      <c r="DD343" s="26" t="n"/>
      <c r="DE343" s="26" t="n"/>
      <c r="DF343" s="26" t="n"/>
      <c r="DG343" s="26" t="n"/>
      <c r="DH343" s="27" t="n"/>
      <c r="DJ343" s="211" t="inlineStr">
        <is>
          <t>订单表中未找到</t>
        </is>
      </c>
      <c r="DK343" t="inlineStr">
        <is>
          <t>—</t>
        </is>
      </c>
      <c r="DL343" t="inlineStr">
        <is>
          <t>—</t>
        </is>
      </c>
    </row>
    <row r="344" ht="15.75" customHeight="1" s="187">
      <c r="A344" s="84" t="n">
        <v>45954</v>
      </c>
      <c r="B344" s="206" t="inlineStr">
        <is>
          <t>已收货</t>
        </is>
      </c>
      <c r="C344" s="86" t="inlineStr">
        <is>
          <t>4833493923177053214</t>
        </is>
      </c>
      <c r="D344" s="86" t="inlineStr">
        <is>
          <t>周喆浩</t>
        </is>
      </c>
      <c r="E344" s="87" t="n"/>
      <c r="F344" s="87" t="n"/>
      <c r="G344" s="87" t="inlineStr">
        <is>
          <t>1.8下柜+1.2上柜</t>
        </is>
      </c>
      <c r="H344" s="87" t="inlineStr">
        <is>
          <t>旋转餐边柜</t>
        </is>
      </c>
      <c r="I344" s="89" t="n">
        <v>1800</v>
      </c>
      <c r="J344" s="87" t="inlineStr">
        <is>
          <t>已结算</t>
        </is>
      </c>
      <c r="K344" s="86" t="inlineStr">
        <is>
          <t>江西</t>
        </is>
      </c>
      <c r="L344" s="207">
        <f>SUM(M344:AM344)</f>
        <v/>
      </c>
      <c r="M344" s="207">
        <f>4900</f>
        <v/>
      </c>
      <c r="N344" s="207" t="n"/>
      <c r="O344" s="207" t="n"/>
      <c r="P344" s="207" t="n"/>
      <c r="Q344" s="207" t="n"/>
      <c r="R344" s="207" t="n"/>
      <c r="S344" s="207" t="n"/>
      <c r="T344" s="207" t="n"/>
      <c r="U344" s="207" t="n"/>
      <c r="V344" s="207" t="n"/>
      <c r="W344" s="207" t="n"/>
      <c r="X344" s="207" t="n"/>
      <c r="Y344" s="207" t="n"/>
      <c r="Z344" s="207" t="n"/>
      <c r="AA344" s="207" t="n"/>
      <c r="AB344" s="207" t="n"/>
      <c r="AC344" s="207" t="n"/>
      <c r="AD344" s="207" t="n"/>
      <c r="AE344" s="207" t="n"/>
      <c r="AF344" s="207" t="n"/>
      <c r="AG344" s="207" t="n"/>
      <c r="AH344" s="207" t="n"/>
      <c r="AI344" s="207" t="n"/>
      <c r="AJ344" s="207" t="n"/>
      <c r="AK344" s="207" t="n"/>
      <c r="AL344" s="207" t="n"/>
      <c r="AM344" s="207" t="n">
        <v>180</v>
      </c>
      <c r="AN344" s="207" t="n"/>
      <c r="AO344" s="207" t="n"/>
      <c r="AP344" s="207" t="n">
        <v>249</v>
      </c>
      <c r="AQ344" s="207" t="n">
        <v>0</v>
      </c>
      <c r="AR344" s="207" t="n">
        <v>400</v>
      </c>
      <c r="AS344" s="207" t="n">
        <v>0</v>
      </c>
      <c r="AT344" s="207" t="n">
        <v>145</v>
      </c>
      <c r="AU344" s="207" t="n">
        <v>0</v>
      </c>
      <c r="AV344" s="207" t="n">
        <v>0</v>
      </c>
      <c r="AW344" s="207" t="n">
        <v>0</v>
      </c>
      <c r="AX344" s="208" t="n">
        <v>1</v>
      </c>
      <c r="AY344" s="209">
        <f>L344*AX344+AP344+AQ344+AR344+AV344+AW344+AS344+AT344+AU344</f>
        <v/>
      </c>
      <c r="AZ344" s="207" t="n">
        <v>5436.85</v>
      </c>
      <c r="BA344" s="207" t="n">
        <v>0</v>
      </c>
      <c r="BB344" s="207">
        <f>AZ344*0.006</f>
        <v/>
      </c>
      <c r="BC344" s="209">
        <f>AZ344+BA344-BB344</f>
        <v/>
      </c>
      <c r="BD344" s="207" t="n">
        <v>0</v>
      </c>
      <c r="BE344" s="207" t="n">
        <v>0</v>
      </c>
      <c r="BF344" s="209">
        <f>BD344+BE344</f>
        <v/>
      </c>
      <c r="BG344" s="209">
        <f>BC344-AY344+BF344</f>
        <v/>
      </c>
      <c r="BH344" s="207" t="inlineStr">
        <is>
          <t>周喆浩</t>
        </is>
      </c>
      <c r="BI344" s="207" t="inlineStr">
        <is>
          <t>上海 上海市 浦东新区 唐镇万嘉欣苑17号楼804(送货上门)</t>
        </is>
      </c>
      <c r="BJ344" s="207" t="inlineStr">
        <is>
          <t>18466942030-2701</t>
        </is>
      </c>
      <c r="BK344" s="87" t="n"/>
      <c r="BL344" s="210" t="n"/>
      <c r="BM344" s="93" t="n"/>
      <c r="BN344" s="94" t="n"/>
      <c r="BO344" s="93" t="n"/>
      <c r="BP344" s="86" t="n"/>
      <c r="BQ344" s="96" t="n"/>
      <c r="BR344" s="96" t="n"/>
      <c r="BS344" s="97" t="n"/>
      <c r="BT344" s="96" t="n"/>
      <c r="BU344" s="97" t="n"/>
      <c r="BV344" s="96" t="n"/>
      <c r="BW344" s="97" t="n"/>
      <c r="BX344" s="97" t="n"/>
      <c r="BY344" s="97" t="n"/>
      <c r="BZ344" s="97" t="n"/>
      <c r="CA344" s="98" t="n"/>
      <c r="CH344" s="2" t="n"/>
      <c r="CI344" s="14">
        <f>CJ344&amp;CK344</f>
        <v/>
      </c>
      <c r="CJ344" s="25" t="n"/>
      <c r="CK344" s="25" t="n"/>
      <c r="CL344" s="25" t="n"/>
      <c r="CM344" s="25" t="n"/>
      <c r="CN344" s="25" t="n"/>
      <c r="CO344" s="25" t="n"/>
      <c r="CP344" s="25" t="n"/>
      <c r="CQ344" s="25" t="n"/>
      <c r="CR344" s="25" t="n"/>
      <c r="CS344" s="25" t="n"/>
      <c r="CT344" s="25" t="n"/>
      <c r="CU344" s="25" t="n"/>
      <c r="CV344" s="25" t="n"/>
      <c r="CW344" s="25" t="n"/>
      <c r="CX344" s="25" t="n"/>
      <c r="CY344" s="25" t="n"/>
      <c r="DC344" s="26" t="n"/>
      <c r="DD344" s="26" t="n"/>
      <c r="DE344" s="26" t="n"/>
      <c r="DF344" s="26" t="n"/>
      <c r="DG344" s="26" t="n"/>
      <c r="DH344" s="27" t="n"/>
      <c r="DJ344" s="211" t="inlineStr">
        <is>
          <t>订单表中未找到</t>
        </is>
      </c>
      <c r="DK344" t="inlineStr">
        <is>
          <t>—</t>
        </is>
      </c>
      <c r="DL344" t="inlineStr">
        <is>
          <t>—</t>
        </is>
      </c>
    </row>
    <row r="345" ht="15.75" customHeight="1" s="187">
      <c r="A345" s="84" t="n">
        <v>45955</v>
      </c>
      <c r="B345" s="206" t="inlineStr">
        <is>
          <t>已收货</t>
        </is>
      </c>
      <c r="C345" s="86" t="inlineStr">
        <is>
          <t>4834888779843053214</t>
        </is>
      </c>
      <c r="D345" s="86" t="inlineStr">
        <is>
          <t>周喆浩</t>
        </is>
      </c>
      <c r="E345" s="87" t="n"/>
      <c r="F345" s="87" t="n"/>
      <c r="G345" s="207" t="inlineStr">
        <is>
          <t>补差价</t>
        </is>
      </c>
      <c r="H345" s="87" t="inlineStr">
        <is>
          <t>旋转餐边柜</t>
        </is>
      </c>
      <c r="I345" s="89" t="n"/>
      <c r="J345" s="87" t="inlineStr">
        <is>
          <t>已结算</t>
        </is>
      </c>
      <c r="K345" s="86" t="inlineStr">
        <is>
          <t>江西</t>
        </is>
      </c>
      <c r="L345" s="207" t="n">
        <v>0</v>
      </c>
      <c r="M345" s="207" t="n">
        <v>0</v>
      </c>
      <c r="N345" s="207" t="n"/>
      <c r="O345" s="207" t="n"/>
      <c r="P345" s="207" t="n"/>
      <c r="Q345" s="207" t="n"/>
      <c r="R345" s="207" t="n"/>
      <c r="S345" s="207" t="n"/>
      <c r="T345" s="207" t="n"/>
      <c r="U345" s="207" t="n"/>
      <c r="V345" s="207" t="n"/>
      <c r="W345" s="207" t="n"/>
      <c r="X345" s="207" t="n"/>
      <c r="Y345" s="207" t="n"/>
      <c r="Z345" s="207" t="n"/>
      <c r="AA345" s="207" t="n"/>
      <c r="AB345" s="207" t="n"/>
      <c r="AC345" s="207" t="n"/>
      <c r="AD345" s="207" t="n"/>
      <c r="AE345" s="207" t="n"/>
      <c r="AF345" s="207" t="n"/>
      <c r="AG345" s="207" t="n"/>
      <c r="AH345" s="207" t="n"/>
      <c r="AI345" s="207" t="n"/>
      <c r="AJ345" s="207" t="n"/>
      <c r="AK345" s="207" t="n"/>
      <c r="AL345" s="207" t="n"/>
      <c r="AM345" s="207" t="n"/>
      <c r="AN345" s="207" t="n"/>
      <c r="AO345" s="207" t="n"/>
      <c r="AP345" s="207" t="n">
        <v>0</v>
      </c>
      <c r="AQ345" s="207" t="n">
        <v>0</v>
      </c>
      <c r="AR345" s="207" t="n">
        <v>0</v>
      </c>
      <c r="AS345" s="207" t="n">
        <v>0</v>
      </c>
      <c r="AT345" s="207" t="n">
        <v>0</v>
      </c>
      <c r="AU345" s="207" t="n">
        <v>0</v>
      </c>
      <c r="AV345" s="207" t="n">
        <v>0</v>
      </c>
      <c r="AW345" s="207" t="n">
        <v>0</v>
      </c>
      <c r="AX345" s="208" t="n">
        <v>1</v>
      </c>
      <c r="AY345" s="209">
        <f>L345*AX345+AP345+AQ345+AR345+AV345+AW345+AS345+AT345+AU345</f>
        <v/>
      </c>
      <c r="AZ345" s="207" t="n">
        <v>4055.65</v>
      </c>
      <c r="BA345" s="207" t="n">
        <v>0</v>
      </c>
      <c r="BB345" s="207">
        <f>AZ345*0.006</f>
        <v/>
      </c>
      <c r="BC345" s="209">
        <f>AZ345+BA345-BB345</f>
        <v/>
      </c>
      <c r="BD345" s="207" t="n">
        <v>0</v>
      </c>
      <c r="BE345" s="207" t="n">
        <v>0</v>
      </c>
      <c r="BF345" s="209">
        <f>BD345+BE345</f>
        <v/>
      </c>
      <c r="BG345" s="209">
        <f>BC345-AY345+BF345</f>
        <v/>
      </c>
      <c r="BH345" s="207" t="inlineStr">
        <is>
          <t>周喆浩</t>
        </is>
      </c>
      <c r="BI345" s="207" t="inlineStr">
        <is>
          <t>上海 上海市 浦东新区 唐镇万嘉欣苑17号楼804(送货上门)</t>
        </is>
      </c>
      <c r="BJ345" s="207" t="inlineStr">
        <is>
          <t>18466942030-2701</t>
        </is>
      </c>
      <c r="BK345" s="86" t="n"/>
      <c r="BL345" s="210" t="n"/>
      <c r="BM345" s="93" t="n"/>
      <c r="BN345" s="94" t="n"/>
      <c r="BO345" s="93" t="n"/>
      <c r="BP345" s="86" t="n"/>
      <c r="BQ345" s="96" t="n"/>
      <c r="BR345" s="96" t="n"/>
      <c r="BS345" s="97" t="n"/>
      <c r="BT345" s="96" t="n"/>
      <c r="BU345" s="97" t="n"/>
      <c r="BV345" s="96" t="n"/>
      <c r="BW345" s="97" t="n"/>
      <c r="BX345" s="97" t="n"/>
      <c r="BY345" s="97" t="n"/>
      <c r="BZ345" s="97" t="n"/>
      <c r="CH345" s="2" t="n"/>
      <c r="CI345" s="14" t="n"/>
      <c r="CJ345" s="25" t="n"/>
      <c r="CK345" s="25" t="n"/>
      <c r="CL345" s="25" t="n"/>
      <c r="CM345" s="25" t="n"/>
      <c r="CN345" s="25" t="n"/>
      <c r="CO345" s="25" t="n"/>
      <c r="CP345" s="25" t="n"/>
      <c r="CQ345" s="25" t="n"/>
      <c r="CR345" s="25" t="n"/>
      <c r="CS345" s="25" t="n"/>
      <c r="CT345" s="25" t="n"/>
      <c r="CU345" s="25" t="n"/>
      <c r="CV345" s="25" t="n"/>
      <c r="CW345" s="25" t="n"/>
      <c r="CX345" s="25" t="n"/>
      <c r="CY345" s="25" t="n"/>
      <c r="DC345" s="26" t="n"/>
      <c r="DD345" s="26" t="n"/>
      <c r="DE345" s="26" t="n"/>
      <c r="DF345" s="26" t="n"/>
      <c r="DG345" s="26" t="n"/>
      <c r="DH345" s="27" t="n"/>
      <c r="DJ345" s="211" t="inlineStr">
        <is>
          <t>订单表中未找到</t>
        </is>
      </c>
      <c r="DK345" t="inlineStr">
        <is>
          <t>—</t>
        </is>
      </c>
      <c r="DL345" t="inlineStr">
        <is>
          <t>—</t>
        </is>
      </c>
    </row>
    <row r="346" ht="15.75" customHeight="1" s="187">
      <c r="A346" s="84" t="n">
        <v>45955</v>
      </c>
      <c r="B346" s="206" t="inlineStr">
        <is>
          <t>已收货</t>
        </is>
      </c>
      <c r="C346" s="86" t="inlineStr">
        <is>
          <t>4833755245177634116</t>
        </is>
      </c>
      <c r="D346" s="207" t="inlineStr">
        <is>
          <t>结</t>
        </is>
      </c>
      <c r="E346" s="87" t="n"/>
      <c r="F346" s="87" t="n"/>
      <c r="G346" s="207" t="inlineStr">
        <is>
          <t>窄柜-整柜洞石背板-0.8米</t>
        </is>
      </c>
      <c r="H346" s="207" t="inlineStr">
        <is>
          <t>樱桃木窄柜</t>
        </is>
      </c>
      <c r="I346" s="89" t="n">
        <v>800</v>
      </c>
      <c r="J346" s="87" t="inlineStr">
        <is>
          <t>已结算</t>
        </is>
      </c>
      <c r="K346" s="86" t="inlineStr">
        <is>
          <t>庄毅</t>
        </is>
      </c>
      <c r="L346" s="207">
        <f>115+1.16+3.37+3100+1.1+1.03+60/2+4+307.08+54.9+3+0.8*0.48*160+30*5+10</f>
        <v/>
      </c>
      <c r="M346" s="207">
        <f>3100</f>
        <v/>
      </c>
      <c r="N346" s="207">
        <f>0.758*260+2*55</f>
        <v/>
      </c>
      <c r="O346" s="207">
        <f>115</f>
        <v/>
      </c>
      <c r="P346" s="207" t="n"/>
      <c r="Q346" s="207">
        <f>15*2</f>
        <v/>
      </c>
      <c r="R346" s="207">
        <f>0.8*0.48*160+30</f>
        <v/>
      </c>
      <c r="S346" s="207" t="n">
        <v>54.9</v>
      </c>
      <c r="T346" s="207" t="n"/>
      <c r="U346" s="207" t="n"/>
      <c r="V346" s="207" t="n">
        <v>4</v>
      </c>
      <c r="W346" s="207" t="n"/>
      <c r="X346" s="207" t="n"/>
      <c r="Y346" s="207" t="n"/>
      <c r="Z346" s="207" t="n"/>
      <c r="AA346" s="207" t="n"/>
      <c r="AB346" s="207" t="n"/>
      <c r="AC346" s="207" t="n">
        <v>3.5</v>
      </c>
      <c r="AD346" s="207" t="n"/>
      <c r="AE346" s="207" t="n">
        <v>3</v>
      </c>
      <c r="AF346" s="207" t="n"/>
      <c r="AG346" s="207" t="n"/>
      <c r="AH346" s="207" t="n"/>
      <c r="AI346" s="207" t="n"/>
      <c r="AJ346" s="207" t="n">
        <v>1.2</v>
      </c>
      <c r="AK346" s="207" t="n"/>
      <c r="AL346" s="207" t="n"/>
      <c r="AM346" s="207" t="n"/>
      <c r="AN346" s="207" t="n"/>
      <c r="AO346" s="207" t="n"/>
      <c r="AP346" s="207" t="n">
        <v>154</v>
      </c>
      <c r="AQ346" s="207" t="n">
        <v>0</v>
      </c>
      <c r="AR346" s="207" t="n">
        <v>78</v>
      </c>
      <c r="AS346" s="207" t="n">
        <v>0</v>
      </c>
      <c r="AT346" s="207" t="n">
        <v>0</v>
      </c>
      <c r="AU346" s="207" t="n">
        <v>0</v>
      </c>
      <c r="AV346" s="207" t="n">
        <v>0</v>
      </c>
      <c r="AW346" s="207" t="n">
        <v>0</v>
      </c>
      <c r="AX346" s="208" t="n">
        <v>1</v>
      </c>
      <c r="AY346" s="209">
        <f>L346*AX346+AP346+AQ346+AR346+AV346+AW346+AS346+AT346+AU346</f>
        <v/>
      </c>
      <c r="AZ346" s="207" t="n">
        <v>4819.5</v>
      </c>
      <c r="BA346" s="207" t="n">
        <v>0</v>
      </c>
      <c r="BB346" s="207">
        <f>AZ346*0.006</f>
        <v/>
      </c>
      <c r="BC346" s="209">
        <f>AZ346+BA346-BB346</f>
        <v/>
      </c>
      <c r="BD346" s="207" t="n">
        <v>0</v>
      </c>
      <c r="BE346" s="207" t="n">
        <v>0</v>
      </c>
      <c r="BF346" s="209">
        <f>BD346+BE346</f>
        <v/>
      </c>
      <c r="BG346" s="209">
        <f>BC346-AY346+BF346</f>
        <v/>
      </c>
      <c r="BH346" s="207" t="inlineStr">
        <is>
          <t>结</t>
        </is>
      </c>
      <c r="BI346" s="207" t="inlineStr">
        <is>
          <t>福建省 福州市 台江区 瀛洲街道排尾路万科澜悦花园A2区13号楼1004单元</t>
        </is>
      </c>
      <c r="BJ346" s="207" t="inlineStr">
        <is>
          <t>15980130141-2028</t>
        </is>
      </c>
      <c r="BK346" s="87" t="n"/>
      <c r="BL346" s="210" t="n"/>
      <c r="BM346" s="93" t="n"/>
      <c r="BN346" s="94" t="n"/>
      <c r="BO346" s="93" t="n"/>
      <c r="BP346" s="86" t="n"/>
      <c r="BQ346" s="96" t="n"/>
      <c r="BR346" s="96" t="n"/>
      <c r="BS346" s="97" t="n"/>
      <c r="BT346" s="96" t="n"/>
      <c r="BU346" s="97" t="n"/>
      <c r="BV346" s="96" t="n"/>
      <c r="BW346" s="97" t="n"/>
      <c r="BX346" s="97" t="n"/>
      <c r="BY346" s="97" t="n"/>
      <c r="BZ346" s="97" t="n"/>
      <c r="CA346" s="98" t="n"/>
      <c r="CH346" s="2" t="n"/>
      <c r="CI346" s="14">
        <f>CJ346&amp;CK346</f>
        <v/>
      </c>
      <c r="CJ346" s="25" t="n"/>
      <c r="CK346" s="25" t="n"/>
      <c r="CL346" s="25" t="n"/>
      <c r="CM346" s="25" t="n"/>
      <c r="CN346" s="25" t="n"/>
      <c r="CO346" s="25" t="n"/>
      <c r="CP346" s="25" t="n"/>
      <c r="CQ346" s="25" t="n"/>
      <c r="CR346" s="25" t="n"/>
      <c r="CS346" s="25" t="n"/>
      <c r="CT346" s="25" t="n"/>
      <c r="CU346" s="25" t="n"/>
      <c r="CV346" s="25" t="n"/>
      <c r="CW346" s="25" t="n"/>
      <c r="CX346" s="25" t="n"/>
      <c r="CY346" s="25" t="n"/>
      <c r="DC346" s="26" t="n"/>
      <c r="DD346" s="26" t="n"/>
      <c r="DE346" s="26" t="n"/>
      <c r="DF346" s="26" t="n"/>
      <c r="DG346" s="26" t="n"/>
      <c r="DH346" s="27" t="n"/>
      <c r="DJ346" s="211" t="inlineStr">
        <is>
          <t>订单表中未找到</t>
        </is>
      </c>
      <c r="DK346" t="inlineStr">
        <is>
          <t>—</t>
        </is>
      </c>
      <c r="DL346" t="inlineStr">
        <is>
          <t>—</t>
        </is>
      </c>
    </row>
    <row r="347" ht="15.75" customHeight="1" s="187">
      <c r="A347" s="84" t="n">
        <v>45955</v>
      </c>
      <c r="B347" s="206" t="inlineStr">
        <is>
          <t>已收货</t>
        </is>
      </c>
      <c r="C347" s="86" t="inlineStr">
        <is>
          <t>3018451800024902673</t>
        </is>
      </c>
      <c r="D347" s="86" t="inlineStr">
        <is>
          <t>张宁宁</t>
        </is>
      </c>
      <c r="E347" s="87" t="n"/>
      <c r="F347" s="87" t="n"/>
      <c r="G347" s="207" t="inlineStr">
        <is>
          <t>样块*2</t>
        </is>
      </c>
      <c r="H347" s="207" t="inlineStr">
        <is>
          <t>样块</t>
        </is>
      </c>
      <c r="I347" s="89" t="n"/>
      <c r="J347" s="87" t="inlineStr">
        <is>
          <t>已结算</t>
        </is>
      </c>
      <c r="K347" s="86" t="inlineStr">
        <is>
          <t>杭州</t>
        </is>
      </c>
      <c r="L347" s="207">
        <f>SUM(M347:AO347)</f>
        <v/>
      </c>
      <c r="M347" s="207" t="n">
        <v>10</v>
      </c>
      <c r="N347" s="207" t="n"/>
      <c r="O347" s="207" t="n"/>
      <c r="P347" s="207" t="n"/>
      <c r="Q347" s="207" t="n"/>
      <c r="R347" s="207" t="n"/>
      <c r="S347" s="207" t="n"/>
      <c r="T347" s="207" t="n"/>
      <c r="U347" s="207" t="n"/>
      <c r="V347" s="207" t="n"/>
      <c r="W347" s="207" t="n"/>
      <c r="X347" s="207" t="n"/>
      <c r="Y347" s="207" t="n"/>
      <c r="Z347" s="207" t="n"/>
      <c r="AA347" s="207" t="n"/>
      <c r="AB347" s="207" t="n"/>
      <c r="AC347" s="207" t="n"/>
      <c r="AD347" s="207" t="n"/>
      <c r="AE347" s="207" t="n"/>
      <c r="AF347" s="207" t="n"/>
      <c r="AG347" s="207" t="n"/>
      <c r="AH347" s="207" t="n"/>
      <c r="AI347" s="207" t="n"/>
      <c r="AJ347" s="207" t="n"/>
      <c r="AK347" s="207" t="n"/>
      <c r="AL347" s="207" t="n"/>
      <c r="AM347" s="207" t="n">
        <v>2</v>
      </c>
      <c r="AN347" s="207" t="n"/>
      <c r="AO347" s="207" t="n"/>
      <c r="AP347" s="207" t="n">
        <v>5</v>
      </c>
      <c r="AQ347" s="207" t="n">
        <v>0</v>
      </c>
      <c r="AR347" s="207" t="n">
        <v>0</v>
      </c>
      <c r="AS347" s="207" t="n">
        <v>0</v>
      </c>
      <c r="AT347" s="207" t="n">
        <v>0</v>
      </c>
      <c r="AU347" s="207" t="n">
        <v>0</v>
      </c>
      <c r="AV347" s="207" t="n">
        <v>0</v>
      </c>
      <c r="AW347" s="207" t="n">
        <v>0</v>
      </c>
      <c r="AX347" s="208" t="n">
        <v>1</v>
      </c>
      <c r="AY347" s="209">
        <f>L347*AX347+AP347+AQ347+AR347+AV347+AW347+AS347+AT347+AU347</f>
        <v/>
      </c>
      <c r="AZ347" s="207" t="n">
        <v>42.4</v>
      </c>
      <c r="BA347" s="207" t="n">
        <v>0</v>
      </c>
      <c r="BB347" s="207">
        <f>AZ347*0.006</f>
        <v/>
      </c>
      <c r="BC347" s="209">
        <f>AZ347+BA347-BB347</f>
        <v/>
      </c>
      <c r="BD347" s="207" t="n">
        <v>0</v>
      </c>
      <c r="BE347" s="207" t="n">
        <v>0</v>
      </c>
      <c r="BF347" s="209">
        <f>BD347+BE347</f>
        <v/>
      </c>
      <c r="BG347" s="209">
        <f>BC347-AY347+BF347</f>
        <v/>
      </c>
      <c r="BH347" s="86" t="inlineStr">
        <is>
          <t>张宁宁</t>
        </is>
      </c>
      <c r="BI347" s="86" t="inlineStr">
        <is>
          <t>辽宁省 沈阳市 皇姑区 舍利塔街道渭河东街6号  2-5-2</t>
        </is>
      </c>
      <c r="BJ347" s="86" t="inlineStr">
        <is>
          <t>17640250124-1545</t>
        </is>
      </c>
      <c r="BK347" s="87" t="n"/>
      <c r="BL347" s="210" t="n"/>
      <c r="BM347" s="93" t="n"/>
      <c r="BN347" s="94" t="n"/>
      <c r="BO347" s="93" t="n"/>
      <c r="BP347" s="86" t="n"/>
      <c r="BQ347" s="96" t="n"/>
      <c r="BR347" s="96" t="n"/>
      <c r="BS347" s="97" t="n"/>
      <c r="BT347" s="96" t="n"/>
      <c r="BU347" s="97" t="n"/>
      <c r="BV347" s="96" t="n"/>
      <c r="BW347" s="97" t="n"/>
      <c r="BX347" s="97" t="n"/>
      <c r="BY347" s="97" t="n"/>
      <c r="BZ347" s="97" t="n"/>
      <c r="CA347" s="98" t="n"/>
      <c r="CH347" s="2" t="n"/>
      <c r="CI347" s="14">
        <f>CJ347&amp;CK347</f>
        <v/>
      </c>
      <c r="CJ347" s="25" t="n"/>
      <c r="CK347" s="25" t="n"/>
      <c r="CL347" s="25" t="n"/>
      <c r="CM347" s="25" t="n"/>
      <c r="CN347" s="25" t="n"/>
      <c r="CO347" s="25" t="n"/>
      <c r="CP347" s="25" t="n"/>
      <c r="CQ347" s="25" t="n"/>
      <c r="CR347" s="25" t="n"/>
      <c r="CS347" s="25" t="n"/>
      <c r="CT347" s="25" t="n"/>
      <c r="CU347" s="25" t="n"/>
      <c r="CV347" s="25" t="n"/>
      <c r="CW347" s="25" t="n"/>
      <c r="CX347" s="25" t="n"/>
      <c r="CY347" s="25" t="n"/>
      <c r="DC347" s="26" t="n"/>
      <c r="DD347" s="26" t="n"/>
      <c r="DE347" s="26" t="n"/>
      <c r="DF347" s="26" t="n"/>
      <c r="DG347" s="26" t="n"/>
      <c r="DH347" s="27" t="n"/>
      <c r="DJ347" s="211" t="inlineStr">
        <is>
          <t>订单表中未找到</t>
        </is>
      </c>
      <c r="DK347" t="inlineStr">
        <is>
          <t>—</t>
        </is>
      </c>
      <c r="DL347" t="inlineStr">
        <is>
          <t>—</t>
        </is>
      </c>
    </row>
    <row r="348" ht="15.75" customHeight="1" s="187">
      <c r="A348" s="84" t="n">
        <v>45955</v>
      </c>
      <c r="B348" s="206" t="inlineStr">
        <is>
          <t>已收货</t>
        </is>
      </c>
      <c r="C348" s="86" t="inlineStr">
        <is>
          <t>4834553619832279641</t>
        </is>
      </c>
      <c r="D348" s="207" t="inlineStr">
        <is>
          <t>雨不停</t>
        </is>
      </c>
      <c r="E348" s="87" t="n"/>
      <c r="F348" s="87" t="n"/>
      <c r="G348" s="207" t="inlineStr">
        <is>
          <t>洞石餐边柜定制-1.8米-251025</t>
        </is>
      </c>
      <c r="H348" s="207" t="inlineStr">
        <is>
          <t>洞石餐边柜</t>
        </is>
      </c>
      <c r="I348" s="89" t="n">
        <v>1800</v>
      </c>
      <c r="J348" s="87" t="inlineStr">
        <is>
          <t>已结算</t>
        </is>
      </c>
      <c r="K348" s="86" t="inlineStr">
        <is>
          <t>庄毅</t>
        </is>
      </c>
      <c r="L348" s="216">
        <f>5850+40*2+2040/6/1.5+80+1.8*0.5*160+(1.8+0.5*2)*60+33+20+10+14+501.08+10</f>
        <v/>
      </c>
      <c r="M348" s="207">
        <f>5850</f>
        <v/>
      </c>
      <c r="N348" s="207" t="n"/>
      <c r="O348" s="207">
        <f>2040/6/1.5</f>
        <v/>
      </c>
      <c r="P348" s="207" t="n">
        <v>80</v>
      </c>
      <c r="Q348" s="207">
        <f>40*2</f>
        <v/>
      </c>
      <c r="R348" s="207" t="inlineStr">
        <is>
          <t>1.8*0.5*160</t>
        </is>
      </c>
      <c r="S348" s="207" t="inlineStr">
        <is>
          <t>(1.8</t>
        </is>
      </c>
      <c r="T348" s="207" t="inlineStr">
        <is>
          <t>0.5*2)*60</t>
        </is>
      </c>
      <c r="U348" s="207" t="n"/>
      <c r="V348" s="207" t="n"/>
      <c r="W348" s="207" t="n">
        <v>33</v>
      </c>
      <c r="X348" s="207" t="n">
        <v>20</v>
      </c>
      <c r="Y348" s="207" t="n">
        <v>10</v>
      </c>
      <c r="Z348" s="207" t="n"/>
      <c r="AA348" s="207" t="n"/>
      <c r="AB348" s="207" t="n"/>
      <c r="AC348" s="207" t="n"/>
      <c r="AD348" s="207" t="n">
        <v>501.08</v>
      </c>
      <c r="AE348" s="207" t="n">
        <v>14</v>
      </c>
      <c r="AF348" s="207" t="n">
        <v>10</v>
      </c>
      <c r="AG348" s="207" t="n"/>
      <c r="AH348" s="207" t="n"/>
      <c r="AI348" s="207" t="n"/>
      <c r="AJ348" s="207" t="n"/>
      <c r="AK348" s="207" t="n"/>
      <c r="AL348" s="207" t="n"/>
      <c r="AM348" s="207" t="n"/>
      <c r="AN348" s="207" t="n"/>
      <c r="AO348" s="207" t="n"/>
      <c r="AP348" s="207" t="n"/>
      <c r="AQ348" s="121" t="n">
        <v>100</v>
      </c>
      <c r="AR348" s="207" t="n">
        <v>158</v>
      </c>
      <c r="AS348" s="207" t="n">
        <v>0</v>
      </c>
      <c r="AT348" s="207" t="n">
        <v>0</v>
      </c>
      <c r="AU348" s="207" t="n">
        <v>0</v>
      </c>
      <c r="AV348" s="207" t="n">
        <v>0</v>
      </c>
      <c r="AW348" s="207" t="n">
        <v>155</v>
      </c>
      <c r="AX348" s="208" t="n">
        <v>1</v>
      </c>
      <c r="AY348" s="209">
        <f>L348*AX348+AP348+AQ348+AR348+AV348+AW348+AS348+AT348+AU348</f>
        <v/>
      </c>
      <c r="AZ348" s="207" t="n">
        <v>10118.93</v>
      </c>
      <c r="BA348" s="207" t="n">
        <v>0</v>
      </c>
      <c r="BB348" s="207">
        <f>AZ348*0.006</f>
        <v/>
      </c>
      <c r="BC348" s="209">
        <f>AZ348+BA348-BB348</f>
        <v/>
      </c>
      <c r="BD348" s="207" t="n">
        <v>0</v>
      </c>
      <c r="BE348" s="207" t="n">
        <v>0</v>
      </c>
      <c r="BF348" s="209">
        <f>BD348+BE348</f>
        <v/>
      </c>
      <c r="BG348" s="209">
        <f>BC348-AY348+BF348</f>
        <v/>
      </c>
      <c r="BH348" s="207" t="inlineStr">
        <is>
          <t>雨不停</t>
        </is>
      </c>
      <c r="BI348" s="207" t="inlineStr">
        <is>
          <t>四川省 乐山市 市中区 绿心街道瑞祥路一段888号领地澜山住宅区30栋2单元9楼1号</t>
        </is>
      </c>
      <c r="BJ348" s="207" t="inlineStr">
        <is>
          <t>18423050431-1869</t>
        </is>
      </c>
      <c r="BK348" s="87" t="n"/>
      <c r="BL348" s="210" t="n"/>
      <c r="BM348" s="93" t="n"/>
      <c r="BN348" s="94" t="n"/>
      <c r="BO348" s="93" t="n"/>
      <c r="BP348" s="86" t="n"/>
      <c r="BQ348" s="96" t="n"/>
      <c r="BR348" s="96" t="n"/>
      <c r="BS348" s="97" t="n"/>
      <c r="BT348" s="96" t="n"/>
      <c r="BU348" s="97" t="n"/>
      <c r="BV348" s="96" t="n"/>
      <c r="BW348" s="97" t="n"/>
      <c r="BX348" s="97" t="n"/>
      <c r="BY348" s="97" t="n"/>
      <c r="BZ348" s="97" t="n"/>
      <c r="CA348" s="98" t="n"/>
      <c r="CH348" s="2" t="n"/>
      <c r="CI348" s="14">
        <f>CJ348&amp;CK348</f>
        <v/>
      </c>
      <c r="CJ348" s="25" t="n"/>
      <c r="CK348" s="25" t="n"/>
      <c r="CL348" s="25" t="n"/>
      <c r="CM348" s="25" t="n"/>
      <c r="CN348" s="25" t="n"/>
      <c r="CO348" s="25" t="n"/>
      <c r="CP348" s="25" t="n"/>
      <c r="CQ348" s="25" t="n"/>
      <c r="CR348" s="25" t="n"/>
      <c r="CS348" s="25" t="n"/>
      <c r="CT348" s="25" t="n"/>
      <c r="CU348" s="25" t="n"/>
      <c r="CV348" s="25" t="n"/>
      <c r="CW348" s="25" t="n"/>
      <c r="CX348" s="25" t="n"/>
      <c r="CY348" s="25" t="n"/>
      <c r="DC348" s="26" t="n"/>
      <c r="DD348" s="26" t="n"/>
      <c r="DE348" s="26" t="n"/>
      <c r="DF348" s="26" t="n"/>
      <c r="DG348" s="26" t="n"/>
      <c r="DH348" s="27" t="n"/>
      <c r="DJ348" s="211" t="inlineStr">
        <is>
          <t>订单表中未找到</t>
        </is>
      </c>
      <c r="DK348" t="inlineStr">
        <is>
          <t>—</t>
        </is>
      </c>
      <c r="DL348" t="inlineStr">
        <is>
          <t>—</t>
        </is>
      </c>
    </row>
    <row r="349" ht="15.75" customHeight="1" s="187">
      <c r="A349" s="84" t="n">
        <v>45955</v>
      </c>
      <c r="B349" s="206" t="inlineStr">
        <is>
          <t>已收货</t>
        </is>
      </c>
      <c r="C349" s="86" t="inlineStr">
        <is>
          <t>3019456598256279480</t>
        </is>
      </c>
      <c r="D349" s="86" t="inlineStr">
        <is>
          <t>刘金妮</t>
        </is>
      </c>
      <c r="E349" s="87" t="n"/>
      <c r="F349" s="87" t="n"/>
      <c r="G349" s="87" t="inlineStr">
        <is>
          <t>砂白色1.6米岩板餐桌</t>
        </is>
      </c>
      <c r="H349" s="207" t="inlineStr">
        <is>
          <t>榉木餐桌</t>
        </is>
      </c>
      <c r="I349" s="89" t="inlineStr">
        <is>
          <t>160cm*85cm</t>
        </is>
      </c>
      <c r="J349" s="87" t="inlineStr">
        <is>
          <t>已结算</t>
        </is>
      </c>
      <c r="K349" s="86" t="inlineStr">
        <is>
          <t>庄毅</t>
        </is>
      </c>
      <c r="L349" s="207">
        <f>SUM(M349:AO349)</f>
        <v/>
      </c>
      <c r="M349" s="207">
        <f>1530</f>
        <v/>
      </c>
      <c r="N349" s="207" t="n"/>
      <c r="O349" s="207" t="n"/>
      <c r="P349" s="207" t="n"/>
      <c r="Q349" s="207" t="n"/>
      <c r="R349" s="207">
        <f>180*1.6*0.85</f>
        <v/>
      </c>
      <c r="S349" s="207" t="n"/>
      <c r="T349" s="207" t="n"/>
      <c r="U349" s="207" t="n"/>
      <c r="V349" s="207" t="n"/>
      <c r="W349" s="207" t="n"/>
      <c r="X349" s="207" t="n"/>
      <c r="Y349" s="207" t="n"/>
      <c r="Z349" s="207" t="n"/>
      <c r="AA349" s="207" t="n"/>
      <c r="AB349" s="207" t="n"/>
      <c r="AC349" s="207" t="n"/>
      <c r="AD349" s="207" t="n">
        <v>2.5</v>
      </c>
      <c r="AE349" s="207" t="n"/>
      <c r="AF349" s="207" t="n"/>
      <c r="AG349" s="207" t="n"/>
      <c r="AH349" s="207" t="n"/>
      <c r="AI349" s="207" t="n"/>
      <c r="AJ349" s="207" t="n"/>
      <c r="AK349" s="207" t="n"/>
      <c r="AL349" s="207" t="n"/>
      <c r="AM349" s="207" t="n"/>
      <c r="AN349" s="207" t="n"/>
      <c r="AO349" s="207" t="n"/>
      <c r="AP349" s="207" t="n">
        <v>268</v>
      </c>
      <c r="AQ349" s="207" t="n">
        <v>0</v>
      </c>
      <c r="AR349" s="207" t="n">
        <v>65</v>
      </c>
      <c r="AS349" s="207" t="n">
        <v>0</v>
      </c>
      <c r="AT349" s="207" t="n">
        <v>0</v>
      </c>
      <c r="AU349" s="207" t="n">
        <v>0</v>
      </c>
      <c r="AV349" s="207" t="n">
        <v>0</v>
      </c>
      <c r="AW349" s="207" t="n">
        <v>0</v>
      </c>
      <c r="AX349" s="208" t="n">
        <v>1</v>
      </c>
      <c r="AY349" s="209">
        <f>L349*AX349+AP349+AQ349+AR349+AV349+AW349+AS349+AT349+AU349</f>
        <v/>
      </c>
      <c r="AZ349" s="207" t="n">
        <v>2688.41</v>
      </c>
      <c r="BA349" s="207" t="n">
        <v>0</v>
      </c>
      <c r="BB349" s="207">
        <f>AZ349*0.006</f>
        <v/>
      </c>
      <c r="BC349" s="209">
        <f>AZ349+BA349-BB349</f>
        <v/>
      </c>
      <c r="BD349" s="207" t="n">
        <v>0</v>
      </c>
      <c r="BE349" s="207" t="n">
        <v>0</v>
      </c>
      <c r="BF349" s="209">
        <f>BD349+BE349</f>
        <v/>
      </c>
      <c r="BG349" s="209">
        <f>BC349-AY349+BF349</f>
        <v/>
      </c>
      <c r="BH349" s="207" t="inlineStr">
        <is>
          <t>刘金妮</t>
        </is>
      </c>
      <c r="BI349" s="207" t="inlineStr">
        <is>
          <t>四川省 宜宾市 翠屏区 白沙湾街道华润置地公园九里1期3栋404</t>
        </is>
      </c>
      <c r="BJ349" s="207" t="inlineStr">
        <is>
          <t>15683997174-6896</t>
        </is>
      </c>
      <c r="BK349" s="86" t="n"/>
      <c r="BL349" s="210" t="n"/>
      <c r="BM349" s="93" t="n"/>
      <c r="BN349" s="94" t="n"/>
      <c r="BO349" s="93" t="n"/>
      <c r="BP349" s="86" t="n"/>
      <c r="BQ349" s="96" t="n"/>
      <c r="BR349" s="96" t="n"/>
      <c r="BS349" s="97" t="n"/>
      <c r="BT349" s="96" t="n"/>
      <c r="BU349" s="97" t="n"/>
      <c r="BV349" s="96" t="n"/>
      <c r="BW349" s="97" t="n"/>
      <c r="BX349" s="97" t="n"/>
      <c r="BY349" s="97" t="n"/>
      <c r="BZ349" s="97" t="n"/>
      <c r="CH349" s="2" t="n"/>
      <c r="CI349" s="14" t="n"/>
      <c r="CJ349" s="25" t="n"/>
      <c r="CK349" s="25" t="n"/>
      <c r="CL349" s="25" t="n"/>
      <c r="CM349" s="25" t="n"/>
      <c r="CN349" s="25" t="n"/>
      <c r="CO349" s="25" t="n"/>
      <c r="CP349" s="25" t="n"/>
      <c r="CQ349" s="25" t="n"/>
      <c r="CR349" s="25" t="n"/>
      <c r="CS349" s="25" t="n"/>
      <c r="CT349" s="25" t="n"/>
      <c r="CU349" s="25" t="n"/>
      <c r="CV349" s="25" t="n"/>
      <c r="CW349" s="25" t="n"/>
      <c r="CX349" s="25" t="n"/>
      <c r="CY349" s="25" t="n"/>
      <c r="DC349" s="26" t="n"/>
      <c r="DD349" s="26" t="n"/>
      <c r="DE349" s="26" t="n"/>
      <c r="DF349" s="26" t="n"/>
      <c r="DG349" s="26" t="n"/>
      <c r="DH349" s="27" t="n"/>
      <c r="DJ349" s="211" t="inlineStr">
        <is>
          <t>订单表中未找到</t>
        </is>
      </c>
      <c r="DK349" t="inlineStr">
        <is>
          <t>—</t>
        </is>
      </c>
      <c r="DL349" t="inlineStr">
        <is>
          <t>—</t>
        </is>
      </c>
    </row>
    <row r="350" ht="15.75" customHeight="1" s="187">
      <c r="A350" s="84" t="n">
        <v>45955</v>
      </c>
      <c r="B350" s="206" t="inlineStr">
        <is>
          <t>已收货</t>
        </is>
      </c>
      <c r="C350" s="86" t="inlineStr">
        <is>
          <t>4835965933674278004</t>
        </is>
      </c>
      <c r="D350" s="86" t="inlineStr">
        <is>
          <t>修小姐</t>
        </is>
      </c>
      <c r="E350" s="87" t="n"/>
      <c r="F350" s="87" t="n"/>
      <c r="G350" s="207" t="inlineStr">
        <is>
          <t>定制2.1洞石柜</t>
        </is>
      </c>
      <c r="H350" s="207" t="inlineStr">
        <is>
          <t>洞石餐边柜</t>
        </is>
      </c>
      <c r="I350" s="89" t="n">
        <v>2100</v>
      </c>
      <c r="J350" s="87" t="inlineStr">
        <is>
          <t>已结算</t>
        </is>
      </c>
      <c r="K350" s="86" t="inlineStr">
        <is>
          <t>庄毅</t>
        </is>
      </c>
      <c r="L350" s="216">
        <f>6300+45*2+2040/6/1.5+76+2.1*0.58*160+(2.1+0.5*2)*60+10+20+501.08+10+40+14+657.08</f>
        <v/>
      </c>
      <c r="M350" s="207">
        <f>6300</f>
        <v/>
      </c>
      <c r="N350" s="207" t="n">
        <v>501.08</v>
      </c>
      <c r="O350" s="207">
        <f>2040/6/1.5</f>
        <v/>
      </c>
      <c r="P350" s="207" t="n">
        <v>76</v>
      </c>
      <c r="Q350" s="207">
        <f>45*2</f>
        <v/>
      </c>
      <c r="R350" s="207">
        <f>2.1*0.58*160+(2.1+0.5*2)*60+30</f>
        <v/>
      </c>
      <c r="S350" s="207" t="n"/>
      <c r="T350" s="207" t="n"/>
      <c r="U350" s="207" t="n"/>
      <c r="V350" s="207" t="n"/>
      <c r="W350" s="207" t="n">
        <v>10</v>
      </c>
      <c r="X350" s="207" t="n">
        <v>20</v>
      </c>
      <c r="Y350" s="207" t="n"/>
      <c r="Z350" s="207">
        <f>3.5+14</f>
        <v/>
      </c>
      <c r="AA350" s="207" t="n"/>
      <c r="AB350" s="207" t="n"/>
      <c r="AC350" s="207" t="n"/>
      <c r="AD350" s="207" t="n">
        <v>40</v>
      </c>
      <c r="AE350" s="207" t="n">
        <v>10</v>
      </c>
      <c r="AF350" s="207" t="n">
        <v>14</v>
      </c>
      <c r="AG350" s="207" t="n"/>
      <c r="AH350" s="207" t="n"/>
      <c r="AI350" s="207" t="n"/>
      <c r="AJ350" s="207" t="n">
        <v>657.08</v>
      </c>
      <c r="AK350" s="207" t="n"/>
      <c r="AL350" s="207" t="n"/>
      <c r="AM350" s="207" t="n"/>
      <c r="AN350" s="207" t="n"/>
      <c r="AO350" s="207" t="n"/>
      <c r="AP350" s="207" t="n">
        <v>653</v>
      </c>
      <c r="AQ350" s="207" t="n">
        <v>0</v>
      </c>
      <c r="AR350" s="207" t="n">
        <v>198</v>
      </c>
      <c r="AS350" s="207" t="n">
        <v>0</v>
      </c>
      <c r="AT350" s="207" t="n">
        <v>0</v>
      </c>
      <c r="AU350" s="207" t="n">
        <v>0</v>
      </c>
      <c r="AV350" s="207" t="n">
        <v>0</v>
      </c>
      <c r="AW350" s="207" t="n">
        <v>1200</v>
      </c>
      <c r="AX350" s="208" t="n">
        <v>1</v>
      </c>
      <c r="AY350" s="209">
        <f>L350*AX350+AP350+AQ350+AR350+AV350+AW350+AS350+AT350+AU350</f>
        <v/>
      </c>
      <c r="AZ350" s="207" t="n">
        <v>11339.9</v>
      </c>
      <c r="BA350" s="207" t="n">
        <v>0</v>
      </c>
      <c r="BB350" s="207">
        <f>AZ350*0.006</f>
        <v/>
      </c>
      <c r="BC350" s="209">
        <f>AZ350+BA350-BB350</f>
        <v/>
      </c>
      <c r="BD350" s="207" t="n">
        <v>0</v>
      </c>
      <c r="BE350" s="207" t="n">
        <v>0</v>
      </c>
      <c r="BF350" s="209">
        <f>BD350+BE350</f>
        <v/>
      </c>
      <c r="BG350" s="209">
        <f>BC350-AY350+BF350</f>
        <v/>
      </c>
      <c r="BH350" s="86" t="inlineStr">
        <is>
          <t>修小姐</t>
        </is>
      </c>
      <c r="BI350" s="86" t="inlineStr">
        <is>
          <t>北京 北京市 房山区 城关街道原香汇2号楼501</t>
        </is>
      </c>
      <c r="BJ350" s="86" t="inlineStr">
        <is>
          <t>13141344061-2500</t>
        </is>
      </c>
      <c r="BK350" s="86" t="n"/>
      <c r="BL350" s="210" t="n"/>
      <c r="BM350" s="93" t="n"/>
      <c r="BN350" s="94" t="n"/>
      <c r="BO350" s="93" t="n"/>
      <c r="BP350" s="86" t="n"/>
      <c r="BQ350" s="96" t="n"/>
      <c r="BR350" s="96" t="n"/>
      <c r="BS350" s="97" t="n"/>
      <c r="BT350" s="96" t="n"/>
      <c r="BU350" s="97" t="n"/>
      <c r="BV350" s="96" t="n"/>
      <c r="BW350" s="97" t="n"/>
      <c r="BX350" s="97" t="n"/>
      <c r="BY350" s="97" t="n"/>
      <c r="BZ350" s="97" t="n"/>
      <c r="CH350" s="2" t="n"/>
      <c r="CI350" s="14" t="n"/>
      <c r="CJ350" s="25" t="n"/>
      <c r="CK350" s="25" t="n"/>
      <c r="CL350" s="25" t="n"/>
      <c r="CM350" s="25" t="n"/>
      <c r="CN350" s="25" t="n"/>
      <c r="CO350" s="25" t="n"/>
      <c r="CP350" s="25" t="n"/>
      <c r="CQ350" s="25" t="n"/>
      <c r="CR350" s="25" t="n"/>
      <c r="CS350" s="25" t="n"/>
      <c r="CT350" s="25" t="n"/>
      <c r="CU350" s="25" t="n"/>
      <c r="CV350" s="25" t="n"/>
      <c r="CW350" s="25" t="n"/>
      <c r="CX350" s="25" t="n"/>
      <c r="CY350" s="25" t="n"/>
      <c r="DC350" s="26" t="n"/>
      <c r="DD350" s="26" t="n"/>
      <c r="DE350" s="26" t="n"/>
      <c r="DF350" s="26" t="n"/>
      <c r="DG350" s="26" t="n"/>
      <c r="DH350" s="27" t="n"/>
      <c r="DJ350" s="211" t="inlineStr">
        <is>
          <t>订单表中未找到</t>
        </is>
      </c>
      <c r="DK350" t="inlineStr">
        <is>
          <t>—</t>
        </is>
      </c>
      <c r="DL350" t="inlineStr">
        <is>
          <t>—</t>
        </is>
      </c>
    </row>
    <row r="351" ht="15.75" customHeight="1" s="187">
      <c r="A351" s="84" t="n">
        <v>45955</v>
      </c>
      <c r="B351" s="206" t="inlineStr">
        <is>
          <t>已收货</t>
        </is>
      </c>
      <c r="C351" s="86" t="inlineStr">
        <is>
          <t>4835859591277938329</t>
        </is>
      </c>
      <c r="D351" s="86" t="inlineStr">
        <is>
          <t>茂集-97765552</t>
        </is>
      </c>
      <c r="E351" s="87" t="n"/>
      <c r="F351" s="87" t="n"/>
      <c r="G351" s="207" t="inlineStr">
        <is>
          <t>样块</t>
        </is>
      </c>
      <c r="H351" s="207" t="inlineStr">
        <is>
          <t>样块</t>
        </is>
      </c>
      <c r="I351" s="89" t="n"/>
      <c r="J351" s="87" t="inlineStr">
        <is>
          <t>已结算</t>
        </is>
      </c>
      <c r="K351" s="86" t="inlineStr">
        <is>
          <t>杭州</t>
        </is>
      </c>
      <c r="L351" s="207">
        <f>SUM(M351:AO351)</f>
        <v/>
      </c>
      <c r="M351" s="207" t="n">
        <v>5</v>
      </c>
      <c r="N351" s="207" t="n"/>
      <c r="O351" s="207" t="n"/>
      <c r="P351" s="207" t="n"/>
      <c r="Q351" s="207" t="n"/>
      <c r="R351" s="207" t="n"/>
      <c r="S351" s="207" t="n"/>
      <c r="T351" s="207" t="n"/>
      <c r="U351" s="207" t="n"/>
      <c r="V351" s="207" t="n"/>
      <c r="W351" s="207" t="n"/>
      <c r="X351" s="207" t="n"/>
      <c r="Y351" s="207" t="n"/>
      <c r="Z351" s="207" t="n"/>
      <c r="AA351" s="207" t="n"/>
      <c r="AB351" s="207" t="n"/>
      <c r="AC351" s="207" t="n"/>
      <c r="AD351" s="207" t="n"/>
      <c r="AE351" s="207" t="n"/>
      <c r="AF351" s="207" t="n"/>
      <c r="AG351" s="207" t="n"/>
      <c r="AH351" s="207" t="n"/>
      <c r="AI351" s="207" t="n"/>
      <c r="AJ351" s="207" t="n"/>
      <c r="AK351" s="207" t="n"/>
      <c r="AL351" s="207" t="n"/>
      <c r="AM351" s="207" t="n">
        <v>2</v>
      </c>
      <c r="AN351" s="207" t="n"/>
      <c r="AO351" s="207" t="n"/>
      <c r="AP351" s="207" t="n">
        <v>5</v>
      </c>
      <c r="AQ351" s="207" t="n">
        <v>0</v>
      </c>
      <c r="AR351" s="207" t="n">
        <v>0</v>
      </c>
      <c r="AS351" s="207" t="n">
        <v>0</v>
      </c>
      <c r="AT351" s="207" t="n">
        <v>0</v>
      </c>
      <c r="AU351" s="207" t="n">
        <v>0</v>
      </c>
      <c r="AV351" s="207" t="n">
        <v>0</v>
      </c>
      <c r="AW351" s="207" t="n">
        <v>0</v>
      </c>
      <c r="AX351" s="208" t="n">
        <v>1</v>
      </c>
      <c r="AY351" s="209">
        <f>L351*AX351+AP351+AQ351+AR351+AV351+AW351+AS351+AT351+AU351</f>
        <v/>
      </c>
      <c r="AZ351" s="207" t="n">
        <v>21.2</v>
      </c>
      <c r="BA351" s="207" t="n">
        <v>0</v>
      </c>
      <c r="BB351" s="207">
        <f>AZ351*0.006</f>
        <v/>
      </c>
      <c r="BC351" s="209">
        <f>AZ351+BA351-BB351</f>
        <v/>
      </c>
      <c r="BD351" s="207" t="n">
        <v>0</v>
      </c>
      <c r="BE351" s="207" t="n">
        <v>0</v>
      </c>
      <c r="BF351" s="209">
        <f>BD351+BE351</f>
        <v/>
      </c>
      <c r="BG351" s="209">
        <f>BC351-AY351+BF351</f>
        <v/>
      </c>
      <c r="BH351" s="86" t="inlineStr">
        <is>
          <t>茂集-97765552</t>
        </is>
      </c>
      <c r="BI351" s="86" t="inlineStr">
        <is>
          <t>广东省 东莞市  虎门镇怀德路278号(轉-會員380145/pasu0072004)</t>
        </is>
      </c>
      <c r="BJ351" s="86" t="inlineStr">
        <is>
          <t>17896420306-9902</t>
        </is>
      </c>
      <c r="BK351" s="86" t="n"/>
      <c r="BL351" s="210" t="n"/>
      <c r="BM351" s="93" t="n"/>
      <c r="BN351" s="94" t="n"/>
      <c r="BO351" s="93" t="n"/>
      <c r="BP351" s="86" t="n"/>
      <c r="BQ351" s="96" t="n"/>
      <c r="BR351" s="96" t="n"/>
      <c r="BS351" s="97" t="n"/>
      <c r="BT351" s="96" t="n"/>
      <c r="BU351" s="97" t="n"/>
      <c r="BV351" s="96" t="n"/>
      <c r="BW351" s="97" t="n"/>
      <c r="BX351" s="97" t="n"/>
      <c r="BY351" s="97" t="n"/>
      <c r="BZ351" s="97" t="n"/>
      <c r="CH351" s="2" t="n"/>
      <c r="CI351" s="14" t="n"/>
      <c r="CJ351" s="25" t="n"/>
      <c r="CK351" s="25" t="n"/>
      <c r="CL351" s="25" t="n"/>
      <c r="CM351" s="25" t="n"/>
      <c r="CN351" s="25" t="n"/>
      <c r="CO351" s="25" t="n"/>
      <c r="CP351" s="25" t="n"/>
      <c r="CQ351" s="25" t="n"/>
      <c r="CR351" s="25" t="n"/>
      <c r="CS351" s="25" t="n"/>
      <c r="CT351" s="25" t="n"/>
      <c r="CU351" s="25" t="n"/>
      <c r="CV351" s="25" t="n"/>
      <c r="CW351" s="25" t="n"/>
      <c r="CX351" s="25" t="n"/>
      <c r="CY351" s="25" t="n"/>
      <c r="DC351" s="26" t="n"/>
      <c r="DD351" s="26" t="n"/>
      <c r="DE351" s="26" t="n"/>
      <c r="DF351" s="26" t="n"/>
      <c r="DG351" s="26" t="n"/>
      <c r="DH351" s="27" t="n"/>
      <c r="DJ351" s="211" t="inlineStr">
        <is>
          <t>订单表中未找到</t>
        </is>
      </c>
      <c r="DK351" t="inlineStr">
        <is>
          <t>—</t>
        </is>
      </c>
      <c r="DL351" t="inlineStr">
        <is>
          <t>—</t>
        </is>
      </c>
    </row>
    <row r="352" ht="15.75" customHeight="1" s="187">
      <c r="A352" s="84" t="n">
        <v>45955</v>
      </c>
      <c r="B352" s="206" t="inlineStr">
        <is>
          <t>已收货</t>
        </is>
      </c>
      <c r="C352" s="86" t="inlineStr">
        <is>
          <t>4835882234024582702</t>
        </is>
      </c>
      <c r="D352" s="86" t="inlineStr">
        <is>
          <t>黄云黎</t>
        </is>
      </c>
      <c r="E352" s="87" t="n"/>
      <c r="F352" s="87" t="n"/>
      <c r="G352" s="207" t="inlineStr">
        <is>
          <t>窄柜-整柜洞石背板-0.8米</t>
        </is>
      </c>
      <c r="H352" s="207" t="inlineStr">
        <is>
          <t>樱桃木窄柜</t>
        </is>
      </c>
      <c r="I352" s="89" t="n">
        <v>800</v>
      </c>
      <c r="J352" s="87" t="inlineStr">
        <is>
          <t>已结算</t>
        </is>
      </c>
      <c r="K352" s="86" t="inlineStr">
        <is>
          <t>庄毅</t>
        </is>
      </c>
      <c r="L352" s="207">
        <f>115+1.16+3.37+3100+1.1+1.03+60/2+4+307.08+54.9+3+0.8*0.48*160+30*5+10</f>
        <v/>
      </c>
      <c r="M352" s="207">
        <f>3100</f>
        <v/>
      </c>
      <c r="N352" s="207">
        <f>0.758*260+2*55</f>
        <v/>
      </c>
      <c r="O352" s="207">
        <f>115</f>
        <v/>
      </c>
      <c r="P352" s="207" t="n"/>
      <c r="Q352" s="207">
        <f>15*2</f>
        <v/>
      </c>
      <c r="R352" s="207">
        <f>0.8*0.48*160+30</f>
        <v/>
      </c>
      <c r="S352" s="207" t="n">
        <v>54.9</v>
      </c>
      <c r="T352" s="207" t="n"/>
      <c r="U352" s="207" t="n"/>
      <c r="V352" s="207" t="n">
        <v>4</v>
      </c>
      <c r="W352" s="207" t="n"/>
      <c r="X352" s="207" t="n"/>
      <c r="Y352" s="207" t="n"/>
      <c r="Z352" s="207" t="n"/>
      <c r="AA352" s="207" t="n"/>
      <c r="AB352" s="207" t="n"/>
      <c r="AC352" s="207" t="n">
        <v>3.5</v>
      </c>
      <c r="AD352" s="207" t="n"/>
      <c r="AE352" s="207" t="n">
        <v>3</v>
      </c>
      <c r="AF352" s="207" t="n"/>
      <c r="AG352" s="207" t="n"/>
      <c r="AH352" s="207" t="n"/>
      <c r="AI352" s="207" t="n"/>
      <c r="AJ352" s="207" t="n">
        <v>1.2</v>
      </c>
      <c r="AK352" s="207" t="n"/>
      <c r="AL352" s="207" t="n"/>
      <c r="AM352" s="207" t="n"/>
      <c r="AN352" s="207" t="n"/>
      <c r="AO352" s="207" t="n"/>
      <c r="AP352" s="207" t="n">
        <v>232</v>
      </c>
      <c r="AQ352" s="207" t="n"/>
      <c r="AR352" s="121" t="n">
        <v>150</v>
      </c>
      <c r="AS352" s="207" t="n">
        <v>0</v>
      </c>
      <c r="AT352" s="207" t="n">
        <v>0</v>
      </c>
      <c r="AU352" s="207" t="n">
        <v>0</v>
      </c>
      <c r="AV352" s="207" t="n">
        <v>0</v>
      </c>
      <c r="AW352" s="207" t="n">
        <v>0</v>
      </c>
      <c r="AX352" s="208" t="n">
        <v>1</v>
      </c>
      <c r="AY352" s="209">
        <f>L352*AX352+AP352+AQ352+AR352+AV352+AW352+AS352+AT352+AU352</f>
        <v/>
      </c>
      <c r="AZ352" s="207" t="n">
        <v>4824.5</v>
      </c>
      <c r="BA352" s="207" t="n">
        <v>0</v>
      </c>
      <c r="BB352" s="207">
        <f>AZ352*0.006</f>
        <v/>
      </c>
      <c r="BC352" s="209">
        <f>AZ352+BA352-BB352</f>
        <v/>
      </c>
      <c r="BD352" s="207" t="n">
        <v>0</v>
      </c>
      <c r="BE352" s="207" t="n">
        <v>0</v>
      </c>
      <c r="BF352" s="209">
        <f>BD352+BE352</f>
        <v/>
      </c>
      <c r="BG352" s="209">
        <f>BC352-AY352+BF352</f>
        <v/>
      </c>
      <c r="BH352" s="86" t="inlineStr">
        <is>
          <t>黄云黎</t>
        </is>
      </c>
      <c r="BI352" s="86" t="inlineStr">
        <is>
          <t>上海 上海市 静安区 芷江西路街道芷江西路285弄13号104室甲</t>
        </is>
      </c>
      <c r="BJ352" s="86" t="inlineStr">
        <is>
          <t>13162902774-1433，</t>
        </is>
      </c>
      <c r="BK352" s="86" t="n"/>
      <c r="BL352" s="210" t="n"/>
      <c r="BM352" s="93" t="n"/>
      <c r="BN352" s="94" t="n"/>
      <c r="BO352" s="93" t="n"/>
      <c r="BP352" s="86" t="n"/>
      <c r="BQ352" s="96" t="n"/>
      <c r="BR352" s="96" t="n"/>
      <c r="BS352" s="97" t="n"/>
      <c r="BT352" s="96" t="n"/>
      <c r="BU352" s="97" t="n"/>
      <c r="BV352" s="96" t="n"/>
      <c r="BW352" s="97" t="n"/>
      <c r="BX352" s="97" t="n"/>
      <c r="BY352" s="97" t="n"/>
      <c r="BZ352" s="97" t="n"/>
      <c r="CH352" s="2" t="n"/>
      <c r="CI352" s="14" t="n"/>
      <c r="CJ352" s="25" t="n"/>
      <c r="CK352" s="25" t="n"/>
      <c r="CL352" s="25" t="n"/>
      <c r="CM352" s="25" t="n"/>
      <c r="CN352" s="25" t="n"/>
      <c r="CO352" s="25" t="n"/>
      <c r="CP352" s="25" t="n"/>
      <c r="CQ352" s="25" t="n"/>
      <c r="CR352" s="25" t="n"/>
      <c r="CS352" s="25" t="n"/>
      <c r="CT352" s="25" t="n"/>
      <c r="CU352" s="25" t="n"/>
      <c r="CV352" s="25" t="n"/>
      <c r="CW352" s="25" t="n"/>
      <c r="CX352" s="25" t="n"/>
      <c r="CY352" s="25" t="n"/>
      <c r="DC352" s="26" t="n"/>
      <c r="DD352" s="26" t="n"/>
      <c r="DE352" s="26" t="n"/>
      <c r="DF352" s="26" t="n"/>
      <c r="DG352" s="26" t="n"/>
      <c r="DH352" s="27" t="n"/>
      <c r="DJ352" s="211" t="inlineStr">
        <is>
          <t>订单表中未找到</t>
        </is>
      </c>
      <c r="DK352" t="inlineStr">
        <is>
          <t>—</t>
        </is>
      </c>
      <c r="DL352" t="inlineStr">
        <is>
          <t>—</t>
        </is>
      </c>
    </row>
    <row r="353" ht="15.75" customHeight="1" s="187">
      <c r="A353" s="84" t="n">
        <v>45955</v>
      </c>
      <c r="B353" s="206" t="inlineStr">
        <is>
          <t>已收货</t>
        </is>
      </c>
      <c r="C353" s="86" t="inlineStr">
        <is>
          <t>4836212676540513340</t>
        </is>
      </c>
      <c r="D353" s="86" t="inlineStr">
        <is>
          <t>肖健雄</t>
        </is>
      </c>
      <c r="E353" s="87" t="n"/>
      <c r="F353" s="87" t="n"/>
      <c r="G353" s="87" t="inlineStr">
        <is>
          <t>砂白色1.8米岩板餐桌，定制</t>
        </is>
      </c>
      <c r="H353" s="220" t="inlineStr">
        <is>
          <t>榉木餐桌</t>
        </is>
      </c>
      <c r="I353" s="218" t="inlineStr">
        <is>
          <t>180cm*80cm</t>
        </is>
      </c>
      <c r="J353" s="87" t="inlineStr">
        <is>
          <t>已结算</t>
        </is>
      </c>
      <c r="K353" s="86" t="inlineStr">
        <is>
          <t>庄毅</t>
        </is>
      </c>
      <c r="L353" s="207">
        <f>SUM(M353:AO353)</f>
        <v/>
      </c>
      <c r="M353" s="207">
        <f>1550</f>
        <v/>
      </c>
      <c r="N353" s="207" t="n"/>
      <c r="O353" s="207" t="n"/>
      <c r="P353" s="207" t="n"/>
      <c r="Q353" s="207" t="n"/>
      <c r="R353" s="207">
        <f>180*1.8*0.8</f>
        <v/>
      </c>
      <c r="S353" s="207" t="n"/>
      <c r="T353" s="207" t="n"/>
      <c r="U353" s="207" t="n"/>
      <c r="V353" s="207" t="n"/>
      <c r="W353" s="207" t="n"/>
      <c r="X353" s="207" t="n"/>
      <c r="Y353" s="207" t="n"/>
      <c r="Z353" s="207" t="n"/>
      <c r="AA353" s="207" t="n"/>
      <c r="AB353" s="207" t="n"/>
      <c r="AC353" s="207" t="n"/>
      <c r="AD353" s="207" t="n">
        <v>2.5</v>
      </c>
      <c r="AE353" s="207" t="n"/>
      <c r="AF353" s="207" t="n"/>
      <c r="AG353" s="207" t="n"/>
      <c r="AH353" s="207" t="n"/>
      <c r="AI353" s="207" t="n"/>
      <c r="AJ353" s="207" t="n"/>
      <c r="AK353" s="207" t="n"/>
      <c r="AL353" s="207" t="n"/>
      <c r="AM353" s="207" t="n"/>
      <c r="AN353" s="207" t="n"/>
      <c r="AO353" s="207" t="n"/>
      <c r="AP353" s="207" t="n">
        <v>214</v>
      </c>
      <c r="AQ353" s="207" t="n">
        <v>0</v>
      </c>
      <c r="AR353" s="207" t="n">
        <v>76</v>
      </c>
      <c r="AS353" s="207" t="n">
        <v>0</v>
      </c>
      <c r="AT353" s="207" t="n">
        <v>0</v>
      </c>
      <c r="AU353" s="207" t="n">
        <v>0</v>
      </c>
      <c r="AV353" s="207" t="n">
        <v>0</v>
      </c>
      <c r="AW353" s="207" t="n">
        <v>0</v>
      </c>
      <c r="AX353" s="208" t="n">
        <v>1</v>
      </c>
      <c r="AY353" s="209">
        <f>L353*AX353+AP353+AQ353+AR353+AV353+AW353+AS353+AT353+AU353</f>
        <v/>
      </c>
      <c r="AZ353" s="207" t="n">
        <v>2789.6</v>
      </c>
      <c r="BA353" s="207" t="n">
        <v>0</v>
      </c>
      <c r="BB353" s="207">
        <f>AZ353*0.006</f>
        <v/>
      </c>
      <c r="BC353" s="209">
        <f>AZ353+BA353-BB353</f>
        <v/>
      </c>
      <c r="BD353" s="207" t="n">
        <v>0</v>
      </c>
      <c r="BE353" s="207" t="n">
        <v>0</v>
      </c>
      <c r="BF353" s="209">
        <f>BD353+BE353</f>
        <v/>
      </c>
      <c r="BG353" s="209">
        <f>BC353-AY353+BF353</f>
        <v/>
      </c>
      <c r="BH353" s="207" t="inlineStr">
        <is>
          <t>肖健雄</t>
        </is>
      </c>
      <c r="BI353" s="207" t="inlineStr">
        <is>
          <t>河南省 郑州市 金水区 丰产路街道经二路与红旗路交叉口融创瀚海兰园小区9号楼一单元1508</t>
        </is>
      </c>
      <c r="BJ353" s="207" t="inlineStr">
        <is>
          <t>15784504540-6403</t>
        </is>
      </c>
      <c r="BK353" s="86" t="n"/>
      <c r="BL353" s="210" t="n"/>
      <c r="BM353" s="93" t="n"/>
      <c r="BN353" s="94" t="n"/>
      <c r="BO353" s="93" t="n"/>
      <c r="BP353" s="86" t="n"/>
      <c r="BQ353" s="96" t="n"/>
      <c r="BR353" s="96" t="n"/>
      <c r="BS353" s="97" t="n"/>
      <c r="BT353" s="96" t="n"/>
      <c r="BU353" s="97" t="n"/>
      <c r="BV353" s="96" t="n"/>
      <c r="BW353" s="97" t="n"/>
      <c r="BX353" s="97" t="n"/>
      <c r="BY353" s="97" t="n"/>
      <c r="BZ353" s="97" t="n"/>
      <c r="CH353" s="2" t="n"/>
      <c r="CI353" s="14" t="n"/>
      <c r="CJ353" s="25" t="n"/>
      <c r="CK353" s="25" t="n"/>
      <c r="CL353" s="25" t="n"/>
      <c r="CM353" s="25" t="n"/>
      <c r="CN353" s="25" t="n"/>
      <c r="CO353" s="25" t="n"/>
      <c r="CP353" s="25" t="n"/>
      <c r="CQ353" s="25" t="n"/>
      <c r="CR353" s="25" t="n"/>
      <c r="CS353" s="25" t="n"/>
      <c r="CT353" s="25" t="n"/>
      <c r="CU353" s="25" t="n"/>
      <c r="CV353" s="25" t="n"/>
      <c r="CW353" s="25" t="n"/>
      <c r="CX353" s="25" t="n"/>
      <c r="CY353" s="25" t="n"/>
      <c r="DC353" s="26" t="n"/>
      <c r="DD353" s="26" t="n"/>
      <c r="DE353" s="26" t="n"/>
      <c r="DF353" s="26" t="n"/>
      <c r="DG353" s="26" t="n"/>
      <c r="DH353" s="27" t="n"/>
      <c r="DJ353" s="211" t="inlineStr">
        <is>
          <t>订单表中未找到</t>
        </is>
      </c>
      <c r="DK353" t="inlineStr">
        <is>
          <t>—</t>
        </is>
      </c>
      <c r="DL353" t="inlineStr">
        <is>
          <t>—</t>
        </is>
      </c>
    </row>
    <row r="354" ht="15.75" customHeight="1" s="187">
      <c r="A354" s="84" t="n">
        <v>45956</v>
      </c>
      <c r="B354" s="206" t="inlineStr">
        <is>
          <t>已收货</t>
        </is>
      </c>
      <c r="C354" s="86" t="inlineStr">
        <is>
          <t>3021275858465391972</t>
        </is>
      </c>
      <c r="D354" s="86" t="inlineStr">
        <is>
          <t>许京哲</t>
        </is>
      </c>
      <c r="E354" s="87" t="n"/>
      <c r="F354" s="87" t="n"/>
      <c r="G354" s="207" t="inlineStr">
        <is>
          <t>样块</t>
        </is>
      </c>
      <c r="H354" s="207" t="inlineStr">
        <is>
          <t>样块</t>
        </is>
      </c>
      <c r="I354" s="89" t="n"/>
      <c r="J354" s="87" t="inlineStr">
        <is>
          <t>已结算</t>
        </is>
      </c>
      <c r="K354" s="86" t="inlineStr">
        <is>
          <t>杭州</t>
        </is>
      </c>
      <c r="L354" s="207">
        <f>SUM(M354:AO354)</f>
        <v/>
      </c>
      <c r="M354" s="207" t="n">
        <v>5</v>
      </c>
      <c r="N354" s="207" t="n"/>
      <c r="O354" s="207" t="n"/>
      <c r="P354" s="207" t="n"/>
      <c r="Q354" s="207" t="n"/>
      <c r="R354" s="207" t="n"/>
      <c r="S354" s="207" t="n"/>
      <c r="T354" s="207" t="n"/>
      <c r="U354" s="207" t="n"/>
      <c r="V354" s="207" t="n"/>
      <c r="W354" s="207" t="n"/>
      <c r="X354" s="207" t="n"/>
      <c r="Y354" s="207" t="n"/>
      <c r="Z354" s="207" t="n"/>
      <c r="AA354" s="207" t="n"/>
      <c r="AB354" s="207" t="n"/>
      <c r="AC354" s="207" t="n"/>
      <c r="AD354" s="207" t="n"/>
      <c r="AE354" s="207" t="n"/>
      <c r="AF354" s="207" t="n"/>
      <c r="AG354" s="207" t="n"/>
      <c r="AH354" s="207" t="n"/>
      <c r="AI354" s="207" t="n"/>
      <c r="AJ354" s="207" t="n"/>
      <c r="AK354" s="207" t="n"/>
      <c r="AL354" s="207" t="n"/>
      <c r="AM354" s="207" t="n">
        <v>2</v>
      </c>
      <c r="AN354" s="207" t="n"/>
      <c r="AO354" s="207" t="n"/>
      <c r="AP354" s="207" t="n">
        <v>5</v>
      </c>
      <c r="AQ354" s="207" t="n">
        <v>0</v>
      </c>
      <c r="AR354" s="207" t="n">
        <v>0</v>
      </c>
      <c r="AS354" s="207" t="n">
        <v>0</v>
      </c>
      <c r="AT354" s="207" t="n">
        <v>0</v>
      </c>
      <c r="AU354" s="207" t="n">
        <v>0</v>
      </c>
      <c r="AV354" s="207" t="n">
        <v>0</v>
      </c>
      <c r="AW354" s="207" t="n">
        <v>0</v>
      </c>
      <c r="AX354" s="208" t="n">
        <v>1</v>
      </c>
      <c r="AY354" s="209">
        <f>L354*AX354+AP354+AQ354+AR354+AV354+AW354+AS354+AT354+AU354</f>
        <v/>
      </c>
      <c r="AZ354" s="207" t="n">
        <v>21.2</v>
      </c>
      <c r="BA354" s="207" t="n">
        <v>0</v>
      </c>
      <c r="BB354" s="207">
        <f>AZ354*0.006</f>
        <v/>
      </c>
      <c r="BC354" s="209">
        <f>AZ354+BA354-BB354</f>
        <v/>
      </c>
      <c r="BD354" s="207" t="n">
        <v>0</v>
      </c>
      <c r="BE354" s="207" t="n">
        <v>0</v>
      </c>
      <c r="BF354" s="209">
        <f>BD354+BE354</f>
        <v/>
      </c>
      <c r="BG354" s="209">
        <f>BC354-AY354+BF354</f>
        <v/>
      </c>
      <c r="BH354" s="86" t="inlineStr">
        <is>
          <t>许京哲</t>
        </is>
      </c>
      <c r="BI354" s="207" t="n"/>
      <c r="BJ354" s="207" t="n"/>
      <c r="BK354" s="86" t="n"/>
      <c r="BL354" s="210" t="n"/>
      <c r="BM354" s="93" t="n"/>
      <c r="BN354" s="94" t="n"/>
      <c r="BO354" s="93" t="n"/>
      <c r="BP354" s="86" t="n"/>
      <c r="BQ354" s="96" t="n"/>
      <c r="BR354" s="96" t="n"/>
      <c r="BS354" s="97" t="n"/>
      <c r="BT354" s="96" t="n"/>
      <c r="BU354" s="97" t="n"/>
      <c r="BV354" s="96" t="n"/>
      <c r="BW354" s="97" t="n"/>
      <c r="BX354" s="97" t="n"/>
      <c r="BY354" s="97" t="n"/>
      <c r="BZ354" s="97" t="n"/>
      <c r="CH354" s="2" t="n"/>
      <c r="CI354" s="14" t="n"/>
      <c r="CJ354" s="25" t="n"/>
      <c r="CK354" s="25" t="n"/>
      <c r="CL354" s="25" t="n"/>
      <c r="CM354" s="25" t="n"/>
      <c r="CN354" s="25" t="n"/>
      <c r="CO354" s="25" t="n"/>
      <c r="CP354" s="25" t="n"/>
      <c r="CQ354" s="25" t="n"/>
      <c r="CR354" s="25" t="n"/>
      <c r="CS354" s="25" t="n"/>
      <c r="CT354" s="25" t="n"/>
      <c r="CU354" s="25" t="n"/>
      <c r="CV354" s="25" t="n"/>
      <c r="CW354" s="25" t="n"/>
      <c r="CX354" s="25" t="n"/>
      <c r="CY354" s="25" t="n"/>
      <c r="DC354" s="26" t="n"/>
      <c r="DD354" s="26" t="n"/>
      <c r="DE354" s="26" t="n"/>
      <c r="DF354" s="26" t="n"/>
      <c r="DG354" s="26" t="n"/>
      <c r="DH354" s="27" t="n"/>
      <c r="DJ354" s="211" t="inlineStr">
        <is>
          <t>订单表中未找到</t>
        </is>
      </c>
      <c r="DK354" t="inlineStr">
        <is>
          <t>—</t>
        </is>
      </c>
      <c r="DL354" t="inlineStr">
        <is>
          <t>—</t>
        </is>
      </c>
    </row>
    <row r="355" ht="15.75" customHeight="1" s="187">
      <c r="A355" s="84" t="n">
        <v>45956</v>
      </c>
      <c r="B355" s="206" t="inlineStr">
        <is>
          <t>已收货</t>
        </is>
      </c>
      <c r="C355" s="86" t="inlineStr">
        <is>
          <t>3021648458805031288</t>
        </is>
      </c>
      <c r="D355" s="86" t="inlineStr">
        <is>
          <t>唐靓靓</t>
        </is>
      </c>
      <c r="E355" s="87" t="n"/>
      <c r="F355" s="87" t="n"/>
      <c r="G355" s="87" t="inlineStr">
        <is>
          <t>2.1洞石柜</t>
        </is>
      </c>
      <c r="H355" s="207" t="inlineStr">
        <is>
          <t>洞石餐边柜</t>
        </is>
      </c>
      <c r="I355" s="89" t="n">
        <v>2100</v>
      </c>
      <c r="J355" s="87" t="inlineStr">
        <is>
          <t>已结算</t>
        </is>
      </c>
      <c r="K355" s="86" t="inlineStr">
        <is>
          <t>庄毅</t>
        </is>
      </c>
      <c r="L355" s="207">
        <f>5960+45*2+2040/6/1.5+76+2.1*0.58*160+(2.1+0.5*2)*60+10+20+501.08+10+40+14+657.08</f>
        <v/>
      </c>
      <c r="M355" s="207">
        <f>5960</f>
        <v/>
      </c>
      <c r="N355" s="207" t="n">
        <v>501.08</v>
      </c>
      <c r="O355" s="207">
        <f>2040/6/1.5</f>
        <v/>
      </c>
      <c r="P355" s="207" t="n">
        <v>76</v>
      </c>
      <c r="Q355" s="207">
        <f>45*2</f>
        <v/>
      </c>
      <c r="R355" s="207">
        <f>2.1*0.58*160+(2.1+0.5*2)*60+30</f>
        <v/>
      </c>
      <c r="S355" s="207" t="n"/>
      <c r="T355" s="207" t="n"/>
      <c r="U355" s="207" t="n"/>
      <c r="V355" s="207" t="n"/>
      <c r="W355" s="207" t="n">
        <v>10</v>
      </c>
      <c r="X355" s="207" t="n">
        <v>20</v>
      </c>
      <c r="Y355" s="207" t="n"/>
      <c r="Z355" s="207">
        <f>3.5+14</f>
        <v/>
      </c>
      <c r="AA355" s="207" t="n"/>
      <c r="AB355" s="207" t="n"/>
      <c r="AC355" s="207" t="n"/>
      <c r="AD355" s="207" t="n">
        <v>40</v>
      </c>
      <c r="AE355" s="207" t="n">
        <v>10</v>
      </c>
      <c r="AF355" s="207" t="n">
        <v>14</v>
      </c>
      <c r="AG355" s="207" t="n"/>
      <c r="AH355" s="207" t="n"/>
      <c r="AI355" s="207" t="n"/>
      <c r="AJ355" s="207" t="n">
        <v>657.08</v>
      </c>
      <c r="AK355" s="207" t="n"/>
      <c r="AL355" s="207" t="n"/>
      <c r="AM355" s="207" t="n"/>
      <c r="AN355" s="207" t="n"/>
      <c r="AO355" s="207" t="n"/>
      <c r="AP355" s="207" t="n">
        <v>860</v>
      </c>
      <c r="AQ355" s="207" t="n">
        <v>0</v>
      </c>
      <c r="AR355" s="207" t="n">
        <v>158</v>
      </c>
      <c r="AS355" s="207" t="n">
        <v>0</v>
      </c>
      <c r="AT355" s="207" t="n">
        <v>136</v>
      </c>
      <c r="AU355" s="207" t="n">
        <v>0</v>
      </c>
      <c r="AV355" s="207" t="n">
        <v>0</v>
      </c>
      <c r="AW355" s="207" t="n">
        <v>0</v>
      </c>
      <c r="AX355" s="208" t="n">
        <v>1</v>
      </c>
      <c r="AY355" s="209">
        <f>L355*AX355+AP355+AQ355+AR355+AV355+AW355+AS355+AT355+AU355</f>
        <v/>
      </c>
      <c r="AZ355" s="207" t="n">
        <v>10645.59</v>
      </c>
      <c r="BA355" s="207" t="n">
        <v>0</v>
      </c>
      <c r="BB355" s="207">
        <f>AZ355*0.006</f>
        <v/>
      </c>
      <c r="BC355" s="209">
        <f>AZ355+BA355-BB355</f>
        <v/>
      </c>
      <c r="BD355" s="207" t="n">
        <v>0</v>
      </c>
      <c r="BE355" s="207" t="n">
        <v>0</v>
      </c>
      <c r="BF355" s="209">
        <f>BD355+BE355</f>
        <v/>
      </c>
      <c r="BG355" s="209">
        <f>BC355-AY355+BF355</f>
        <v/>
      </c>
      <c r="BH355" s="86" t="inlineStr">
        <is>
          <t>唐靓靓</t>
        </is>
      </c>
      <c r="BI355" s="86" t="inlineStr">
        <is>
          <t xml:space="preserve">上海 上海市 浦东新区 川沙新镇 市六灶镇周祝公路2352号504室 </t>
        </is>
      </c>
      <c r="BJ355" s="86" t="inlineStr">
        <is>
          <t>18466611084-4824</t>
        </is>
      </c>
      <c r="BK355" s="86" t="n"/>
      <c r="BL355" s="210" t="n"/>
      <c r="BM355" s="93" t="n"/>
      <c r="BN355" s="94" t="n"/>
      <c r="BO355" s="93" t="n"/>
      <c r="BP355" s="86" t="n"/>
      <c r="BQ355" s="96" t="n"/>
      <c r="BR355" s="96" t="n"/>
      <c r="BS355" s="97" t="n"/>
      <c r="BT355" s="96" t="n"/>
      <c r="BU355" s="97" t="n"/>
      <c r="BV355" s="96" t="n"/>
      <c r="BW355" s="97" t="n"/>
      <c r="BX355" s="97" t="n"/>
      <c r="BY355" s="97" t="n"/>
      <c r="BZ355" s="97" t="n"/>
      <c r="CH355" s="2" t="n"/>
      <c r="CI355" s="14" t="n"/>
      <c r="CJ355" s="25" t="n"/>
      <c r="CK355" s="25" t="n"/>
      <c r="CL355" s="25" t="n"/>
      <c r="CM355" s="25" t="n"/>
      <c r="CN355" s="25" t="n"/>
      <c r="CO355" s="25" t="n"/>
      <c r="CP355" s="25" t="n"/>
      <c r="CQ355" s="25" t="n"/>
      <c r="CR355" s="25" t="n"/>
      <c r="CS355" s="25" t="n"/>
      <c r="CT355" s="25" t="n"/>
      <c r="CU355" s="25" t="n"/>
      <c r="CV355" s="25" t="n"/>
      <c r="CW355" s="25" t="n"/>
      <c r="CX355" s="25" t="n"/>
      <c r="CY355" s="25" t="n"/>
      <c r="DC355" s="26" t="n"/>
      <c r="DD355" s="26" t="n"/>
      <c r="DE355" s="26" t="n"/>
      <c r="DF355" s="26" t="n"/>
      <c r="DG355" s="26" t="n"/>
      <c r="DH355" s="27" t="n"/>
      <c r="DJ355" s="211" t="inlineStr">
        <is>
          <t>订单表中未找到</t>
        </is>
      </c>
      <c r="DK355" t="inlineStr">
        <is>
          <t>—</t>
        </is>
      </c>
      <c r="DL355" t="inlineStr">
        <is>
          <t>—</t>
        </is>
      </c>
    </row>
    <row r="356" ht="15.75" customHeight="1" s="187">
      <c r="A356" s="84" t="n">
        <v>45956</v>
      </c>
      <c r="B356" s="206" t="inlineStr">
        <is>
          <t>已收货</t>
        </is>
      </c>
      <c r="C356" s="86" t="inlineStr">
        <is>
          <t>3022397113920682080</t>
        </is>
      </c>
      <c r="D356" s="86" t="inlineStr">
        <is>
          <t>崔先生</t>
        </is>
      </c>
      <c r="E356" s="116" t="inlineStr">
        <is>
          <t>已发货，运费没出 产品成本+免钉胶+打包+福建岩板费+江西新采购岩板费（模具面岩板）</t>
        </is>
      </c>
      <c r="F356" s="87" t="n"/>
      <c r="G356" s="207" t="inlineStr">
        <is>
          <t>砂白色2.0米岩板餐桌，定制-蜜蜡色</t>
        </is>
      </c>
      <c r="H356" s="207" t="inlineStr">
        <is>
          <t>榉木餐桌</t>
        </is>
      </c>
      <c r="I356" s="89" t="inlineStr">
        <is>
          <t>200cm*85cm</t>
        </is>
      </c>
      <c r="J356" s="87" t="inlineStr">
        <is>
          <t>已结算</t>
        </is>
      </c>
      <c r="K356" s="86" t="inlineStr">
        <is>
          <t>江西</t>
        </is>
      </c>
      <c r="L356" s="207">
        <f>SUM(M356:AO356)</f>
        <v/>
      </c>
      <c r="M356" s="207">
        <f>1500</f>
        <v/>
      </c>
      <c r="N356" s="207" t="n"/>
      <c r="O356" s="207" t="n"/>
      <c r="P356" s="207" t="n"/>
      <c r="Q356" s="207" t="n"/>
      <c r="R356" s="207">
        <f>680+180*2*0.85</f>
        <v/>
      </c>
      <c r="S356" s="207" t="n"/>
      <c r="T356" s="207" t="n"/>
      <c r="U356" s="207" t="n"/>
      <c r="V356" s="207" t="n"/>
      <c r="W356" s="207" t="n"/>
      <c r="X356" s="207" t="n"/>
      <c r="Y356" s="207" t="n"/>
      <c r="Z356" s="207" t="n"/>
      <c r="AA356" s="207" t="n"/>
      <c r="AB356" s="207" t="n"/>
      <c r="AC356" s="207" t="n"/>
      <c r="AD356" s="207" t="n">
        <v>2.5</v>
      </c>
      <c r="AE356" s="207" t="n"/>
      <c r="AF356" s="207" t="n"/>
      <c r="AG356" s="207" t="n"/>
      <c r="AH356" s="207" t="n"/>
      <c r="AI356" s="207" t="n"/>
      <c r="AJ356" s="207" t="n"/>
      <c r="AK356" s="207" t="n"/>
      <c r="AL356" s="207" t="n"/>
      <c r="AM356" s="207" t="n">
        <v>130</v>
      </c>
      <c r="AN356" s="207" t="n"/>
      <c r="AO356" s="207" t="n"/>
      <c r="AP356" s="121" t="n">
        <v>300</v>
      </c>
      <c r="AQ356" s="207" t="n">
        <v>0</v>
      </c>
      <c r="AR356" s="207" t="n">
        <v>69</v>
      </c>
      <c r="AS356" s="207" t="n">
        <v>0</v>
      </c>
      <c r="AT356" s="207" t="n">
        <v>0</v>
      </c>
      <c r="AU356" s="207" t="n">
        <v>0</v>
      </c>
      <c r="AV356" s="207" t="n">
        <v>0</v>
      </c>
      <c r="AW356" s="207" t="n">
        <v>0</v>
      </c>
      <c r="AX356" s="208" t="n">
        <v>1</v>
      </c>
      <c r="AY356" s="209">
        <f>L356*AX356+AP356+AQ356+AR356+AV356+AW356+AS356+AT356+AU356</f>
        <v/>
      </c>
      <c r="AZ356" s="207" t="n">
        <v>2925.31</v>
      </c>
      <c r="BA356" s="207" t="n">
        <v>0</v>
      </c>
      <c r="BB356" s="207">
        <f>AZ356*0.006</f>
        <v/>
      </c>
      <c r="BC356" s="209">
        <f>AZ356+BA356-BB356</f>
        <v/>
      </c>
      <c r="BD356" s="207" t="n">
        <v>0</v>
      </c>
      <c r="BE356" s="207" t="n">
        <v>0</v>
      </c>
      <c r="BF356" s="209">
        <f>BD356+BE356</f>
        <v/>
      </c>
      <c r="BG356" s="209">
        <f>BC356-AY356+BF356</f>
        <v/>
      </c>
      <c r="BH356" s="207" t="inlineStr">
        <is>
          <t>崔先生</t>
        </is>
      </c>
      <c r="BI356" s="207" t="inlineStr">
        <is>
          <t>云南省 昆明市 盘龙区 金辰街道云南映象碧桂湾24-801</t>
        </is>
      </c>
      <c r="BJ356" s="207" t="inlineStr">
        <is>
          <t>18400302778-8072</t>
        </is>
      </c>
      <c r="BK356" s="86" t="n"/>
      <c r="BL356" s="210" t="n"/>
      <c r="BM356" s="93" t="n"/>
      <c r="BN356" s="94" t="n"/>
      <c r="BO356" s="93" t="n"/>
      <c r="BP356" s="86" t="n"/>
      <c r="BQ356" s="96" t="n"/>
      <c r="BR356" s="96" t="n"/>
      <c r="BS356" s="97" t="n"/>
      <c r="BT356" s="96" t="n"/>
      <c r="BU356" s="97" t="n"/>
      <c r="BV356" s="96" t="n"/>
      <c r="BW356" s="97" t="n"/>
      <c r="BX356" s="97" t="n"/>
      <c r="BY356" s="97" t="n"/>
      <c r="BZ356" s="97" t="n"/>
      <c r="CH356" s="2" t="n"/>
      <c r="CI356" s="14" t="n"/>
      <c r="CJ356" s="25" t="n"/>
      <c r="CK356" s="25" t="n"/>
      <c r="CL356" s="25" t="n"/>
      <c r="CM356" s="25" t="n"/>
      <c r="CN356" s="25" t="n"/>
      <c r="CO356" s="25" t="n"/>
      <c r="CP356" s="25" t="n"/>
      <c r="CQ356" s="25" t="n"/>
      <c r="CR356" s="25" t="n"/>
      <c r="CS356" s="25" t="n"/>
      <c r="CT356" s="25" t="n"/>
      <c r="CU356" s="25" t="n"/>
      <c r="CV356" s="25" t="n"/>
      <c r="CW356" s="25" t="n"/>
      <c r="CX356" s="25" t="n"/>
      <c r="CY356" s="25" t="n"/>
      <c r="DC356" s="26" t="n"/>
      <c r="DD356" s="26" t="n"/>
      <c r="DE356" s="26" t="n"/>
      <c r="DF356" s="26" t="n"/>
      <c r="DG356" s="26" t="n"/>
      <c r="DH356" s="27" t="n"/>
      <c r="DJ356" s="211" t="inlineStr">
        <is>
          <t>订单表中未找到</t>
        </is>
      </c>
      <c r="DK356" t="inlineStr">
        <is>
          <t>—</t>
        </is>
      </c>
      <c r="DL356" t="inlineStr">
        <is>
          <t>—</t>
        </is>
      </c>
    </row>
    <row r="357" ht="15.75" customHeight="1" s="187">
      <c r="A357" s="84" t="n">
        <v>45957</v>
      </c>
      <c r="B357" s="226" t="inlineStr">
        <is>
          <t>未发货</t>
        </is>
      </c>
      <c r="C357" s="86" t="inlineStr">
        <is>
          <t>3022982508210329895</t>
        </is>
      </c>
      <c r="D357" s="86" t="inlineStr">
        <is>
          <t>苩震子</t>
        </is>
      </c>
      <c r="E357" s="87" t="n"/>
      <c r="F357" s="87" t="n"/>
      <c r="G357" s="87" t="inlineStr">
        <is>
          <t>砂白色1.4米岩板餐桌</t>
        </is>
      </c>
      <c r="H357" s="207" t="inlineStr">
        <is>
          <t>榉木餐桌</t>
        </is>
      </c>
      <c r="I357" s="89" t="inlineStr">
        <is>
          <t>140cm*85cm</t>
        </is>
      </c>
      <c r="J357" s="87" t="n"/>
      <c r="K357" s="86" t="inlineStr">
        <is>
          <t>江西</t>
        </is>
      </c>
      <c r="L357" s="121">
        <f>1480+2.5+220+190</f>
        <v/>
      </c>
      <c r="M357" s="207" t="n">
        <v>1300</v>
      </c>
      <c r="N357" s="207" t="n"/>
      <c r="O357" s="207" t="n"/>
      <c r="P357" s="207" t="n"/>
      <c r="Q357" s="207" t="n"/>
      <c r="R357" s="207" t="n">
        <v>220</v>
      </c>
      <c r="S357" s="207" t="n"/>
      <c r="T357" s="207" t="n"/>
      <c r="U357" s="207" t="n"/>
      <c r="V357" s="207" t="n"/>
      <c r="W357" s="207" t="n"/>
      <c r="X357" s="207" t="n"/>
      <c r="Y357" s="207" t="n"/>
      <c r="Z357" s="207" t="n"/>
      <c r="AA357" s="207" t="n"/>
      <c r="AB357" s="207" t="n"/>
      <c r="AC357" s="207" t="n"/>
      <c r="AD357" s="207" t="n">
        <v>2.5</v>
      </c>
      <c r="AE357" s="207" t="n"/>
      <c r="AF357" s="207" t="n"/>
      <c r="AG357" s="207" t="n"/>
      <c r="AH357" s="207" t="n"/>
      <c r="AI357" s="207" t="n"/>
      <c r="AJ357" s="207" t="n"/>
      <c r="AK357" s="207" t="n"/>
      <c r="AL357" s="207" t="n"/>
      <c r="AM357" s="207" t="n">
        <v>190</v>
      </c>
      <c r="AN357" s="207" t="n"/>
      <c r="AO357" s="207" t="n"/>
      <c r="AP357" s="121" t="n">
        <v>300</v>
      </c>
      <c r="AQ357" s="121" t="n">
        <v>100</v>
      </c>
      <c r="AR357" s="121" t="n">
        <v>150</v>
      </c>
      <c r="AS357" s="207" t="n">
        <v>0</v>
      </c>
      <c r="AT357" s="207" t="n">
        <v>0</v>
      </c>
      <c r="AU357" s="207" t="n">
        <v>0</v>
      </c>
      <c r="AV357" s="207" t="n">
        <v>0</v>
      </c>
      <c r="AW357" s="207" t="n">
        <v>0</v>
      </c>
      <c r="AX357" s="208" t="n">
        <v>1</v>
      </c>
      <c r="AY357" s="209">
        <f>L357*AX357+AP357+AQ357+AR357+AV357+AW357+AS357+AT357+AU357</f>
        <v/>
      </c>
      <c r="AZ357" s="207" t="n">
        <v>2588.89</v>
      </c>
      <c r="BA357" s="207" t="n">
        <v>0</v>
      </c>
      <c r="BB357" s="207">
        <f>AZ357*0.006</f>
        <v/>
      </c>
      <c r="BC357" s="209">
        <f>AZ357+BA357-BB357</f>
        <v/>
      </c>
      <c r="BD357" s="207" t="n">
        <v>0</v>
      </c>
      <c r="BE357" s="207" t="n">
        <v>0</v>
      </c>
      <c r="BF357" s="209">
        <f>BD357+BE357</f>
        <v/>
      </c>
      <c r="BG357" s="209">
        <f>BC357-AY357+BF357</f>
        <v/>
      </c>
      <c r="BH357" s="207" t="inlineStr">
        <is>
          <t>苩震子</t>
        </is>
      </c>
      <c r="BI357" s="207" t="inlineStr">
        <is>
          <t>广西壮族自治区 桂林市 七星区 朝阳乡育才路2号朝阳宿舍1-1-1(000000)</t>
        </is>
      </c>
      <c r="BJ357" s="207" t="inlineStr">
        <is>
          <t>18448249047-6811</t>
        </is>
      </c>
      <c r="BK357" s="86" t="n"/>
      <c r="BL357" s="210" t="n"/>
      <c r="BM357" s="93" t="n"/>
      <c r="BN357" s="94" t="n"/>
      <c r="BO357" s="93" t="n"/>
      <c r="BP357" s="86" t="n"/>
      <c r="BQ357" s="96" t="n"/>
      <c r="BR357" s="96" t="n"/>
      <c r="BS357" s="97" t="n"/>
      <c r="BT357" s="96" t="n"/>
      <c r="BU357" s="97" t="n"/>
      <c r="BV357" s="96" t="n"/>
      <c r="BW357" s="97" t="n"/>
      <c r="BX357" s="97" t="n"/>
      <c r="BY357" s="97" t="n"/>
      <c r="BZ357" s="97" t="n"/>
      <c r="CH357" s="2" t="n"/>
      <c r="CI357" s="14" t="n"/>
      <c r="CJ357" s="25" t="n"/>
      <c r="CK357" s="25" t="n"/>
      <c r="CL357" s="25" t="n"/>
      <c r="CM357" s="25" t="n"/>
      <c r="CN357" s="25" t="n"/>
      <c r="CO357" s="25" t="n"/>
      <c r="CP357" s="25" t="n"/>
      <c r="CQ357" s="25" t="n"/>
      <c r="CR357" s="25" t="n"/>
      <c r="CS357" s="25" t="n"/>
      <c r="CT357" s="25" t="n"/>
      <c r="CU357" s="25" t="n"/>
      <c r="CV357" s="25" t="n"/>
      <c r="CW357" s="25" t="n"/>
      <c r="CX357" s="25" t="n"/>
      <c r="CY357" s="25" t="n"/>
      <c r="DC357" s="26" t="n"/>
      <c r="DD357" s="26" t="n"/>
      <c r="DE357" s="26" t="n"/>
      <c r="DF357" s="26" t="n"/>
      <c r="DG357" s="26" t="n"/>
      <c r="DH357" s="27" t="n"/>
      <c r="DJ357" s="211" t="inlineStr">
        <is>
          <t>订单表中未找到</t>
        </is>
      </c>
      <c r="DK357" t="inlineStr">
        <is>
          <t>—</t>
        </is>
      </c>
      <c r="DL357" t="inlineStr">
        <is>
          <t>—</t>
        </is>
      </c>
    </row>
    <row r="358" ht="15.75" customHeight="1" s="187">
      <c r="A358" s="84" t="n">
        <v>45957</v>
      </c>
      <c r="B358" s="206" t="inlineStr">
        <is>
          <t>已收货</t>
        </is>
      </c>
      <c r="C358" s="86" t="inlineStr">
        <is>
          <t>4839508695539599318</t>
        </is>
      </c>
      <c r="D358" s="86" t="inlineStr">
        <is>
          <t>龙勇光转欣蕊</t>
        </is>
      </c>
      <c r="E358" s="87" t="n"/>
      <c r="F358" s="87" t="n"/>
      <c r="G358" s="207" t="inlineStr">
        <is>
          <t>1.5常规洞石柜</t>
        </is>
      </c>
      <c r="H358" s="207" t="inlineStr">
        <is>
          <t>洞石餐边柜</t>
        </is>
      </c>
      <c r="I358" s="89" t="n">
        <v>1500</v>
      </c>
      <c r="J358" s="87" t="inlineStr">
        <is>
          <t>已结算</t>
        </is>
      </c>
      <c r="K358" s="86" t="inlineStr">
        <is>
          <t>庄毅</t>
        </is>
      </c>
      <c r="L358" s="207">
        <f>5400+30*2+12+18+2040/6/1.5+76+1.5*0.5*160+(1.5+0.58*2)*60+10+20+501.08+10+40+14</f>
        <v/>
      </c>
      <c r="M358" s="207">
        <f>5400</f>
        <v/>
      </c>
      <c r="N358" s="207">
        <f>1.458*260+2*55+12</f>
        <v/>
      </c>
      <c r="O358" s="207">
        <f>2040/6/1.5</f>
        <v/>
      </c>
      <c r="P358" s="207" t="n"/>
      <c r="Q358" s="207" t="n">
        <v>76</v>
      </c>
      <c r="R358" s="207">
        <f>1.5*0.5*160+(1.5+0.58*2)*60+30</f>
        <v/>
      </c>
      <c r="S358" s="207" t="n"/>
      <c r="T358" s="207">
        <f>30*2</f>
        <v/>
      </c>
      <c r="U358" s="207" t="n"/>
      <c r="V358" s="207" t="n"/>
      <c r="W358" s="207" t="n"/>
      <c r="X358" s="207" t="n"/>
      <c r="Y358" s="207" t="n"/>
      <c r="Z358" s="207">
        <f>3.5+14</f>
        <v/>
      </c>
      <c r="AA358" s="207" t="n"/>
      <c r="AB358" s="207" t="n"/>
      <c r="AC358" s="207" t="n">
        <v>7</v>
      </c>
      <c r="AD358" s="207" t="n"/>
      <c r="AE358" s="207" t="n">
        <v>20</v>
      </c>
      <c r="AF358" s="207" t="n">
        <v>10</v>
      </c>
      <c r="AG358" s="207" t="n">
        <v>18</v>
      </c>
      <c r="AH358" s="207" t="n"/>
      <c r="AI358" s="207" t="n"/>
      <c r="AJ358" s="207" t="n">
        <v>40</v>
      </c>
      <c r="AK358" s="207" t="n"/>
      <c r="AL358" s="207" t="n"/>
      <c r="AM358" s="207" t="n"/>
      <c r="AN358" s="207" t="n"/>
      <c r="AO358" s="207" t="n"/>
      <c r="AP358" s="207" t="n">
        <v>364</v>
      </c>
      <c r="AQ358" s="121" t="n">
        <v>100</v>
      </c>
      <c r="AR358" s="121" t="n">
        <v>150</v>
      </c>
      <c r="AS358" s="207" t="n">
        <v>0</v>
      </c>
      <c r="AT358" s="207" t="n">
        <v>0</v>
      </c>
      <c r="AU358" s="207" t="n">
        <v>0</v>
      </c>
      <c r="AV358" s="207" t="n">
        <v>0</v>
      </c>
      <c r="AW358" s="207" t="n">
        <v>80</v>
      </c>
      <c r="AX358" s="208" t="n">
        <v>1</v>
      </c>
      <c r="AY358" s="209">
        <f>L358*AX358+AP358+AQ358+AR358+AV358+AW358+AS358+AT358+AU358</f>
        <v/>
      </c>
      <c r="AZ358" s="207" t="n">
        <v>10365.55</v>
      </c>
      <c r="BA358" s="207" t="n">
        <v>0</v>
      </c>
      <c r="BB358" s="207">
        <f>AZ358*0.006</f>
        <v/>
      </c>
      <c r="BC358" s="209">
        <f>AZ358+BA358-BB358</f>
        <v/>
      </c>
      <c r="BD358" s="207" t="n">
        <v>0</v>
      </c>
      <c r="BE358" s="207" t="n">
        <v>0</v>
      </c>
      <c r="BF358" s="209">
        <f>BD358+BE358</f>
        <v/>
      </c>
      <c r="BG358" s="209">
        <f>BC358-AY358+BF358</f>
        <v/>
      </c>
      <c r="BH358" s="207" t="inlineStr">
        <is>
          <t>龙勇光转欣蕊</t>
        </is>
      </c>
      <c r="BI358" s="207" t="inlineStr">
        <is>
          <t>广东省 广州市 白云区 江高镇夏花三路498号部队路A14仓</t>
        </is>
      </c>
      <c r="BJ358" s="207" t="inlineStr">
        <is>
          <t>13048087931-7786</t>
        </is>
      </c>
      <c r="BK358" s="86" t="n"/>
      <c r="BL358" s="210" t="n"/>
      <c r="BM358" s="93" t="n"/>
      <c r="BN358" s="94" t="n"/>
      <c r="BO358" s="93" t="n"/>
      <c r="BP358" s="86" t="n"/>
      <c r="BQ358" s="96" t="n"/>
      <c r="BR358" s="96" t="n"/>
      <c r="BS358" s="97" t="n"/>
      <c r="BT358" s="96" t="n"/>
      <c r="BU358" s="97" t="n"/>
      <c r="BV358" s="96" t="n"/>
      <c r="BW358" s="97" t="n"/>
      <c r="BX358" s="97" t="n"/>
      <c r="BY358" s="97" t="n"/>
      <c r="BZ358" s="97" t="n"/>
      <c r="CH358" s="2" t="n"/>
      <c r="CI358" s="14" t="n"/>
      <c r="CJ358" s="25" t="n"/>
      <c r="CK358" s="25" t="n"/>
      <c r="CL358" s="25" t="n"/>
      <c r="CM358" s="25" t="n"/>
      <c r="CN358" s="25" t="n"/>
      <c r="CO358" s="25" t="n"/>
      <c r="CP358" s="25" t="n"/>
      <c r="CQ358" s="25" t="n"/>
      <c r="CR358" s="25" t="n"/>
      <c r="CS358" s="25" t="n"/>
      <c r="CT358" s="25" t="n"/>
      <c r="CU358" s="25" t="n"/>
      <c r="CV358" s="25" t="n"/>
      <c r="CW358" s="25" t="n"/>
      <c r="CX358" s="25" t="n"/>
      <c r="CY358" s="25" t="n"/>
      <c r="DC358" s="26" t="n"/>
      <c r="DD358" s="26" t="n"/>
      <c r="DE358" s="26" t="n"/>
      <c r="DF358" s="26" t="n"/>
      <c r="DG358" s="26" t="n"/>
      <c r="DH358" s="27" t="n"/>
      <c r="DJ358" s="211" t="inlineStr">
        <is>
          <t>订单表中未找到</t>
        </is>
      </c>
      <c r="DK358" t="inlineStr">
        <is>
          <t>—</t>
        </is>
      </c>
      <c r="DL358" t="inlineStr">
        <is>
          <t>—</t>
        </is>
      </c>
    </row>
    <row r="359" ht="15.75" customHeight="1" s="187">
      <c r="A359" s="84" t="n">
        <v>45957</v>
      </c>
      <c r="B359" s="206" t="inlineStr">
        <is>
          <t>已收货</t>
        </is>
      </c>
      <c r="C359" s="86" t="inlineStr">
        <is>
          <t>3022657644421682080</t>
        </is>
      </c>
      <c r="D359" s="86" t="inlineStr">
        <is>
          <t>崔先生</t>
        </is>
      </c>
      <c r="E359" s="87" t="n"/>
      <c r="F359" s="87" t="n"/>
      <c r="G359" s="207" t="inlineStr">
        <is>
          <t>样块</t>
        </is>
      </c>
      <c r="H359" s="207" t="inlineStr">
        <is>
          <t>样块</t>
        </is>
      </c>
      <c r="I359" s="89" t="n"/>
      <c r="J359" s="87" t="inlineStr">
        <is>
          <t>已结算</t>
        </is>
      </c>
      <c r="K359" s="86" t="inlineStr">
        <is>
          <t>杭州</t>
        </is>
      </c>
      <c r="L359" s="207">
        <f>SUM(M359:AO359)</f>
        <v/>
      </c>
      <c r="M359" s="207" t="n">
        <v>5</v>
      </c>
      <c r="N359" s="207" t="n"/>
      <c r="O359" s="207" t="n"/>
      <c r="P359" s="207" t="n"/>
      <c r="Q359" s="207" t="n"/>
      <c r="R359" s="207" t="n"/>
      <c r="S359" s="207" t="n"/>
      <c r="T359" s="207" t="n"/>
      <c r="U359" s="207" t="n"/>
      <c r="V359" s="207" t="n"/>
      <c r="W359" s="207" t="n"/>
      <c r="X359" s="207" t="n"/>
      <c r="Y359" s="207" t="n"/>
      <c r="Z359" s="207" t="n"/>
      <c r="AA359" s="207" t="n"/>
      <c r="AB359" s="207" t="n"/>
      <c r="AC359" s="207" t="n"/>
      <c r="AD359" s="207" t="n"/>
      <c r="AE359" s="207" t="n"/>
      <c r="AF359" s="207" t="n"/>
      <c r="AG359" s="207" t="n"/>
      <c r="AH359" s="207" t="n"/>
      <c r="AI359" s="207" t="n"/>
      <c r="AJ359" s="207" t="n"/>
      <c r="AK359" s="207" t="n"/>
      <c r="AL359" s="207" t="n"/>
      <c r="AM359" s="207" t="n">
        <v>2</v>
      </c>
      <c r="AN359" s="207" t="n"/>
      <c r="AO359" s="207" t="n"/>
      <c r="AP359" s="207" t="n">
        <v>5</v>
      </c>
      <c r="AQ359" s="207" t="n">
        <v>0</v>
      </c>
      <c r="AR359" s="207" t="n">
        <v>0</v>
      </c>
      <c r="AS359" s="207" t="n">
        <v>0</v>
      </c>
      <c r="AT359" s="207" t="n">
        <v>0</v>
      </c>
      <c r="AU359" s="207" t="n">
        <v>0</v>
      </c>
      <c r="AV359" s="207" t="n">
        <v>0</v>
      </c>
      <c r="AW359" s="207" t="n">
        <v>0</v>
      </c>
      <c r="AX359" s="208" t="n">
        <v>1</v>
      </c>
      <c r="AY359" s="209">
        <f>L359*AX359+AP359+AQ359+AR359+AV359+AW359+AS359+AT359+AU359</f>
        <v/>
      </c>
      <c r="AZ359" s="207" t="n">
        <v>21.2</v>
      </c>
      <c r="BA359" s="207" t="n">
        <v>0</v>
      </c>
      <c r="BB359" s="207">
        <f>AZ359*0.006</f>
        <v/>
      </c>
      <c r="BC359" s="209">
        <f>AZ359+BA359-BB359</f>
        <v/>
      </c>
      <c r="BD359" s="207" t="n">
        <v>0</v>
      </c>
      <c r="BE359" s="207" t="n">
        <v>0</v>
      </c>
      <c r="BF359" s="209">
        <f>BD359+BE359</f>
        <v/>
      </c>
      <c r="BG359" s="209">
        <f>BC359-AY359+BF359</f>
        <v/>
      </c>
      <c r="BH359" s="86" t="inlineStr">
        <is>
          <t>崔先生</t>
        </is>
      </c>
      <c r="BI359" s="86" t="inlineStr">
        <is>
          <t>云南省 昆明市 盘龙区 金辰街道云南映象碧桂湾24-801</t>
        </is>
      </c>
      <c r="BJ359" s="86" t="inlineStr">
        <is>
          <t>13114284668-2738</t>
        </is>
      </c>
      <c r="BK359" s="86" t="n"/>
      <c r="BL359" s="210" t="n"/>
      <c r="BM359" s="93" t="n"/>
      <c r="BN359" s="94" t="n"/>
      <c r="BO359" s="93" t="n"/>
      <c r="BP359" s="86" t="n"/>
      <c r="BQ359" s="96" t="n"/>
      <c r="BR359" s="96" t="n"/>
      <c r="BS359" s="97" t="n"/>
      <c r="BT359" s="96" t="n"/>
      <c r="BU359" s="97" t="n"/>
      <c r="BV359" s="96" t="n"/>
      <c r="BW359" s="97" t="n"/>
      <c r="BX359" s="97" t="n"/>
      <c r="BY359" s="97" t="n"/>
      <c r="BZ359" s="97" t="n"/>
      <c r="CH359" s="2" t="n"/>
      <c r="CI359" s="14" t="n"/>
      <c r="CJ359" s="25" t="n"/>
      <c r="CK359" s="25" t="n"/>
      <c r="CL359" s="25" t="n"/>
      <c r="CM359" s="25" t="n"/>
      <c r="CN359" s="25" t="n"/>
      <c r="CO359" s="25" t="n"/>
      <c r="CP359" s="25" t="n"/>
      <c r="CQ359" s="25" t="n"/>
      <c r="CR359" s="25" t="n"/>
      <c r="CS359" s="25" t="n"/>
      <c r="CT359" s="25" t="n"/>
      <c r="CU359" s="25" t="n"/>
      <c r="CV359" s="25" t="n"/>
      <c r="CW359" s="25" t="n"/>
      <c r="CX359" s="25" t="n"/>
      <c r="CY359" s="25" t="n"/>
      <c r="DC359" s="26" t="n"/>
      <c r="DD359" s="26" t="n"/>
      <c r="DE359" s="26" t="n"/>
      <c r="DF359" s="26" t="n"/>
      <c r="DG359" s="26" t="n"/>
      <c r="DH359" s="27" t="n"/>
      <c r="DJ359" s="211" t="inlineStr">
        <is>
          <t>订单表中未找到</t>
        </is>
      </c>
      <c r="DK359" t="inlineStr">
        <is>
          <t>—</t>
        </is>
      </c>
      <c r="DL359" t="inlineStr">
        <is>
          <t>—</t>
        </is>
      </c>
    </row>
    <row r="360" ht="15.75" customHeight="1" s="187">
      <c r="A360" s="84" t="n">
        <v>45957</v>
      </c>
      <c r="B360" s="206" t="inlineStr">
        <is>
          <t>已收货</t>
        </is>
      </c>
      <c r="C360" s="86" t="inlineStr">
        <is>
          <t>3024459373540946191</t>
        </is>
      </c>
      <c r="D360" s="86" t="inlineStr">
        <is>
          <t>桃子</t>
        </is>
      </c>
      <c r="E360" s="87" t="n"/>
      <c r="F360" s="87" t="n"/>
      <c r="G360" s="207" t="inlineStr">
        <is>
          <t>砂白色1.6米岩板餐桌</t>
        </is>
      </c>
      <c r="H360" s="207" t="inlineStr">
        <is>
          <t>榉木餐桌</t>
        </is>
      </c>
      <c r="I360" s="89" t="inlineStr">
        <is>
          <t>160cm*85cm</t>
        </is>
      </c>
      <c r="J360" s="87" t="inlineStr">
        <is>
          <t>已结算</t>
        </is>
      </c>
      <c r="K360" s="86" t="inlineStr">
        <is>
          <t>庄毅</t>
        </is>
      </c>
      <c r="L360" s="207">
        <f>SUM(M360:AO360)</f>
        <v/>
      </c>
      <c r="M360" s="207">
        <f>1530</f>
        <v/>
      </c>
      <c r="N360" s="207" t="n"/>
      <c r="O360" s="207" t="n"/>
      <c r="P360" s="207" t="n"/>
      <c r="Q360" s="207" t="n"/>
      <c r="R360" s="207">
        <f>180*1.6*0.85</f>
        <v/>
      </c>
      <c r="S360" s="207" t="n"/>
      <c r="T360" s="207" t="n"/>
      <c r="U360" s="207" t="n"/>
      <c r="V360" s="207" t="n"/>
      <c r="W360" s="207" t="n"/>
      <c r="X360" s="207" t="n"/>
      <c r="Y360" s="207" t="n"/>
      <c r="Z360" s="207" t="n"/>
      <c r="AA360" s="207" t="n"/>
      <c r="AB360" s="207" t="n"/>
      <c r="AC360" s="207" t="n"/>
      <c r="AD360" s="207" t="n">
        <v>2.5</v>
      </c>
      <c r="AE360" s="207" t="n"/>
      <c r="AF360" s="207" t="n"/>
      <c r="AG360" s="207" t="n"/>
      <c r="AH360" s="207" t="n"/>
      <c r="AI360" s="207" t="n"/>
      <c r="AJ360" s="207" t="n"/>
      <c r="AK360" s="207" t="n"/>
      <c r="AL360" s="207" t="n"/>
      <c r="AM360" s="207" t="n"/>
      <c r="AN360" s="207" t="n"/>
      <c r="AO360" s="207" t="n"/>
      <c r="AP360" s="207" t="n">
        <v>148</v>
      </c>
      <c r="AQ360" s="207" t="n">
        <v>0</v>
      </c>
      <c r="AR360" s="207" t="n">
        <v>76</v>
      </c>
      <c r="AS360" s="207" t="n">
        <v>0</v>
      </c>
      <c r="AT360" s="207">
        <f>70+200</f>
        <v/>
      </c>
      <c r="AU360" s="207" t="n">
        <v>0</v>
      </c>
      <c r="AV360" s="207" t="n">
        <v>0</v>
      </c>
      <c r="AW360" s="207" t="n">
        <v>0</v>
      </c>
      <c r="AX360" s="208" t="n">
        <v>1</v>
      </c>
      <c r="AY360" s="209">
        <f>L360*AX360+AP360+AQ360+AR360+AV360+AW360+AS360+AT360+AU360</f>
        <v/>
      </c>
      <c r="AZ360" s="207" t="n">
        <v>2688.41</v>
      </c>
      <c r="BA360" s="207" t="n">
        <v>0</v>
      </c>
      <c r="BB360" s="207">
        <f>AZ360*0.006</f>
        <v/>
      </c>
      <c r="BC360" s="209">
        <f>AZ360+BA360-BB360</f>
        <v/>
      </c>
      <c r="BD360" s="207" t="n">
        <v>30</v>
      </c>
      <c r="BE360" s="207" t="n">
        <v>0</v>
      </c>
      <c r="BF360" s="209">
        <f>BD360+BE360</f>
        <v/>
      </c>
      <c r="BG360" s="209">
        <f>BC360-AY360+BF360</f>
        <v/>
      </c>
      <c r="BH360" s="207" t="inlineStr">
        <is>
          <t>桃子</t>
        </is>
      </c>
      <c r="BI360" s="207" t="inlineStr">
        <is>
          <t>浙江省 杭州市 拱墅区 祥符街道西岸花园14-1702 （直接送到家门口！谢谢！！！）</t>
        </is>
      </c>
      <c r="BJ360" s="207" t="inlineStr">
        <is>
          <t>18430787858-3779</t>
        </is>
      </c>
      <c r="BK360" s="86" t="n"/>
      <c r="BL360" s="210" t="n"/>
      <c r="BM360" s="93" t="n"/>
      <c r="BN360" s="94" t="n"/>
      <c r="BO360" s="93" t="n"/>
      <c r="BP360" s="86" t="n"/>
      <c r="BQ360" s="96" t="n"/>
      <c r="BR360" s="96" t="n"/>
      <c r="BS360" s="97" t="n"/>
      <c r="BT360" s="96" t="n"/>
      <c r="BU360" s="97" t="n"/>
      <c r="BV360" s="96" t="n"/>
      <c r="BW360" s="97" t="n"/>
      <c r="BX360" s="97" t="n"/>
      <c r="BY360" s="97" t="n"/>
      <c r="BZ360" s="97" t="n"/>
      <c r="CH360" s="2" t="n"/>
      <c r="CI360" s="14" t="n"/>
      <c r="CJ360" s="25" t="n"/>
      <c r="CK360" s="25" t="n"/>
      <c r="CL360" s="25" t="n"/>
      <c r="CM360" s="25" t="n"/>
      <c r="CN360" s="25" t="n"/>
      <c r="CO360" s="25" t="n"/>
      <c r="CP360" s="25" t="n"/>
      <c r="CQ360" s="25" t="n"/>
      <c r="CR360" s="25" t="n"/>
      <c r="CS360" s="25" t="n"/>
      <c r="CT360" s="25" t="n"/>
      <c r="CU360" s="25" t="n"/>
      <c r="CV360" s="25" t="n"/>
      <c r="CW360" s="25" t="n"/>
      <c r="CX360" s="25" t="n"/>
      <c r="CY360" s="25" t="n"/>
      <c r="DC360" s="26" t="n"/>
      <c r="DD360" s="26" t="n"/>
      <c r="DE360" s="26" t="n"/>
      <c r="DF360" s="26" t="n"/>
      <c r="DG360" s="26" t="n"/>
      <c r="DH360" s="27" t="n"/>
      <c r="DJ360" s="211" t="inlineStr">
        <is>
          <t>订单表中未找到</t>
        </is>
      </c>
      <c r="DK360" t="inlineStr">
        <is>
          <t>—</t>
        </is>
      </c>
      <c r="DL360" t="inlineStr">
        <is>
          <t>—</t>
        </is>
      </c>
    </row>
    <row r="361" ht="15.75" customHeight="1" s="187">
      <c r="A361" s="84" t="n">
        <v>45958.85112268518</v>
      </c>
      <c r="B361" s="206" t="inlineStr">
        <is>
          <t>已收货</t>
        </is>
      </c>
      <c r="C361" s="86" t="inlineStr">
        <is>
          <t>P777183096112160281</t>
        </is>
      </c>
      <c r="D361" s="86" t="inlineStr">
        <is>
          <t>王涛</t>
        </is>
      </c>
      <c r="E361" s="87" t="inlineStr">
        <is>
          <t>没有安装信息</t>
        </is>
      </c>
      <c r="F361" s="87" t="n"/>
      <c r="G361" s="87" t="inlineStr">
        <is>
          <t>砂白色2.0米岩板餐桌</t>
        </is>
      </c>
      <c r="H361" s="207" t="inlineStr">
        <is>
          <t>榉木餐桌</t>
        </is>
      </c>
      <c r="I361" s="89" t="inlineStr">
        <is>
          <t>200cm*85cm</t>
        </is>
      </c>
      <c r="J361" s="87" t="inlineStr">
        <is>
          <t>已结算</t>
        </is>
      </c>
      <c r="K361" s="86" t="inlineStr">
        <is>
          <t>江西</t>
        </is>
      </c>
      <c r="L361" s="207">
        <f>SUM(M361:AO361)</f>
        <v/>
      </c>
      <c r="M361" s="207">
        <f>1450</f>
        <v/>
      </c>
      <c r="N361" s="207" t="n"/>
      <c r="O361" s="207" t="n"/>
      <c r="P361" s="207" t="n"/>
      <c r="Q361" s="207" t="n"/>
      <c r="R361" s="207" t="n">
        <v>510</v>
      </c>
      <c r="S361" s="207" t="n"/>
      <c r="T361" s="207" t="n"/>
      <c r="U361" s="207" t="n"/>
      <c r="V361" s="207" t="n"/>
      <c r="W361" s="207" t="n"/>
      <c r="X361" s="207" t="n"/>
      <c r="Y361" s="207" t="n"/>
      <c r="Z361" s="207" t="n"/>
      <c r="AA361" s="207" t="n"/>
      <c r="AB361" s="207" t="n"/>
      <c r="AC361" s="207" t="n"/>
      <c r="AD361" s="207" t="n">
        <v>2.5</v>
      </c>
      <c r="AE361" s="207" t="n"/>
      <c r="AF361" s="207" t="n"/>
      <c r="AG361" s="207" t="n"/>
      <c r="AH361" s="207" t="n"/>
      <c r="AI361" s="207" t="n"/>
      <c r="AJ361" s="207" t="n"/>
      <c r="AK361" s="207" t="n"/>
      <c r="AL361" s="207" t="n"/>
      <c r="AM361" s="207" t="n">
        <v>130</v>
      </c>
      <c r="AN361" s="207" t="n"/>
      <c r="AO361" s="207" t="n"/>
      <c r="AP361" s="207">
        <f>103-AQ361</f>
        <v/>
      </c>
      <c r="AQ361" s="207" t="n">
        <v>25</v>
      </c>
      <c r="AR361" s="207" t="n">
        <v>0</v>
      </c>
      <c r="AS361" s="207" t="n">
        <v>0</v>
      </c>
      <c r="AT361" s="207" t="n">
        <v>0</v>
      </c>
      <c r="AU361" s="207" t="n">
        <v>0</v>
      </c>
      <c r="AV361" s="207" t="n">
        <v>0</v>
      </c>
      <c r="AW361" s="207" t="n">
        <v>0</v>
      </c>
      <c r="AX361" s="208" t="n">
        <v>1</v>
      </c>
      <c r="AY361" s="209">
        <f>L361*AX361+AP361+AQ361+AR361+AV361+AW361+AS361+AT361+AU361</f>
        <v/>
      </c>
      <c r="AZ361" s="207">
        <f>3800-874</f>
        <v/>
      </c>
      <c r="BA361" s="207" t="n">
        <v>0</v>
      </c>
      <c r="BB361" s="207">
        <f>AZ361*0.006</f>
        <v/>
      </c>
      <c r="BC361" s="209">
        <f>AZ361+BA361-BB361</f>
        <v/>
      </c>
      <c r="BD361" s="207" t="n">
        <v>0</v>
      </c>
      <c r="BE361" s="207" t="n">
        <v>0</v>
      </c>
      <c r="BF361" s="209">
        <f>BD361+BE361</f>
        <v/>
      </c>
      <c r="BG361" s="209">
        <f>BC361-AY361+BF361</f>
        <v/>
      </c>
      <c r="BH361" s="207" t="inlineStr">
        <is>
          <t>王涛</t>
        </is>
      </c>
      <c r="BI361" s="207" t="inlineStr">
        <is>
          <t>江苏省无锡市滨湖区胡埭镇福安状元里15-302</t>
        </is>
      </c>
      <c r="BJ361" s="86" t="n">
        <v>15861660738</v>
      </c>
      <c r="BK361" s="86" t="n"/>
      <c r="BL361" s="210" t="n"/>
      <c r="BM361" s="93" t="n"/>
      <c r="BN361" s="94" t="n"/>
      <c r="BO361" s="93" t="n"/>
      <c r="BP361" s="86" t="n"/>
      <c r="BQ361" s="96" t="n"/>
      <c r="BR361" s="96" t="n"/>
      <c r="BS361" s="97" t="n"/>
      <c r="BT361" s="96" t="n"/>
      <c r="BU361" s="97" t="n"/>
      <c r="BV361" s="96" t="n"/>
      <c r="BW361" s="97" t="n"/>
      <c r="BX361" s="97" t="n"/>
      <c r="BY361" s="97" t="n"/>
      <c r="BZ361" s="97" t="n"/>
      <c r="CH361" s="2" t="n"/>
      <c r="CI361" s="14" t="n"/>
      <c r="CJ361" s="25" t="n"/>
      <c r="CK361" s="25" t="n"/>
      <c r="CL361" s="25" t="n"/>
      <c r="CM361" s="25" t="n"/>
      <c r="CN361" s="25" t="n"/>
      <c r="CO361" s="25" t="n"/>
      <c r="CP361" s="25" t="n"/>
      <c r="CQ361" s="25" t="n"/>
      <c r="CR361" s="25" t="n"/>
      <c r="CS361" s="25" t="n"/>
      <c r="CT361" s="25" t="n"/>
      <c r="CU361" s="25" t="n"/>
      <c r="CV361" s="25" t="n"/>
      <c r="CW361" s="25" t="n"/>
      <c r="CX361" s="25" t="n"/>
      <c r="CY361" s="25" t="n"/>
      <c r="DC361" s="26" t="n"/>
      <c r="DD361" s="26" t="n"/>
      <c r="DE361" s="26" t="n"/>
      <c r="DF361" s="26" t="n"/>
      <c r="DG361" s="26" t="n"/>
      <c r="DH361" s="27" t="n"/>
      <c r="DJ361" s="211" t="inlineStr">
        <is>
          <t>订单表中未找到</t>
        </is>
      </c>
      <c r="DK361" t="inlineStr">
        <is>
          <t>—</t>
        </is>
      </c>
      <c r="DL361" t="inlineStr">
        <is>
          <t>—</t>
        </is>
      </c>
    </row>
    <row r="362" ht="15.75" customHeight="1" s="187">
      <c r="A362" s="84" t="n">
        <v>45958</v>
      </c>
      <c r="B362" s="206" t="inlineStr">
        <is>
          <t>已收货</t>
        </is>
      </c>
      <c r="C362" s="86" t="inlineStr">
        <is>
          <t>3026464971311071672</t>
        </is>
      </c>
      <c r="D362" s="86" t="inlineStr">
        <is>
          <t>王</t>
        </is>
      </c>
      <c r="E362" s="87" t="n"/>
      <c r="F362" s="87" t="n"/>
      <c r="G362" s="207" t="inlineStr">
        <is>
          <t>1.5常规洞石柜</t>
        </is>
      </c>
      <c r="H362" s="207" t="inlineStr">
        <is>
          <t>洞石餐边柜</t>
        </is>
      </c>
      <c r="I362" s="89" t="n">
        <v>1500</v>
      </c>
      <c r="J362" s="87" t="inlineStr">
        <is>
          <t>已结算</t>
        </is>
      </c>
      <c r="K362" s="86" t="inlineStr">
        <is>
          <t>庄毅</t>
        </is>
      </c>
      <c r="L362" s="207">
        <f>5800+30*2+12+18+2040/6/1.5+76+1.5*0.5*160+(1.5+0.58*2)*60+10+20+501.08+10+40+14</f>
        <v/>
      </c>
      <c r="M362" s="207">
        <f>5800</f>
        <v/>
      </c>
      <c r="N362" s="207">
        <f>1.458*260+2*55+12</f>
        <v/>
      </c>
      <c r="O362" s="207">
        <f>2040/6/1.5</f>
        <v/>
      </c>
      <c r="P362" s="207" t="n"/>
      <c r="Q362" s="207" t="n">
        <v>76</v>
      </c>
      <c r="R362" s="207">
        <f>1.5*0.5*160+(1.5+0.58*2)*60+30</f>
        <v/>
      </c>
      <c r="S362" s="207" t="n"/>
      <c r="T362" s="207">
        <f>30*2</f>
        <v/>
      </c>
      <c r="U362" s="207" t="n"/>
      <c r="V362" s="207" t="n"/>
      <c r="W362" s="207" t="n"/>
      <c r="X362" s="207" t="n"/>
      <c r="Y362" s="207" t="n"/>
      <c r="Z362" s="207">
        <f>3.5+14</f>
        <v/>
      </c>
      <c r="AA362" s="207" t="n"/>
      <c r="AB362" s="207" t="n"/>
      <c r="AC362" s="207" t="n">
        <v>7</v>
      </c>
      <c r="AD362" s="207" t="n"/>
      <c r="AE362" s="207" t="n">
        <v>20</v>
      </c>
      <c r="AF362" s="207" t="n">
        <v>10</v>
      </c>
      <c r="AG362" s="207" t="n">
        <v>18</v>
      </c>
      <c r="AH362" s="207" t="n"/>
      <c r="AI362" s="207" t="n"/>
      <c r="AJ362" s="207" t="n">
        <v>40</v>
      </c>
      <c r="AK362" s="207" t="n"/>
      <c r="AL362" s="207" t="n"/>
      <c r="AM362" s="207" t="n"/>
      <c r="AN362" s="207" t="n"/>
      <c r="AO362" s="207" t="n"/>
      <c r="AP362" s="121" t="n">
        <v>300</v>
      </c>
      <c r="AQ362" s="121" t="n">
        <v>100</v>
      </c>
      <c r="AR362" s="207" t="n">
        <v>98</v>
      </c>
      <c r="AS362" s="207" t="n">
        <v>0</v>
      </c>
      <c r="AT362" s="207">
        <f>70+50</f>
        <v/>
      </c>
      <c r="AU362" s="207" t="n">
        <v>0</v>
      </c>
      <c r="AV362" s="207" t="n">
        <v>0</v>
      </c>
      <c r="AW362" s="207" t="n">
        <v>200</v>
      </c>
      <c r="AX362" s="208" t="n">
        <v>1</v>
      </c>
      <c r="AY362" s="209">
        <f>L362*AX362+AP362+AQ362+AR362+AV362+AW362+AS362+AT362+AU362</f>
        <v/>
      </c>
      <c r="AZ362" s="207" t="n">
        <v>9660.459999999999</v>
      </c>
      <c r="BA362" s="207" t="n">
        <v>0</v>
      </c>
      <c r="BB362" s="207">
        <f>AZ362*0.006</f>
        <v/>
      </c>
      <c r="BC362" s="209">
        <f>AZ362+BA362-BB362</f>
        <v/>
      </c>
      <c r="BD362" s="207" t="n">
        <v>0</v>
      </c>
      <c r="BE362" s="207" t="n">
        <v>0</v>
      </c>
      <c r="BF362" s="209">
        <f>BD362+BE362</f>
        <v/>
      </c>
      <c r="BG362" s="209">
        <f>BC362-AY362+BF362</f>
        <v/>
      </c>
      <c r="BH362" s="207" t="inlineStr">
        <is>
          <t>王</t>
        </is>
      </c>
      <c r="BI362" s="207" t="inlineStr">
        <is>
          <t>安徽省 亳州市 谯城区 亳州市经济技术开发区建投铂悦府20栋二单元902</t>
        </is>
      </c>
      <c r="BJ362" s="207" t="inlineStr">
        <is>
          <t>18430738956-7666</t>
        </is>
      </c>
      <c r="BK362" s="86" t="n"/>
      <c r="BL362" s="210" t="n"/>
      <c r="BM362" s="93" t="n"/>
      <c r="BN362" s="94" t="n"/>
      <c r="BO362" s="93" t="n"/>
      <c r="BP362" s="86" t="n"/>
      <c r="BQ362" s="96" t="n"/>
      <c r="BR362" s="96" t="n"/>
      <c r="BS362" s="97" t="n"/>
      <c r="BT362" s="96" t="n"/>
      <c r="BU362" s="97" t="n"/>
      <c r="BV362" s="96" t="n"/>
      <c r="BW362" s="97" t="n"/>
      <c r="BX362" s="97" t="n"/>
      <c r="BY362" s="97" t="n"/>
      <c r="BZ362" s="97" t="n"/>
      <c r="CH362" s="2" t="n"/>
      <c r="CI362" s="14" t="n"/>
      <c r="CJ362" s="25" t="n"/>
      <c r="CK362" s="25" t="n"/>
      <c r="CL362" s="25" t="n"/>
      <c r="CM362" s="25" t="n"/>
      <c r="CN362" s="25" t="n"/>
      <c r="CO362" s="25" t="n"/>
      <c r="CP362" s="25" t="n"/>
      <c r="CQ362" s="25" t="n"/>
      <c r="CR362" s="25" t="n"/>
      <c r="CS362" s="25" t="n"/>
      <c r="CT362" s="25" t="n"/>
      <c r="CU362" s="25" t="n"/>
      <c r="CV362" s="25" t="n"/>
      <c r="CW362" s="25" t="n"/>
      <c r="CX362" s="25" t="n"/>
      <c r="CY362" s="25" t="n"/>
      <c r="DC362" s="26" t="n"/>
      <c r="DD362" s="26" t="n"/>
      <c r="DE362" s="26" t="n"/>
      <c r="DF362" s="26" t="n"/>
      <c r="DG362" s="26" t="n"/>
      <c r="DH362" s="27" t="n"/>
      <c r="DJ362" s="211" t="inlineStr">
        <is>
          <t>订单表中未找到</t>
        </is>
      </c>
      <c r="DK362" t="inlineStr">
        <is>
          <t>—</t>
        </is>
      </c>
      <c r="DL362" t="inlineStr">
        <is>
          <t>—</t>
        </is>
      </c>
    </row>
    <row r="363" ht="15.75" customHeight="1" s="187">
      <c r="A363" s="84" t="n">
        <v>45958</v>
      </c>
      <c r="B363" s="206" t="inlineStr">
        <is>
          <t>已收货</t>
        </is>
      </c>
      <c r="C363" s="86" t="inlineStr">
        <is>
          <t>3026993845617140768</t>
        </is>
      </c>
      <c r="D363" s="86" t="inlineStr">
        <is>
          <t>王泓</t>
        </is>
      </c>
      <c r="E363" s="87" t="n"/>
      <c r="F363" s="87" t="n"/>
      <c r="G363" s="207" t="inlineStr">
        <is>
          <t>样块</t>
        </is>
      </c>
      <c r="H363" s="207" t="inlineStr">
        <is>
          <t>样块</t>
        </is>
      </c>
      <c r="I363" s="89" t="n"/>
      <c r="J363" s="87" t="inlineStr">
        <is>
          <t>已结算</t>
        </is>
      </c>
      <c r="K363" s="86" t="inlineStr">
        <is>
          <t>杭州</t>
        </is>
      </c>
      <c r="L363" s="207">
        <f>SUM(M363:AO363)</f>
        <v/>
      </c>
      <c r="M363" s="207" t="n">
        <v>5</v>
      </c>
      <c r="N363" s="207" t="n"/>
      <c r="O363" s="207" t="n"/>
      <c r="P363" s="207" t="n"/>
      <c r="Q363" s="207" t="n"/>
      <c r="R363" s="207" t="n"/>
      <c r="S363" s="207" t="n"/>
      <c r="T363" s="207" t="n"/>
      <c r="U363" s="207" t="n"/>
      <c r="V363" s="207" t="n"/>
      <c r="W363" s="207" t="n"/>
      <c r="X363" s="207" t="n"/>
      <c r="Y363" s="207" t="n"/>
      <c r="Z363" s="207" t="n"/>
      <c r="AA363" s="207" t="n"/>
      <c r="AB363" s="207" t="n"/>
      <c r="AC363" s="207" t="n"/>
      <c r="AD363" s="207" t="n"/>
      <c r="AE363" s="207" t="n"/>
      <c r="AF363" s="207" t="n"/>
      <c r="AG363" s="207" t="n"/>
      <c r="AH363" s="207" t="n"/>
      <c r="AI363" s="207" t="n"/>
      <c r="AJ363" s="207" t="n"/>
      <c r="AK363" s="207" t="n"/>
      <c r="AL363" s="207" t="n"/>
      <c r="AM363" s="207" t="n">
        <v>2</v>
      </c>
      <c r="AN363" s="207" t="n"/>
      <c r="AO363" s="207" t="n"/>
      <c r="AP363" s="207" t="n">
        <v>5</v>
      </c>
      <c r="AQ363" s="207" t="n">
        <v>0</v>
      </c>
      <c r="AR363" s="207" t="n">
        <v>0</v>
      </c>
      <c r="AS363" s="207" t="n">
        <v>0</v>
      </c>
      <c r="AT363" s="207" t="n">
        <v>0</v>
      </c>
      <c r="AU363" s="207" t="n">
        <v>0</v>
      </c>
      <c r="AV363" s="207" t="n">
        <v>0</v>
      </c>
      <c r="AW363" s="207" t="n">
        <v>0</v>
      </c>
      <c r="AX363" s="208" t="n">
        <v>1</v>
      </c>
      <c r="AY363" s="209">
        <f>L363*AX363+AP363+AQ363+AR363+AV363+AW363+AS363+AT363+AU363</f>
        <v/>
      </c>
      <c r="AZ363" s="207" t="n">
        <v>16.2</v>
      </c>
      <c r="BA363" s="207" t="n">
        <v>0</v>
      </c>
      <c r="BB363" s="207">
        <f>AZ363*0.006</f>
        <v/>
      </c>
      <c r="BC363" s="209">
        <f>AZ363+BA363-BB363</f>
        <v/>
      </c>
      <c r="BD363" s="207" t="n">
        <v>0</v>
      </c>
      <c r="BE363" s="207" t="n">
        <v>0</v>
      </c>
      <c r="BF363" s="209">
        <f>BD363+BE363</f>
        <v/>
      </c>
      <c r="BG363" s="209">
        <f>BC363-AY363+BF363</f>
        <v/>
      </c>
      <c r="BH363" s="86" t="inlineStr">
        <is>
          <t>王泓</t>
        </is>
      </c>
      <c r="BI363" s="86" t="inlineStr">
        <is>
          <t>浙江省 台州市 临海市 古城街道友兰巷7号5栋</t>
        </is>
      </c>
      <c r="BJ363" s="86" t="inlineStr">
        <is>
          <t>18413581739-7809</t>
        </is>
      </c>
      <c r="BK363" s="86" t="n"/>
      <c r="BL363" s="210" t="n"/>
      <c r="BM363" s="93" t="n"/>
      <c r="BN363" s="94" t="n"/>
      <c r="BO363" s="93" t="n"/>
      <c r="BP363" s="86" t="n"/>
      <c r="BQ363" s="96" t="n"/>
      <c r="BR363" s="96" t="n"/>
      <c r="BS363" s="97" t="n"/>
      <c r="BT363" s="96" t="n"/>
      <c r="BU363" s="97" t="n"/>
      <c r="BV363" s="96" t="n"/>
      <c r="BW363" s="97" t="n"/>
      <c r="BX363" s="97" t="n"/>
      <c r="BY363" s="97" t="n"/>
      <c r="BZ363" s="97" t="n"/>
      <c r="CH363" s="2" t="n"/>
      <c r="CI363" s="14" t="n"/>
      <c r="CJ363" s="25" t="n"/>
      <c r="CK363" s="25" t="n"/>
      <c r="CL363" s="25" t="n"/>
      <c r="CM363" s="25" t="n"/>
      <c r="CN363" s="25" t="n"/>
      <c r="CO363" s="25" t="n"/>
      <c r="CP363" s="25" t="n"/>
      <c r="CQ363" s="25" t="n"/>
      <c r="CR363" s="25" t="n"/>
      <c r="CS363" s="25" t="n"/>
      <c r="CT363" s="25" t="n"/>
      <c r="CU363" s="25" t="n"/>
      <c r="CV363" s="25" t="n"/>
      <c r="CW363" s="25" t="n"/>
      <c r="CX363" s="25" t="n"/>
      <c r="CY363" s="25" t="n"/>
      <c r="DC363" s="26" t="n"/>
      <c r="DD363" s="26" t="n"/>
      <c r="DE363" s="26" t="n"/>
      <c r="DF363" s="26" t="n"/>
      <c r="DG363" s="26" t="n"/>
      <c r="DH363" s="27" t="n"/>
      <c r="DJ363" s="211" t="inlineStr">
        <is>
          <t>订单表中未找到</t>
        </is>
      </c>
      <c r="DK363" t="inlineStr">
        <is>
          <t>—</t>
        </is>
      </c>
      <c r="DL363" t="inlineStr">
        <is>
          <t>—</t>
        </is>
      </c>
    </row>
    <row r="364" ht="15.75" customHeight="1" s="187">
      <c r="A364" s="84" t="n">
        <v>45960</v>
      </c>
      <c r="B364" s="206" t="inlineStr">
        <is>
          <t>已收货</t>
        </is>
      </c>
      <c r="C364" s="86" t="inlineStr">
        <is>
          <t>4845898188836554415</t>
        </is>
      </c>
      <c r="D364" s="110" t="inlineStr">
        <is>
          <t>橘子</t>
        </is>
      </c>
      <c r="E364" s="87" t="n"/>
      <c r="F364" s="87" t="n"/>
      <c r="G364" s="207" t="inlineStr">
        <is>
          <t>窄柜-整柜洞石背板-1.0米</t>
        </is>
      </c>
      <c r="H364" s="207" t="inlineStr">
        <is>
          <t>樱桃木窄柜</t>
        </is>
      </c>
      <c r="I364" s="89" t="n">
        <v>1000</v>
      </c>
      <c r="J364" s="87" t="inlineStr">
        <is>
          <t>已结算</t>
        </is>
      </c>
      <c r="K364" s="86" t="inlineStr">
        <is>
          <t>庄毅</t>
        </is>
      </c>
      <c r="L364" s="207">
        <f>SUM(M364:AO364)</f>
        <v/>
      </c>
      <c r="M364" s="207">
        <f>3300</f>
        <v/>
      </c>
      <c r="N364" s="207">
        <f>0.958*260+2*55</f>
        <v/>
      </c>
      <c r="O364" s="207" t="n">
        <v>120</v>
      </c>
      <c r="P364" s="207" t="n"/>
      <c r="Q364" s="207">
        <f>19*2</f>
        <v/>
      </c>
      <c r="R364" s="207" t="n">
        <v>106.8</v>
      </c>
      <c r="S364" s="207" t="n">
        <v>59.23</v>
      </c>
      <c r="T364" s="207" t="n"/>
      <c r="U364" s="207" t="n"/>
      <c r="V364" s="207" t="n">
        <v>5</v>
      </c>
      <c r="W364" s="207" t="n"/>
      <c r="X364" s="207" t="n"/>
      <c r="Y364" s="207" t="n"/>
      <c r="Z364" s="207" t="n"/>
      <c r="AA364" s="207" t="n">
        <v>2</v>
      </c>
      <c r="AB364" s="207" t="n">
        <v>1.1</v>
      </c>
      <c r="AC364" s="207" t="n">
        <v>3.5</v>
      </c>
      <c r="AD364" s="207" t="n"/>
      <c r="AE364" s="207" t="n"/>
      <c r="AF364" s="207" t="n"/>
      <c r="AG364" s="207" t="n"/>
      <c r="AH364" s="207" t="n"/>
      <c r="AI364" s="207" t="n"/>
      <c r="AJ364" s="207" t="n"/>
      <c r="AK364" s="207" t="n"/>
      <c r="AL364" s="207" t="n"/>
      <c r="AM364" s="207" t="n"/>
      <c r="AN364" s="207" t="n"/>
      <c r="AO364" s="207" t="n"/>
      <c r="AP364" s="207" t="n">
        <v>560</v>
      </c>
      <c r="AQ364" s="207" t="n">
        <v>0</v>
      </c>
      <c r="AR364" s="207" t="n">
        <v>75</v>
      </c>
      <c r="AS364" s="207" t="n">
        <v>0</v>
      </c>
      <c r="AT364" s="207" t="n">
        <v>0</v>
      </c>
      <c r="AU364" s="207" t="n">
        <v>0</v>
      </c>
      <c r="AV364" s="207" t="n">
        <v>0</v>
      </c>
      <c r="AW364" s="207" t="n">
        <v>0</v>
      </c>
      <c r="AX364" s="208" t="n">
        <v>1</v>
      </c>
      <c r="AY364" s="209">
        <f>L364*AX364+AP364+AQ364+AR364+AV364+AW364+AS364+AT364+AU364</f>
        <v/>
      </c>
      <c r="AZ364" s="207" t="n">
        <v>5151.5</v>
      </c>
      <c r="BA364" s="207" t="n">
        <v>0</v>
      </c>
      <c r="BB364" s="207">
        <f>AZ364*0.006</f>
        <v/>
      </c>
      <c r="BC364" s="209">
        <f>AZ364+BA364-BB364</f>
        <v/>
      </c>
      <c r="BD364" s="207" t="n">
        <v>0</v>
      </c>
      <c r="BE364" s="207" t="n">
        <v>0</v>
      </c>
      <c r="BF364" s="209">
        <f>BD364+BE364</f>
        <v/>
      </c>
      <c r="BG364" s="209">
        <f>BC364-AY364+BF364</f>
        <v/>
      </c>
      <c r="BH364" s="207" t="inlineStr">
        <is>
          <t>橘子</t>
        </is>
      </c>
      <c r="BI364" s="207" t="inlineStr">
        <is>
          <t>河北省 沧州市 任丘市 渤海路街道 局机关小区幸福家园2号楼302</t>
        </is>
      </c>
      <c r="BJ364" s="207" t="inlineStr">
        <is>
          <t>18433979425-1233</t>
        </is>
      </c>
      <c r="BK364" s="86" t="n"/>
      <c r="BL364" s="210" t="n"/>
      <c r="BM364" s="93" t="n"/>
      <c r="BN364" s="94" t="n"/>
      <c r="BO364" s="93" t="n"/>
      <c r="BP364" s="86" t="n"/>
      <c r="BQ364" s="96" t="n"/>
      <c r="BR364" s="96" t="n"/>
      <c r="BS364" s="97" t="n"/>
      <c r="BT364" s="96" t="n"/>
      <c r="BU364" s="97" t="n"/>
      <c r="BV364" s="96" t="n"/>
      <c r="BW364" s="97" t="n"/>
      <c r="BX364" s="97" t="n"/>
      <c r="BY364" s="97" t="n"/>
      <c r="BZ364" s="97" t="n"/>
      <c r="CH364" s="2" t="n"/>
      <c r="CI364" s="14" t="n"/>
      <c r="CJ364" s="25" t="n"/>
      <c r="CK364" s="25" t="n"/>
      <c r="CL364" s="25" t="n"/>
      <c r="CM364" s="25" t="n"/>
      <c r="CN364" s="25" t="n"/>
      <c r="CO364" s="25" t="n"/>
      <c r="CP364" s="25" t="n"/>
      <c r="CQ364" s="25" t="n"/>
      <c r="CR364" s="25" t="n"/>
      <c r="CS364" s="25" t="n"/>
      <c r="CT364" s="25" t="n"/>
      <c r="CU364" s="25" t="n"/>
      <c r="CV364" s="25" t="n"/>
      <c r="CW364" s="25" t="n"/>
      <c r="CX364" s="25" t="n"/>
      <c r="CY364" s="25" t="n"/>
      <c r="DC364" s="26" t="n"/>
      <c r="DD364" s="26" t="n"/>
      <c r="DE364" s="26" t="n"/>
      <c r="DF364" s="26" t="n"/>
      <c r="DG364" s="26" t="n"/>
      <c r="DH364" s="27" t="n"/>
      <c r="DJ364" s="211" t="inlineStr">
        <is>
          <t>订单表中未找到</t>
        </is>
      </c>
      <c r="DK364" t="inlineStr">
        <is>
          <t>—</t>
        </is>
      </c>
      <c r="DL364" t="inlineStr">
        <is>
          <t>—</t>
        </is>
      </c>
    </row>
    <row r="365" ht="15.75" customHeight="1" s="187">
      <c r="A365" s="84" t="n">
        <v>45960</v>
      </c>
      <c r="B365" s="206" t="inlineStr">
        <is>
          <t>已收货</t>
        </is>
      </c>
      <c r="C365" s="86" t="inlineStr">
        <is>
          <t>3029805878318372574</t>
        </is>
      </c>
      <c r="D365" s="110" t="inlineStr">
        <is>
          <t>林中瑜</t>
        </is>
      </c>
      <c r="E365" s="87" t="n"/>
      <c r="F365" s="87" t="n"/>
      <c r="G365" s="207" t="inlineStr">
        <is>
          <t>砂白色1.8米岩板餐桌</t>
        </is>
      </c>
      <c r="H365" s="207" t="inlineStr">
        <is>
          <t>榉木餐桌</t>
        </is>
      </c>
      <c r="I365" s="89" t="inlineStr">
        <is>
          <t>180cm*85cm</t>
        </is>
      </c>
      <c r="J365" s="87" t="inlineStr">
        <is>
          <t>已结算</t>
        </is>
      </c>
      <c r="K365" s="86" t="inlineStr">
        <is>
          <t>庄毅</t>
        </is>
      </c>
      <c r="L365" s="207">
        <f>SUM(M365:AO365)</f>
        <v/>
      </c>
      <c r="M365" s="207">
        <f>1580</f>
        <v/>
      </c>
      <c r="N365" s="207" t="n"/>
      <c r="O365" s="207" t="n"/>
      <c r="P365" s="207" t="n"/>
      <c r="Q365" s="207" t="n"/>
      <c r="R365" s="207">
        <f>180*1.8*0.85</f>
        <v/>
      </c>
      <c r="S365" s="207" t="n"/>
      <c r="T365" s="207" t="n"/>
      <c r="U365" s="207" t="n"/>
      <c r="V365" s="207" t="n"/>
      <c r="W365" s="207" t="n"/>
      <c r="X365" s="207" t="n"/>
      <c r="Y365" s="207" t="n"/>
      <c r="Z365" s="207" t="n"/>
      <c r="AA365" s="207" t="n"/>
      <c r="AB365" s="207" t="n"/>
      <c r="AC365" s="207" t="n"/>
      <c r="AD365" s="207" t="n">
        <v>2.5</v>
      </c>
      <c r="AE365" s="207" t="n"/>
      <c r="AF365" s="207" t="n"/>
      <c r="AG365" s="207" t="n"/>
      <c r="AH365" s="207" t="n"/>
      <c r="AI365" s="207" t="n"/>
      <c r="AJ365" s="207" t="n"/>
      <c r="AK365" s="207" t="n"/>
      <c r="AL365" s="207" t="n"/>
      <c r="AM365" s="207" t="n"/>
      <c r="AN365" s="207" t="n"/>
      <c r="AO365" s="207" t="n"/>
      <c r="AP365" s="207" t="n">
        <v>209</v>
      </c>
      <c r="AQ365" s="207" t="n"/>
      <c r="AR365" s="207" t="n">
        <v>68</v>
      </c>
      <c r="AS365" s="207" t="n">
        <v>0</v>
      </c>
      <c r="AT365" s="207" t="n">
        <v>0</v>
      </c>
      <c r="AU365" s="207" t="n">
        <v>0</v>
      </c>
      <c r="AV365" s="207" t="n">
        <v>0</v>
      </c>
      <c r="AW365" s="207" t="n">
        <v>0</v>
      </c>
      <c r="AX365" s="208" t="n">
        <v>1</v>
      </c>
      <c r="AY365" s="209">
        <f>L365*AX365+AP365+AQ365+AR365+AV365+AW365+AS365+AT365+AU365</f>
        <v/>
      </c>
      <c r="AZ365" s="207" t="n">
        <v>2789.6</v>
      </c>
      <c r="BA365" s="207" t="n">
        <v>0</v>
      </c>
      <c r="BB365" s="207">
        <f>AZ365*0.006</f>
        <v/>
      </c>
      <c r="BC365" s="209">
        <f>AZ365+BA365-BB365</f>
        <v/>
      </c>
      <c r="BD365" s="207" t="n">
        <v>0</v>
      </c>
      <c r="BE365" s="207" t="n">
        <v>0</v>
      </c>
      <c r="BF365" s="209">
        <f>BD365+BE365</f>
        <v/>
      </c>
      <c r="BG365" s="209">
        <f>BC365-AY365+BF365</f>
        <v/>
      </c>
      <c r="BH365" s="207" t="inlineStr">
        <is>
          <t>林中瑜</t>
        </is>
      </c>
      <c r="BI365" s="207" t="inlineStr">
        <is>
          <t>浙江省 台州市 椒江区 葭沚街道 学院路天悦锦园1-1-502</t>
        </is>
      </c>
      <c r="BJ365" s="207" t="inlineStr">
        <is>
          <t>18413581679-1223</t>
        </is>
      </c>
      <c r="BK365" s="86" t="n"/>
      <c r="BL365" s="210" t="n"/>
      <c r="BM365" s="93" t="n"/>
      <c r="BN365" s="94" t="n"/>
      <c r="BO365" s="93" t="n"/>
      <c r="BP365" s="86" t="n"/>
      <c r="BQ365" s="96" t="n"/>
      <c r="BR365" s="96" t="n"/>
      <c r="BS365" s="97" t="n"/>
      <c r="BT365" s="96" t="n"/>
      <c r="BU365" s="97" t="n"/>
      <c r="BV365" s="96" t="n"/>
      <c r="BW365" s="97" t="n"/>
      <c r="BX365" s="97" t="n"/>
      <c r="BY365" s="97" t="n"/>
      <c r="BZ365" s="97" t="n"/>
      <c r="CH365" s="2" t="n"/>
      <c r="CI365" s="14" t="n"/>
      <c r="CJ365" s="25" t="n"/>
      <c r="CK365" s="25" t="n"/>
      <c r="CL365" s="25" t="n"/>
      <c r="CM365" s="25" t="n"/>
      <c r="CN365" s="25" t="n"/>
      <c r="CO365" s="25" t="n"/>
      <c r="CP365" s="25" t="n"/>
      <c r="CQ365" s="25" t="n"/>
      <c r="CR365" s="25" t="n"/>
      <c r="CS365" s="25" t="n"/>
      <c r="CT365" s="25" t="n"/>
      <c r="CU365" s="25" t="n"/>
      <c r="CV365" s="25" t="n"/>
      <c r="CW365" s="25" t="n"/>
      <c r="CX365" s="25" t="n"/>
      <c r="CY365" s="25" t="n"/>
      <c r="DC365" s="26" t="n"/>
      <c r="DD365" s="26" t="n"/>
      <c r="DE365" s="26" t="n"/>
      <c r="DF365" s="26" t="n"/>
      <c r="DG365" s="26" t="n"/>
      <c r="DH365" s="27" t="n"/>
      <c r="DJ365" s="211" t="inlineStr">
        <is>
          <t>订单表中未找到</t>
        </is>
      </c>
      <c r="DK365" t="inlineStr">
        <is>
          <t>—</t>
        </is>
      </c>
      <c r="DL365" t="inlineStr">
        <is>
          <t>—</t>
        </is>
      </c>
    </row>
    <row r="366" ht="15.75" customHeight="1" s="187">
      <c r="A366" s="84" t="n">
        <v>45960</v>
      </c>
      <c r="B366" s="206" t="inlineStr">
        <is>
          <t>已收货</t>
        </is>
      </c>
      <c r="C366" s="86" t="inlineStr">
        <is>
          <t>3030290688676445374</t>
        </is>
      </c>
      <c r="D366" s="86" t="inlineStr">
        <is>
          <t>李文</t>
        </is>
      </c>
      <c r="E366" s="87" t="inlineStr">
        <is>
          <t>已发货，年后修复</t>
        </is>
      </c>
      <c r="F366" s="87" t="n"/>
      <c r="G366" s="207" t="inlineStr">
        <is>
          <t>定制2.1洞石柜</t>
        </is>
      </c>
      <c r="H366" s="207" t="inlineStr">
        <is>
          <t>洞石餐边柜</t>
        </is>
      </c>
      <c r="I366" s="89" t="n">
        <v>2100</v>
      </c>
      <c r="J366" s="87" t="inlineStr">
        <is>
          <t>已结算</t>
        </is>
      </c>
      <c r="K366" s="86" t="inlineStr">
        <is>
          <t>庄毅</t>
        </is>
      </c>
      <c r="L366" s="207">
        <f>8500+432+45*2+2040/6/1.5+76+2.1*0.58*160+(2.1+0.5*2)*60+10+20+501.08+10+40+14+657.08+8.79+430+573.99+660</f>
        <v/>
      </c>
      <c r="M366" s="207">
        <f>8500</f>
        <v/>
      </c>
      <c r="N366" s="207" t="n">
        <v>432</v>
      </c>
      <c r="O366" s="207" t="n"/>
      <c r="P366" s="207" t="inlineStr">
        <is>
          <t>2040/6/1.5</t>
        </is>
      </c>
      <c r="Q366" s="207">
        <f>45*2</f>
        <v/>
      </c>
      <c r="R366" s="207">
        <f>2.1*0.58*160+(2.1+0.5*2)*60+30</f>
        <v/>
      </c>
      <c r="S366" s="207" t="n"/>
      <c r="T366" s="207" t="n"/>
      <c r="U366" s="207" t="n"/>
      <c r="V366" s="207" t="n"/>
      <c r="W366" s="207" t="n"/>
      <c r="X366" s="207" t="n">
        <v>10</v>
      </c>
      <c r="Y366" s="207" t="n">
        <v>20</v>
      </c>
      <c r="Z366" s="207" t="n"/>
      <c r="AA366" s="207" t="n"/>
      <c r="AB366" s="207" t="n"/>
      <c r="AC366" s="207" t="n">
        <v>657.08</v>
      </c>
      <c r="AD366" s="207" t="n">
        <v>10</v>
      </c>
      <c r="AE366" s="207" t="n">
        <v>501.08</v>
      </c>
      <c r="AF366" s="207" t="n">
        <v>40</v>
      </c>
      <c r="AG366" s="207" t="n"/>
      <c r="AH366" s="207" t="n"/>
      <c r="AI366" s="207" t="n"/>
      <c r="AJ366" s="207" t="n">
        <v>14</v>
      </c>
      <c r="AK366" s="207" t="n"/>
      <c r="AL366" s="207" t="n"/>
      <c r="AM366" s="207" t="n">
        <v>8.789999999999999</v>
      </c>
      <c r="AN366" s="207" t="n">
        <v>430</v>
      </c>
      <c r="AO366" s="207" t="n">
        <v>573.99</v>
      </c>
      <c r="AP366" s="207" t="n">
        <v>660</v>
      </c>
      <c r="AQ366" s="207" t="n">
        <v>0</v>
      </c>
      <c r="AR366" s="207" t="n">
        <v>200</v>
      </c>
      <c r="AS366" s="207" t="n">
        <v>0</v>
      </c>
      <c r="AT366" s="207" t="n">
        <v>218</v>
      </c>
      <c r="AU366" s="207" t="n">
        <v>0</v>
      </c>
      <c r="AV366" s="207" t="n">
        <v>0</v>
      </c>
      <c r="AW366" s="207" t="n">
        <v>0</v>
      </c>
      <c r="AX366" s="208" t="n">
        <v>1</v>
      </c>
      <c r="AY366" s="209">
        <f>L366*AX366+AP366+AQ366+AR366+AV366+AW366+AS366+AT366+AU366</f>
        <v/>
      </c>
      <c r="AZ366" s="207" t="n">
        <v>11024.88</v>
      </c>
      <c r="BA366" s="207" t="n">
        <v>0</v>
      </c>
      <c r="BB366" s="207">
        <f>AZ366*0.006</f>
        <v/>
      </c>
      <c r="BC366" s="209">
        <f>AZ366+BA366-BB366</f>
        <v/>
      </c>
      <c r="BD366" s="207" t="n">
        <v>0</v>
      </c>
      <c r="BE366" s="207" t="n">
        <v>0</v>
      </c>
      <c r="BF366" s="209">
        <f>BD366+BE366</f>
        <v/>
      </c>
      <c r="BG366" s="209">
        <f>BC366-AY366+BF366</f>
        <v/>
      </c>
      <c r="BH366" s="207" t="inlineStr">
        <is>
          <t>李文</t>
        </is>
      </c>
      <c r="BI366" s="207" t="inlineStr">
        <is>
          <t>河北省 廊坊市 永清县 永清镇 廊霸路与恒山路交汇处往南200米路东红蔷花园4号楼</t>
        </is>
      </c>
      <c r="BJ366" s="207" t="inlineStr">
        <is>
          <t>18533766283-6889</t>
        </is>
      </c>
      <c r="BK366" s="86" t="n"/>
      <c r="BL366" s="210" t="n"/>
      <c r="BM366" s="93" t="n"/>
      <c r="BN366" s="94" t="n"/>
      <c r="BO366" s="93" t="n"/>
      <c r="BP366" s="86" t="n"/>
      <c r="BQ366" s="96" t="n"/>
      <c r="BR366" s="96" t="n"/>
      <c r="BS366" s="97" t="n"/>
      <c r="BT366" s="96" t="n"/>
      <c r="BU366" s="97" t="n"/>
      <c r="BV366" s="96" t="n"/>
      <c r="BW366" s="97" t="n"/>
      <c r="BX366" s="97" t="n"/>
      <c r="BY366" s="97" t="n"/>
      <c r="BZ366" s="97" t="n"/>
      <c r="CH366" s="2" t="n"/>
      <c r="CI366" s="14" t="n"/>
      <c r="CJ366" s="25" t="n"/>
      <c r="CK366" s="25" t="n"/>
      <c r="CL366" s="25" t="n"/>
      <c r="CM366" s="25" t="n"/>
      <c r="CN366" s="25" t="n"/>
      <c r="CO366" s="25" t="n"/>
      <c r="CP366" s="25" t="n"/>
      <c r="CQ366" s="25" t="n"/>
      <c r="CR366" s="25" t="n"/>
      <c r="CS366" s="25" t="n"/>
      <c r="CT366" s="25" t="n"/>
      <c r="CU366" s="25" t="n"/>
      <c r="CV366" s="25" t="n"/>
      <c r="CW366" s="25" t="n"/>
      <c r="CX366" s="25" t="n"/>
      <c r="CY366" s="25" t="n"/>
      <c r="DC366" s="26" t="n"/>
      <c r="DD366" s="26" t="n"/>
      <c r="DE366" s="26" t="n"/>
      <c r="DF366" s="26" t="n"/>
      <c r="DG366" s="26" t="n"/>
      <c r="DH366" s="27" t="n"/>
      <c r="DJ366" s="211" t="inlineStr">
        <is>
          <t>订单表中未找到</t>
        </is>
      </c>
      <c r="DK366" t="inlineStr">
        <is>
          <t>—</t>
        </is>
      </c>
      <c r="DL366" t="inlineStr">
        <is>
          <t>—</t>
        </is>
      </c>
    </row>
    <row r="367" ht="15.75" customHeight="1" s="187">
      <c r="A367" s="84" t="n">
        <v>45960</v>
      </c>
      <c r="B367" s="206" t="inlineStr">
        <is>
          <t>已收货</t>
        </is>
      </c>
      <c r="C367" s="86" t="inlineStr">
        <is>
          <t>3030330757980445374</t>
        </is>
      </c>
      <c r="D367" s="86" t="inlineStr">
        <is>
          <t>李文</t>
        </is>
      </c>
      <c r="E367" s="87" t="n"/>
      <c r="F367" s="87" t="n"/>
      <c r="G367" s="207" t="inlineStr">
        <is>
          <t>补差价</t>
        </is>
      </c>
      <c r="H367" s="207" t="inlineStr">
        <is>
          <t>洞石餐边柜</t>
        </is>
      </c>
      <c r="I367" s="89" t="n"/>
      <c r="J367" s="87" t="inlineStr">
        <is>
          <t>已结算</t>
        </is>
      </c>
      <c r="K367" s="86" t="inlineStr">
        <is>
          <t>庄毅-江西</t>
        </is>
      </c>
      <c r="L367" s="207" t="n">
        <v>1660</v>
      </c>
      <c r="M367" s="207" t="n">
        <v>1660</v>
      </c>
      <c r="N367" s="207" t="n"/>
      <c r="O367" s="207" t="n"/>
      <c r="P367" s="207" t="n"/>
      <c r="Q367" s="207" t="n"/>
      <c r="R367" s="207" t="n"/>
      <c r="S367" s="207" t="n"/>
      <c r="T367" s="207" t="n"/>
      <c r="U367" s="207" t="n"/>
      <c r="V367" s="207" t="n"/>
      <c r="W367" s="207" t="n"/>
      <c r="X367" s="207" t="n"/>
      <c r="Y367" s="207" t="n"/>
      <c r="Z367" s="207" t="n"/>
      <c r="AA367" s="207" t="n"/>
      <c r="AB367" s="207" t="n"/>
      <c r="AC367" s="207" t="n"/>
      <c r="AD367" s="207" t="n"/>
      <c r="AE367" s="207" t="n"/>
      <c r="AF367" s="207" t="n"/>
      <c r="AG367" s="207" t="n"/>
      <c r="AH367" s="207" t="n"/>
      <c r="AI367" s="207" t="n"/>
      <c r="AJ367" s="207" t="n"/>
      <c r="AK367" s="207" t="n"/>
      <c r="AL367" s="207" t="n"/>
      <c r="AM367" s="207" t="n"/>
      <c r="AN367" s="207" t="n"/>
      <c r="AO367" s="207" t="n"/>
      <c r="AP367" s="207" t="n">
        <v>0</v>
      </c>
      <c r="AQ367" s="207" t="n">
        <v>0</v>
      </c>
      <c r="AR367" s="207" t="n">
        <v>0</v>
      </c>
      <c r="AS367" s="207" t="n">
        <v>0</v>
      </c>
      <c r="AT367" s="207" t="n">
        <v>0</v>
      </c>
      <c r="AU367" s="207" t="n">
        <v>0</v>
      </c>
      <c r="AV367" s="207" t="n">
        <v>0</v>
      </c>
      <c r="AW367" s="207" t="n">
        <v>0</v>
      </c>
      <c r="AX367" s="208" t="n">
        <v>1</v>
      </c>
      <c r="AY367" s="209">
        <f>L367*AX367+AP367+AQ367+AR367+AV367+AW367+AS367+AT367+AU367</f>
        <v/>
      </c>
      <c r="AZ367" s="207" t="n">
        <v>440</v>
      </c>
      <c r="BA367" s="207" t="n">
        <v>0</v>
      </c>
      <c r="BB367" s="207">
        <f>AZ367*0.006</f>
        <v/>
      </c>
      <c r="BC367" s="209">
        <f>AZ367+BA367-BB367</f>
        <v/>
      </c>
      <c r="BD367" s="207" t="n">
        <v>0</v>
      </c>
      <c r="BE367" s="207" t="n">
        <v>0</v>
      </c>
      <c r="BF367" s="209">
        <f>BD367+BE367</f>
        <v/>
      </c>
      <c r="BG367" s="209">
        <f>BC367-AY367+BF367</f>
        <v/>
      </c>
      <c r="BH367" s="207" t="inlineStr">
        <is>
          <t>李文</t>
        </is>
      </c>
      <c r="BI367" s="207" t="inlineStr">
        <is>
          <t>河北省 廊坊市 永清县 永清镇 廊霸路与恒山路交汇处往南200米路东红蔷花园4号楼</t>
        </is>
      </c>
      <c r="BJ367" s="207" t="inlineStr">
        <is>
          <t>18533766283-6889</t>
        </is>
      </c>
      <c r="BK367" s="86" t="n"/>
      <c r="BL367" s="210" t="n"/>
      <c r="BM367" s="93" t="n"/>
      <c r="BN367" s="94" t="n"/>
      <c r="BO367" s="93" t="n"/>
      <c r="BP367" s="86" t="n"/>
      <c r="BQ367" s="96" t="n"/>
      <c r="BR367" s="96" t="n"/>
      <c r="BS367" s="97" t="n"/>
      <c r="BT367" s="96" t="n"/>
      <c r="BU367" s="97" t="n"/>
      <c r="BV367" s="96" t="n"/>
      <c r="BW367" s="97" t="n"/>
      <c r="BX367" s="97" t="n"/>
      <c r="BY367" s="97" t="n"/>
      <c r="BZ367" s="97" t="n"/>
      <c r="CH367" s="2" t="n"/>
      <c r="CI367" s="14" t="n"/>
      <c r="CJ367" s="25" t="n"/>
      <c r="CK367" s="25" t="n"/>
      <c r="CL367" s="25" t="n"/>
      <c r="CM367" s="25" t="n"/>
      <c r="CN367" s="25" t="n"/>
      <c r="CO367" s="25" t="n"/>
      <c r="CP367" s="25" t="n"/>
      <c r="CQ367" s="25" t="n"/>
      <c r="CR367" s="25" t="n"/>
      <c r="CS367" s="25" t="n"/>
      <c r="CT367" s="25" t="n"/>
      <c r="CU367" s="25" t="n"/>
      <c r="CV367" s="25" t="n"/>
      <c r="CW367" s="25" t="n"/>
      <c r="CX367" s="25" t="n"/>
      <c r="CY367" s="25" t="n"/>
      <c r="DC367" s="26" t="n"/>
      <c r="DD367" s="26" t="n"/>
      <c r="DE367" s="26" t="n"/>
      <c r="DF367" s="26" t="n"/>
      <c r="DG367" s="26" t="n"/>
      <c r="DH367" s="27" t="n"/>
      <c r="DJ367" s="211" t="inlineStr">
        <is>
          <t>订单表中未找到</t>
        </is>
      </c>
      <c r="DK367" t="inlineStr">
        <is>
          <t>—</t>
        </is>
      </c>
      <c r="DL367" t="inlineStr">
        <is>
          <t>—</t>
        </is>
      </c>
    </row>
    <row r="368" ht="15.75" customHeight="1" s="187">
      <c r="A368" s="84" t="n">
        <v>45960</v>
      </c>
      <c r="B368" s="206" t="inlineStr">
        <is>
          <t>已收货</t>
        </is>
      </c>
      <c r="C368" s="86" t="inlineStr">
        <is>
          <t>3031147524813233558</t>
        </is>
      </c>
      <c r="D368" s="110" t="inlineStr">
        <is>
          <t>吴楠</t>
        </is>
      </c>
      <c r="E368" s="87" t="inlineStr">
        <is>
          <t>已发货，未安装</t>
        </is>
      </c>
      <c r="F368" s="87" t="n"/>
      <c r="G368" s="87" t="inlineStr">
        <is>
          <t>砂白色2.0米岩板餐桌</t>
        </is>
      </c>
      <c r="H368" s="207" t="inlineStr">
        <is>
          <t>榉木餐桌</t>
        </is>
      </c>
      <c r="I368" s="89" t="inlineStr">
        <is>
          <t>200cm*85cm</t>
        </is>
      </c>
      <c r="J368" s="87" t="inlineStr">
        <is>
          <t>已结算</t>
        </is>
      </c>
      <c r="K368" s="86" t="inlineStr">
        <is>
          <t>庄毅</t>
        </is>
      </c>
      <c r="L368" s="207">
        <f>SUM(M368:AO368)</f>
        <v/>
      </c>
      <c r="M368" s="207">
        <f>1630</f>
        <v/>
      </c>
      <c r="N368" s="207" t="n"/>
      <c r="O368" s="207" t="n"/>
      <c r="P368" s="207" t="n"/>
      <c r="Q368" s="207" t="n"/>
      <c r="R368" s="207">
        <f>180*2*0.85</f>
        <v/>
      </c>
      <c r="S368" s="207" t="n"/>
      <c r="T368" s="207" t="n"/>
      <c r="U368" s="207" t="n"/>
      <c r="V368" s="207" t="n"/>
      <c r="W368" s="207" t="n"/>
      <c r="X368" s="207" t="n"/>
      <c r="Y368" s="207" t="n"/>
      <c r="Z368" s="207" t="n"/>
      <c r="AA368" s="207" t="n"/>
      <c r="AB368" s="207" t="n"/>
      <c r="AC368" s="207" t="n"/>
      <c r="AD368" s="207" t="n">
        <v>2.5</v>
      </c>
      <c r="AE368" s="207" t="n"/>
      <c r="AF368" s="207" t="n"/>
      <c r="AG368" s="207" t="n"/>
      <c r="AH368" s="207" t="n"/>
      <c r="AI368" s="207" t="n"/>
      <c r="AJ368" s="207" t="n"/>
      <c r="AK368" s="207" t="n"/>
      <c r="AL368" s="207" t="n"/>
      <c r="AM368" s="207" t="n"/>
      <c r="AN368" s="207" t="n"/>
      <c r="AO368" s="207" t="n"/>
      <c r="AP368" s="207" t="n">
        <v>349</v>
      </c>
      <c r="AQ368" s="121" t="n">
        <v>100</v>
      </c>
      <c r="AR368" s="121" t="n">
        <v>150</v>
      </c>
      <c r="AS368" s="207" t="n">
        <v>0</v>
      </c>
      <c r="AT368" s="207" t="n">
        <v>0</v>
      </c>
      <c r="AU368" s="207" t="n">
        <v>0</v>
      </c>
      <c r="AV368" s="207" t="n">
        <v>0</v>
      </c>
      <c r="AW368" s="207" t="n">
        <v>0</v>
      </c>
      <c r="AX368" s="208" t="n">
        <v>1</v>
      </c>
      <c r="AY368" s="209">
        <f>L368*AX368+AP368+AQ368+AR368+AV368+AW368+AS368+AT368+AU368</f>
        <v/>
      </c>
      <c r="AZ368" s="207" t="n">
        <v>3175.31</v>
      </c>
      <c r="BA368" s="207" t="n">
        <v>0</v>
      </c>
      <c r="BB368" s="207">
        <f>AZ368*0.006</f>
        <v/>
      </c>
      <c r="BC368" s="209">
        <f>AZ368+BA368-BB368</f>
        <v/>
      </c>
      <c r="BD368" s="207" t="n">
        <v>0</v>
      </c>
      <c r="BE368" s="207" t="n">
        <v>0</v>
      </c>
      <c r="BF368" s="209">
        <f>BD368+BE368</f>
        <v/>
      </c>
      <c r="BG368" s="209">
        <f>BC368-AY368+BF368</f>
        <v/>
      </c>
      <c r="BH368" s="207" t="inlineStr">
        <is>
          <t>吴楠</t>
        </is>
      </c>
      <c r="BI368" s="207" t="inlineStr">
        <is>
          <t>云南省 大理白族自治州 大理市 大理镇大理艺术家园雨燕1栋2-201</t>
        </is>
      </c>
      <c r="BJ368" s="207" t="inlineStr">
        <is>
          <t>17626017845-8591</t>
        </is>
      </c>
      <c r="BK368" s="86" t="n"/>
      <c r="BL368" s="210" t="n"/>
      <c r="BM368" s="93" t="n"/>
      <c r="BN368" s="94" t="n"/>
      <c r="BO368" s="93" t="n"/>
      <c r="BP368" s="86" t="n"/>
      <c r="BQ368" s="96" t="n"/>
      <c r="BR368" s="96" t="n"/>
      <c r="BS368" s="97" t="n"/>
      <c r="BT368" s="96" t="n"/>
      <c r="BU368" s="97" t="n"/>
      <c r="BV368" s="96" t="n"/>
      <c r="BW368" s="97" t="n"/>
      <c r="BX368" s="97" t="n"/>
      <c r="BY368" s="97" t="n"/>
      <c r="BZ368" s="97" t="n"/>
      <c r="CH368" s="2" t="n"/>
      <c r="CI368" s="14" t="n"/>
      <c r="CJ368" s="25" t="n"/>
      <c r="CK368" s="25" t="n"/>
      <c r="CL368" s="25" t="n"/>
      <c r="CM368" s="25" t="n"/>
      <c r="CN368" s="25" t="n"/>
      <c r="CO368" s="25" t="n"/>
      <c r="CP368" s="25" t="n"/>
      <c r="CQ368" s="25" t="n"/>
      <c r="CR368" s="25" t="n"/>
      <c r="CS368" s="25" t="n"/>
      <c r="CT368" s="25" t="n"/>
      <c r="CU368" s="25" t="n"/>
      <c r="CV368" s="25" t="n"/>
      <c r="CW368" s="25" t="n"/>
      <c r="CX368" s="25" t="n"/>
      <c r="CY368" s="25" t="n"/>
      <c r="DC368" s="26" t="n"/>
      <c r="DD368" s="26" t="n"/>
      <c r="DE368" s="26" t="n"/>
      <c r="DF368" s="26" t="n"/>
      <c r="DG368" s="26" t="n"/>
      <c r="DH368" s="27" t="n"/>
      <c r="DJ368" s="211" t="inlineStr">
        <is>
          <t>订单表中未找到</t>
        </is>
      </c>
      <c r="DK368" t="inlineStr">
        <is>
          <t>—</t>
        </is>
      </c>
      <c r="DL368" t="inlineStr">
        <is>
          <t>—</t>
        </is>
      </c>
    </row>
    <row r="369" ht="15.75" customHeight="1" s="187">
      <c r="A369" s="84" t="n">
        <v>45961</v>
      </c>
      <c r="B369" s="206" t="inlineStr">
        <is>
          <t>已收货</t>
        </is>
      </c>
      <c r="C369" s="86" t="inlineStr">
        <is>
          <t>4848841044448474218</t>
        </is>
      </c>
      <c r="D369" s="110" t="inlineStr">
        <is>
          <t>汤维肖</t>
        </is>
      </c>
      <c r="E369" s="87" t="n"/>
      <c r="F369" s="87" t="n"/>
      <c r="G369" s="207" t="inlineStr">
        <is>
          <t>窄柜1.2米</t>
        </is>
      </c>
      <c r="H369" s="207" t="inlineStr">
        <is>
          <t>樱桃木窄柜</t>
        </is>
      </c>
      <c r="I369" s="89" t="n">
        <v>1200</v>
      </c>
      <c r="J369" s="87" t="inlineStr">
        <is>
          <t>已结算</t>
        </is>
      </c>
      <c r="K369" s="87" t="inlineStr">
        <is>
          <t>庄毅-江西</t>
        </is>
      </c>
      <c r="L369" s="207">
        <f>3650+115+1.16+3.37+1.1+1.03+76/2+8+411.08+3+10+62.4+160*1.2*0.48+5*30</f>
        <v/>
      </c>
      <c r="M369" s="207">
        <f>3650</f>
        <v/>
      </c>
      <c r="N369" s="207" t="n">
        <v>115</v>
      </c>
      <c r="O369" s="207" t="n"/>
      <c r="P369" s="207" t="n"/>
      <c r="Q369" s="207" t="n"/>
      <c r="R369" s="207" t="n"/>
      <c r="S369" s="207" t="n"/>
      <c r="T369" s="207" t="n">
        <v>27791</v>
      </c>
      <c r="U369" s="207" t="n"/>
      <c r="V369" s="207" t="n"/>
      <c r="W369" s="207" t="n">
        <v>8</v>
      </c>
      <c r="X369" s="207" t="n">
        <v>411.08</v>
      </c>
      <c r="Y369" s="207" t="n">
        <v>3</v>
      </c>
      <c r="Z369" s="207" t="n"/>
      <c r="AA369" s="207" t="n"/>
      <c r="AB369" s="207" t="n"/>
      <c r="AC369" s="207" t="n"/>
      <c r="AD369" s="207" t="n">
        <v>62.4</v>
      </c>
      <c r="AE369" s="207" t="n">
        <v>10</v>
      </c>
      <c r="AF369" s="207" t="inlineStr">
        <is>
          <t>160*1.2*0.48</t>
        </is>
      </c>
      <c r="AG369" s="207" t="n"/>
      <c r="AH369" s="207" t="n"/>
      <c r="AI369" s="207" t="n"/>
      <c r="AJ369" s="207" t="inlineStr">
        <is>
          <t>5*30</t>
        </is>
      </c>
      <c r="AK369" s="207" t="n"/>
      <c r="AL369" s="207" t="n"/>
      <c r="AM369" s="207" t="n"/>
      <c r="AN369" s="207" t="n"/>
      <c r="AO369" s="207" t="n"/>
      <c r="AP369" s="207">
        <f>313-AQ369</f>
        <v/>
      </c>
      <c r="AQ369" s="207" t="n">
        <v>75</v>
      </c>
      <c r="AR369" s="207" t="n">
        <v>106</v>
      </c>
      <c r="AS369" s="207" t="n">
        <v>0</v>
      </c>
      <c r="AT369" s="207" t="n">
        <v>150</v>
      </c>
      <c r="AU369" s="207" t="n">
        <v>0</v>
      </c>
      <c r="AV369" s="207" t="n">
        <v>0</v>
      </c>
      <c r="AW369" s="207" t="n">
        <v>0</v>
      </c>
      <c r="AX369" s="208" t="n">
        <v>1</v>
      </c>
      <c r="AY369" s="209">
        <f>L369*AX369+AP369+AQ369+AR369+AV369+AW369+AS369+AT369+AU369</f>
        <v/>
      </c>
      <c r="AZ369" s="207" t="n">
        <v>5623</v>
      </c>
      <c r="BA369" s="207" t="n">
        <v>0</v>
      </c>
      <c r="BB369" s="207">
        <f>AZ369*0.006</f>
        <v/>
      </c>
      <c r="BC369" s="209">
        <f>AZ369+BA369-BB369</f>
        <v/>
      </c>
      <c r="BD369" s="207" t="n">
        <v>0</v>
      </c>
      <c r="BE369" s="207" t="n">
        <v>0</v>
      </c>
      <c r="BF369" s="209">
        <f>BD369+BE369</f>
        <v/>
      </c>
      <c r="BG369" s="209">
        <f>BC369-AY369+BF369</f>
        <v/>
      </c>
      <c r="BH369" s="207" t="inlineStr">
        <is>
          <t>汤维肖</t>
        </is>
      </c>
      <c r="BI369" s="207" t="inlineStr">
        <is>
          <t>浙江省 嘉兴市 平湖市 钟埭街道 海越华府15幢102</t>
        </is>
      </c>
      <c r="BJ369" s="207" t="inlineStr">
        <is>
          <t>18413443528-6125</t>
        </is>
      </c>
      <c r="BK369" s="86" t="n"/>
      <c r="BL369" s="210" t="n"/>
      <c r="BM369" s="93" t="n"/>
      <c r="BN369" s="94" t="n"/>
      <c r="BO369" s="93" t="n"/>
      <c r="BP369" s="86" t="n"/>
      <c r="BQ369" s="96" t="n"/>
      <c r="BR369" s="96" t="n"/>
      <c r="BS369" s="97" t="n"/>
      <c r="BT369" s="96" t="n"/>
      <c r="BU369" s="97" t="n"/>
      <c r="BV369" s="96" t="n"/>
      <c r="BW369" s="97" t="n"/>
      <c r="BX369" s="97" t="n"/>
      <c r="BY369" s="97" t="n"/>
      <c r="BZ369" s="97" t="n"/>
      <c r="CH369" s="2" t="n"/>
      <c r="CI369" s="14" t="n"/>
      <c r="CJ369" s="25" t="n"/>
      <c r="CK369" s="25" t="n"/>
      <c r="CL369" s="25" t="n"/>
      <c r="CM369" s="25" t="n"/>
      <c r="CN369" s="25" t="n"/>
      <c r="CO369" s="25" t="n"/>
      <c r="CP369" s="25" t="n"/>
      <c r="CQ369" s="25" t="n"/>
      <c r="CR369" s="25" t="n"/>
      <c r="CS369" s="25" t="n"/>
      <c r="CT369" s="25" t="n"/>
      <c r="CU369" s="25" t="n"/>
      <c r="CV369" s="25" t="n"/>
      <c r="CW369" s="25" t="n"/>
      <c r="CX369" s="25" t="n"/>
      <c r="CY369" s="25" t="n"/>
      <c r="DC369" s="26" t="n"/>
      <c r="DD369" s="26" t="n"/>
      <c r="DE369" s="26" t="n"/>
      <c r="DF369" s="26" t="n"/>
      <c r="DG369" s="26" t="n"/>
      <c r="DH369" s="27" t="n"/>
      <c r="DJ369" s="211" t="inlineStr">
        <is>
          <t>订单表中未找到</t>
        </is>
      </c>
      <c r="DK369" t="inlineStr">
        <is>
          <t>—</t>
        </is>
      </c>
      <c r="DL369" t="inlineStr">
        <is>
          <t>—</t>
        </is>
      </c>
    </row>
    <row r="370" ht="15.75" customHeight="1" s="187">
      <c r="A370" s="84" t="n">
        <v>45961</v>
      </c>
      <c r="B370" s="206" t="inlineStr">
        <is>
          <t>已收货</t>
        </is>
      </c>
      <c r="C370" s="86" t="inlineStr">
        <is>
          <t>4849737804159331701</t>
        </is>
      </c>
      <c r="D370" s="86" t="inlineStr">
        <is>
          <t>杨云杰</t>
        </is>
      </c>
      <c r="E370" s="87" t="n"/>
      <c r="F370" s="87" t="n"/>
      <c r="G370" s="207" t="inlineStr">
        <is>
          <t>1.5常规洞石柜</t>
        </is>
      </c>
      <c r="H370" s="207" t="inlineStr">
        <is>
          <t>洞石餐边柜</t>
        </is>
      </c>
      <c r="I370" s="89" t="n">
        <v>1500</v>
      </c>
      <c r="J370" s="87" t="inlineStr">
        <is>
          <t>已结算</t>
        </is>
      </c>
      <c r="K370" s="86" t="inlineStr">
        <is>
          <t>庄毅</t>
        </is>
      </c>
      <c r="L370" s="207">
        <f>5400+30*2+12+18+2040/6/1.5+76+1.5*0.5*160+(1.5+0.58*2)*60+10+20+501.08+10+40+14</f>
        <v/>
      </c>
      <c r="M370" s="207">
        <f>5400</f>
        <v/>
      </c>
      <c r="N370" s="207">
        <f>1.458*260+2*55+12</f>
        <v/>
      </c>
      <c r="O370" s="207">
        <f>2040/6/1.5</f>
        <v/>
      </c>
      <c r="P370" s="207" t="n"/>
      <c r="Q370" s="207" t="n">
        <v>76</v>
      </c>
      <c r="R370" s="207">
        <f>1.5*0.5*160+(1.5+0.58*2)*60+30</f>
        <v/>
      </c>
      <c r="S370" s="207" t="n"/>
      <c r="T370" s="207">
        <f>30*2</f>
        <v/>
      </c>
      <c r="U370" s="207" t="n"/>
      <c r="V370" s="207" t="n"/>
      <c r="W370" s="207" t="n"/>
      <c r="X370" s="207" t="n"/>
      <c r="Y370" s="207" t="n"/>
      <c r="Z370" s="207">
        <f>3.5+14</f>
        <v/>
      </c>
      <c r="AA370" s="207" t="n"/>
      <c r="AB370" s="207" t="n"/>
      <c r="AC370" s="207" t="n">
        <v>7</v>
      </c>
      <c r="AD370" s="207" t="n"/>
      <c r="AE370" s="207" t="n">
        <v>20</v>
      </c>
      <c r="AF370" s="207" t="n">
        <v>10</v>
      </c>
      <c r="AG370" s="207" t="n">
        <v>18</v>
      </c>
      <c r="AH370" s="207" t="inlineStr">
        <is>
          <t>30*2</t>
        </is>
      </c>
      <c r="AI370" s="207" t="n"/>
      <c r="AJ370" s="207" t="n">
        <v>40</v>
      </c>
      <c r="AK370" s="207" t="n"/>
      <c r="AL370" s="207" t="n"/>
      <c r="AM370" s="207" t="n"/>
      <c r="AN370" s="207" t="n"/>
      <c r="AO370" s="207" t="n"/>
      <c r="AP370" s="207" t="n">
        <v>0</v>
      </c>
      <c r="AQ370" s="207" t="n">
        <v>0</v>
      </c>
      <c r="AR370" s="207" t="n">
        <v>148</v>
      </c>
      <c r="AS370" s="207" t="n">
        <v>0</v>
      </c>
      <c r="AT370" s="207" t="n">
        <v>200</v>
      </c>
      <c r="AU370" s="207" t="n">
        <v>0</v>
      </c>
      <c r="AV370" s="207" t="n">
        <v>0</v>
      </c>
      <c r="AW370" s="207" t="n">
        <v>227</v>
      </c>
      <c r="AX370" s="208" t="n">
        <v>1</v>
      </c>
      <c r="AY370" s="209">
        <f>L370*AX370+AP370+AQ370+AR370+AV370+AW370+AS370+AT370+AU370</f>
        <v/>
      </c>
      <c r="AZ370" s="207" t="n">
        <v>10370.55</v>
      </c>
      <c r="BA370" s="207" t="n">
        <v>0</v>
      </c>
      <c r="BB370" s="207">
        <f>AZ370*0.006</f>
        <v/>
      </c>
      <c r="BC370" s="209">
        <f>AZ370+BA370-BB370</f>
        <v/>
      </c>
      <c r="BD370" s="207" t="n">
        <v>0</v>
      </c>
      <c r="BE370" s="207" t="n">
        <v>0</v>
      </c>
      <c r="BF370" s="209">
        <f>BD370+BE370</f>
        <v/>
      </c>
      <c r="BG370" s="209">
        <f>BC370-AY370+BF370</f>
        <v/>
      </c>
      <c r="BH370" s="207" t="inlineStr">
        <is>
          <t>杨云杰</t>
        </is>
      </c>
      <c r="BI370" s="207" t="inlineStr">
        <is>
          <t>江苏省 南京市 鼓楼区 小市街道紫霞公寓5幢205室</t>
        </is>
      </c>
      <c r="BJ370" s="207" t="inlineStr">
        <is>
          <t>15784202791-5643</t>
        </is>
      </c>
      <c r="BK370" s="86" t="n"/>
      <c r="BL370" s="210" t="n"/>
      <c r="BM370" s="93" t="n"/>
      <c r="BN370" s="94" t="n"/>
      <c r="BO370" s="93" t="n"/>
      <c r="BP370" s="86" t="n"/>
      <c r="BQ370" s="96" t="n"/>
      <c r="BR370" s="96" t="n"/>
      <c r="BS370" s="97" t="n"/>
      <c r="BT370" s="96" t="n"/>
      <c r="BU370" s="97" t="n"/>
      <c r="BV370" s="96" t="n"/>
      <c r="BW370" s="97" t="n"/>
      <c r="BX370" s="97" t="n"/>
      <c r="BY370" s="97" t="n"/>
      <c r="BZ370" s="97" t="n"/>
      <c r="CH370" s="2" t="n"/>
      <c r="CI370" s="14" t="n"/>
      <c r="CJ370" s="25" t="n"/>
      <c r="CK370" s="25" t="n"/>
      <c r="CL370" s="25" t="n"/>
      <c r="CM370" s="25" t="n"/>
      <c r="CN370" s="25" t="n"/>
      <c r="CO370" s="25" t="n"/>
      <c r="CP370" s="25" t="n"/>
      <c r="CQ370" s="25" t="n"/>
      <c r="CR370" s="25" t="n"/>
      <c r="CS370" s="25" t="n"/>
      <c r="CT370" s="25" t="n"/>
      <c r="CU370" s="25" t="n"/>
      <c r="CV370" s="25" t="n"/>
      <c r="CW370" s="25" t="n"/>
      <c r="CX370" s="25" t="n"/>
      <c r="CY370" s="25" t="n"/>
      <c r="DC370" s="26" t="n"/>
      <c r="DD370" s="26" t="n"/>
      <c r="DE370" s="26" t="n"/>
      <c r="DF370" s="26" t="n"/>
      <c r="DG370" s="26" t="n"/>
      <c r="DH370" s="27" t="n"/>
      <c r="DJ370" s="211" t="inlineStr">
        <is>
          <t>订单表中未找到</t>
        </is>
      </c>
      <c r="DK370" t="inlineStr">
        <is>
          <t>—</t>
        </is>
      </c>
      <c r="DL370" t="inlineStr">
        <is>
          <t>—</t>
        </is>
      </c>
    </row>
    <row r="371" ht="15.75" customHeight="1" s="187">
      <c r="A371" s="84" t="n">
        <v>45961</v>
      </c>
      <c r="B371" s="206" t="inlineStr">
        <is>
          <t>已收货</t>
        </is>
      </c>
      <c r="C371" s="86" t="inlineStr">
        <is>
          <t>4849810236087901508</t>
        </is>
      </c>
      <c r="D371" s="86" t="inlineStr">
        <is>
          <t>王彤</t>
        </is>
      </c>
      <c r="E371" s="87" t="n"/>
      <c r="F371" s="87" t="n"/>
      <c r="G371" s="87" t="inlineStr">
        <is>
          <t>1.5基础柜</t>
        </is>
      </c>
      <c r="H371" s="207" t="inlineStr">
        <is>
          <t>基础餐边柜</t>
        </is>
      </c>
      <c r="I371" s="89" t="n">
        <v>1500</v>
      </c>
      <c r="J371" s="87" t="inlineStr">
        <is>
          <t>已结算</t>
        </is>
      </c>
      <c r="K371" s="87" t="inlineStr">
        <is>
          <t>江西</t>
        </is>
      </c>
      <c r="L371" s="207">
        <f>4600+22*4+10+489.08+28+52+41+170+260+80+380</f>
        <v/>
      </c>
      <c r="M371" s="207">
        <f>4600</f>
        <v/>
      </c>
      <c r="N371" s="207" t="inlineStr">
        <is>
          <t>22*4</t>
        </is>
      </c>
      <c r="O371" s="207" t="n">
        <v>10</v>
      </c>
      <c r="P371" s="207" t="n">
        <v>489.08</v>
      </c>
      <c r="Q371" s="207" t="n"/>
      <c r="R371" s="207" t="n">
        <v>28</v>
      </c>
      <c r="S371" s="207" t="n">
        <v>52</v>
      </c>
      <c r="T371" s="207" t="n">
        <v>41</v>
      </c>
      <c r="U371" s="207" t="n"/>
      <c r="V371" s="207" t="n"/>
      <c r="W371" s="207" t="n">
        <v>170</v>
      </c>
      <c r="X371" s="207" t="n">
        <v>260</v>
      </c>
      <c r="Y371" s="207" t="n">
        <v>80</v>
      </c>
      <c r="Z371" s="207" t="n"/>
      <c r="AA371" s="207" t="n"/>
      <c r="AB371" s="207" t="n"/>
      <c r="AC371" s="207" t="n"/>
      <c r="AD371" s="207" t="n"/>
      <c r="AE371" s="207" t="n">
        <v>380</v>
      </c>
      <c r="AF371" s="207" t="n"/>
      <c r="AG371" s="207" t="n"/>
      <c r="AH371" s="207" t="n"/>
      <c r="AI371" s="207" t="n"/>
      <c r="AJ371" s="207" t="n"/>
      <c r="AK371" s="207" t="n"/>
      <c r="AL371" s="207" t="n"/>
      <c r="AM371" s="207" t="n">
        <v>380</v>
      </c>
      <c r="AN371" s="207" t="n"/>
      <c r="AO371" s="207" t="n"/>
      <c r="AP371" s="121" t="n">
        <v>400</v>
      </c>
      <c r="AQ371" s="121" t="n">
        <v>100</v>
      </c>
      <c r="AR371" s="207" t="n">
        <v>200</v>
      </c>
      <c r="AS371" s="207" t="n">
        <v>0</v>
      </c>
      <c r="AT371" s="207" t="n">
        <v>0</v>
      </c>
      <c r="AU371" s="207" t="n">
        <v>0</v>
      </c>
      <c r="AV371" s="207" t="n">
        <v>0</v>
      </c>
      <c r="AW371" s="207" t="n">
        <v>0</v>
      </c>
      <c r="AX371" s="208" t="n">
        <v>1</v>
      </c>
      <c r="AY371" s="209">
        <f>L371*AX371+AP371+AQ371+AR371+AV371+AW371+AS371+AT371+AU371</f>
        <v/>
      </c>
      <c r="AZ371" s="207" t="n">
        <v>7255.35</v>
      </c>
      <c r="BA371" s="207" t="n">
        <v>0</v>
      </c>
      <c r="BB371" s="207">
        <f>AZ371*0.006</f>
        <v/>
      </c>
      <c r="BC371" s="209">
        <f>AZ371+BA371-BB371</f>
        <v/>
      </c>
      <c r="BD371" s="207" t="n">
        <v>0</v>
      </c>
      <c r="BE371" s="207" t="n">
        <v>0</v>
      </c>
      <c r="BF371" s="209">
        <f>BD371+BE371</f>
        <v/>
      </c>
      <c r="BG371" s="209">
        <f>BC371-AY371+BF371</f>
        <v/>
      </c>
      <c r="BH371" s="86" t="inlineStr">
        <is>
          <t>王彤</t>
        </is>
      </c>
      <c r="BI371" s="86" t="inlineStr">
        <is>
          <t>北京 北京市 海淀区 曙光街道世纪城春荫园1-2-12d</t>
        </is>
      </c>
      <c r="BJ371" s="86" t="inlineStr">
        <is>
          <t>18400814300-6474</t>
        </is>
      </c>
      <c r="BK371" s="86" t="n"/>
      <c r="BL371" s="210" t="n"/>
      <c r="BM371" s="93" t="n"/>
      <c r="BN371" s="94" t="n"/>
      <c r="BO371" s="93" t="n"/>
      <c r="BP371" s="86" t="n"/>
      <c r="BQ371" s="96" t="n"/>
      <c r="BR371" s="96" t="n"/>
      <c r="BS371" s="97" t="n"/>
      <c r="BT371" s="96" t="n"/>
      <c r="BU371" s="97" t="n"/>
      <c r="BV371" s="96" t="n"/>
      <c r="BW371" s="97" t="n"/>
      <c r="BX371" s="97" t="n"/>
      <c r="BY371" s="97" t="n"/>
      <c r="BZ371" s="97" t="n"/>
      <c r="CH371" s="2" t="n"/>
      <c r="CI371" s="14" t="n"/>
      <c r="CJ371" s="25" t="n"/>
      <c r="CK371" s="25" t="n"/>
      <c r="CL371" s="25" t="n"/>
      <c r="CM371" s="25" t="n"/>
      <c r="CN371" s="25" t="n"/>
      <c r="CO371" s="25" t="n"/>
      <c r="CP371" s="25" t="n"/>
      <c r="CQ371" s="25" t="n"/>
      <c r="CR371" s="25" t="n"/>
      <c r="CS371" s="25" t="n"/>
      <c r="CT371" s="25" t="n"/>
      <c r="CU371" s="25" t="n"/>
      <c r="CV371" s="25" t="n"/>
      <c r="CW371" s="25" t="n"/>
      <c r="CX371" s="25" t="n"/>
      <c r="CY371" s="25" t="n"/>
      <c r="DC371" s="26" t="n"/>
      <c r="DD371" s="26" t="n"/>
      <c r="DE371" s="26" t="n"/>
      <c r="DF371" s="26" t="n"/>
      <c r="DG371" s="26" t="n"/>
      <c r="DH371" s="27" t="n"/>
      <c r="DJ371" s="211" t="inlineStr">
        <is>
          <t>订单表中未找到</t>
        </is>
      </c>
      <c r="DK371" t="inlineStr">
        <is>
          <t>—</t>
        </is>
      </c>
      <c r="DL371" t="inlineStr">
        <is>
          <t>—</t>
        </is>
      </c>
    </row>
    <row r="372" ht="15.75" customHeight="1" s="187">
      <c r="A372" s="84" t="n">
        <v>45962</v>
      </c>
      <c r="B372" s="206" t="inlineStr">
        <is>
          <t>已收货</t>
        </is>
      </c>
      <c r="C372" s="86" t="inlineStr">
        <is>
          <t>3033424093952714150</t>
        </is>
      </c>
      <c r="D372" s="110" t="inlineStr">
        <is>
          <t>胖佩</t>
        </is>
      </c>
      <c r="E372" s="87" t="n"/>
      <c r="F372" s="87" t="n"/>
      <c r="G372" s="87" t="inlineStr">
        <is>
          <t>砂白色1.5米岩板餐桌，定制</t>
        </is>
      </c>
      <c r="H372" s="207" t="inlineStr">
        <is>
          <t>榉木餐桌</t>
        </is>
      </c>
      <c r="I372" s="89" t="inlineStr">
        <is>
          <t>150cm*85cm</t>
        </is>
      </c>
      <c r="J372" s="87" t="inlineStr">
        <is>
          <t>已结算</t>
        </is>
      </c>
      <c r="K372" s="87" t="inlineStr">
        <is>
          <t>庄毅</t>
        </is>
      </c>
      <c r="L372" s="207">
        <f>SUM(M372:AO372)</f>
        <v/>
      </c>
      <c r="M372" s="207">
        <f>1510</f>
        <v/>
      </c>
      <c r="N372" s="207" t="n"/>
      <c r="O372" s="207" t="n"/>
      <c r="P372" s="207" t="n"/>
      <c r="Q372" s="207" t="n"/>
      <c r="R372" s="207">
        <f>180*1.6*0.85</f>
        <v/>
      </c>
      <c r="S372" s="207" t="n"/>
      <c r="T372" s="207" t="n"/>
      <c r="U372" s="207" t="n"/>
      <c r="V372" s="207" t="n"/>
      <c r="W372" s="207" t="n"/>
      <c r="X372" s="207" t="n"/>
      <c r="Y372" s="207" t="n"/>
      <c r="Z372" s="207" t="n"/>
      <c r="AA372" s="207" t="n"/>
      <c r="AB372" s="207" t="n"/>
      <c r="AC372" s="207" t="n"/>
      <c r="AD372" s="207" t="n">
        <v>2.5</v>
      </c>
      <c r="AE372" s="207" t="n"/>
      <c r="AF372" s="207" t="n"/>
      <c r="AG372" s="207" t="n"/>
      <c r="AH372" s="207" t="n"/>
      <c r="AI372" s="207" t="n"/>
      <c r="AJ372" s="207" t="n"/>
      <c r="AK372" s="207" t="n"/>
      <c r="AL372" s="207" t="n"/>
      <c r="AM372" s="207" t="n"/>
      <c r="AN372" s="207" t="n"/>
      <c r="AO372" s="207" t="n"/>
      <c r="AP372" s="207" t="n">
        <v>210</v>
      </c>
      <c r="AQ372" s="207" t="n">
        <v>0</v>
      </c>
      <c r="AR372" s="207" t="n">
        <v>90</v>
      </c>
      <c r="AS372" s="207" t="n">
        <v>0</v>
      </c>
      <c r="AT372" s="207" t="n">
        <v>0</v>
      </c>
      <c r="AU372" s="207" t="n">
        <v>0</v>
      </c>
      <c r="AV372" s="207" t="n">
        <v>0</v>
      </c>
      <c r="AW372" s="207" t="n">
        <v>50</v>
      </c>
      <c r="AX372" s="208" t="n">
        <v>1</v>
      </c>
      <c r="AY372" s="209">
        <f>L372*AX372+AP372+AQ372+AR372+AV372+AW372+AS372+AT372+AU372</f>
        <v/>
      </c>
      <c r="AZ372" s="207">
        <f>2688.41-51.36</f>
        <v/>
      </c>
      <c r="BA372" s="207" t="n">
        <v>0</v>
      </c>
      <c r="BB372" s="207">
        <f>AZ372*0.006</f>
        <v/>
      </c>
      <c r="BC372" s="209">
        <f>AZ372+BA372-BB372</f>
        <v/>
      </c>
      <c r="BD372" s="207" t="n">
        <v>0</v>
      </c>
      <c r="BE372" s="207" t="n">
        <v>0</v>
      </c>
      <c r="BF372" s="209">
        <f>BD372+BE372</f>
        <v/>
      </c>
      <c r="BG372" s="209">
        <f>BC372-AY372+BF372</f>
        <v/>
      </c>
      <c r="BH372" s="207" t="inlineStr">
        <is>
          <t>胖佩</t>
        </is>
      </c>
      <c r="BI372" s="207" t="inlineStr">
        <is>
          <t>湖南省 长沙市 天心区 裕南街街道向东南路186号城市森林5栋二单元208</t>
        </is>
      </c>
      <c r="BJ372" s="207" t="inlineStr">
        <is>
          <t>18472625786-6114</t>
        </is>
      </c>
      <c r="BK372" s="86" t="n"/>
      <c r="BL372" s="210" t="n"/>
      <c r="BM372" s="93" t="n"/>
      <c r="BN372" s="94" t="n"/>
      <c r="BO372" s="93" t="n"/>
      <c r="BP372" s="86" t="n"/>
      <c r="BQ372" s="96" t="n"/>
      <c r="BR372" s="96" t="n"/>
      <c r="BS372" s="97" t="n"/>
      <c r="BT372" s="96" t="n"/>
      <c r="BU372" s="97" t="n"/>
      <c r="BV372" s="96" t="n"/>
      <c r="BW372" s="97" t="n"/>
      <c r="BX372" s="97" t="n"/>
      <c r="BY372" s="97" t="n"/>
      <c r="BZ372" s="97" t="n"/>
      <c r="CH372" s="2" t="n"/>
      <c r="CI372" s="14" t="n"/>
      <c r="CJ372" s="25" t="n"/>
      <c r="CK372" s="25" t="n"/>
      <c r="CL372" s="25" t="n"/>
      <c r="CM372" s="25" t="n"/>
      <c r="CN372" s="25" t="n"/>
      <c r="CO372" s="25" t="n"/>
      <c r="CP372" s="25" t="n"/>
      <c r="CQ372" s="25" t="n"/>
      <c r="CR372" s="25" t="n"/>
      <c r="CS372" s="25" t="n"/>
      <c r="CT372" s="25" t="n"/>
      <c r="CU372" s="25" t="n"/>
      <c r="CV372" s="25" t="n"/>
      <c r="CW372" s="25" t="n"/>
      <c r="CX372" s="25" t="n"/>
      <c r="CY372" s="25" t="n"/>
      <c r="DC372" s="26" t="n"/>
      <c r="DD372" s="26" t="n"/>
      <c r="DE372" s="26" t="n"/>
      <c r="DF372" s="26" t="n"/>
      <c r="DG372" s="26" t="n"/>
      <c r="DH372" s="27" t="n"/>
      <c r="DJ372" s="211" t="inlineStr">
        <is>
          <t>订单表中未找到</t>
        </is>
      </c>
      <c r="DK372" t="inlineStr">
        <is>
          <t>—</t>
        </is>
      </c>
      <c r="DL372" t="inlineStr">
        <is>
          <t>—</t>
        </is>
      </c>
    </row>
    <row r="373" ht="15.75" customHeight="1" s="187">
      <c r="A373" s="84" t="n">
        <v>45962</v>
      </c>
      <c r="B373" s="206" t="inlineStr">
        <is>
          <t>已收货</t>
        </is>
      </c>
      <c r="C373" s="86" t="inlineStr">
        <is>
          <t>3034365998638154650</t>
        </is>
      </c>
      <c r="D373" s="86" t="inlineStr">
        <is>
          <t>李梦</t>
        </is>
      </c>
      <c r="E373" s="87" t="n"/>
      <c r="F373" s="87" t="n"/>
      <c r="G373" s="207" t="inlineStr">
        <is>
          <t>样块</t>
        </is>
      </c>
      <c r="H373" s="207" t="inlineStr">
        <is>
          <t>样块</t>
        </is>
      </c>
      <c r="I373" s="89" t="n"/>
      <c r="J373" s="87" t="inlineStr">
        <is>
          <t>已结算</t>
        </is>
      </c>
      <c r="K373" s="87" t="inlineStr">
        <is>
          <t>杭州</t>
        </is>
      </c>
      <c r="L373" s="207">
        <f>SUM(M373:AO373)</f>
        <v/>
      </c>
      <c r="M373" s="207" t="n">
        <v>5</v>
      </c>
      <c r="N373" s="207" t="n"/>
      <c r="O373" s="207" t="n"/>
      <c r="P373" s="207" t="n"/>
      <c r="Q373" s="207" t="n"/>
      <c r="R373" s="207" t="n"/>
      <c r="S373" s="207" t="n"/>
      <c r="T373" s="207" t="n"/>
      <c r="U373" s="207" t="n"/>
      <c r="V373" s="207" t="n"/>
      <c r="W373" s="207" t="n"/>
      <c r="X373" s="207" t="n"/>
      <c r="Y373" s="207" t="n"/>
      <c r="Z373" s="207" t="n"/>
      <c r="AA373" s="207" t="n"/>
      <c r="AB373" s="207" t="n"/>
      <c r="AC373" s="207" t="n"/>
      <c r="AD373" s="207" t="n"/>
      <c r="AE373" s="207" t="n"/>
      <c r="AF373" s="207" t="n"/>
      <c r="AG373" s="207" t="n"/>
      <c r="AH373" s="207" t="n"/>
      <c r="AI373" s="207" t="n"/>
      <c r="AJ373" s="207" t="n"/>
      <c r="AK373" s="207" t="n"/>
      <c r="AL373" s="207" t="n"/>
      <c r="AM373" s="207" t="n">
        <v>2</v>
      </c>
      <c r="AN373" s="207" t="n"/>
      <c r="AO373" s="207" t="n"/>
      <c r="AP373" s="207" t="n">
        <v>5</v>
      </c>
      <c r="AQ373" s="207" t="n">
        <v>0</v>
      </c>
      <c r="AR373" s="207" t="n">
        <v>0</v>
      </c>
      <c r="AS373" s="207" t="n">
        <v>0</v>
      </c>
      <c r="AT373" s="207" t="n">
        <v>0</v>
      </c>
      <c r="AU373" s="207" t="n">
        <v>0</v>
      </c>
      <c r="AV373" s="207" t="n">
        <v>0</v>
      </c>
      <c r="AW373" s="207" t="n">
        <v>0</v>
      </c>
      <c r="AX373" s="208" t="n">
        <v>1</v>
      </c>
      <c r="AY373" s="209">
        <f>L373*AX373+AP373+AQ373+AR373+AV373+AW373+AS373+AT373+AU373</f>
        <v/>
      </c>
      <c r="AZ373" s="207" t="n">
        <v>21.2</v>
      </c>
      <c r="BA373" s="207" t="n">
        <v>0</v>
      </c>
      <c r="BB373" s="207">
        <f>AZ373*0.006</f>
        <v/>
      </c>
      <c r="BC373" s="209">
        <f>AZ373+BA373-BB373</f>
        <v/>
      </c>
      <c r="BD373" s="207" t="n">
        <v>0</v>
      </c>
      <c r="BE373" s="207" t="n">
        <v>0</v>
      </c>
      <c r="BF373" s="209">
        <f>BD373+BE373</f>
        <v/>
      </c>
      <c r="BG373" s="209">
        <f>BC373-AY373+BF373</f>
        <v/>
      </c>
      <c r="BH373" s="86" t="inlineStr">
        <is>
          <t>李梦</t>
        </is>
      </c>
      <c r="BI373" s="86" t="inlineStr">
        <is>
          <t>北京 北京市 通州区 梨园镇砖厂新家园7号楼二单元10层2102室</t>
        </is>
      </c>
      <c r="BJ373" s="86" t="inlineStr">
        <is>
          <t>13161403447-1112</t>
        </is>
      </c>
      <c r="BK373" s="86" t="n"/>
      <c r="BL373" s="210" t="n"/>
      <c r="BM373" s="93" t="n"/>
      <c r="BN373" s="94" t="n"/>
      <c r="BO373" s="93" t="n"/>
      <c r="BP373" s="86" t="n"/>
      <c r="BQ373" s="96" t="n"/>
      <c r="BR373" s="96" t="n"/>
      <c r="BS373" s="97" t="n"/>
      <c r="BT373" s="96" t="n"/>
      <c r="BU373" s="97" t="n"/>
      <c r="BV373" s="96" t="n"/>
      <c r="BW373" s="97" t="n"/>
      <c r="BX373" s="97" t="n"/>
      <c r="BY373" s="97" t="n"/>
      <c r="BZ373" s="97" t="n"/>
      <c r="CH373" s="2" t="n"/>
      <c r="CI373" s="14" t="n"/>
      <c r="CJ373" s="25" t="n"/>
      <c r="CK373" s="25" t="n"/>
      <c r="CL373" s="25" t="n"/>
      <c r="CM373" s="25" t="n"/>
      <c r="CN373" s="25" t="n"/>
      <c r="CO373" s="25" t="n"/>
      <c r="CP373" s="25" t="n"/>
      <c r="CQ373" s="25" t="n"/>
      <c r="CR373" s="25" t="n"/>
      <c r="CS373" s="25" t="n"/>
      <c r="CT373" s="25" t="n"/>
      <c r="CU373" s="25" t="n"/>
      <c r="CV373" s="25" t="n"/>
      <c r="CW373" s="25" t="n"/>
      <c r="CX373" s="25" t="n"/>
      <c r="CY373" s="25" t="n"/>
      <c r="DC373" s="26" t="n"/>
      <c r="DD373" s="26" t="n"/>
      <c r="DE373" s="26" t="n"/>
      <c r="DF373" s="26" t="n"/>
      <c r="DG373" s="26" t="n"/>
      <c r="DH373" s="27" t="n"/>
      <c r="DJ373" s="211" t="inlineStr">
        <is>
          <t>订单表中未找到</t>
        </is>
      </c>
      <c r="DK373" t="inlineStr">
        <is>
          <t>—</t>
        </is>
      </c>
      <c r="DL373" t="inlineStr">
        <is>
          <t>—</t>
        </is>
      </c>
    </row>
    <row r="374" ht="15.75" customHeight="1" s="187">
      <c r="A374" s="84" t="n">
        <v>45962</v>
      </c>
      <c r="B374" s="206" t="inlineStr">
        <is>
          <t>已收货</t>
        </is>
      </c>
      <c r="C374" s="86" t="inlineStr">
        <is>
          <t>3034330107239116961</t>
        </is>
      </c>
      <c r="D374" s="86" t="inlineStr">
        <is>
          <t>陆先生</t>
        </is>
      </c>
      <c r="E374" s="87" t="n"/>
      <c r="F374" s="87" t="n"/>
      <c r="G374" s="207" t="inlineStr">
        <is>
          <t>砂白色1.6米岩板餐桌</t>
        </is>
      </c>
      <c r="H374" s="207" t="inlineStr">
        <is>
          <t>榉木餐桌</t>
        </is>
      </c>
      <c r="I374" s="218" t="inlineStr">
        <is>
          <t>160cm*85cm</t>
        </is>
      </c>
      <c r="J374" s="87" t="inlineStr">
        <is>
          <t>已结算</t>
        </is>
      </c>
      <c r="K374" s="87" t="inlineStr">
        <is>
          <t>庄毅</t>
        </is>
      </c>
      <c r="L374" s="207">
        <f>SUM(M374:AO374)</f>
        <v/>
      </c>
      <c r="M374" s="207">
        <f>1530</f>
        <v/>
      </c>
      <c r="N374" s="207" t="n"/>
      <c r="O374" s="207" t="n"/>
      <c r="P374" s="207" t="n"/>
      <c r="Q374" s="207" t="n"/>
      <c r="R374" s="207">
        <f>180*1.6*0.85</f>
        <v/>
      </c>
      <c r="S374" s="207" t="n"/>
      <c r="T374" s="207" t="n"/>
      <c r="U374" s="207" t="n"/>
      <c r="V374" s="207" t="n"/>
      <c r="W374" s="207" t="n"/>
      <c r="X374" s="207" t="n"/>
      <c r="Y374" s="207" t="n"/>
      <c r="Z374" s="207" t="n"/>
      <c r="AA374" s="207" t="n"/>
      <c r="AB374" s="207" t="n"/>
      <c r="AC374" s="207" t="n"/>
      <c r="AD374" s="207" t="n">
        <v>2.5</v>
      </c>
      <c r="AE374" s="207" t="n"/>
      <c r="AF374" s="207" t="n"/>
      <c r="AG374" s="207" t="n"/>
      <c r="AH374" s="207" t="n"/>
      <c r="AI374" s="207" t="n"/>
      <c r="AJ374" s="207" t="n"/>
      <c r="AK374" s="207" t="n"/>
      <c r="AL374" s="207" t="n"/>
      <c r="AM374" s="207" t="n"/>
      <c r="AN374" s="207" t="n"/>
      <c r="AO374" s="207" t="n"/>
      <c r="AP374" s="207" t="n">
        <v>153</v>
      </c>
      <c r="AQ374" s="207" t="n">
        <v>0</v>
      </c>
      <c r="AR374" s="207" t="n">
        <v>75</v>
      </c>
      <c r="AS374" s="207" t="n">
        <v>0</v>
      </c>
      <c r="AT374" s="207" t="n">
        <v>0</v>
      </c>
      <c r="AU374" s="207" t="n">
        <v>0</v>
      </c>
      <c r="AV374" s="207" t="n">
        <v>0</v>
      </c>
      <c r="AW374" s="207" t="n">
        <v>0</v>
      </c>
      <c r="AX374" s="208" t="n">
        <v>1</v>
      </c>
      <c r="AY374" s="209">
        <f>L374*AX374+AP374+AQ374+AR374+AV374+AW374+AS374+AT374+AU374</f>
        <v/>
      </c>
      <c r="AZ374" s="207" t="n">
        <v>2688.41</v>
      </c>
      <c r="BA374" s="207" t="n">
        <v>0</v>
      </c>
      <c r="BB374" s="207">
        <f>AZ374*0.006</f>
        <v/>
      </c>
      <c r="BC374" s="209">
        <f>AZ374+BA374-BB374</f>
        <v/>
      </c>
      <c r="BD374" s="207" t="n">
        <v>0</v>
      </c>
      <c r="BE374" s="207" t="n">
        <v>0</v>
      </c>
      <c r="BF374" s="209">
        <f>BD374+BE374</f>
        <v/>
      </c>
      <c r="BG374" s="209">
        <f>BC374-AY374+BF374</f>
        <v/>
      </c>
      <c r="BH374" s="207" t="inlineStr">
        <is>
          <t>陆先生</t>
        </is>
      </c>
      <c r="BI374" s="207" t="inlineStr">
        <is>
          <t>浙江省 杭州市 拱墅区 朝晖街道东方豪园文豪阁1704</t>
        </is>
      </c>
      <c r="BJ374" s="207" t="inlineStr">
        <is>
          <t>18413254214-4626</t>
        </is>
      </c>
      <c r="BK374" s="86" t="n"/>
      <c r="BL374" s="210" t="n"/>
      <c r="BM374" s="93" t="n"/>
      <c r="BN374" s="94" t="n"/>
      <c r="BO374" s="93" t="n"/>
      <c r="BP374" s="86" t="n"/>
      <c r="BQ374" s="96" t="n"/>
      <c r="BR374" s="96" t="n"/>
      <c r="BS374" s="97" t="n"/>
      <c r="BT374" s="96" t="n"/>
      <c r="BU374" s="97" t="n"/>
      <c r="BV374" s="96" t="n"/>
      <c r="BW374" s="97" t="n"/>
      <c r="BX374" s="97" t="n"/>
      <c r="BY374" s="97" t="n"/>
      <c r="BZ374" s="97" t="n"/>
      <c r="CH374" s="2" t="n"/>
      <c r="CI374" s="14" t="n"/>
      <c r="CJ374" s="25" t="n"/>
      <c r="CK374" s="25" t="n"/>
      <c r="CL374" s="25" t="n"/>
      <c r="CM374" s="25" t="n"/>
      <c r="CN374" s="25" t="n"/>
      <c r="CO374" s="25" t="n"/>
      <c r="CP374" s="25" t="n"/>
      <c r="CQ374" s="25" t="n"/>
      <c r="CR374" s="25" t="n"/>
      <c r="CS374" s="25" t="n"/>
      <c r="CT374" s="25" t="n"/>
      <c r="CU374" s="25" t="n"/>
      <c r="CV374" s="25" t="n"/>
      <c r="CW374" s="25" t="n"/>
      <c r="CX374" s="25" t="n"/>
      <c r="CY374" s="25" t="n"/>
      <c r="DC374" s="26" t="n"/>
      <c r="DD374" s="26" t="n"/>
      <c r="DE374" s="26" t="n"/>
      <c r="DF374" s="26" t="n"/>
      <c r="DG374" s="26" t="n"/>
      <c r="DH374" s="27" t="n"/>
      <c r="DJ374" s="211" t="inlineStr">
        <is>
          <t>订单表中未找到</t>
        </is>
      </c>
      <c r="DK374" t="inlineStr">
        <is>
          <t>—</t>
        </is>
      </c>
      <c r="DL374" t="inlineStr">
        <is>
          <t>—</t>
        </is>
      </c>
    </row>
    <row r="375" ht="15.75" customHeight="1" s="187">
      <c r="A375" s="84" t="n">
        <v>45962</v>
      </c>
      <c r="B375" s="206" t="inlineStr">
        <is>
          <t>已收货</t>
        </is>
      </c>
      <c r="C375" s="86" t="inlineStr">
        <is>
          <t>4851725186722288310</t>
        </is>
      </c>
      <c r="D375" s="110" t="inlineStr">
        <is>
          <t>郑丹</t>
        </is>
      </c>
      <c r="E375" s="87" t="n"/>
      <c r="F375" s="87" t="n"/>
      <c r="G375" s="207" t="inlineStr">
        <is>
          <t>曜黑柜-整柜-1.8米</t>
        </is>
      </c>
      <c r="H375" s="207" t="inlineStr">
        <is>
          <t>曜黑餐边柜</t>
        </is>
      </c>
      <c r="I375" s="89" t="n">
        <v>1800</v>
      </c>
      <c r="J375" s="87" t="inlineStr">
        <is>
          <t>已结算</t>
        </is>
      </c>
      <c r="K375" s="87" t="inlineStr">
        <is>
          <t>庄毅</t>
        </is>
      </c>
      <c r="L375" s="207">
        <f>9400+180*1.8*0.48+33+40+65+40+40+2550/6/1.5+567.08+10+20+2.88+10.5+620</f>
        <v/>
      </c>
      <c r="M375" s="207">
        <f>9400</f>
        <v/>
      </c>
      <c r="N375" s="207">
        <f>1.758*260+2*55+12</f>
        <v/>
      </c>
      <c r="O375" s="207">
        <f>2550/6/1.5</f>
        <v/>
      </c>
      <c r="P375" s="207" t="n">
        <v>40</v>
      </c>
      <c r="Q375" s="207" t="n"/>
      <c r="R375" s="207">
        <f>1.8*0.48*180+30</f>
        <v/>
      </c>
      <c r="S375" s="207" t="n">
        <v>40</v>
      </c>
      <c r="T375" s="207" t="n">
        <v>40</v>
      </c>
      <c r="U375" s="207" t="n">
        <v>33</v>
      </c>
      <c r="V375" s="207" t="n"/>
      <c r="W375" s="207" t="inlineStr">
        <is>
          <t>2550/6/1.5</t>
        </is>
      </c>
      <c r="X375" s="207" t="n">
        <v>567.08</v>
      </c>
      <c r="Y375" s="207" t="n">
        <v>10</v>
      </c>
      <c r="Z375" s="207" t="n"/>
      <c r="AA375" s="207" t="n"/>
      <c r="AB375" s="207" t="n"/>
      <c r="AC375" s="207" t="n"/>
      <c r="AD375" s="207" t="n"/>
      <c r="AE375" s="207" t="n">
        <v>20</v>
      </c>
      <c r="AF375" s="207" t="n">
        <v>10.5</v>
      </c>
      <c r="AG375" s="207" t="n"/>
      <c r="AH375" s="207" t="n"/>
      <c r="AI375" s="207" t="n"/>
      <c r="AJ375" s="207" t="n">
        <v>620</v>
      </c>
      <c r="AK375" s="207" t="n">
        <v>65</v>
      </c>
      <c r="AL375" s="207" t="n"/>
      <c r="AM375" s="207" t="n"/>
      <c r="AN375" s="207" t="n"/>
      <c r="AO375" s="207" t="n"/>
      <c r="AP375" s="207" t="n">
        <v>513</v>
      </c>
      <c r="AQ375" s="207" t="n">
        <v>0</v>
      </c>
      <c r="AR375" s="207" t="n">
        <v>150</v>
      </c>
      <c r="AS375" s="207" t="n">
        <v>0</v>
      </c>
      <c r="AT375" s="207" t="n">
        <v>138</v>
      </c>
      <c r="AU375" s="207" t="n">
        <v>0</v>
      </c>
      <c r="AV375" s="207" t="n">
        <v>0</v>
      </c>
      <c r="AW375" s="207" t="n">
        <v>200</v>
      </c>
      <c r="AX375" s="208" t="n">
        <v>1</v>
      </c>
      <c r="AY375" s="209">
        <f>L375*AX375+AP375+AQ375+AR375+AV375+AW375+AS375+AT375+AU375</f>
        <v/>
      </c>
      <c r="AZ375" s="207" t="n">
        <v>14621.61</v>
      </c>
      <c r="BA375" s="207" t="n">
        <v>0</v>
      </c>
      <c r="BB375" s="207">
        <f>AZ375*0.006</f>
        <v/>
      </c>
      <c r="BC375" s="209">
        <f>AZ375+BA375-BB375</f>
        <v/>
      </c>
      <c r="BD375" s="207" t="n">
        <v>0</v>
      </c>
      <c r="BE375" s="207" t="n">
        <v>0</v>
      </c>
      <c r="BF375" s="209">
        <f>BD375+BE375</f>
        <v/>
      </c>
      <c r="BG375" s="209">
        <f>BC375-AY375+BF375</f>
        <v/>
      </c>
      <c r="BH375" s="207" t="inlineStr">
        <is>
          <t>郑丹</t>
        </is>
      </c>
      <c r="BI375" s="207" t="inlineStr">
        <is>
          <t>河南省 郑州市 中原区 须水街道须水蓝岸明翠10号楼3102</t>
        </is>
      </c>
      <c r="BJ375" s="207" t="inlineStr">
        <is>
          <t>13774730364-3629</t>
        </is>
      </c>
      <c r="BK375" s="86" t="n"/>
      <c r="BL375" s="210" t="n"/>
      <c r="BM375" s="93" t="n"/>
      <c r="BN375" s="94" t="n"/>
      <c r="BO375" s="93" t="n"/>
      <c r="BP375" s="86" t="n"/>
      <c r="BQ375" s="96" t="n"/>
      <c r="BR375" s="96" t="n"/>
      <c r="BS375" s="97" t="n"/>
      <c r="BT375" s="96" t="n"/>
      <c r="BU375" s="97" t="n"/>
      <c r="BV375" s="96" t="n"/>
      <c r="BW375" s="97" t="n"/>
      <c r="BX375" s="97" t="n"/>
      <c r="BY375" s="97" t="n"/>
      <c r="BZ375" s="97" t="n"/>
      <c r="CH375" s="2" t="n"/>
      <c r="CI375" s="14" t="n"/>
      <c r="CJ375" s="25" t="n"/>
      <c r="CK375" s="25" t="n"/>
      <c r="CL375" s="25" t="n"/>
      <c r="CM375" s="25" t="n"/>
      <c r="CN375" s="25" t="n"/>
      <c r="CO375" s="25" t="n"/>
      <c r="CP375" s="25" t="n"/>
      <c r="CQ375" s="25" t="n"/>
      <c r="CR375" s="25" t="n"/>
      <c r="CS375" s="25" t="n"/>
      <c r="CT375" s="25" t="n"/>
      <c r="CU375" s="25" t="n"/>
      <c r="CV375" s="25" t="n"/>
      <c r="CW375" s="25" t="n"/>
      <c r="CX375" s="25" t="n"/>
      <c r="CY375" s="25" t="n"/>
      <c r="DC375" s="26" t="n"/>
      <c r="DD375" s="26" t="n"/>
      <c r="DE375" s="26" t="n"/>
      <c r="DF375" s="26" t="n"/>
      <c r="DG375" s="26" t="n"/>
      <c r="DH375" s="27" t="n"/>
      <c r="DJ375" s="211" t="inlineStr">
        <is>
          <t>订单表中未找到</t>
        </is>
      </c>
      <c r="DK375" t="inlineStr">
        <is>
          <t>—</t>
        </is>
      </c>
      <c r="DL375" t="inlineStr">
        <is>
          <t>—</t>
        </is>
      </c>
    </row>
    <row r="376" ht="15.75" customHeight="1" s="187">
      <c r="A376" s="84" t="n">
        <v>45963</v>
      </c>
      <c r="B376" s="206" t="inlineStr">
        <is>
          <t>已收货</t>
        </is>
      </c>
      <c r="C376" s="86" t="inlineStr">
        <is>
          <t>3037282790929005651</t>
        </is>
      </c>
      <c r="D376" s="86" t="inlineStr">
        <is>
          <t>叶宋涛</t>
        </is>
      </c>
      <c r="E376" s="87" t="n"/>
      <c r="F376" s="87" t="n"/>
      <c r="G376" s="207" t="inlineStr">
        <is>
          <t>插座*2</t>
        </is>
      </c>
      <c r="H376" s="207" t="inlineStr">
        <is>
          <t>配件</t>
        </is>
      </c>
      <c r="I376" s="89" t="n"/>
      <c r="J376" s="87" t="inlineStr">
        <is>
          <t>已结算</t>
        </is>
      </c>
      <c r="K376" s="87" t="inlineStr">
        <is>
          <t>其他</t>
        </is>
      </c>
      <c r="L376" s="207" t="n">
        <v>110</v>
      </c>
      <c r="M376" s="207" t="n">
        <v>110</v>
      </c>
      <c r="N376" s="207" t="n"/>
      <c r="O376" s="207" t="n"/>
      <c r="P376" s="207" t="n"/>
      <c r="Q376" s="207" t="n"/>
      <c r="R376" s="207" t="n"/>
      <c r="S376" s="207" t="n"/>
      <c r="T376" s="207" t="n"/>
      <c r="U376" s="207" t="n"/>
      <c r="V376" s="207" t="n"/>
      <c r="W376" s="207" t="n"/>
      <c r="X376" s="207" t="n"/>
      <c r="Y376" s="207" t="n"/>
      <c r="Z376" s="207" t="n"/>
      <c r="AA376" s="207" t="n"/>
      <c r="AB376" s="207" t="n"/>
      <c r="AC376" s="207" t="n"/>
      <c r="AD376" s="207" t="n"/>
      <c r="AE376" s="207" t="n"/>
      <c r="AF376" s="207" t="n"/>
      <c r="AG376" s="207" t="n"/>
      <c r="AH376" s="207" t="n"/>
      <c r="AI376" s="207" t="n"/>
      <c r="AJ376" s="207" t="n"/>
      <c r="AK376" s="207" t="n"/>
      <c r="AL376" s="207" t="n"/>
      <c r="AM376" s="207" t="n"/>
      <c r="AN376" s="207" t="n"/>
      <c r="AO376" s="207" t="n"/>
      <c r="AP376" s="207" t="n">
        <v>8</v>
      </c>
      <c r="AQ376" s="207" t="n">
        <v>0</v>
      </c>
      <c r="AR376" s="207" t="n">
        <v>0</v>
      </c>
      <c r="AS376" s="207" t="n">
        <v>0</v>
      </c>
      <c r="AT376" s="207" t="n">
        <v>0</v>
      </c>
      <c r="AU376" s="207" t="n">
        <v>0</v>
      </c>
      <c r="AV376" s="207" t="n">
        <v>0</v>
      </c>
      <c r="AW376" s="207" t="n">
        <v>0</v>
      </c>
      <c r="AX376" s="208" t="n">
        <v>1</v>
      </c>
      <c r="AY376" s="209">
        <f>L376*AX376+AP376+AQ376+AR376+AV376+AW376+AS376+AT376+AU376</f>
        <v/>
      </c>
      <c r="AZ376" s="207" t="n">
        <v>200</v>
      </c>
      <c r="BA376" s="207" t="n">
        <v>0</v>
      </c>
      <c r="BB376" s="207">
        <f>AZ376*0.006</f>
        <v/>
      </c>
      <c r="BC376" s="209">
        <f>AZ376+BA376-BB376</f>
        <v/>
      </c>
      <c r="BD376" s="207" t="n">
        <v>0</v>
      </c>
      <c r="BE376" s="207" t="n">
        <v>0</v>
      </c>
      <c r="BF376" s="209">
        <f>BD376+BE376</f>
        <v/>
      </c>
      <c r="BG376" s="209">
        <f>BC376-AY376+BF376</f>
        <v/>
      </c>
      <c r="BH376" s="86" t="inlineStr">
        <is>
          <t>叶宋涛</t>
        </is>
      </c>
      <c r="BI376" s="86" t="inlineStr">
        <is>
          <t>广西壮族自治区 柳州市 鱼峰区 麒麟街道恒大御府10-1-2001</t>
        </is>
      </c>
      <c r="BJ376" s="86" t="inlineStr">
        <is>
          <t>13117725671-2124</t>
        </is>
      </c>
      <c r="BK376" s="86" t="n"/>
      <c r="BL376" s="210" t="n"/>
      <c r="BM376" s="93" t="n"/>
      <c r="BN376" s="94" t="n"/>
      <c r="BO376" s="93" t="n"/>
      <c r="BP376" s="86" t="n"/>
      <c r="BQ376" s="96" t="n"/>
      <c r="BR376" s="96" t="n"/>
      <c r="BS376" s="97" t="n"/>
      <c r="BT376" s="96" t="n"/>
      <c r="BU376" s="97" t="n"/>
      <c r="BV376" s="96" t="n"/>
      <c r="BW376" s="97" t="n"/>
      <c r="BX376" s="97" t="n"/>
      <c r="BY376" s="97" t="n"/>
      <c r="BZ376" s="97" t="n"/>
      <c r="CH376" s="2" t="n"/>
      <c r="CI376" s="14" t="n"/>
      <c r="CJ376" s="25" t="n"/>
      <c r="CK376" s="25" t="n"/>
      <c r="CL376" s="25" t="n"/>
      <c r="CM376" s="25" t="n"/>
      <c r="CN376" s="25" t="n"/>
      <c r="CO376" s="25" t="n"/>
      <c r="CP376" s="25" t="n"/>
      <c r="CQ376" s="25" t="n"/>
      <c r="CR376" s="25" t="n"/>
      <c r="CS376" s="25" t="n"/>
      <c r="CT376" s="25" t="n"/>
      <c r="CU376" s="25" t="n"/>
      <c r="CV376" s="25" t="n"/>
      <c r="CW376" s="25" t="n"/>
      <c r="CX376" s="25" t="n"/>
      <c r="CY376" s="25" t="n"/>
      <c r="DC376" s="26" t="n"/>
      <c r="DD376" s="26" t="n"/>
      <c r="DE376" s="26" t="n"/>
      <c r="DF376" s="26" t="n"/>
      <c r="DG376" s="26" t="n"/>
      <c r="DH376" s="27" t="n"/>
      <c r="DJ376" s="211" t="inlineStr">
        <is>
          <t>订单表中未找到</t>
        </is>
      </c>
      <c r="DK376" t="inlineStr">
        <is>
          <t>—</t>
        </is>
      </c>
      <c r="DL376" t="inlineStr">
        <is>
          <t>—</t>
        </is>
      </c>
    </row>
    <row r="377" ht="15.75" customHeight="1" s="187">
      <c r="A377" s="84" t="n">
        <v>45963</v>
      </c>
      <c r="B377" s="206" t="inlineStr">
        <is>
          <t>已收货</t>
        </is>
      </c>
      <c r="C377" s="86" t="inlineStr">
        <is>
          <t>3037305651665869569</t>
        </is>
      </c>
      <c r="D377" s="110" t="inlineStr">
        <is>
          <t>林囧</t>
        </is>
      </c>
      <c r="E377" s="87" t="n"/>
      <c r="F377" s="87" t="n"/>
      <c r="G377" s="207" t="inlineStr">
        <is>
          <t>砂白色1.6米岩板餐桌</t>
        </is>
      </c>
      <c r="H377" s="207" t="inlineStr">
        <is>
          <t>榉木餐桌</t>
        </is>
      </c>
      <c r="I377" s="218" t="inlineStr">
        <is>
          <t>160cm*85cm</t>
        </is>
      </c>
      <c r="J377" s="87" t="inlineStr">
        <is>
          <t>已结算</t>
        </is>
      </c>
      <c r="K377" s="87" t="inlineStr">
        <is>
          <t>庄毅</t>
        </is>
      </c>
      <c r="L377" s="207">
        <f>SUM(M377:AO377)</f>
        <v/>
      </c>
      <c r="M377" s="207">
        <f>1530</f>
        <v/>
      </c>
      <c r="N377" s="207" t="n"/>
      <c r="O377" s="207" t="n"/>
      <c r="P377" s="207" t="n"/>
      <c r="Q377" s="207" t="n"/>
      <c r="R377" s="207">
        <f>180*1.6*0.85</f>
        <v/>
      </c>
      <c r="S377" s="207" t="n"/>
      <c r="T377" s="207" t="n"/>
      <c r="U377" s="207" t="n"/>
      <c r="V377" s="207" t="n"/>
      <c r="W377" s="207" t="n"/>
      <c r="X377" s="207" t="n"/>
      <c r="Y377" s="207" t="n"/>
      <c r="Z377" s="207" t="n"/>
      <c r="AA377" s="207" t="n"/>
      <c r="AB377" s="207" t="n"/>
      <c r="AC377" s="207" t="n"/>
      <c r="AD377" s="207" t="n">
        <v>2.5</v>
      </c>
      <c r="AE377" s="207" t="n"/>
      <c r="AF377" s="207" t="n"/>
      <c r="AG377" s="207" t="n"/>
      <c r="AH377" s="207" t="n"/>
      <c r="AI377" s="207" t="n"/>
      <c r="AJ377" s="207" t="n"/>
      <c r="AK377" s="207" t="n"/>
      <c r="AL377" s="207" t="n"/>
      <c r="AM377" s="207" t="n"/>
      <c r="AN377" s="207" t="n"/>
      <c r="AO377" s="207" t="n"/>
      <c r="AP377" s="207" t="n">
        <v>149</v>
      </c>
      <c r="AQ377" s="207" t="n">
        <v>0</v>
      </c>
      <c r="AR377" s="207" t="n">
        <v>70</v>
      </c>
      <c r="AS377" s="207" t="n">
        <v>0</v>
      </c>
      <c r="AT377" s="207" t="n">
        <v>0</v>
      </c>
      <c r="AU377" s="207" t="n">
        <v>0</v>
      </c>
      <c r="AV377" s="207" t="n">
        <v>0</v>
      </c>
      <c r="AW377" s="207" t="n">
        <v>0</v>
      </c>
      <c r="AX377" s="208" t="n">
        <v>1</v>
      </c>
      <c r="AY377" s="209">
        <f>L377*AX377+AP377+AQ377+AR377+AV377+AW377+AS377+AT377+AU377</f>
        <v/>
      </c>
      <c r="AZ377" s="207" t="n">
        <v>2688.41</v>
      </c>
      <c r="BA377" s="207" t="n">
        <v>0</v>
      </c>
      <c r="BB377" s="207">
        <f>AZ377*0.006</f>
        <v/>
      </c>
      <c r="BC377" s="209">
        <f>AZ377+BA377-BB377</f>
        <v/>
      </c>
      <c r="BD377" s="207" t="n">
        <v>0</v>
      </c>
      <c r="BE377" s="207" t="n">
        <v>0</v>
      </c>
      <c r="BF377" s="209">
        <f>BD377+BE377</f>
        <v/>
      </c>
      <c r="BG377" s="209">
        <f>BC377-AY377+BF377</f>
        <v/>
      </c>
      <c r="BH377" s="207" t="inlineStr">
        <is>
          <t>林囧</t>
        </is>
      </c>
      <c r="BI377" s="207" t="inlineStr">
        <is>
          <t>浙江省 温州市 瓯海区 梧田街道泽霞雅苑一组团4-1304</t>
        </is>
      </c>
      <c r="BJ377" s="207" t="inlineStr">
        <is>
          <t>18413549531-5204</t>
        </is>
      </c>
      <c r="BK377" s="86" t="n"/>
      <c r="BL377" s="210" t="n"/>
      <c r="BM377" s="93" t="n"/>
      <c r="BN377" s="94" t="n"/>
      <c r="BO377" s="93" t="n"/>
      <c r="BP377" s="86" t="n"/>
      <c r="BQ377" s="96" t="n"/>
      <c r="BR377" s="96" t="n"/>
      <c r="BS377" s="97" t="n"/>
      <c r="BT377" s="96" t="n"/>
      <c r="BU377" s="97" t="n"/>
      <c r="BV377" s="96" t="n"/>
      <c r="BW377" s="97" t="n"/>
      <c r="BX377" s="97" t="n"/>
      <c r="BY377" s="97" t="n"/>
      <c r="BZ377" s="97" t="n"/>
      <c r="CH377" s="2" t="n"/>
      <c r="CI377" s="14" t="n"/>
      <c r="CJ377" s="25" t="n"/>
      <c r="CK377" s="25" t="n"/>
      <c r="CL377" s="25" t="n"/>
      <c r="CM377" s="25" t="n"/>
      <c r="CN377" s="25" t="n"/>
      <c r="CO377" s="25" t="n"/>
      <c r="CP377" s="25" t="n"/>
      <c r="CQ377" s="25" t="n"/>
      <c r="CR377" s="25" t="n"/>
      <c r="CS377" s="25" t="n"/>
      <c r="CT377" s="25" t="n"/>
      <c r="CU377" s="25" t="n"/>
      <c r="CV377" s="25" t="n"/>
      <c r="CW377" s="25" t="n"/>
      <c r="CX377" s="25" t="n"/>
      <c r="CY377" s="25" t="n"/>
      <c r="DC377" s="26" t="n"/>
      <c r="DD377" s="26" t="n"/>
      <c r="DE377" s="26" t="n"/>
      <c r="DF377" s="26" t="n"/>
      <c r="DG377" s="26" t="n"/>
      <c r="DH377" s="27" t="n"/>
      <c r="DJ377" s="211" t="inlineStr">
        <is>
          <t>订单表中未找到</t>
        </is>
      </c>
      <c r="DK377" t="inlineStr">
        <is>
          <t>—</t>
        </is>
      </c>
      <c r="DL377" t="inlineStr">
        <is>
          <t>—</t>
        </is>
      </c>
    </row>
    <row r="378" ht="15.75" customHeight="1" s="187">
      <c r="A378" s="84" t="n">
        <v>45964</v>
      </c>
      <c r="B378" s="206" t="inlineStr">
        <is>
          <t>已收货</t>
        </is>
      </c>
      <c r="C378" s="86" t="inlineStr">
        <is>
          <t>4854509355272282730</t>
        </is>
      </c>
      <c r="D378" s="86" t="inlineStr">
        <is>
          <t>王行同</t>
        </is>
      </c>
      <c r="E378" s="87" t="n"/>
      <c r="F378" s="87" t="n"/>
      <c r="G378" s="207" t="inlineStr">
        <is>
          <t>样块*2</t>
        </is>
      </c>
      <c r="H378" s="207" t="inlineStr">
        <is>
          <t>样块</t>
        </is>
      </c>
      <c r="I378" s="89" t="n"/>
      <c r="J378" s="87" t="inlineStr">
        <is>
          <t>已结算</t>
        </is>
      </c>
      <c r="K378" s="87" t="inlineStr">
        <is>
          <t>杭州</t>
        </is>
      </c>
      <c r="L378" s="207">
        <f>SUM(M378:AO378)</f>
        <v/>
      </c>
      <c r="M378" s="207" t="n">
        <v>10</v>
      </c>
      <c r="N378" s="207" t="n"/>
      <c r="O378" s="207" t="n"/>
      <c r="P378" s="207" t="n"/>
      <c r="Q378" s="207" t="n"/>
      <c r="R378" s="207" t="n"/>
      <c r="S378" s="207" t="n"/>
      <c r="T378" s="207" t="n"/>
      <c r="U378" s="207" t="n"/>
      <c r="V378" s="207" t="n"/>
      <c r="W378" s="207" t="n"/>
      <c r="X378" s="207" t="n"/>
      <c r="Y378" s="207" t="n"/>
      <c r="Z378" s="207" t="n"/>
      <c r="AA378" s="207" t="n"/>
      <c r="AB378" s="207" t="n"/>
      <c r="AC378" s="207" t="n"/>
      <c r="AD378" s="207" t="n"/>
      <c r="AE378" s="207" t="n"/>
      <c r="AF378" s="207" t="n"/>
      <c r="AG378" s="207" t="n"/>
      <c r="AH378" s="207" t="n"/>
      <c r="AI378" s="207" t="n"/>
      <c r="AJ378" s="207" t="n"/>
      <c r="AK378" s="207" t="n"/>
      <c r="AL378" s="207" t="n"/>
      <c r="AM378" s="207" t="n">
        <v>2</v>
      </c>
      <c r="AN378" s="207" t="n"/>
      <c r="AO378" s="207" t="n"/>
      <c r="AP378" s="207" t="n">
        <v>5</v>
      </c>
      <c r="AQ378" s="207" t="n">
        <v>0</v>
      </c>
      <c r="AR378" s="207" t="n">
        <v>0</v>
      </c>
      <c r="AS378" s="207" t="n">
        <v>0</v>
      </c>
      <c r="AT378" s="207" t="n">
        <v>0</v>
      </c>
      <c r="AU378" s="207" t="n">
        <v>0</v>
      </c>
      <c r="AV378" s="207" t="n">
        <v>0</v>
      </c>
      <c r="AW378" s="207" t="n">
        <v>0</v>
      </c>
      <c r="AX378" s="208" t="n">
        <v>1</v>
      </c>
      <c r="AY378" s="209">
        <f>L378*AX378+AP378+AQ378+AR378+AV378+AW378+AS378+AT378+AU378</f>
        <v/>
      </c>
      <c r="AZ378" s="207" t="n">
        <v>42.4</v>
      </c>
      <c r="BA378" s="207" t="n">
        <v>0</v>
      </c>
      <c r="BB378" s="207">
        <f>AZ378*0.006</f>
        <v/>
      </c>
      <c r="BC378" s="209">
        <f>AZ378+BA378-BB378</f>
        <v/>
      </c>
      <c r="BD378" s="207" t="n">
        <v>0</v>
      </c>
      <c r="BE378" s="207" t="n">
        <v>0</v>
      </c>
      <c r="BF378" s="209">
        <f>BD378+BE378</f>
        <v/>
      </c>
      <c r="BG378" s="209">
        <f>BC378-AY378+BF378</f>
        <v/>
      </c>
      <c r="BH378" s="86" t="inlineStr">
        <is>
          <t>王行同</t>
        </is>
      </c>
      <c r="BI378" s="86" t="inlineStr">
        <is>
          <t>江苏省 南京市 栖霞区 仙林街道杉湖西路8号东方天郡西区 29栋1单元406</t>
        </is>
      </c>
      <c r="BJ378" s="86" t="inlineStr">
        <is>
          <t>13073451984-7538</t>
        </is>
      </c>
      <c r="BK378" s="86" t="n"/>
      <c r="BL378" s="210" t="n"/>
      <c r="BM378" s="93" t="n"/>
      <c r="BN378" s="94" t="n"/>
      <c r="BO378" s="93" t="n"/>
      <c r="BP378" s="86" t="n"/>
      <c r="BQ378" s="96" t="n"/>
      <c r="BR378" s="96" t="n"/>
      <c r="BS378" s="97" t="n"/>
      <c r="BT378" s="96" t="n"/>
      <c r="BU378" s="97" t="n"/>
      <c r="BV378" s="96" t="n"/>
      <c r="BW378" s="97" t="n"/>
      <c r="BX378" s="97" t="n"/>
      <c r="BY378" s="97" t="n"/>
      <c r="BZ378" s="97" t="n"/>
      <c r="CH378" s="2" t="n"/>
      <c r="CI378" s="14" t="n"/>
      <c r="CJ378" s="25" t="n"/>
      <c r="CK378" s="25" t="n"/>
      <c r="CL378" s="25" t="n"/>
      <c r="CM378" s="25" t="n"/>
      <c r="CN378" s="25" t="n"/>
      <c r="CO378" s="25" t="n"/>
      <c r="CP378" s="25" t="n"/>
      <c r="CQ378" s="25" t="n"/>
      <c r="CR378" s="25" t="n"/>
      <c r="CS378" s="25" t="n"/>
      <c r="CT378" s="25" t="n"/>
      <c r="CU378" s="25" t="n"/>
      <c r="CV378" s="25" t="n"/>
      <c r="CW378" s="25" t="n"/>
      <c r="CX378" s="25" t="n"/>
      <c r="CY378" s="25" t="n"/>
      <c r="DC378" s="26" t="n"/>
      <c r="DD378" s="26" t="n"/>
      <c r="DE378" s="26" t="n"/>
      <c r="DF378" s="26" t="n"/>
      <c r="DG378" s="26" t="n"/>
      <c r="DH378" s="27" t="n"/>
      <c r="DJ378" s="211" t="inlineStr">
        <is>
          <t>订单表中未找到</t>
        </is>
      </c>
      <c r="DK378" t="inlineStr">
        <is>
          <t>—</t>
        </is>
      </c>
      <c r="DL378" t="inlineStr">
        <is>
          <t>—</t>
        </is>
      </c>
    </row>
    <row r="379" ht="15.75" customHeight="1" s="187">
      <c r="A379" s="84" t="n">
        <v>45965</v>
      </c>
      <c r="B379" s="206" t="inlineStr">
        <is>
          <t>已收货</t>
        </is>
      </c>
      <c r="C379" s="86" t="inlineStr">
        <is>
          <t>4858105140425490240</t>
        </is>
      </c>
      <c r="D379" s="86" t="inlineStr">
        <is>
          <t>梁先生</t>
        </is>
      </c>
      <c r="E379" s="87" t="n"/>
      <c r="F379" s="87" t="n"/>
      <c r="G379" s="87" t="inlineStr">
        <is>
          <t>砂白色2.0米岩板餐桌</t>
        </is>
      </c>
      <c r="H379" s="207" t="inlineStr">
        <is>
          <t>榉木餐桌</t>
        </is>
      </c>
      <c r="I379" s="89" t="inlineStr">
        <is>
          <t>200cm*85cm</t>
        </is>
      </c>
      <c r="J379" s="87" t="inlineStr">
        <is>
          <t>已结算</t>
        </is>
      </c>
      <c r="K379" s="86" t="inlineStr">
        <is>
          <t>江西</t>
        </is>
      </c>
      <c r="L379" s="207">
        <f>SUM(M379:AO379)</f>
        <v/>
      </c>
      <c r="M379" s="207">
        <f>1450</f>
        <v/>
      </c>
      <c r="N379" s="207" t="n"/>
      <c r="O379" s="207" t="n"/>
      <c r="P379" s="207" t="n"/>
      <c r="Q379" s="207" t="n"/>
      <c r="R379" s="207" t="n">
        <v>510</v>
      </c>
      <c r="S379" s="207" t="n"/>
      <c r="T379" s="207" t="n"/>
      <c r="U379" s="207" t="n"/>
      <c r="V379" s="207" t="n"/>
      <c r="W379" s="207" t="n"/>
      <c r="X379" s="207" t="n"/>
      <c r="Y379" s="207" t="n"/>
      <c r="Z379" s="207" t="n"/>
      <c r="AA379" s="207" t="n"/>
      <c r="AB379" s="207" t="n"/>
      <c r="AC379" s="207" t="n"/>
      <c r="AD379" s="207" t="n">
        <v>2.5</v>
      </c>
      <c r="AE379" s="207" t="n"/>
      <c r="AF379" s="207" t="n"/>
      <c r="AG379" s="207" t="n"/>
      <c r="AH379" s="207" t="n"/>
      <c r="AI379" s="207" t="n"/>
      <c r="AJ379" s="207" t="n"/>
      <c r="AK379" s="207" t="n"/>
      <c r="AL379" s="207" t="n"/>
      <c r="AM379" s="207" t="n">
        <v>130</v>
      </c>
      <c r="AN379" s="207" t="n"/>
      <c r="AO379" s="207" t="n"/>
      <c r="AP379" s="207">
        <f>118-AQ379</f>
        <v/>
      </c>
      <c r="AQ379" s="207" t="n">
        <v>25</v>
      </c>
      <c r="AR379" s="207" t="n">
        <v>90</v>
      </c>
      <c r="AS379" s="207" t="n">
        <v>0</v>
      </c>
      <c r="AT379" s="207" t="n">
        <v>158</v>
      </c>
      <c r="AU379" s="207" t="n">
        <v>0</v>
      </c>
      <c r="AV379" s="207" t="n">
        <v>0</v>
      </c>
      <c r="AW379" s="207" t="n">
        <v>0</v>
      </c>
      <c r="AX379" s="208" t="n">
        <v>1</v>
      </c>
      <c r="AY379" s="209">
        <f>L379*AX379+AP379+AQ379+AR379+AV379+AW379+AS379+AT379+AU379</f>
        <v/>
      </c>
      <c r="AZ379" s="207" t="n">
        <v>2920.31</v>
      </c>
      <c r="BA379" s="207" t="n">
        <v>0</v>
      </c>
      <c r="BB379" s="207">
        <f>AZ379*0.006</f>
        <v/>
      </c>
      <c r="BC379" s="209">
        <f>AZ379+BA379-BB379</f>
        <v/>
      </c>
      <c r="BD379" s="207" t="n">
        <v>0</v>
      </c>
      <c r="BE379" s="207" t="n">
        <v>0</v>
      </c>
      <c r="BF379" s="209">
        <f>BD379+BE379</f>
        <v/>
      </c>
      <c r="BG379" s="209">
        <f>BC379-AY379+BF379</f>
        <v/>
      </c>
      <c r="BH379" s="207" t="inlineStr">
        <is>
          <t>梁先生</t>
        </is>
      </c>
      <c r="BI379" s="207" t="inlineStr">
        <is>
          <t>广东省 肇庆市 端州区 睦岗街道侨兴新都汇3栋 1503</t>
        </is>
      </c>
      <c r="BJ379" s="207" t="inlineStr">
        <is>
          <t>14716068031-4717</t>
        </is>
      </c>
      <c r="BK379" s="86" t="n"/>
      <c r="BL379" s="210" t="n"/>
      <c r="BM379" s="93" t="n"/>
      <c r="BN379" s="94" t="n"/>
      <c r="BO379" s="93" t="n"/>
      <c r="BP379" s="86" t="n"/>
      <c r="BQ379" s="96" t="n"/>
      <c r="BR379" s="96" t="n"/>
      <c r="BS379" s="97" t="n"/>
      <c r="BT379" s="96" t="n"/>
      <c r="BU379" s="97" t="n"/>
      <c r="BV379" s="96" t="n"/>
      <c r="BW379" s="97" t="n"/>
      <c r="BX379" s="97" t="n"/>
      <c r="BY379" s="97" t="n"/>
      <c r="BZ379" s="97" t="n"/>
      <c r="CH379" s="2" t="n"/>
      <c r="CI379" s="14" t="n"/>
      <c r="CJ379" s="25" t="n"/>
      <c r="CK379" s="25" t="n"/>
      <c r="CL379" s="25" t="n"/>
      <c r="CM379" s="25" t="n"/>
      <c r="CN379" s="25" t="n"/>
      <c r="CO379" s="25" t="n"/>
      <c r="CP379" s="25" t="n"/>
      <c r="CQ379" s="25" t="n"/>
      <c r="CR379" s="25" t="n"/>
      <c r="CS379" s="25" t="n"/>
      <c r="CT379" s="25" t="n"/>
      <c r="CU379" s="25" t="n"/>
      <c r="CV379" s="25" t="n"/>
      <c r="CW379" s="25" t="n"/>
      <c r="CX379" s="25" t="n"/>
      <c r="CY379" s="25" t="n"/>
      <c r="DC379" s="26" t="n"/>
      <c r="DD379" s="26" t="n"/>
      <c r="DE379" s="26" t="n"/>
      <c r="DF379" s="26" t="n"/>
      <c r="DG379" s="26" t="n"/>
      <c r="DH379" s="27" t="n"/>
      <c r="DJ379" s="211" t="inlineStr">
        <is>
          <t>订单表中未找到</t>
        </is>
      </c>
      <c r="DK379" t="inlineStr">
        <is>
          <t>—</t>
        </is>
      </c>
      <c r="DL379" t="inlineStr">
        <is>
          <t>—</t>
        </is>
      </c>
    </row>
    <row r="380" ht="15.75" customHeight="1" s="187">
      <c r="A380" s="99" t="n">
        <v>45965</v>
      </c>
      <c r="B380" s="100" t="inlineStr">
        <is>
          <t>已收货</t>
        </is>
      </c>
      <c r="C380" s="101" t="inlineStr">
        <is>
          <t>4858171057146490240</t>
        </is>
      </c>
      <c r="D380" s="100" t="inlineStr">
        <is>
          <t>梁先生</t>
        </is>
      </c>
      <c r="E380" s="100" t="n"/>
      <c r="F380" s="100" t="n"/>
      <c r="G380" s="100" t="inlineStr">
        <is>
          <t>样块</t>
        </is>
      </c>
      <c r="H380" s="100" t="inlineStr">
        <is>
          <t>样块</t>
        </is>
      </c>
      <c r="I380" s="102" t="n"/>
      <c r="J380" s="100" t="inlineStr">
        <is>
          <t>已结算</t>
        </is>
      </c>
      <c r="K380" s="100" t="inlineStr">
        <is>
          <t>杭州</t>
        </is>
      </c>
      <c r="L380" s="213">
        <f>SUM(M380:AO380)</f>
        <v/>
      </c>
      <c r="M380" s="207" t="n">
        <v>5</v>
      </c>
      <c r="N380" s="207" t="n"/>
      <c r="O380" s="207" t="n"/>
      <c r="P380" s="207" t="n"/>
      <c r="Q380" s="207" t="n"/>
      <c r="R380" s="207" t="n"/>
      <c r="S380" s="207" t="n"/>
      <c r="T380" s="207" t="n"/>
      <c r="U380" s="207" t="n"/>
      <c r="V380" s="207" t="n"/>
      <c r="W380" s="207" t="n"/>
      <c r="X380" s="207" t="n"/>
      <c r="Y380" s="207" t="n"/>
      <c r="Z380" s="207" t="n"/>
      <c r="AA380" s="207" t="n"/>
      <c r="AB380" s="207" t="n"/>
      <c r="AC380" s="207" t="n"/>
      <c r="AD380" s="207" t="n"/>
      <c r="AE380" s="207" t="n"/>
      <c r="AF380" s="207" t="n"/>
      <c r="AG380" s="207" t="n"/>
      <c r="AH380" s="207" t="n"/>
      <c r="AI380" s="207" t="n"/>
      <c r="AJ380" s="207" t="n"/>
      <c r="AK380" s="207" t="n"/>
      <c r="AL380" s="207" t="n"/>
      <c r="AM380" s="207" t="n">
        <v>2</v>
      </c>
      <c r="AN380" s="207" t="n"/>
      <c r="AO380" s="207" t="n"/>
      <c r="AP380" s="213" t="n">
        <v>5</v>
      </c>
      <c r="AQ380" s="213" t="n">
        <v>0</v>
      </c>
      <c r="AR380" s="213" t="n">
        <v>0</v>
      </c>
      <c r="AS380" s="213" t="n">
        <v>0</v>
      </c>
      <c r="AT380" s="213" t="n">
        <v>0</v>
      </c>
      <c r="AU380" s="213" t="n">
        <v>0</v>
      </c>
      <c r="AV380" s="213" t="n">
        <v>0</v>
      </c>
      <c r="AW380" s="213" t="n">
        <v>0</v>
      </c>
      <c r="AX380" s="214" t="n">
        <v>1</v>
      </c>
      <c r="AY380" s="213">
        <f>L380*AX380+AP380+AQ380+AR380+AV380+AW380+AS380+AT380+AU380</f>
        <v/>
      </c>
      <c r="AZ380" s="213" t="n">
        <v>0</v>
      </c>
      <c r="BA380" s="213" t="n">
        <v>0</v>
      </c>
      <c r="BB380" s="213">
        <f>AZ380*0.006</f>
        <v/>
      </c>
      <c r="BC380" s="213">
        <f>AZ380+BA380-BB380</f>
        <v/>
      </c>
      <c r="BD380" s="213" t="n">
        <v>0</v>
      </c>
      <c r="BE380" s="213" t="n">
        <v>0</v>
      </c>
      <c r="BF380" s="213">
        <f>BD380+BE380</f>
        <v/>
      </c>
      <c r="BG380" s="213">
        <f>BC380-AY380+BF380</f>
        <v/>
      </c>
      <c r="BH380" s="100" t="inlineStr">
        <is>
          <t>梁先生</t>
        </is>
      </c>
      <c r="BI380" s="100" t="inlineStr">
        <is>
          <t>广东省 肇庆市 端州区 睦岗街道侨兴新都汇3栋 1503</t>
        </is>
      </c>
      <c r="BJ380" s="100" t="inlineStr">
        <is>
          <t>14716068031-4717</t>
        </is>
      </c>
      <c r="BK380" s="101" t="n"/>
      <c r="BL380" s="215" t="n"/>
      <c r="BM380" s="107" t="n"/>
      <c r="BN380" s="108" t="n"/>
      <c r="BO380" s="107" t="n"/>
      <c r="BP380" s="101" t="n"/>
      <c r="BQ380" s="109" t="n"/>
      <c r="BR380" s="109" t="n"/>
      <c r="BS380" s="100" t="n"/>
      <c r="BT380" s="109" t="n"/>
      <c r="BU380" s="100" t="n"/>
      <c r="BV380" s="109" t="n"/>
      <c r="BW380" s="100" t="n"/>
      <c r="BX380" s="100" t="n"/>
      <c r="BY380" s="100" t="n"/>
      <c r="BZ380" s="100" t="n"/>
      <c r="CA380" s="98" t="n"/>
      <c r="CH380" s="2" t="n"/>
      <c r="CI380" s="14" t="n"/>
      <c r="CY380" s="25" t="n"/>
      <c r="DA380" s="25" t="n"/>
      <c r="DC380" s="26" t="n"/>
      <c r="DD380" s="26" t="n"/>
      <c r="DE380" s="26" t="n"/>
      <c r="DF380" s="26" t="n"/>
      <c r="DG380" s="26" t="n"/>
      <c r="DH380" s="27" t="n"/>
      <c r="DJ380" s="211" t="inlineStr">
        <is>
          <t>订单表中未找到</t>
        </is>
      </c>
      <c r="DK380" t="inlineStr">
        <is>
          <t>—</t>
        </is>
      </c>
      <c r="DL380" t="inlineStr">
        <is>
          <t>—</t>
        </is>
      </c>
    </row>
    <row r="381" ht="15.75" customHeight="1" s="187">
      <c r="A381" s="84" t="n">
        <v>45965</v>
      </c>
      <c r="B381" s="206" t="inlineStr">
        <is>
          <t>已收货</t>
        </is>
      </c>
      <c r="C381" s="86" t="inlineStr">
        <is>
          <t>3041225907838640891</t>
        </is>
      </c>
      <c r="D381" s="86" t="inlineStr">
        <is>
          <t>安托-(227845)</t>
        </is>
      </c>
      <c r="E381" s="87" t="n"/>
      <c r="F381" s="87" t="n"/>
      <c r="G381" s="207" t="inlineStr">
        <is>
          <t>砂白色1.6米岩板餐桌</t>
        </is>
      </c>
      <c r="H381" s="207" t="inlineStr">
        <is>
          <t>榉木餐桌</t>
        </is>
      </c>
      <c r="I381" s="218" t="inlineStr">
        <is>
          <t>160cm*85cm</t>
        </is>
      </c>
      <c r="J381" s="87" t="inlineStr">
        <is>
          <t>已结算</t>
        </is>
      </c>
      <c r="K381" s="87" t="inlineStr">
        <is>
          <t>庄毅</t>
        </is>
      </c>
      <c r="L381" s="207">
        <f>SUM(M381:AO381)</f>
        <v/>
      </c>
      <c r="M381" s="207">
        <f>1530</f>
        <v/>
      </c>
      <c r="N381" s="207" t="n"/>
      <c r="O381" s="207" t="n"/>
      <c r="P381" s="207" t="n"/>
      <c r="Q381" s="207" t="n"/>
      <c r="R381" s="207">
        <f>180*1.6*0.85</f>
        <v/>
      </c>
      <c r="S381" s="207" t="n"/>
      <c r="T381" s="207" t="n"/>
      <c r="U381" s="207" t="n"/>
      <c r="V381" s="207" t="n"/>
      <c r="W381" s="207" t="n"/>
      <c r="X381" s="207" t="n"/>
      <c r="Y381" s="207" t="n"/>
      <c r="Z381" s="207" t="n"/>
      <c r="AA381" s="207" t="n"/>
      <c r="AB381" s="207" t="n"/>
      <c r="AC381" s="207" t="n"/>
      <c r="AD381" s="207" t="n">
        <v>2.5</v>
      </c>
      <c r="AE381" s="207" t="n"/>
      <c r="AF381" s="207" t="n"/>
      <c r="AG381" s="207" t="n"/>
      <c r="AH381" s="207" t="n"/>
      <c r="AI381" s="207" t="n"/>
      <c r="AJ381" s="207" t="n"/>
      <c r="AK381" s="207" t="n"/>
      <c r="AL381" s="207" t="n"/>
      <c r="AM381" s="207" t="n"/>
      <c r="AN381" s="207" t="n"/>
      <c r="AO381" s="207" t="n"/>
      <c r="AP381" s="207" t="n">
        <v>144</v>
      </c>
      <c r="AQ381" s="207" t="n">
        <v>0</v>
      </c>
      <c r="AR381" s="207" t="n">
        <v>0</v>
      </c>
      <c r="AS381" s="207" t="n">
        <v>0</v>
      </c>
      <c r="AT381" s="207" t="n">
        <v>0</v>
      </c>
      <c r="AU381" s="207" t="n">
        <v>0</v>
      </c>
      <c r="AV381" s="207" t="n">
        <v>0</v>
      </c>
      <c r="AW381" s="207" t="n">
        <v>0</v>
      </c>
      <c r="AX381" s="208" t="n">
        <v>1</v>
      </c>
      <c r="AY381" s="209">
        <f>L381*AX381+AP381+AQ381+AR381+AV381+AW381+AS381+AT381+AU381</f>
        <v/>
      </c>
      <c r="AZ381" s="207" t="n">
        <v>2693.41</v>
      </c>
      <c r="BA381" s="207" t="n">
        <v>0</v>
      </c>
      <c r="BB381" s="207">
        <f>AZ381*0.006</f>
        <v/>
      </c>
      <c r="BC381" s="209">
        <f>AZ381+BA381-BB381</f>
        <v/>
      </c>
      <c r="BD381" s="207" t="n">
        <v>0</v>
      </c>
      <c r="BE381" s="207" t="n">
        <v>0</v>
      </c>
      <c r="BF381" s="209">
        <f>BD381+BE381</f>
        <v/>
      </c>
      <c r="BG381" s="209">
        <f>BC381-AY381+BF381</f>
        <v/>
      </c>
      <c r="BH381" s="207" t="inlineStr">
        <is>
          <t>安托-(227845)</t>
        </is>
      </c>
      <c r="BI381" s="207" t="inlineStr">
        <is>
          <t>广东省 广州市 白云区 江高镇广东省广州市白云区江高镇神山大道东237号电商园A区-(227845)</t>
        </is>
      </c>
      <c r="BJ381" s="207" t="inlineStr">
        <is>
          <t>18466113760-1975</t>
        </is>
      </c>
      <c r="BK381" s="86" t="n"/>
      <c r="BL381" s="210" t="n"/>
      <c r="BM381" s="93" t="n"/>
      <c r="BN381" s="94" t="n"/>
      <c r="BO381" s="93" t="n"/>
      <c r="BP381" s="86" t="n"/>
      <c r="BQ381" s="96" t="n"/>
      <c r="BR381" s="96" t="n"/>
      <c r="BS381" s="97" t="n"/>
      <c r="BT381" s="96" t="n"/>
      <c r="BU381" s="97" t="n"/>
      <c r="BV381" s="96" t="n"/>
      <c r="BW381" s="97" t="n"/>
      <c r="BX381" s="97" t="n"/>
      <c r="BY381" s="97" t="n"/>
      <c r="BZ381" s="97" t="n"/>
      <c r="CH381" s="2" t="n"/>
      <c r="CI381" s="14" t="n"/>
      <c r="CJ381" s="25" t="n"/>
      <c r="CK381" s="25" t="n"/>
      <c r="CL381" s="25" t="n"/>
      <c r="CM381" s="25" t="n"/>
      <c r="CN381" s="25" t="n"/>
      <c r="CO381" s="25" t="n"/>
      <c r="CP381" s="25" t="n"/>
      <c r="CQ381" s="25" t="n"/>
      <c r="CR381" s="25" t="n"/>
      <c r="CS381" s="25" t="n"/>
      <c r="CT381" s="25" t="n"/>
      <c r="CU381" s="25" t="n"/>
      <c r="CV381" s="25" t="n"/>
      <c r="CW381" s="25" t="n"/>
      <c r="CX381" s="25" t="n"/>
      <c r="CY381" s="25" t="n"/>
      <c r="DC381" s="26" t="n"/>
      <c r="DD381" s="26" t="n"/>
      <c r="DE381" s="26" t="n"/>
      <c r="DF381" s="26" t="n"/>
      <c r="DG381" s="26" t="n"/>
      <c r="DH381" s="27" t="n"/>
      <c r="DJ381" s="211" t="inlineStr">
        <is>
          <t>订单表中未找到</t>
        </is>
      </c>
      <c r="DK381" t="inlineStr">
        <is>
          <t>—</t>
        </is>
      </c>
      <c r="DL381" t="inlineStr">
        <is>
          <t>—</t>
        </is>
      </c>
    </row>
    <row r="382" ht="15.75" customHeight="1" s="187">
      <c r="A382" s="84" t="n">
        <v>45965</v>
      </c>
      <c r="B382" s="206" t="inlineStr">
        <is>
          <t>已收货</t>
        </is>
      </c>
      <c r="C382" s="86" t="inlineStr">
        <is>
          <t>3041775732111467396</t>
        </is>
      </c>
      <c r="D382" s="86" t="inlineStr">
        <is>
          <t>张先生</t>
        </is>
      </c>
      <c r="E382" s="87" t="n"/>
      <c r="F382" s="87" t="n"/>
      <c r="G382" s="207" t="inlineStr">
        <is>
          <t>补差价</t>
        </is>
      </c>
      <c r="H382" s="207" t="inlineStr">
        <is>
          <t>基础餐边柜</t>
        </is>
      </c>
      <c r="I382" s="89" t="n"/>
      <c r="J382" s="87" t="inlineStr">
        <is>
          <t>已结算</t>
        </is>
      </c>
      <c r="K382" s="87" t="inlineStr">
        <is>
          <t>江西</t>
        </is>
      </c>
      <c r="L382" s="207" t="n">
        <v>0</v>
      </c>
      <c r="M382" s="207" t="n">
        <v>0</v>
      </c>
      <c r="N382" s="207" t="n"/>
      <c r="O382" s="207" t="n"/>
      <c r="P382" s="207" t="n"/>
      <c r="Q382" s="207" t="n"/>
      <c r="R382" s="207" t="n"/>
      <c r="S382" s="207" t="n"/>
      <c r="T382" s="207" t="n"/>
      <c r="U382" s="207" t="n"/>
      <c r="V382" s="207" t="n"/>
      <c r="W382" s="207" t="n"/>
      <c r="X382" s="207" t="n"/>
      <c r="Y382" s="207" t="n"/>
      <c r="Z382" s="207" t="n"/>
      <c r="AA382" s="207" t="n"/>
      <c r="AB382" s="207" t="n"/>
      <c r="AC382" s="207" t="n"/>
      <c r="AD382" s="207" t="n"/>
      <c r="AE382" s="207" t="n"/>
      <c r="AF382" s="207" t="n"/>
      <c r="AG382" s="207" t="n"/>
      <c r="AH382" s="207" t="n"/>
      <c r="AI382" s="207" t="n"/>
      <c r="AJ382" s="207" t="n"/>
      <c r="AK382" s="207" t="n"/>
      <c r="AL382" s="207" t="n"/>
      <c r="AM382" s="207" t="n"/>
      <c r="AN382" s="207" t="n"/>
      <c r="AO382" s="207" t="n"/>
      <c r="AP382" s="207" t="n">
        <v>0</v>
      </c>
      <c r="AQ382" s="207" t="n">
        <v>0</v>
      </c>
      <c r="AR382" s="207" t="n">
        <v>0</v>
      </c>
      <c r="AS382" s="207" t="n">
        <v>0</v>
      </c>
      <c r="AT382" s="207" t="n">
        <v>0</v>
      </c>
      <c r="AU382" s="207" t="n">
        <v>0</v>
      </c>
      <c r="AV382" s="207" t="n">
        <v>0</v>
      </c>
      <c r="AW382" s="207" t="n">
        <v>0</v>
      </c>
      <c r="AX382" s="208" t="n">
        <v>1</v>
      </c>
      <c r="AY382" s="209">
        <f>L382*AX382+AP382+AQ382+AR382+AV382+AW382+AS382+AT382+AU382</f>
        <v/>
      </c>
      <c r="AZ382" s="207" t="n">
        <v>110</v>
      </c>
      <c r="BA382" s="207" t="n">
        <v>0</v>
      </c>
      <c r="BB382" s="207">
        <f>AZ382*0.006</f>
        <v/>
      </c>
      <c r="BC382" s="209">
        <f>AZ382+BA382-BB382</f>
        <v/>
      </c>
      <c r="BD382" s="207" t="n">
        <v>0</v>
      </c>
      <c r="BE382" s="207" t="n">
        <v>0</v>
      </c>
      <c r="BF382" s="209">
        <f>BD382+BE382</f>
        <v/>
      </c>
      <c r="BG382" s="209">
        <f>BC382-AY382+BF382</f>
        <v/>
      </c>
      <c r="BH382" s="207" t="inlineStr">
        <is>
          <t>张先生</t>
        </is>
      </c>
      <c r="BI382" s="207" t="inlineStr">
        <is>
          <t>四川省 泸州市 江阳区 茜草街道高新湖畔27栋802</t>
        </is>
      </c>
      <c r="BJ382" s="207" t="inlineStr">
        <is>
          <t>18418949368-3898</t>
        </is>
      </c>
      <c r="BK382" s="86" t="n"/>
      <c r="BL382" s="210" t="n"/>
      <c r="BM382" s="93" t="n"/>
      <c r="BN382" s="94" t="n"/>
      <c r="BO382" s="93" t="n"/>
      <c r="BP382" s="86" t="n"/>
      <c r="BQ382" s="96" t="n"/>
      <c r="BR382" s="96" t="n"/>
      <c r="BS382" s="97" t="n"/>
      <c r="BT382" s="96" t="n"/>
      <c r="BU382" s="97" t="n"/>
      <c r="BV382" s="96" t="n"/>
      <c r="BW382" s="97" t="n"/>
      <c r="BX382" s="97" t="n"/>
      <c r="BY382" s="97" t="n"/>
      <c r="BZ382" s="97" t="n"/>
      <c r="CH382" s="2" t="n"/>
      <c r="CI382" s="14" t="n"/>
      <c r="CJ382" s="25" t="n"/>
      <c r="CK382" s="25" t="n"/>
      <c r="CL382" s="25" t="n"/>
      <c r="CM382" s="25" t="n"/>
      <c r="CN382" s="25" t="n"/>
      <c r="CO382" s="25" t="n"/>
      <c r="CP382" s="25" t="n"/>
      <c r="CQ382" s="25" t="n"/>
      <c r="CR382" s="25" t="n"/>
      <c r="CS382" s="25" t="n"/>
      <c r="CT382" s="25" t="n"/>
      <c r="CU382" s="25" t="n"/>
      <c r="CV382" s="25" t="n"/>
      <c r="CW382" s="25" t="n"/>
      <c r="CX382" s="25" t="n"/>
      <c r="CY382" s="25" t="n"/>
      <c r="DC382" s="26" t="n"/>
      <c r="DD382" s="26" t="n"/>
      <c r="DE382" s="26" t="n"/>
      <c r="DF382" s="26" t="n"/>
      <c r="DG382" s="26" t="n"/>
      <c r="DH382" s="27" t="n"/>
      <c r="DJ382" s="211" t="inlineStr">
        <is>
          <t>订单表中未找到</t>
        </is>
      </c>
      <c r="DK382" t="inlineStr">
        <is>
          <t>—</t>
        </is>
      </c>
      <c r="DL382" t="inlineStr">
        <is>
          <t>—</t>
        </is>
      </c>
    </row>
    <row r="383" ht="15.75" customHeight="1" s="187">
      <c r="A383" s="84" t="n">
        <v>45965</v>
      </c>
      <c r="B383" s="206" t="inlineStr">
        <is>
          <t>已收货</t>
        </is>
      </c>
      <c r="C383" s="86" t="inlineStr">
        <is>
          <t>3041503323909467396</t>
        </is>
      </c>
      <c r="D383" s="86" t="inlineStr">
        <is>
          <t>张先生</t>
        </is>
      </c>
      <c r="E383" s="87" t="n"/>
      <c r="F383" s="87" t="n"/>
      <c r="G383" s="207" t="inlineStr">
        <is>
          <t>定制1.8米AA柱款</t>
        </is>
      </c>
      <c r="H383" s="207" t="inlineStr">
        <is>
          <t>基础餐边柜</t>
        </is>
      </c>
      <c r="I383" s="89" t="n"/>
      <c r="J383" s="87" t="inlineStr">
        <is>
          <t>已结算</t>
        </is>
      </c>
      <c r="K383" s="87" t="inlineStr">
        <is>
          <t>江西</t>
        </is>
      </c>
      <c r="L383" s="207">
        <f>5100+380+28+14+22*4+579.08+370+10+(72+126)/6</f>
        <v/>
      </c>
      <c r="M383" s="207">
        <f>5100</f>
        <v/>
      </c>
      <c r="N383" s="207" t="n">
        <v>380</v>
      </c>
      <c r="O383" s="207" t="n">
        <v>28</v>
      </c>
      <c r="P383" s="207" t="n">
        <v>14</v>
      </c>
      <c r="Q383" s="207" t="n"/>
      <c r="R383" s="207" t="inlineStr">
        <is>
          <t>22*4</t>
        </is>
      </c>
      <c r="S383" s="207" t="n">
        <v>579.08</v>
      </c>
      <c r="T383" s="207" t="n">
        <v>370</v>
      </c>
      <c r="U383" s="207" t="n"/>
      <c r="V383" s="207" t="n"/>
      <c r="W383" s="207" t="n">
        <v>10</v>
      </c>
      <c r="X383" s="207" t="inlineStr">
        <is>
          <t>(72</t>
        </is>
      </c>
      <c r="Y383" s="207" t="inlineStr">
        <is>
          <t>126)/6</t>
        </is>
      </c>
      <c r="Z383" s="207" t="n"/>
      <c r="AA383" s="207" t="n"/>
      <c r="AB383" s="207" t="n"/>
      <c r="AC383" s="207" t="n"/>
      <c r="AD383" s="207" t="n"/>
      <c r="AE383" s="207" t="n"/>
      <c r="AF383" s="207" t="n"/>
      <c r="AG383" s="207" t="n"/>
      <c r="AH383" s="207" t="n"/>
      <c r="AI383" s="207" t="n"/>
      <c r="AJ383" s="207" t="n"/>
      <c r="AK383" s="207" t="n"/>
      <c r="AL383" s="207" t="n"/>
      <c r="AM383" s="207" t="n">
        <v>370</v>
      </c>
      <c r="AN383" s="207" t="n"/>
      <c r="AO383" s="207" t="n"/>
      <c r="AP383" s="207">
        <f>759-AQ383</f>
        <v/>
      </c>
      <c r="AQ383" s="207" t="n">
        <v>104</v>
      </c>
      <c r="AR383" s="207" t="n">
        <v>60</v>
      </c>
      <c r="AS383" s="207" t="n">
        <v>0</v>
      </c>
      <c r="AT383" s="207" t="n">
        <v>0</v>
      </c>
      <c r="AU383" s="207" t="n">
        <v>0</v>
      </c>
      <c r="AV383" s="207" t="n">
        <v>0</v>
      </c>
      <c r="AW383" s="207" t="n">
        <v>0</v>
      </c>
      <c r="AX383" s="208" t="n">
        <v>1</v>
      </c>
      <c r="AY383" s="209">
        <f>L383*AX383+AP383+AQ383+AR383+AV383+AW383+AS383+AT383+AU383</f>
        <v/>
      </c>
      <c r="AZ383" s="207" t="n">
        <v>7749.37</v>
      </c>
      <c r="BA383" s="207" t="n">
        <v>0</v>
      </c>
      <c r="BB383" s="207">
        <f>AZ383*0.006</f>
        <v/>
      </c>
      <c r="BC383" s="209">
        <f>AZ383+BA383-BB383</f>
        <v/>
      </c>
      <c r="BD383" s="207" t="n">
        <v>0</v>
      </c>
      <c r="BE383" s="207" t="n">
        <v>0</v>
      </c>
      <c r="BF383" s="209">
        <f>BD383+BE383</f>
        <v/>
      </c>
      <c r="BG383" s="209">
        <f>BC383-AY383+BF383</f>
        <v/>
      </c>
      <c r="BH383" s="207" t="inlineStr">
        <is>
          <t>张先生</t>
        </is>
      </c>
      <c r="BI383" s="207" t="inlineStr">
        <is>
          <t>四川省 泸州市 江阳区 茜草街道高新湖畔27栋802</t>
        </is>
      </c>
      <c r="BJ383" s="207" t="inlineStr">
        <is>
          <t>18418949368-3898</t>
        </is>
      </c>
      <c r="BK383" s="86" t="n"/>
      <c r="BL383" s="210" t="n"/>
      <c r="BM383" s="93" t="n"/>
      <c r="BN383" s="94" t="n"/>
      <c r="BO383" s="93" t="n"/>
      <c r="BP383" s="86" t="n"/>
      <c r="BQ383" s="96" t="n"/>
      <c r="BR383" s="96" t="n"/>
      <c r="BS383" s="97" t="n"/>
      <c r="BT383" s="96" t="n"/>
      <c r="BU383" s="97" t="n"/>
      <c r="BV383" s="96" t="n"/>
      <c r="BW383" s="97" t="n"/>
      <c r="BX383" s="97" t="n"/>
      <c r="BY383" s="97" t="n"/>
      <c r="BZ383" s="97" t="n"/>
      <c r="CH383" s="2" t="n"/>
      <c r="CI383" s="14" t="n"/>
      <c r="CJ383" s="25" t="n"/>
      <c r="CK383" s="25" t="n"/>
      <c r="CL383" s="25" t="n"/>
      <c r="CM383" s="25" t="n"/>
      <c r="CN383" s="25" t="n"/>
      <c r="CO383" s="25" t="n"/>
      <c r="CP383" s="25" t="n"/>
      <c r="CQ383" s="25" t="n"/>
      <c r="CR383" s="25" t="n"/>
      <c r="CS383" s="25" t="n"/>
      <c r="CT383" s="25" t="n"/>
      <c r="CU383" s="25" t="n"/>
      <c r="CV383" s="25" t="n"/>
      <c r="CW383" s="25" t="n"/>
      <c r="CX383" s="25" t="n"/>
      <c r="CY383" s="25" t="n"/>
      <c r="DC383" s="26" t="n"/>
      <c r="DD383" s="26" t="n"/>
      <c r="DE383" s="26" t="n"/>
      <c r="DF383" s="26" t="n"/>
      <c r="DG383" s="26" t="n"/>
      <c r="DH383" s="27" t="n"/>
      <c r="DJ383" s="211" t="inlineStr">
        <is>
          <t>订单表中未找到</t>
        </is>
      </c>
      <c r="DK383" t="inlineStr">
        <is>
          <t>—</t>
        </is>
      </c>
      <c r="DL383" t="inlineStr">
        <is>
          <t>—</t>
        </is>
      </c>
    </row>
    <row r="384" ht="15.75" customHeight="1" s="187">
      <c r="A384" s="84" t="n">
        <v>45965</v>
      </c>
      <c r="B384" s="206" t="inlineStr">
        <is>
          <t>已收货</t>
        </is>
      </c>
      <c r="C384" s="86" t="inlineStr">
        <is>
          <t>3041930605766894682</t>
        </is>
      </c>
      <c r="D384" s="110" t="inlineStr">
        <is>
          <t>王泳懿</t>
        </is>
      </c>
      <c r="E384" s="87" t="n"/>
      <c r="F384" s="87" t="n"/>
      <c r="G384" s="207" t="inlineStr">
        <is>
          <t>样块*2</t>
        </is>
      </c>
      <c r="H384" s="207" t="inlineStr">
        <is>
          <t>样块</t>
        </is>
      </c>
      <c r="I384" s="89" t="n"/>
      <c r="J384" s="87" t="inlineStr">
        <is>
          <t>已结算</t>
        </is>
      </c>
      <c r="K384" s="87" t="inlineStr">
        <is>
          <t>杭州</t>
        </is>
      </c>
      <c r="L384" s="207">
        <f>SUM(M384:AO384)</f>
        <v/>
      </c>
      <c r="M384" s="207" t="n">
        <v>10</v>
      </c>
      <c r="N384" s="207" t="n"/>
      <c r="O384" s="207" t="n"/>
      <c r="P384" s="207" t="n"/>
      <c r="Q384" s="207" t="n"/>
      <c r="R384" s="207" t="n"/>
      <c r="S384" s="207" t="n"/>
      <c r="T384" s="207" t="n"/>
      <c r="U384" s="207" t="n"/>
      <c r="V384" s="207" t="n"/>
      <c r="W384" s="207" t="n"/>
      <c r="X384" s="207" t="n"/>
      <c r="Y384" s="207" t="n"/>
      <c r="Z384" s="207" t="n"/>
      <c r="AA384" s="207" t="n"/>
      <c r="AB384" s="207" t="n"/>
      <c r="AC384" s="207" t="n"/>
      <c r="AD384" s="207" t="n"/>
      <c r="AE384" s="207" t="n"/>
      <c r="AF384" s="207" t="n"/>
      <c r="AG384" s="207" t="n"/>
      <c r="AH384" s="207" t="n"/>
      <c r="AI384" s="207" t="n"/>
      <c r="AJ384" s="207" t="n"/>
      <c r="AK384" s="207" t="n"/>
      <c r="AL384" s="207" t="n"/>
      <c r="AM384" s="207" t="n">
        <v>2</v>
      </c>
      <c r="AN384" s="207" t="n"/>
      <c r="AO384" s="207" t="n"/>
      <c r="AP384" s="207" t="n">
        <v>5</v>
      </c>
      <c r="AQ384" s="207" t="n">
        <v>0</v>
      </c>
      <c r="AR384" s="207" t="n">
        <v>0</v>
      </c>
      <c r="AS384" s="207" t="n">
        <v>0</v>
      </c>
      <c r="AT384" s="207" t="n">
        <v>0</v>
      </c>
      <c r="AU384" s="207" t="n">
        <v>0</v>
      </c>
      <c r="AV384" s="207" t="n">
        <v>0</v>
      </c>
      <c r="AW384" s="207" t="n">
        <v>0</v>
      </c>
      <c r="AX384" s="208" t="n">
        <v>1</v>
      </c>
      <c r="AY384" s="209">
        <f>L384*AX384+AP384+AQ384+AR384+AV384+AW384+AS384+AT384+AU384</f>
        <v/>
      </c>
      <c r="AZ384" s="207" t="n">
        <v>42.4</v>
      </c>
      <c r="BA384" s="207" t="n">
        <v>0</v>
      </c>
      <c r="BB384" s="207">
        <f>AZ384*0.006</f>
        <v/>
      </c>
      <c r="BC384" s="209">
        <f>AZ384+BA384-BB384</f>
        <v/>
      </c>
      <c r="BD384" s="207" t="n">
        <v>0</v>
      </c>
      <c r="BE384" s="207" t="n">
        <v>0</v>
      </c>
      <c r="BF384" s="209">
        <f>BD384+BE384</f>
        <v/>
      </c>
      <c r="BG384" s="209">
        <f>BC384-AY384+BF384</f>
        <v/>
      </c>
      <c r="BH384" s="86" t="inlineStr">
        <is>
          <t>王泳懿</t>
        </is>
      </c>
      <c r="BI384" s="86" t="inlineStr">
        <is>
          <t>广东省 深圳市 南山区 招商街道临海揽山御园1栋B座1904</t>
        </is>
      </c>
      <c r="BJ384" s="86" t="inlineStr">
        <is>
          <t>15794943121-6872</t>
        </is>
      </c>
      <c r="BK384" s="86" t="n"/>
      <c r="BL384" s="210" t="n"/>
      <c r="BM384" s="93" t="n"/>
      <c r="BN384" s="94" t="n"/>
      <c r="BO384" s="93" t="n"/>
      <c r="BP384" s="86" t="n"/>
      <c r="BQ384" s="96" t="n"/>
      <c r="BR384" s="96" t="n"/>
      <c r="BS384" s="97" t="n"/>
      <c r="BT384" s="96" t="n"/>
      <c r="BU384" s="97" t="n"/>
      <c r="BV384" s="96" t="n"/>
      <c r="BW384" s="97" t="n"/>
      <c r="BX384" s="97" t="n"/>
      <c r="BY384" s="97" t="n"/>
      <c r="BZ384" s="97" t="n"/>
      <c r="CH384" s="2" t="n"/>
      <c r="CI384" s="14" t="n"/>
      <c r="CJ384" s="25" t="n"/>
      <c r="CK384" s="25" t="n"/>
      <c r="CL384" s="25" t="n"/>
      <c r="CM384" s="25" t="n"/>
      <c r="CN384" s="25" t="n"/>
      <c r="CO384" s="25" t="n"/>
      <c r="CP384" s="25" t="n"/>
      <c r="CQ384" s="25" t="n"/>
      <c r="CR384" s="25" t="n"/>
      <c r="CS384" s="25" t="n"/>
      <c r="CT384" s="25" t="n"/>
      <c r="CU384" s="25" t="n"/>
      <c r="CV384" s="25" t="n"/>
      <c r="CW384" s="25" t="n"/>
      <c r="CX384" s="25" t="n"/>
      <c r="CY384" s="25" t="n"/>
      <c r="DC384" s="26" t="n"/>
      <c r="DD384" s="26" t="n"/>
      <c r="DE384" s="26" t="n"/>
      <c r="DF384" s="26" t="n"/>
      <c r="DG384" s="26" t="n"/>
      <c r="DH384" s="27" t="n"/>
      <c r="DJ384" s="211" t="inlineStr">
        <is>
          <t>订单表中未找到</t>
        </is>
      </c>
      <c r="DK384" t="inlineStr">
        <is>
          <t>—</t>
        </is>
      </c>
      <c r="DL384" t="inlineStr">
        <is>
          <t>—</t>
        </is>
      </c>
    </row>
    <row r="385" ht="15.75" customHeight="1" s="187">
      <c r="A385" s="84" t="n">
        <v>45966</v>
      </c>
      <c r="B385" s="206" t="inlineStr">
        <is>
          <t>已收货</t>
        </is>
      </c>
      <c r="C385" s="86" t="inlineStr">
        <is>
          <t>4859235037949885643</t>
        </is>
      </c>
      <c r="D385" s="86" t="inlineStr">
        <is>
          <t>王先生</t>
        </is>
      </c>
      <c r="E385" s="87" t="n"/>
      <c r="F385" s="87" t="n"/>
      <c r="G385" s="207" t="inlineStr">
        <is>
          <t>砂白色1.8米岩板餐桌</t>
        </is>
      </c>
      <c r="H385" s="207" t="inlineStr">
        <is>
          <t>榉木餐桌</t>
        </is>
      </c>
      <c r="I385" s="89" t="inlineStr">
        <is>
          <t>180cm*85cm</t>
        </is>
      </c>
      <c r="J385" s="87" t="inlineStr">
        <is>
          <t>已结算</t>
        </is>
      </c>
      <c r="K385" s="86" t="inlineStr">
        <is>
          <t>庄毅</t>
        </is>
      </c>
      <c r="L385" s="207">
        <f>SUM(M385:AO385)</f>
        <v/>
      </c>
      <c r="M385" s="207">
        <f>1580</f>
        <v/>
      </c>
      <c r="N385" s="207" t="n"/>
      <c r="O385" s="207" t="n"/>
      <c r="P385" s="207" t="n"/>
      <c r="Q385" s="207" t="n"/>
      <c r="R385" s="207">
        <f>180*1.8*0.85</f>
        <v/>
      </c>
      <c r="S385" s="207" t="n"/>
      <c r="T385" s="207" t="n"/>
      <c r="U385" s="207" t="n"/>
      <c r="V385" s="207" t="n"/>
      <c r="W385" s="207" t="n"/>
      <c r="X385" s="207" t="n"/>
      <c r="Y385" s="207" t="n"/>
      <c r="Z385" s="207" t="n"/>
      <c r="AA385" s="207" t="n"/>
      <c r="AB385" s="207" t="n"/>
      <c r="AC385" s="207" t="n"/>
      <c r="AD385" s="207" t="n">
        <v>2.5</v>
      </c>
      <c r="AE385" s="207" t="n"/>
      <c r="AF385" s="207" t="n"/>
      <c r="AG385" s="207" t="n"/>
      <c r="AH385" s="207" t="n"/>
      <c r="AI385" s="207" t="n"/>
      <c r="AJ385" s="207" t="n"/>
      <c r="AK385" s="207" t="n"/>
      <c r="AL385" s="207" t="n"/>
      <c r="AM385" s="207" t="n"/>
      <c r="AN385" s="207" t="n"/>
      <c r="AO385" s="207" t="n"/>
      <c r="AP385" s="207" t="n">
        <v>222</v>
      </c>
      <c r="AQ385" s="207" t="n">
        <v>0</v>
      </c>
      <c r="AR385" s="207" t="n">
        <v>98</v>
      </c>
      <c r="AS385" s="207" t="n">
        <v>0</v>
      </c>
      <c r="AT385" s="207" t="n">
        <v>0</v>
      </c>
      <c r="AU385" s="207" t="n">
        <v>0</v>
      </c>
      <c r="AV385" s="207" t="n">
        <v>0</v>
      </c>
      <c r="AW385" s="207" t="n">
        <v>0</v>
      </c>
      <c r="AX385" s="208" t="n">
        <v>1</v>
      </c>
      <c r="AY385" s="209">
        <f>L385*AX385+AP385+AQ385+AR385+AV385+AW385+AS385+AT385+AU385</f>
        <v/>
      </c>
      <c r="AZ385" s="207" t="n">
        <v>2794.6</v>
      </c>
      <c r="BA385" s="207" t="n">
        <v>0</v>
      </c>
      <c r="BB385" s="207">
        <f>AZ385*0.006</f>
        <v/>
      </c>
      <c r="BC385" s="209">
        <f>AZ385+BA385-BB385</f>
        <v/>
      </c>
      <c r="BD385" s="207" t="n">
        <v>0</v>
      </c>
      <c r="BE385" s="207" t="n">
        <v>0</v>
      </c>
      <c r="BF385" s="209">
        <f>BD385+BE385</f>
        <v/>
      </c>
      <c r="BG385" s="209">
        <f>BC385-AY385+BF385</f>
        <v/>
      </c>
      <c r="BH385" s="207" t="inlineStr">
        <is>
          <t>王先生</t>
        </is>
      </c>
      <c r="BI385" s="207" t="inlineStr">
        <is>
          <t>江苏省 苏州市 吴中区 郭巷街道郭津路99号九龙仓碧堤雅苑56-508</t>
        </is>
      </c>
      <c r="BJ385" s="207" t="inlineStr">
        <is>
          <t>17851496359-7650</t>
        </is>
      </c>
      <c r="BK385" s="86" t="n"/>
      <c r="BL385" s="210" t="n"/>
      <c r="BM385" s="93" t="n"/>
      <c r="BN385" s="94" t="n"/>
      <c r="BO385" s="93" t="n"/>
      <c r="BP385" s="86" t="n"/>
      <c r="BQ385" s="96" t="n"/>
      <c r="BR385" s="96" t="n"/>
      <c r="BS385" s="97" t="n"/>
      <c r="BT385" s="96" t="n"/>
      <c r="BU385" s="97" t="n"/>
      <c r="BV385" s="96" t="n"/>
      <c r="BW385" s="97" t="n"/>
      <c r="BX385" s="97" t="n"/>
      <c r="BY385" s="97" t="n"/>
      <c r="BZ385" s="97" t="n"/>
      <c r="CH385" s="2" t="n"/>
      <c r="CI385" s="14" t="n"/>
      <c r="CJ385" s="25" t="n"/>
      <c r="CK385" s="25" t="n"/>
      <c r="CL385" s="25" t="n"/>
      <c r="CM385" s="25" t="n"/>
      <c r="CN385" s="25" t="n"/>
      <c r="CO385" s="25" t="n"/>
      <c r="CP385" s="25" t="n"/>
      <c r="CQ385" s="25" t="n"/>
      <c r="CR385" s="25" t="n"/>
      <c r="CS385" s="25" t="n"/>
      <c r="CT385" s="25" t="n"/>
      <c r="CU385" s="25" t="n"/>
      <c r="CV385" s="25" t="n"/>
      <c r="CW385" s="25" t="n"/>
      <c r="CX385" s="25" t="n"/>
      <c r="CY385" s="25" t="n"/>
      <c r="DC385" s="26" t="n"/>
      <c r="DD385" s="26" t="n"/>
      <c r="DE385" s="26" t="n"/>
      <c r="DF385" s="26" t="n"/>
      <c r="DG385" s="26" t="n"/>
      <c r="DH385" s="27" t="n"/>
      <c r="DJ385" s="211" t="inlineStr">
        <is>
          <t>订单表中未找到</t>
        </is>
      </c>
      <c r="DK385" t="inlineStr">
        <is>
          <t>—</t>
        </is>
      </c>
      <c r="DL385" t="inlineStr">
        <is>
          <t>—</t>
        </is>
      </c>
    </row>
    <row r="386" ht="15.75" customHeight="1" s="187">
      <c r="A386" s="84" t="n">
        <v>45966</v>
      </c>
      <c r="B386" s="206" t="inlineStr">
        <is>
          <t>已收货</t>
        </is>
      </c>
      <c r="C386" s="86" t="inlineStr">
        <is>
          <t>4859150151134571805</t>
        </is>
      </c>
      <c r="D386" s="86" t="inlineStr">
        <is>
          <t>okok</t>
        </is>
      </c>
      <c r="E386" s="87" t="n"/>
      <c r="F386" s="87" t="n"/>
      <c r="G386" s="207" t="inlineStr">
        <is>
          <t>砂白色1.8米岩板餐桌</t>
        </is>
      </c>
      <c r="H386" s="207" t="inlineStr">
        <is>
          <t>榉木餐桌</t>
        </is>
      </c>
      <c r="I386" s="89" t="inlineStr">
        <is>
          <t>180cm*85cm</t>
        </is>
      </c>
      <c r="J386" s="87" t="inlineStr">
        <is>
          <t>已结算</t>
        </is>
      </c>
      <c r="K386" s="86" t="inlineStr">
        <is>
          <t>庄毅</t>
        </is>
      </c>
      <c r="L386" s="207">
        <f>SUM(M386:AO386)</f>
        <v/>
      </c>
      <c r="M386" s="207">
        <f>1580</f>
        <v/>
      </c>
      <c r="N386" s="207" t="n"/>
      <c r="O386" s="207" t="n"/>
      <c r="P386" s="207" t="n"/>
      <c r="Q386" s="207" t="n"/>
      <c r="R386" s="207">
        <f>180*1.8*0.85</f>
        <v/>
      </c>
      <c r="S386" s="207" t="n"/>
      <c r="T386" s="207" t="n"/>
      <c r="U386" s="207" t="n"/>
      <c r="V386" s="207" t="n"/>
      <c r="W386" s="207" t="n"/>
      <c r="X386" s="207" t="n"/>
      <c r="Y386" s="207" t="n"/>
      <c r="Z386" s="207" t="n"/>
      <c r="AA386" s="207" t="n"/>
      <c r="AB386" s="207" t="n"/>
      <c r="AC386" s="207" t="n"/>
      <c r="AD386" s="207" t="n">
        <v>2.5</v>
      </c>
      <c r="AE386" s="207" t="n"/>
      <c r="AF386" s="207" t="n"/>
      <c r="AG386" s="207" t="n"/>
      <c r="AH386" s="207" t="n"/>
      <c r="AI386" s="207" t="n"/>
      <c r="AJ386" s="207" t="n"/>
      <c r="AK386" s="207" t="n"/>
      <c r="AL386" s="207" t="n"/>
      <c r="AM386" s="207" t="n"/>
      <c r="AN386" s="207" t="n"/>
      <c r="AO386" s="207" t="n"/>
      <c r="AP386" s="207" t="n">
        <v>233</v>
      </c>
      <c r="AQ386" s="207" t="n">
        <v>0</v>
      </c>
      <c r="AR386" s="207" t="n">
        <v>66</v>
      </c>
      <c r="AS386" s="207" t="n">
        <v>0</v>
      </c>
      <c r="AT386" s="207" t="n">
        <v>0</v>
      </c>
      <c r="AU386" s="207" t="n">
        <v>0</v>
      </c>
      <c r="AV386" s="207" t="n">
        <v>0</v>
      </c>
      <c r="AW386" s="207" t="n">
        <v>0</v>
      </c>
      <c r="AX386" s="208" t="n">
        <v>1</v>
      </c>
      <c r="AY386" s="209">
        <f>L386*AX386+AP386+AQ386+AR386+AV386+AW386+AS386+AT386+AU386</f>
        <v/>
      </c>
      <c r="AZ386" s="207" t="n">
        <v>2789.6</v>
      </c>
      <c r="BA386" s="207" t="n">
        <v>0</v>
      </c>
      <c r="BB386" s="207">
        <f>AZ386*0.006</f>
        <v/>
      </c>
      <c r="BC386" s="209">
        <f>AZ386+BA386-BB386</f>
        <v/>
      </c>
      <c r="BD386" s="207" t="n">
        <v>0</v>
      </c>
      <c r="BE386" s="207" t="n">
        <v>0</v>
      </c>
      <c r="BF386" s="209">
        <f>BD386+BE386</f>
        <v/>
      </c>
      <c r="BG386" s="209">
        <f>BC386-AY386+BF386</f>
        <v/>
      </c>
      <c r="BH386" s="86" t="inlineStr">
        <is>
          <t>okok</t>
        </is>
      </c>
      <c r="BI386" s="86" t="inlineStr">
        <is>
          <t>安徽省 合肥市 瑶海区 铜陵路街道置地中心一期Y3-103</t>
        </is>
      </c>
      <c r="BJ386" s="86" t="inlineStr">
        <is>
          <t>15665455004-9090</t>
        </is>
      </c>
      <c r="BK386" s="86" t="n"/>
      <c r="BL386" s="210" t="n"/>
      <c r="BM386" s="93" t="n"/>
      <c r="BN386" s="94" t="n"/>
      <c r="BO386" s="93" t="n"/>
      <c r="BP386" s="86" t="n"/>
      <c r="BQ386" s="96" t="n"/>
      <c r="BR386" s="96" t="n"/>
      <c r="BS386" s="97" t="n"/>
      <c r="BT386" s="96" t="n"/>
      <c r="BU386" s="97" t="n"/>
      <c r="BV386" s="96" t="n"/>
      <c r="BW386" s="97" t="n"/>
      <c r="BX386" s="97" t="n"/>
      <c r="BY386" s="97" t="n"/>
      <c r="BZ386" s="97" t="n"/>
      <c r="CH386" s="2" t="n"/>
      <c r="CI386" s="14" t="n"/>
      <c r="CJ386" s="25" t="n"/>
      <c r="CK386" s="25" t="n"/>
      <c r="CL386" s="25" t="n"/>
      <c r="CM386" s="25" t="n"/>
      <c r="CN386" s="25" t="n"/>
      <c r="CO386" s="25" t="n"/>
      <c r="CP386" s="25" t="n"/>
      <c r="CQ386" s="25" t="n"/>
      <c r="CR386" s="25" t="n"/>
      <c r="CS386" s="25" t="n"/>
      <c r="CT386" s="25" t="n"/>
      <c r="CU386" s="25" t="n"/>
      <c r="CV386" s="25" t="n"/>
      <c r="CW386" s="25" t="n"/>
      <c r="CX386" s="25" t="n"/>
      <c r="CY386" s="25" t="n"/>
      <c r="DC386" s="26" t="n"/>
      <c r="DD386" s="26" t="n"/>
      <c r="DE386" s="26" t="n"/>
      <c r="DF386" s="26" t="n"/>
      <c r="DG386" s="26" t="n"/>
      <c r="DH386" s="27" t="n"/>
      <c r="DJ386" s="211" t="inlineStr">
        <is>
          <t>订单表中未找到</t>
        </is>
      </c>
      <c r="DK386" t="inlineStr">
        <is>
          <t>—</t>
        </is>
      </c>
      <c r="DL386" t="inlineStr">
        <is>
          <t>—</t>
        </is>
      </c>
    </row>
    <row r="387" ht="15.75" customHeight="1" s="187">
      <c r="A387" s="84" t="n">
        <v>45966</v>
      </c>
      <c r="B387" s="206" t="inlineStr">
        <is>
          <t>已收货</t>
        </is>
      </c>
      <c r="C387" s="86" t="inlineStr">
        <is>
          <t>4859607745231320800</t>
        </is>
      </c>
      <c r="D387" s="86" t="inlineStr">
        <is>
          <t>刘小鱼</t>
        </is>
      </c>
      <c r="E387" s="87" t="n"/>
      <c r="F387" s="87" t="n"/>
      <c r="G387" s="207" t="inlineStr">
        <is>
          <t>窄柜-整柜洞石背板-1.0米</t>
        </is>
      </c>
      <c r="H387" s="207" t="inlineStr">
        <is>
          <t>樱桃木窄柜</t>
        </is>
      </c>
      <c r="I387" s="89" t="n">
        <v>1000</v>
      </c>
      <c r="J387" s="87" t="inlineStr">
        <is>
          <t>已结算</t>
        </is>
      </c>
      <c r="K387" s="86" t="inlineStr">
        <is>
          <t>江西</t>
        </is>
      </c>
      <c r="L387" s="207">
        <f>SUM(M387:AO387)</f>
        <v/>
      </c>
      <c r="M387" s="207">
        <f>3300</f>
        <v/>
      </c>
      <c r="N387" s="207">
        <f>0.958*260+2*55</f>
        <v/>
      </c>
      <c r="O387" s="207" t="n">
        <v>120</v>
      </c>
      <c r="P387" s="207" t="n"/>
      <c r="Q387" s="207">
        <f>19*2</f>
        <v/>
      </c>
      <c r="R387" s="207">
        <f>0.48*1*160+30</f>
        <v/>
      </c>
      <c r="S387" s="207" t="n">
        <v>54</v>
      </c>
      <c r="T387" s="207" t="n">
        <v>52</v>
      </c>
      <c r="U387" s="207" t="n"/>
      <c r="V387" s="207" t="n">
        <v>5</v>
      </c>
      <c r="W387" s="207" t="n"/>
      <c r="X387" s="207" t="n"/>
      <c r="Y387" s="207" t="n"/>
      <c r="Z387" s="207" t="n"/>
      <c r="AA387" s="207" t="n">
        <v>2</v>
      </c>
      <c r="AB387" s="207" t="n">
        <v>1.1</v>
      </c>
      <c r="AC387" s="207" t="n">
        <v>3.5</v>
      </c>
      <c r="AD387" s="207" t="n"/>
      <c r="AE387" s="207" t="n"/>
      <c r="AF387" s="207" t="n"/>
      <c r="AG387" s="207" t="n"/>
      <c r="AH387" s="207" t="n"/>
      <c r="AI387" s="207" t="n"/>
      <c r="AJ387" s="207" t="n"/>
      <c r="AK387" s="207" t="n"/>
      <c r="AL387" s="207" t="n"/>
      <c r="AM387" s="207" t="n">
        <v>170</v>
      </c>
      <c r="AN387" s="207" t="n"/>
      <c r="AO387" s="207" t="n"/>
      <c r="AP387" s="207">
        <f>285-AQ387</f>
        <v/>
      </c>
      <c r="AQ387" s="207" t="n">
        <v>62</v>
      </c>
      <c r="AR387" s="207" t="n">
        <v>80</v>
      </c>
      <c r="AS387" s="207" t="n">
        <v>0</v>
      </c>
      <c r="AT387" s="207" t="n">
        <v>0</v>
      </c>
      <c r="AU387" s="207" t="n">
        <v>0</v>
      </c>
      <c r="AV387" s="207" t="n">
        <v>0</v>
      </c>
      <c r="AW387" s="207" t="n">
        <v>0</v>
      </c>
      <c r="AX387" s="208" t="n">
        <v>1</v>
      </c>
      <c r="AY387" s="209">
        <f>L387*AX387+AP387+AQ387+AR387+AV387+AW387+AS387+AT387+AU387</f>
        <v/>
      </c>
      <c r="AZ387" s="207" t="n">
        <v>5156.5</v>
      </c>
      <c r="BA387" s="207" t="n">
        <v>0</v>
      </c>
      <c r="BB387" s="207">
        <f>AZ387*0.006</f>
        <v/>
      </c>
      <c r="BC387" s="209">
        <f>AZ387+BA387-BB387</f>
        <v/>
      </c>
      <c r="BD387" s="207" t="n">
        <v>0</v>
      </c>
      <c r="BE387" s="207" t="n">
        <v>0</v>
      </c>
      <c r="BF387" s="209">
        <f>BD387+BE387</f>
        <v/>
      </c>
      <c r="BG387" s="209">
        <f>BC387-AY387+BF387</f>
        <v/>
      </c>
      <c r="BH387" s="86" t="inlineStr">
        <is>
          <t>刘小鱼</t>
        </is>
      </c>
      <c r="BI387" s="86" t="inlineStr">
        <is>
          <t>湖北省 襄阳市 樊城区 汉江街道民发盛特一品一期1栋402</t>
        </is>
      </c>
      <c r="BJ387" s="86" t="inlineStr">
        <is>
          <t>18472104467-9872</t>
        </is>
      </c>
      <c r="BK387" s="86" t="n"/>
      <c r="BL387" s="210" t="n"/>
      <c r="BM387" s="93" t="n"/>
      <c r="BN387" s="94" t="n"/>
      <c r="BO387" s="93" t="n"/>
      <c r="BP387" s="86" t="n"/>
      <c r="BQ387" s="96" t="n"/>
      <c r="BR387" s="96" t="n"/>
      <c r="BS387" s="97" t="n"/>
      <c r="BT387" s="96" t="n"/>
      <c r="BU387" s="97" t="n"/>
      <c r="BV387" s="96" t="n"/>
      <c r="BW387" s="97" t="n"/>
      <c r="BX387" s="97" t="n"/>
      <c r="BY387" s="97" t="n"/>
      <c r="BZ387" s="97" t="n"/>
      <c r="CH387" s="2" t="n"/>
      <c r="CI387" s="14" t="n"/>
      <c r="CJ387" s="25" t="n"/>
      <c r="CK387" s="25" t="n"/>
      <c r="CL387" s="25" t="n"/>
      <c r="CM387" s="25" t="n"/>
      <c r="CN387" s="25" t="n"/>
      <c r="CO387" s="25" t="n"/>
      <c r="CP387" s="25" t="n"/>
      <c r="CQ387" s="25" t="n"/>
      <c r="CR387" s="25" t="n"/>
      <c r="CS387" s="25" t="n"/>
      <c r="CT387" s="25" t="n"/>
      <c r="CU387" s="25" t="n"/>
      <c r="CV387" s="25" t="n"/>
      <c r="CW387" s="25" t="n"/>
      <c r="CX387" s="25" t="n"/>
      <c r="CY387" s="25" t="n"/>
      <c r="DC387" s="26" t="n"/>
      <c r="DD387" s="26" t="n"/>
      <c r="DE387" s="26" t="n"/>
      <c r="DF387" s="26" t="n"/>
      <c r="DG387" s="26" t="n"/>
      <c r="DH387" s="27" t="n"/>
      <c r="DJ387" s="211" t="inlineStr">
        <is>
          <t>订单表中未找到</t>
        </is>
      </c>
      <c r="DK387" t="inlineStr">
        <is>
          <t>—</t>
        </is>
      </c>
      <c r="DL387" t="inlineStr">
        <is>
          <t>—</t>
        </is>
      </c>
    </row>
    <row r="388" ht="15.75" customHeight="1" s="187">
      <c r="A388" s="84" t="n">
        <v>45966</v>
      </c>
      <c r="B388" s="226" t="inlineStr">
        <is>
          <t>未发货</t>
        </is>
      </c>
      <c r="C388" s="86" t="inlineStr">
        <is>
          <t>3043347061134373655</t>
        </is>
      </c>
      <c r="D388" s="86" t="inlineStr">
        <is>
          <t>孙小力</t>
        </is>
      </c>
      <c r="E388" s="87" t="n"/>
      <c r="F388" s="87" t="n"/>
      <c r="G388" s="207" t="inlineStr">
        <is>
          <t>榉木2.1米整柜+1.6米单腿餐桌</t>
        </is>
      </c>
      <c r="H388" s="87" t="inlineStr">
        <is>
          <t>旋转餐边柜</t>
        </is>
      </c>
      <c r="I388" s="89" t="n">
        <v>2100</v>
      </c>
      <c r="J388" s="87" t="n"/>
      <c r="K388" s="86" t="inlineStr">
        <is>
          <t>江西</t>
        </is>
      </c>
      <c r="L388" s="207" t="n">
        <v>7817.4</v>
      </c>
      <c r="M388" s="207" t="n">
        <v>7817.4</v>
      </c>
      <c r="N388" s="207" t="n"/>
      <c r="O388" s="207" t="n"/>
      <c r="P388" s="207" t="n"/>
      <c r="Q388" s="207" t="n"/>
      <c r="R388" s="207" t="n"/>
      <c r="S388" s="207" t="n"/>
      <c r="T388" s="207" t="n"/>
      <c r="U388" s="207" t="n"/>
      <c r="V388" s="207" t="n"/>
      <c r="W388" s="207" t="n"/>
      <c r="X388" s="207" t="n"/>
      <c r="Y388" s="207" t="n"/>
      <c r="Z388" s="207" t="n"/>
      <c r="AA388" s="207" t="n"/>
      <c r="AB388" s="207" t="n"/>
      <c r="AC388" s="207" t="n"/>
      <c r="AD388" s="207" t="n"/>
      <c r="AE388" s="207" t="n"/>
      <c r="AF388" s="207" t="n"/>
      <c r="AG388" s="207" t="n"/>
      <c r="AH388" s="207" t="n"/>
      <c r="AI388" s="207" t="n"/>
      <c r="AJ388" s="207" t="n"/>
      <c r="AK388" s="207" t="n"/>
      <c r="AL388" s="207" t="n"/>
      <c r="AM388" s="207" t="n">
        <v>570</v>
      </c>
      <c r="AN388" s="207" t="n"/>
      <c r="AO388" s="207" t="n"/>
      <c r="AP388" s="121" t="n">
        <v>524</v>
      </c>
      <c r="AQ388" s="121" t="n">
        <v>150</v>
      </c>
      <c r="AR388" s="121" t="n">
        <v>150</v>
      </c>
      <c r="AS388" s="207" t="n">
        <v>0</v>
      </c>
      <c r="AT388" s="207" t="n">
        <v>0</v>
      </c>
      <c r="AU388" s="207" t="n">
        <v>0</v>
      </c>
      <c r="AV388" s="207" t="n">
        <v>0</v>
      </c>
      <c r="AW388" s="207" t="n">
        <v>0</v>
      </c>
      <c r="AX388" s="208" t="n">
        <v>1</v>
      </c>
      <c r="AY388" s="209">
        <f>L388*AX388+AP388+AQ388+AR388+AV388+AW388+AS388+AT388+AU388</f>
        <v/>
      </c>
      <c r="AZ388" s="207" t="n">
        <v>9828.57</v>
      </c>
      <c r="BA388" s="207" t="n">
        <v>0</v>
      </c>
      <c r="BB388" s="207">
        <f>AZ388*0.006</f>
        <v/>
      </c>
      <c r="BC388" s="209">
        <f>AZ388+BA388-BB388</f>
        <v/>
      </c>
      <c r="BD388" s="207" t="n">
        <v>0</v>
      </c>
      <c r="BE388" s="207" t="n">
        <v>0</v>
      </c>
      <c r="BF388" s="209">
        <f>BD388+BE388</f>
        <v/>
      </c>
      <c r="BG388" s="209">
        <f>BC388-AY388+BF388</f>
        <v/>
      </c>
      <c r="BH388" s="207" t="inlineStr">
        <is>
          <t>孙小力</t>
        </is>
      </c>
      <c r="BI388" s="207" t="inlineStr">
        <is>
          <t>浙江省 杭州市 西湖区 三墩镇国风美域1栋2单元1201室</t>
        </is>
      </c>
      <c r="BJ388" s="207" t="inlineStr">
        <is>
          <t>18413246728-9285</t>
        </is>
      </c>
      <c r="BK388" s="86" t="n"/>
      <c r="BL388" s="210" t="n"/>
      <c r="BM388" s="93" t="n"/>
      <c r="BN388" s="94" t="n"/>
      <c r="BO388" s="93" t="n"/>
      <c r="BP388" s="86" t="n"/>
      <c r="BQ388" s="96" t="n"/>
      <c r="BR388" s="96" t="n"/>
      <c r="BS388" s="97" t="n"/>
      <c r="BT388" s="96" t="n"/>
      <c r="BU388" s="97" t="n"/>
      <c r="BV388" s="96" t="n"/>
      <c r="BW388" s="97" t="n"/>
      <c r="BX388" s="97" t="n"/>
      <c r="BY388" s="97" t="n"/>
      <c r="BZ388" s="97" t="n"/>
      <c r="CH388" s="2" t="n"/>
      <c r="CI388" s="14" t="n"/>
      <c r="CJ388" s="25" t="n"/>
      <c r="CK388" s="25" t="n"/>
      <c r="CL388" s="25" t="n"/>
      <c r="CM388" s="25" t="n"/>
      <c r="CN388" s="25" t="n"/>
      <c r="CO388" s="25" t="n"/>
      <c r="CP388" s="25" t="n"/>
      <c r="CQ388" s="25" t="n"/>
      <c r="CR388" s="25" t="n"/>
      <c r="CS388" s="25" t="n"/>
      <c r="CT388" s="25" t="n"/>
      <c r="CU388" s="25" t="n"/>
      <c r="CV388" s="25" t="n"/>
      <c r="CW388" s="25" t="n"/>
      <c r="CX388" s="25" t="n"/>
      <c r="CY388" s="25" t="n"/>
      <c r="DC388" s="26" t="n"/>
      <c r="DD388" s="26" t="n"/>
      <c r="DE388" s="26" t="n"/>
      <c r="DF388" s="26" t="n"/>
      <c r="DG388" s="26" t="n"/>
      <c r="DH388" s="27" t="n"/>
      <c r="DJ388" s="211" t="inlineStr">
        <is>
          <t>订单表中未找到</t>
        </is>
      </c>
      <c r="DK388" t="inlineStr">
        <is>
          <t>—</t>
        </is>
      </c>
      <c r="DL388" t="inlineStr">
        <is>
          <t>—</t>
        </is>
      </c>
    </row>
    <row r="389" ht="15.75" customHeight="1" s="187">
      <c r="A389" s="84" t="n">
        <v>45966</v>
      </c>
      <c r="B389" s="226" t="inlineStr">
        <is>
          <t>未发货</t>
        </is>
      </c>
      <c r="C389" s="86" t="inlineStr">
        <is>
          <t>3043411971580060888</t>
        </is>
      </c>
      <c r="D389" s="86" t="inlineStr">
        <is>
          <t>郭</t>
        </is>
      </c>
      <c r="E389" s="87" t="n"/>
      <c r="F389" s="87" t="n"/>
      <c r="G389" s="87" t="inlineStr">
        <is>
          <t>砂白色1.4米岩板餐桌</t>
        </is>
      </c>
      <c r="H389" s="207" t="inlineStr">
        <is>
          <t>榉木餐桌</t>
        </is>
      </c>
      <c r="I389" s="89" t="inlineStr">
        <is>
          <t>140cm*85cm</t>
        </is>
      </c>
      <c r="J389" s="87" t="n"/>
      <c r="K389" s="86" t="inlineStr">
        <is>
          <t>江西</t>
        </is>
      </c>
      <c r="L389" s="207">
        <f>1480+2.5+220+190</f>
        <v/>
      </c>
      <c r="M389" s="207" t="n">
        <v>1300</v>
      </c>
      <c r="N389" s="207" t="n"/>
      <c r="O389" s="207" t="n"/>
      <c r="P389" s="207" t="n"/>
      <c r="Q389" s="207" t="n"/>
      <c r="R389" s="207" t="n">
        <v>220</v>
      </c>
      <c r="S389" s="207" t="n"/>
      <c r="T389" s="207" t="n"/>
      <c r="U389" s="207" t="n"/>
      <c r="V389" s="207" t="n"/>
      <c r="W389" s="207" t="n"/>
      <c r="X389" s="207" t="n"/>
      <c r="Y389" s="207" t="n"/>
      <c r="Z389" s="207" t="n"/>
      <c r="AA389" s="207" t="n"/>
      <c r="AB389" s="207" t="n"/>
      <c r="AC389" s="207" t="n"/>
      <c r="AD389" s="207" t="n">
        <v>2.5</v>
      </c>
      <c r="AE389" s="207" t="n"/>
      <c r="AF389" s="207" t="n"/>
      <c r="AG389" s="207" t="n"/>
      <c r="AH389" s="207" t="n"/>
      <c r="AI389" s="207" t="n"/>
      <c r="AJ389" s="207" t="n"/>
      <c r="AK389" s="207" t="n"/>
      <c r="AL389" s="207" t="n"/>
      <c r="AM389" s="207" t="n">
        <v>190</v>
      </c>
      <c r="AN389" s="207" t="n"/>
      <c r="AO389" s="207" t="n"/>
      <c r="AP389" s="121" t="n">
        <v>256</v>
      </c>
      <c r="AQ389" s="207" t="n">
        <v>0</v>
      </c>
      <c r="AR389" s="121" t="n">
        <v>65</v>
      </c>
      <c r="AS389" s="207" t="n">
        <v>0</v>
      </c>
      <c r="AT389" s="207" t="n">
        <v>0</v>
      </c>
      <c r="AU389" s="207" t="n">
        <v>0</v>
      </c>
      <c r="AV389" s="207" t="n">
        <v>0</v>
      </c>
      <c r="AW389" s="207" t="n">
        <v>0</v>
      </c>
      <c r="AX389" s="208" t="n">
        <v>1</v>
      </c>
      <c r="AY389" s="209">
        <f>L389*AX389+AP389+AQ389+AR389+AV389+AW389+AS389+AT389+AU389</f>
        <v/>
      </c>
      <c r="AZ389" s="207" t="n">
        <v>2588.89</v>
      </c>
      <c r="BA389" s="207" t="n">
        <v>0</v>
      </c>
      <c r="BB389" s="207">
        <f>AZ389*0.006</f>
        <v/>
      </c>
      <c r="BC389" s="209">
        <f>AZ389+BA389-BB389</f>
        <v/>
      </c>
      <c r="BD389" s="207" t="n">
        <v>0</v>
      </c>
      <c r="BE389" s="207" t="n">
        <v>0</v>
      </c>
      <c r="BF389" s="209">
        <f>BD389+BE389</f>
        <v/>
      </c>
      <c r="BG389" s="209">
        <f>BC389-AY389+BF389</f>
        <v/>
      </c>
      <c r="BH389" s="207" t="inlineStr">
        <is>
          <t>郭</t>
        </is>
      </c>
      <c r="BI389" s="207" t="inlineStr">
        <is>
          <t>天津 天津市 红桥区 三条石街道河海花园6号楼1单元2901</t>
        </is>
      </c>
      <c r="BJ389" s="207" t="inlineStr">
        <is>
          <t>18400869944-3503</t>
        </is>
      </c>
      <c r="BK389" s="86" t="n"/>
      <c r="BL389" s="210" t="n"/>
      <c r="BM389" s="93" t="n"/>
      <c r="BN389" s="94" t="n"/>
      <c r="BO389" s="93" t="n"/>
      <c r="BP389" s="86" t="n"/>
      <c r="BQ389" s="96" t="n"/>
      <c r="BR389" s="96" t="n"/>
      <c r="BS389" s="97" t="n"/>
      <c r="BT389" s="96" t="n"/>
      <c r="BU389" s="97" t="n"/>
      <c r="BV389" s="96" t="n"/>
      <c r="BW389" s="97" t="n"/>
      <c r="BX389" s="97" t="n"/>
      <c r="BY389" s="97" t="n"/>
      <c r="BZ389" s="97" t="n"/>
      <c r="CH389" s="2" t="n"/>
      <c r="CI389" s="14" t="n"/>
      <c r="CJ389" s="25" t="n"/>
      <c r="CK389" s="25" t="n"/>
      <c r="CL389" s="25" t="n"/>
      <c r="CM389" s="25" t="n"/>
      <c r="CN389" s="25" t="n"/>
      <c r="CO389" s="25" t="n"/>
      <c r="CP389" s="25" t="n"/>
      <c r="CQ389" s="25" t="n"/>
      <c r="CR389" s="25" t="n"/>
      <c r="CS389" s="25" t="n"/>
      <c r="CT389" s="25" t="n"/>
      <c r="CU389" s="25" t="n"/>
      <c r="CV389" s="25" t="n"/>
      <c r="CW389" s="25" t="n"/>
      <c r="CX389" s="25" t="n"/>
      <c r="CY389" s="25" t="n"/>
      <c r="DC389" s="26" t="n"/>
      <c r="DD389" s="26" t="n"/>
      <c r="DE389" s="26" t="n"/>
      <c r="DF389" s="26" t="n"/>
      <c r="DG389" s="26" t="n"/>
      <c r="DH389" s="27" t="n"/>
      <c r="DJ389" s="211" t="inlineStr">
        <is>
          <t>订单表中未找到</t>
        </is>
      </c>
      <c r="DK389" t="inlineStr">
        <is>
          <t>—</t>
        </is>
      </c>
      <c r="DL389" t="inlineStr">
        <is>
          <t>—</t>
        </is>
      </c>
    </row>
    <row r="390" ht="15.75" customHeight="1" s="187">
      <c r="A390" s="84" t="n">
        <v>45966</v>
      </c>
      <c r="B390" s="206" t="inlineStr">
        <is>
          <t>已收货</t>
        </is>
      </c>
      <c r="C390" s="86" t="inlineStr">
        <is>
          <t>3043704615516645288</t>
        </is>
      </c>
      <c r="D390" s="86" t="inlineStr">
        <is>
          <t>陈艳红</t>
        </is>
      </c>
      <c r="E390" s="116" t="inlineStr">
        <is>
          <t>已调整：产品成本+背板+岩板+岩板打孔+电力轨道+打包费（窄柜+岛台）+玻璃+灯带+抽屉轨道+隔板轨道+其他五金</t>
        </is>
      </c>
      <c r="F390" s="87" t="n"/>
      <c r="G390" s="207" t="inlineStr">
        <is>
          <t>窄柜-整柜洞石背板-1.0米</t>
        </is>
      </c>
      <c r="H390" s="207" t="inlineStr">
        <is>
          <t>樱桃木窄柜</t>
        </is>
      </c>
      <c r="I390" s="89" t="n">
        <v>1000</v>
      </c>
      <c r="J390" s="87" t="inlineStr">
        <is>
          <t>已结算</t>
        </is>
      </c>
      <c r="K390" s="86" t="inlineStr">
        <is>
          <t>江西</t>
        </is>
      </c>
      <c r="L390" s="207">
        <f>3600+125+0.48*1*160+30+1.16+3.37+1.1+1.03+76/2+5+359.08+52+3+410+40+38</f>
        <v/>
      </c>
      <c r="M390" s="207">
        <f>3600</f>
        <v/>
      </c>
      <c r="N390" s="207">
        <f>0.958*260+2*55</f>
        <v/>
      </c>
      <c r="O390" s="207" t="n">
        <v>120</v>
      </c>
      <c r="P390" s="207" t="n"/>
      <c r="Q390" s="207">
        <f>19*2</f>
        <v/>
      </c>
      <c r="R390" s="207">
        <f>0.48*1*160+30</f>
        <v/>
      </c>
      <c r="S390" s="207" t="n">
        <v>54</v>
      </c>
      <c r="T390" s="207" t="n">
        <v>52</v>
      </c>
      <c r="U390" s="207" t="n"/>
      <c r="V390" s="207" t="n">
        <v>5</v>
      </c>
      <c r="W390" s="207" t="n"/>
      <c r="X390" s="207" t="n"/>
      <c r="Y390" s="207" t="n"/>
      <c r="Z390" s="207" t="n"/>
      <c r="AA390" s="207" t="n">
        <v>2</v>
      </c>
      <c r="AB390" s="207" t="n">
        <v>1.1</v>
      </c>
      <c r="AC390" s="207" t="n">
        <v>3.5</v>
      </c>
      <c r="AD390" s="207" t="n"/>
      <c r="AE390" s="207" t="n"/>
      <c r="AF390" s="207" t="n"/>
      <c r="AG390" s="207" t="n"/>
      <c r="AH390" s="207" t="n"/>
      <c r="AI390" s="207" t="n"/>
      <c r="AJ390" s="207" t="n"/>
      <c r="AK390" s="207" t="n"/>
      <c r="AL390" s="207" t="n"/>
      <c r="AM390" s="207" t="n">
        <v>410</v>
      </c>
      <c r="AN390" s="207" t="n"/>
      <c r="AO390" s="207" t="n"/>
      <c r="AP390" s="207">
        <f>462+55-AQ390</f>
        <v/>
      </c>
      <c r="AQ390" s="207" t="n">
        <v>101</v>
      </c>
      <c r="AR390" s="207" t="n">
        <v>266</v>
      </c>
      <c r="AS390" s="207" t="n">
        <v>0</v>
      </c>
      <c r="AT390" s="207" t="n">
        <v>139</v>
      </c>
      <c r="AU390" s="207" t="n">
        <v>0</v>
      </c>
      <c r="AV390" s="207" t="n">
        <v>0</v>
      </c>
      <c r="AW390" s="207" t="n">
        <v>0</v>
      </c>
      <c r="AX390" s="208" t="n">
        <v>1</v>
      </c>
      <c r="AY390" s="209">
        <f>L390*AX390+AP390+AQ390+AR390+AV390+AW390+AS390+AT390+AU390</f>
        <v/>
      </c>
      <c r="AZ390" s="207" t="n">
        <v>5156.5</v>
      </c>
      <c r="BA390" s="207" t="n">
        <v>0</v>
      </c>
      <c r="BB390" s="207">
        <f>AZ390*0.006</f>
        <v/>
      </c>
      <c r="BC390" s="209">
        <f>AZ390+BA390-BB390</f>
        <v/>
      </c>
      <c r="BD390" s="207" t="n">
        <v>0</v>
      </c>
      <c r="BE390" s="207" t="n">
        <v>0</v>
      </c>
      <c r="BF390" s="209">
        <f>BD390+BE390</f>
        <v/>
      </c>
      <c r="BG390" s="209">
        <f>BC390-AY390+BF390</f>
        <v/>
      </c>
      <c r="BH390" s="207" t="inlineStr">
        <is>
          <t>陈艳红</t>
        </is>
      </c>
      <c r="BI390" s="207" t="inlineStr">
        <is>
          <t>广东省 惠州市 惠阳区 新圩镇牧云溪谷八期毓山郡云庭5栋1203房</t>
        </is>
      </c>
      <c r="BJ390" s="207" t="inlineStr">
        <is>
          <t>17806516701-5015</t>
        </is>
      </c>
      <c r="BK390" s="86" t="n"/>
      <c r="BL390" s="210" t="n"/>
      <c r="BM390" s="93" t="n"/>
      <c r="BN390" s="94" t="n"/>
      <c r="BO390" s="93" t="n"/>
      <c r="BP390" s="86" t="n"/>
      <c r="BQ390" s="96" t="n"/>
      <c r="BR390" s="96" t="n"/>
      <c r="BS390" s="97" t="n"/>
      <c r="BT390" s="96" t="n"/>
      <c r="BU390" s="97" t="n"/>
      <c r="BV390" s="96" t="n"/>
      <c r="BW390" s="97" t="n"/>
      <c r="BX390" s="97" t="n"/>
      <c r="BY390" s="97" t="n"/>
      <c r="BZ390" s="97" t="n"/>
      <c r="CH390" s="2" t="n"/>
      <c r="CI390" s="14" t="n"/>
      <c r="CJ390" s="25" t="n"/>
      <c r="CK390" s="25" t="n"/>
      <c r="CL390" s="25" t="n"/>
      <c r="CM390" s="25" t="n"/>
      <c r="CN390" s="25" t="n"/>
      <c r="CO390" s="25" t="n"/>
      <c r="CP390" s="25" t="n"/>
      <c r="CQ390" s="25" t="n"/>
      <c r="CR390" s="25" t="n"/>
      <c r="CS390" s="25" t="n"/>
      <c r="CT390" s="25" t="n"/>
      <c r="CU390" s="25" t="n"/>
      <c r="CV390" s="25" t="n"/>
      <c r="CW390" s="25" t="n"/>
      <c r="CX390" s="25" t="n"/>
      <c r="CY390" s="25" t="n"/>
      <c r="DC390" s="26" t="n"/>
      <c r="DD390" s="26" t="n"/>
      <c r="DE390" s="26" t="n"/>
      <c r="DF390" s="26" t="n"/>
      <c r="DG390" s="26" t="n"/>
      <c r="DH390" s="27" t="n"/>
      <c r="DJ390" s="211" t="inlineStr">
        <is>
          <t>订单表中未找到</t>
        </is>
      </c>
      <c r="DK390" t="inlineStr">
        <is>
          <t>—</t>
        </is>
      </c>
      <c r="DL390" t="inlineStr">
        <is>
          <t>—</t>
        </is>
      </c>
    </row>
    <row r="391" ht="15.75" customFormat="1" customHeight="1" s="35">
      <c r="A391" s="135" t="n">
        <v>45967</v>
      </c>
      <c r="B391" s="227" t="inlineStr">
        <is>
          <t>已收货</t>
        </is>
      </c>
      <c r="C391" s="137" t="inlineStr">
        <is>
          <t>4863126925527946918</t>
        </is>
      </c>
      <c r="D391" s="137" t="inlineStr">
        <is>
          <t>覃</t>
        </is>
      </c>
      <c r="E391" s="116" t="inlineStr">
        <is>
          <t>已调整：产品成本+背板+岩板+岩板打孔+电力轨道+灯带+隔板轨道+其他五金</t>
        </is>
      </c>
      <c r="F391" s="138" t="n"/>
      <c r="G391" s="207" t="inlineStr">
        <is>
          <t>窄柜-整柜洞石背板-1.2米</t>
        </is>
      </c>
      <c r="H391" s="228" t="inlineStr">
        <is>
          <t>樱桃木窄柜</t>
        </is>
      </c>
      <c r="I391" s="140" t="n">
        <v>1200</v>
      </c>
      <c r="J391" s="138" t="inlineStr">
        <is>
          <t>已结算</t>
        </is>
      </c>
      <c r="K391" s="137" t="inlineStr">
        <is>
          <t>庄毅</t>
        </is>
      </c>
      <c r="L391" s="229">
        <f>3600+115+1.16+3.37+1.1+1.03+76/2+8+411.08+3+10+62.4+160*1.2*0.48+5*30</f>
        <v/>
      </c>
      <c r="M391" s="207">
        <f>3600</f>
        <v/>
      </c>
      <c r="N391" s="207">
        <f>1.158*260+2*55</f>
        <v/>
      </c>
      <c r="O391" s="207" t="n">
        <v>125</v>
      </c>
      <c r="P391" s="207" t="n"/>
      <c r="Q391" s="207">
        <f>38*2</f>
        <v/>
      </c>
      <c r="R391" s="207">
        <f>160*1.2*0.48+30</f>
        <v/>
      </c>
      <c r="S391" s="207" t="n">
        <v>62.4</v>
      </c>
      <c r="T391" s="207" t="n"/>
      <c r="U391" s="207" t="n"/>
      <c r="V391" s="207" t="n"/>
      <c r="W391" s="207" t="n">
        <v>8</v>
      </c>
      <c r="X391" s="207" t="n"/>
      <c r="Y391" s="207" t="n">
        <v>3</v>
      </c>
      <c r="Z391" s="207" t="n"/>
      <c r="AA391" s="207" t="n"/>
      <c r="AB391" s="207" t="n"/>
      <c r="AC391" s="207" t="n">
        <v>3.37</v>
      </c>
      <c r="AD391" s="207" t="n"/>
      <c r="AE391" s="207" t="n"/>
      <c r="AF391" s="207" t="inlineStr">
        <is>
          <t>5*30</t>
        </is>
      </c>
      <c r="AG391" s="207" t="n"/>
      <c r="AH391" s="207" t="n"/>
      <c r="AI391" s="207" t="n">
        <v>1.16</v>
      </c>
      <c r="AJ391" s="207" t="n">
        <v>1.1</v>
      </c>
      <c r="AK391" s="207" t="n">
        <v>10</v>
      </c>
      <c r="AL391" s="207" t="n"/>
      <c r="AM391" s="207" t="n"/>
      <c r="AN391" s="207" t="n"/>
      <c r="AO391" s="207" t="n"/>
      <c r="AP391" s="228" t="n">
        <v>343</v>
      </c>
      <c r="AQ391" s="228" t="n">
        <v>0</v>
      </c>
      <c r="AR391" s="228" t="n">
        <v>109</v>
      </c>
      <c r="AS391" s="228" t="n">
        <v>0</v>
      </c>
      <c r="AT391" s="228" t="n">
        <v>0</v>
      </c>
      <c r="AU391" s="228" t="n">
        <v>0</v>
      </c>
      <c r="AV391" s="228" t="n">
        <v>0</v>
      </c>
      <c r="AW391" s="228" t="n">
        <v>0</v>
      </c>
      <c r="AX391" s="230" t="n">
        <v>1</v>
      </c>
      <c r="AY391" s="231">
        <f>L391*AX391+AP391+AQ391+AR391+AV391+AW391+AS391+AT391+AU391</f>
        <v/>
      </c>
      <c r="AZ391" s="228" t="n">
        <v>5623</v>
      </c>
      <c r="BA391" s="228" t="n">
        <v>0</v>
      </c>
      <c r="BB391" s="228">
        <f>AZ391*0.006</f>
        <v/>
      </c>
      <c r="BC391" s="231">
        <f>AZ391+BA391-BB391</f>
        <v/>
      </c>
      <c r="BD391" s="228" t="n">
        <v>0</v>
      </c>
      <c r="BE391" s="228" t="n">
        <v>0</v>
      </c>
      <c r="BF391" s="231">
        <f>BD391+BE391</f>
        <v/>
      </c>
      <c r="BG391" s="231">
        <f>BC391-AY391+BF391</f>
        <v/>
      </c>
      <c r="BH391" s="137" t="inlineStr">
        <is>
          <t>郭</t>
        </is>
      </c>
      <c r="BI391" s="137" t="inlineStr">
        <is>
          <t>天津 天津市 红桥区 三条石街道河海花园6号楼1单元2901</t>
        </is>
      </c>
      <c r="BJ391" s="137" t="inlineStr">
        <is>
          <t>18400869944-3503</t>
        </is>
      </c>
      <c r="BK391" s="137" t="n"/>
      <c r="BL391" s="232" t="n"/>
      <c r="BM391" s="145" t="n"/>
      <c r="BN391" s="146" t="n"/>
      <c r="BO391" s="145" t="n"/>
      <c r="BP391" s="137" t="n"/>
      <c r="BQ391" s="82" t="n"/>
      <c r="BR391" s="82" t="n"/>
      <c r="BS391" s="83" t="n"/>
      <c r="BT391" s="82" t="n"/>
      <c r="BU391" s="83" t="n"/>
      <c r="BV391" s="82" t="n"/>
      <c r="BW391" s="83" t="n"/>
      <c r="BX391" s="83" t="n"/>
      <c r="BY391" s="83" t="n"/>
      <c r="BZ391" s="83" t="n"/>
      <c r="CI391" s="147" t="n"/>
      <c r="CJ391" s="148" t="n"/>
      <c r="CK391" s="148" t="n"/>
      <c r="CL391" s="148" t="n"/>
      <c r="CM391" s="148" t="n"/>
      <c r="CN391" s="148" t="n"/>
      <c r="CO391" s="148" t="n"/>
      <c r="CP391" s="148" t="n"/>
      <c r="CQ391" s="148" t="n"/>
      <c r="CR391" s="148" t="n"/>
      <c r="CS391" s="148" t="n"/>
      <c r="CT391" s="148" t="n"/>
      <c r="CU391" s="148" t="n"/>
      <c r="CV391" s="148" t="n"/>
      <c r="CW391" s="148" t="n"/>
      <c r="CX391" s="148" t="n"/>
      <c r="CY391" s="148" t="n"/>
      <c r="DC391" s="149" t="n"/>
      <c r="DD391" s="149" t="n"/>
      <c r="DE391" s="149" t="n"/>
      <c r="DF391" s="149" t="n"/>
      <c r="DG391" s="149" t="n"/>
      <c r="DH391" s="150" t="n"/>
      <c r="DJ391" s="211" t="inlineStr">
        <is>
          <t>订单表中未找到</t>
        </is>
      </c>
      <c r="DK391" t="inlineStr">
        <is>
          <t>—</t>
        </is>
      </c>
      <c r="DL391" t="inlineStr">
        <is>
          <t>—</t>
        </is>
      </c>
    </row>
    <row r="392" ht="15.75" customHeight="1" s="187">
      <c r="A392" s="84" t="n">
        <v>45967</v>
      </c>
      <c r="B392" s="206" t="inlineStr">
        <is>
          <t>已收货</t>
        </is>
      </c>
      <c r="C392" s="86" t="inlineStr">
        <is>
          <t>4863072998235328524</t>
        </is>
      </c>
      <c r="D392" s="87" t="inlineStr">
        <is>
          <t>杨剑文</t>
        </is>
      </c>
      <c r="E392" s="87" t="n"/>
      <c r="F392" s="87" t="n"/>
      <c r="G392" s="207" t="inlineStr">
        <is>
          <t>砂白色1.6米岩板餐桌+贝壳椅子*4+实木椅</t>
        </is>
      </c>
      <c r="H392" s="207" t="inlineStr">
        <is>
          <t>榉木餐桌</t>
        </is>
      </c>
      <c r="I392" s="89" t="inlineStr">
        <is>
          <t>160cm*85cm</t>
        </is>
      </c>
      <c r="J392" s="87" t="inlineStr">
        <is>
          <t>已结算</t>
        </is>
      </c>
      <c r="K392" s="87" t="inlineStr">
        <is>
          <t>庄毅备货-江西</t>
        </is>
      </c>
      <c r="L392" s="207">
        <f>SUM(M392:AO392)</f>
        <v/>
      </c>
      <c r="M392" s="207">
        <f>1530</f>
        <v/>
      </c>
      <c r="N392" s="207" t="n"/>
      <c r="O392" s="207" t="n"/>
      <c r="P392" s="207" t="n"/>
      <c r="Q392" s="207" t="n"/>
      <c r="R392" s="207">
        <f>180*1.6*0.85</f>
        <v/>
      </c>
      <c r="S392" s="207" t="n"/>
      <c r="T392" s="207" t="n"/>
      <c r="U392" s="207" t="n"/>
      <c r="V392" s="207" t="n"/>
      <c r="W392" s="207" t="n"/>
      <c r="X392" s="207" t="n"/>
      <c r="Y392" s="207" t="n"/>
      <c r="Z392" s="207" t="n"/>
      <c r="AA392" s="207" t="n"/>
      <c r="AB392" s="207" t="n"/>
      <c r="AC392" s="207" t="n"/>
      <c r="AD392" s="207" t="n">
        <v>2.5</v>
      </c>
      <c r="AE392" s="207" t="n"/>
      <c r="AF392" s="207">
        <f>346+653.99</f>
        <v/>
      </c>
      <c r="AG392" s="207" t="n"/>
      <c r="AH392" s="207" t="n"/>
      <c r="AI392" s="207" t="n"/>
      <c r="AJ392" s="207" t="n"/>
      <c r="AK392" s="207" t="n"/>
      <c r="AL392" s="207" t="n"/>
      <c r="AM392" s="207" t="n"/>
      <c r="AN392" s="207" t="n"/>
      <c r="AO392" s="207" t="n"/>
      <c r="AP392" s="207">
        <f>400-AQ392</f>
        <v/>
      </c>
      <c r="AQ392" s="207" t="n">
        <v>50</v>
      </c>
      <c r="AR392" s="207" t="n">
        <v>98</v>
      </c>
      <c r="AS392" s="207" t="n">
        <v>0</v>
      </c>
      <c r="AT392" s="207" t="n">
        <v>0</v>
      </c>
      <c r="AU392" s="207" t="n">
        <v>0</v>
      </c>
      <c r="AV392" s="207" t="n">
        <v>0</v>
      </c>
      <c r="AW392" s="207" t="n">
        <v>0</v>
      </c>
      <c r="AX392" s="208" t="n">
        <v>1</v>
      </c>
      <c r="AY392" s="209">
        <f>L392*AX392+AP392+AQ392+AR392+AV392+AW392+AS392+AT392+AU392</f>
        <v/>
      </c>
      <c r="AZ392" s="207" t="n">
        <v>4221.41</v>
      </c>
      <c r="BA392" s="207" t="n">
        <v>0</v>
      </c>
      <c r="BB392" s="207">
        <f>AZ392*0.006</f>
        <v/>
      </c>
      <c r="BC392" s="209">
        <f>AZ392+BA392-BB392</f>
        <v/>
      </c>
      <c r="BD392" s="207" t="n">
        <v>0</v>
      </c>
      <c r="BE392" s="207" t="n">
        <v>0</v>
      </c>
      <c r="BF392" s="209">
        <f>BD392+BE392</f>
        <v/>
      </c>
      <c r="BG392" s="209">
        <f>BC392-AY392+BF392</f>
        <v/>
      </c>
      <c r="BH392" s="207" t="inlineStr">
        <is>
          <t>杨剑文</t>
        </is>
      </c>
      <c r="BI392" s="207" t="inlineStr">
        <is>
          <t>甘肃省 天水市 秦州区 东关街道天水市第一人民医院地区医院家属院1号楼902</t>
        </is>
      </c>
      <c r="BJ392" s="207" t="inlineStr">
        <is>
          <t>18413282098-6410</t>
        </is>
      </c>
      <c r="BK392" s="86" t="n"/>
      <c r="BL392" s="210" t="n"/>
      <c r="BM392" s="93" t="n"/>
      <c r="BN392" s="94" t="n"/>
      <c r="BO392" s="93" t="n"/>
      <c r="BP392" s="86" t="n"/>
      <c r="BQ392" s="96" t="n"/>
      <c r="BR392" s="96" t="n"/>
      <c r="BS392" s="97" t="n"/>
      <c r="BT392" s="96" t="n"/>
      <c r="BU392" s="97" t="n"/>
      <c r="BV392" s="96" t="n"/>
      <c r="BW392" s="97" t="n"/>
      <c r="BX392" s="97" t="n"/>
      <c r="BY392" s="97" t="n"/>
      <c r="BZ392" s="97" t="n"/>
      <c r="CH392" s="2" t="n"/>
      <c r="CI392" s="14" t="n"/>
      <c r="CJ392" s="25" t="n"/>
      <c r="CK392" s="25" t="n"/>
      <c r="CL392" s="25" t="n"/>
      <c r="CM392" s="25" t="n"/>
      <c r="CN392" s="25" t="n"/>
      <c r="CO392" s="25" t="n"/>
      <c r="CP392" s="25" t="n"/>
      <c r="CQ392" s="25" t="n"/>
      <c r="CR392" s="25" t="n"/>
      <c r="CS392" s="25" t="n"/>
      <c r="CT392" s="25" t="n"/>
      <c r="CU392" s="25" t="n"/>
      <c r="CV392" s="25" t="n"/>
      <c r="CW392" s="25" t="n"/>
      <c r="CX392" s="25" t="n"/>
      <c r="CY392" s="25" t="n"/>
      <c r="DC392" s="26" t="n"/>
      <c r="DD392" s="26" t="n"/>
      <c r="DE392" s="26" t="n"/>
      <c r="DF392" s="26" t="n"/>
      <c r="DG392" s="26" t="n"/>
      <c r="DH392" s="27" t="n"/>
      <c r="DJ392" s="211" t="inlineStr">
        <is>
          <t>订单表中未找到</t>
        </is>
      </c>
      <c r="DK392" t="inlineStr">
        <is>
          <t>—</t>
        </is>
      </c>
      <c r="DL392" t="inlineStr">
        <is>
          <t>—</t>
        </is>
      </c>
    </row>
    <row r="393" ht="15.75" customHeight="1" s="187">
      <c r="A393" s="84" t="n">
        <v>45967</v>
      </c>
      <c r="B393" s="206" t="inlineStr">
        <is>
          <t>已收货</t>
        </is>
      </c>
      <c r="C393" s="86" t="inlineStr">
        <is>
          <t>3045858711597756378</t>
        </is>
      </c>
      <c r="D393" s="86" t="inlineStr">
        <is>
          <t>蒋倩</t>
        </is>
      </c>
      <c r="E393" s="87" t="n"/>
      <c r="F393" s="87" t="n"/>
      <c r="G393" s="207" t="inlineStr">
        <is>
          <t>砂白色1.8米岩板餐桌</t>
        </is>
      </c>
      <c r="H393" s="207" t="inlineStr">
        <is>
          <t>榉木餐桌</t>
        </is>
      </c>
      <c r="I393" s="89" t="inlineStr">
        <is>
          <t>180cm*85cm</t>
        </is>
      </c>
      <c r="J393" s="87" t="inlineStr">
        <is>
          <t>已结算</t>
        </is>
      </c>
      <c r="K393" s="86" t="inlineStr">
        <is>
          <t>庄毅</t>
        </is>
      </c>
      <c r="L393" s="207">
        <f>SUM(M393:AO393)</f>
        <v/>
      </c>
      <c r="M393" s="207">
        <f>1580</f>
        <v/>
      </c>
      <c r="N393" s="207" t="n"/>
      <c r="O393" s="207" t="n"/>
      <c r="P393" s="207" t="n"/>
      <c r="Q393" s="207" t="n"/>
      <c r="R393" s="207">
        <f>180*1.8*0.85</f>
        <v/>
      </c>
      <c r="S393" s="207" t="n"/>
      <c r="T393" s="207" t="n"/>
      <c r="U393" s="207" t="n"/>
      <c r="V393" s="207" t="n"/>
      <c r="W393" s="207" t="n"/>
      <c r="X393" s="207" t="n"/>
      <c r="Y393" s="207" t="n"/>
      <c r="Z393" s="207" t="n"/>
      <c r="AA393" s="207" t="n"/>
      <c r="AB393" s="207" t="n"/>
      <c r="AC393" s="207" t="n"/>
      <c r="AD393" s="207" t="n">
        <v>2.5</v>
      </c>
      <c r="AE393" s="207" t="n"/>
      <c r="AF393" s="207" t="n"/>
      <c r="AG393" s="207" t="n"/>
      <c r="AH393" s="207" t="n"/>
      <c r="AI393" s="207" t="n"/>
      <c r="AJ393" s="207" t="n"/>
      <c r="AK393" s="207" t="n"/>
      <c r="AL393" s="207" t="n"/>
      <c r="AM393" s="207" t="n"/>
      <c r="AN393" s="207" t="n"/>
      <c r="AO393" s="207" t="n"/>
      <c r="AP393" s="207" t="n">
        <v>285</v>
      </c>
      <c r="AQ393" s="207" t="n">
        <v>0</v>
      </c>
      <c r="AR393" s="207" t="n">
        <v>68</v>
      </c>
      <c r="AS393" s="207" t="n">
        <v>0</v>
      </c>
      <c r="AT393" s="207" t="n">
        <v>0</v>
      </c>
      <c r="AU393" s="207" t="n">
        <v>0</v>
      </c>
      <c r="AV393" s="207" t="n">
        <v>0</v>
      </c>
      <c r="AW393" s="207" t="n">
        <v>0</v>
      </c>
      <c r="AX393" s="208" t="n">
        <v>1</v>
      </c>
      <c r="AY393" s="209">
        <f>L393*AX393+AP393+AQ393+AR393+AV393+AW393+AS393+AT393+AU393</f>
        <v/>
      </c>
      <c r="AZ393" s="207" t="n">
        <v>2789.6</v>
      </c>
      <c r="BA393" s="207" t="n">
        <v>0</v>
      </c>
      <c r="BB393" s="207">
        <f>AZ393*0.006</f>
        <v/>
      </c>
      <c r="BC393" s="209">
        <f>AZ393+BA393-BB393</f>
        <v/>
      </c>
      <c r="BD393" s="207" t="n">
        <v>0</v>
      </c>
      <c r="BE393" s="207" t="n">
        <v>0</v>
      </c>
      <c r="BF393" s="209">
        <f>BD393+BE393</f>
        <v/>
      </c>
      <c r="BG393" s="209">
        <f>BC393-AY393+BF393</f>
        <v/>
      </c>
      <c r="BH393" s="207" t="inlineStr">
        <is>
          <t>蒋倩</t>
        </is>
      </c>
      <c r="BI393" s="207" t="inlineStr">
        <is>
          <t>重庆 重庆市 九龙坡区 中梁山街道绿地凤天府(南门)17栋13-4</t>
        </is>
      </c>
      <c r="BJ393" s="207" t="inlineStr">
        <is>
          <t>13140369209-8815</t>
        </is>
      </c>
      <c r="BK393" s="86" t="n"/>
      <c r="BL393" s="210" t="n"/>
      <c r="BM393" s="93" t="n"/>
      <c r="BN393" s="94" t="n"/>
      <c r="BO393" s="93" t="n"/>
      <c r="BP393" s="86" t="n"/>
      <c r="BQ393" s="96" t="n"/>
      <c r="BR393" s="96" t="n"/>
      <c r="BS393" s="97" t="n"/>
      <c r="BT393" s="96" t="n"/>
      <c r="BU393" s="97" t="n"/>
      <c r="BV393" s="96" t="n"/>
      <c r="BW393" s="97" t="n"/>
      <c r="BX393" s="97" t="n"/>
      <c r="BY393" s="97" t="n"/>
      <c r="BZ393" s="97" t="n"/>
      <c r="CH393" s="2" t="n"/>
      <c r="CI393" s="14" t="n"/>
      <c r="CJ393" s="25" t="n"/>
      <c r="CK393" s="25" t="n"/>
      <c r="CL393" s="25" t="n"/>
      <c r="CM393" s="25" t="n"/>
      <c r="CN393" s="25" t="n"/>
      <c r="CO393" s="25" t="n"/>
      <c r="CP393" s="25" t="n"/>
      <c r="CQ393" s="25" t="n"/>
      <c r="CR393" s="25" t="n"/>
      <c r="CS393" s="25" t="n"/>
      <c r="CT393" s="25" t="n"/>
      <c r="CU393" s="25" t="n"/>
      <c r="CV393" s="25" t="n"/>
      <c r="CW393" s="25" t="n"/>
      <c r="CX393" s="25" t="n"/>
      <c r="CY393" s="25" t="n"/>
      <c r="DC393" s="26" t="n"/>
      <c r="DD393" s="26" t="n"/>
      <c r="DE393" s="26" t="n"/>
      <c r="DF393" s="26" t="n"/>
      <c r="DG393" s="26" t="n"/>
      <c r="DH393" s="27" t="n"/>
      <c r="DJ393" s="211" t="inlineStr">
        <is>
          <t>订单表中未找到</t>
        </is>
      </c>
      <c r="DK393" t="inlineStr">
        <is>
          <t>—</t>
        </is>
      </c>
      <c r="DL393" t="inlineStr">
        <is>
          <t>—</t>
        </is>
      </c>
    </row>
    <row r="394" ht="15.75" customHeight="1" s="187">
      <c r="A394" s="99" t="n">
        <v>45968</v>
      </c>
      <c r="B394" s="100" t="inlineStr">
        <is>
          <t>退货</t>
        </is>
      </c>
      <c r="C394" s="101" t="inlineStr">
        <is>
          <t>3046828766271933564</t>
        </is>
      </c>
      <c r="D394" s="100" t="inlineStr">
        <is>
          <t>张先生</t>
        </is>
      </c>
      <c r="E394" s="100" t="inlineStr">
        <is>
          <t>退回江西</t>
        </is>
      </c>
      <c r="F394" s="100" t="n"/>
      <c r="G394" s="100" t="inlineStr">
        <is>
          <t>砂白色1.4米岩板餐桌</t>
        </is>
      </c>
      <c r="H394" s="100" t="inlineStr">
        <is>
          <t>榉木餐桌</t>
        </is>
      </c>
      <c r="I394" s="102" t="inlineStr">
        <is>
          <t>140cm*85cm</t>
        </is>
      </c>
      <c r="J394" s="100" t="inlineStr">
        <is>
          <t>已结算</t>
        </is>
      </c>
      <c r="K394" s="100" t="inlineStr">
        <is>
          <t>庄毅</t>
        </is>
      </c>
      <c r="L394" s="212" t="n">
        <v>0</v>
      </c>
      <c r="M394" s="207" t="n">
        <v>0</v>
      </c>
      <c r="N394" s="207" t="n"/>
      <c r="O394" s="207" t="n"/>
      <c r="P394" s="207" t="n"/>
      <c r="Q394" s="207" t="n"/>
      <c r="R394" s="207" t="n"/>
      <c r="S394" s="207" t="n"/>
      <c r="T394" s="207" t="n"/>
      <c r="U394" s="207" t="n"/>
      <c r="V394" s="207" t="n"/>
      <c r="W394" s="207" t="n"/>
      <c r="X394" s="207" t="n"/>
      <c r="Y394" s="207" t="n"/>
      <c r="Z394" s="207" t="n"/>
      <c r="AA394" s="207" t="n"/>
      <c r="AB394" s="207" t="n"/>
      <c r="AC394" s="207" t="n"/>
      <c r="AD394" s="207" t="n"/>
      <c r="AE394" s="207" t="n"/>
      <c r="AF394" s="207" t="n"/>
      <c r="AG394" s="207" t="n"/>
      <c r="AH394" s="207" t="n"/>
      <c r="AI394" s="207" t="n"/>
      <c r="AJ394" s="207" t="n"/>
      <c r="AK394" s="207" t="n"/>
      <c r="AL394" s="207" t="n"/>
      <c r="AM394" s="207" t="n"/>
      <c r="AN394" s="207" t="n"/>
      <c r="AO394" s="207" t="n"/>
      <c r="AP394" s="213" t="n">
        <v>0</v>
      </c>
      <c r="AQ394" s="213" t="n">
        <v>0</v>
      </c>
      <c r="AR394" s="213" t="n">
        <v>88</v>
      </c>
      <c r="AS394" s="213" t="n">
        <v>0</v>
      </c>
      <c r="AT394" s="213" t="n">
        <v>0</v>
      </c>
      <c r="AU394" s="213" t="n">
        <v>0</v>
      </c>
      <c r="AV394" s="213" t="n">
        <v>0</v>
      </c>
      <c r="AW394" s="213" t="n">
        <v>0</v>
      </c>
      <c r="AX394" s="214" t="n">
        <v>2</v>
      </c>
      <c r="AY394" s="213">
        <f>L394*AX394+AP394+AQ394+AR394+AV394+AW394+AS394+AT394+AU394</f>
        <v/>
      </c>
      <c r="AZ394" s="213" t="n">
        <v>0</v>
      </c>
      <c r="BA394" s="213" t="n">
        <v>0</v>
      </c>
      <c r="BB394" s="213">
        <f>AZ394*0.006</f>
        <v/>
      </c>
      <c r="BC394" s="213">
        <f>AZ394+BA394-BB394</f>
        <v/>
      </c>
      <c r="BD394" s="213" t="n">
        <v>0</v>
      </c>
      <c r="BE394" s="213" t="n">
        <v>0</v>
      </c>
      <c r="BF394" s="213">
        <f>BD394+BE394</f>
        <v/>
      </c>
      <c r="BG394" s="213">
        <f>BC394-AY394+BF394</f>
        <v/>
      </c>
      <c r="BH394" s="100" t="inlineStr">
        <is>
          <t>张先生</t>
        </is>
      </c>
      <c r="BI394" s="100" t="inlineStr">
        <is>
          <t>上海 上海市 长宁区 天山路街道玉屏大楼301室</t>
        </is>
      </c>
      <c r="BJ394" s="100" t="inlineStr">
        <is>
          <t>18466686641-7990</t>
        </is>
      </c>
      <c r="BK394" s="101" t="n"/>
      <c r="BL394" s="215" t="n"/>
      <c r="BM394" s="107" t="n"/>
      <c r="BN394" s="108" t="n"/>
      <c r="BO394" s="107" t="n"/>
      <c r="BP394" s="101" t="n"/>
      <c r="BQ394" s="109" t="n"/>
      <c r="BR394" s="109" t="n"/>
      <c r="BS394" s="100" t="n"/>
      <c r="BT394" s="109" t="n"/>
      <c r="BU394" s="100" t="n"/>
      <c r="BV394" s="109" t="n"/>
      <c r="BW394" s="100" t="n"/>
      <c r="BX394" s="100" t="n"/>
      <c r="BY394" s="100" t="n"/>
      <c r="BZ394" s="100" t="n"/>
      <c r="CA394" s="98" t="n"/>
      <c r="CH394" s="2" t="n"/>
      <c r="CI394" s="14" t="n"/>
      <c r="CY394" s="25" t="n"/>
      <c r="DA394" s="25" t="n"/>
      <c r="DC394" s="26" t="n"/>
      <c r="DD394" s="26" t="n"/>
      <c r="DE394" s="26" t="n"/>
      <c r="DF394" s="26" t="n"/>
      <c r="DG394" s="26" t="n"/>
      <c r="DH394" s="27" t="n"/>
      <c r="DJ394" s="211" t="inlineStr">
        <is>
          <t>订单表中未找到</t>
        </is>
      </c>
      <c r="DK394" t="inlineStr">
        <is>
          <t>—</t>
        </is>
      </c>
      <c r="DL394" t="inlineStr">
        <is>
          <t>—</t>
        </is>
      </c>
    </row>
    <row r="395" ht="15.75" customHeight="1" s="187">
      <c r="A395" s="84" t="n">
        <v>45968</v>
      </c>
      <c r="B395" s="206" t="inlineStr">
        <is>
          <t>已收货</t>
        </is>
      </c>
      <c r="C395" s="86" t="inlineStr">
        <is>
          <t>3047816282307713084</t>
        </is>
      </c>
      <c r="D395" s="86" t="inlineStr">
        <is>
          <t>江荣斌</t>
        </is>
      </c>
      <c r="E395" s="87" t="n"/>
      <c r="F395" s="87" t="n"/>
      <c r="G395" s="217" t="inlineStr">
        <is>
          <t>窄柜-整柜洞石背板-1.0米-定制</t>
        </is>
      </c>
      <c r="H395" s="207" t="inlineStr">
        <is>
          <t>樱桃木窄柜</t>
        </is>
      </c>
      <c r="I395" s="89" t="n">
        <v>1000</v>
      </c>
      <c r="J395" s="87" t="inlineStr">
        <is>
          <t>已结算</t>
        </is>
      </c>
      <c r="K395" s="86" t="inlineStr">
        <is>
          <t>江西</t>
        </is>
      </c>
      <c r="L395" s="207">
        <f>3600+125+0.53*1*160+30+1.16+3.37+1.1+1.03+76/2+5+359.08+59.23+3+170</f>
        <v/>
      </c>
      <c r="M395" s="207">
        <f>3600</f>
        <v/>
      </c>
      <c r="N395" s="207">
        <f>0.958*260+2*55</f>
        <v/>
      </c>
      <c r="O395" s="207" t="n">
        <v>120</v>
      </c>
      <c r="P395" s="207" t="n"/>
      <c r="Q395" s="207">
        <f>19*2</f>
        <v/>
      </c>
      <c r="R395" s="207">
        <f>0.48*1*160+30</f>
        <v/>
      </c>
      <c r="S395" s="207" t="n">
        <v>59.23</v>
      </c>
      <c r="T395" s="207" t="n">
        <v>52</v>
      </c>
      <c r="U395" s="207" t="n"/>
      <c r="V395" s="207" t="n">
        <v>5</v>
      </c>
      <c r="W395" s="207" t="n"/>
      <c r="X395" s="207" t="n"/>
      <c r="Y395" s="207" t="n"/>
      <c r="Z395" s="207" t="n"/>
      <c r="AA395" s="207" t="n">
        <v>2</v>
      </c>
      <c r="AB395" s="207" t="n">
        <v>1.1</v>
      </c>
      <c r="AC395" s="207" t="n">
        <v>3.5</v>
      </c>
      <c r="AD395" s="207" t="n"/>
      <c r="AE395" s="207" t="n"/>
      <c r="AF395" s="207" t="n"/>
      <c r="AG395" s="207" t="n"/>
      <c r="AH395" s="207" t="n"/>
      <c r="AI395" s="207" t="n"/>
      <c r="AJ395" s="207" t="n"/>
      <c r="AK395" s="207" t="n"/>
      <c r="AL395" s="207" t="n"/>
      <c r="AM395" s="207" t="n">
        <v>170</v>
      </c>
      <c r="AN395" s="207" t="n"/>
      <c r="AO395" s="207" t="n"/>
      <c r="AP395" s="207">
        <f>313-AQ395</f>
        <v/>
      </c>
      <c r="AQ395" s="207" t="n">
        <v>67</v>
      </c>
      <c r="AR395" s="207" t="n">
        <v>98</v>
      </c>
      <c r="AS395" s="207" t="n">
        <v>0</v>
      </c>
      <c r="AT395" s="207" t="n">
        <v>0</v>
      </c>
      <c r="AU395" s="207" t="n">
        <v>0</v>
      </c>
      <c r="AV395" s="207" t="n">
        <v>0</v>
      </c>
      <c r="AW395" s="207" t="n">
        <v>0</v>
      </c>
      <c r="AX395" s="208" t="n">
        <v>1</v>
      </c>
      <c r="AY395" s="209">
        <f>L395*AX395+AP395+AQ395+AR395+AV395+AW395+AS395+AT395+AU395</f>
        <v/>
      </c>
      <c r="AZ395" s="207" t="n">
        <v>5151.5</v>
      </c>
      <c r="BA395" s="207" t="n">
        <v>0</v>
      </c>
      <c r="BB395" s="207">
        <f>AZ395*0.006</f>
        <v/>
      </c>
      <c r="BC395" s="209">
        <f>AZ395+BA395-BB395</f>
        <v/>
      </c>
      <c r="BD395" s="207" t="n">
        <v>0</v>
      </c>
      <c r="BE395" s="207" t="n">
        <v>0</v>
      </c>
      <c r="BF395" s="209">
        <f>BD395+BE395</f>
        <v/>
      </c>
      <c r="BG395" s="209">
        <f>BC395-AY395+BF395</f>
        <v/>
      </c>
      <c r="BH395" s="86" t="inlineStr">
        <is>
          <t>江荣斌</t>
        </is>
      </c>
      <c r="BI395" s="86" t="inlineStr">
        <is>
          <t>福建省 福州市 仓山区 盖山镇融创福州府C区C5#楼1单元402室</t>
        </is>
      </c>
      <c r="BJ395" s="86" t="inlineStr">
        <is>
          <t>18480118891-1605</t>
        </is>
      </c>
      <c r="BK395" s="86" t="n"/>
      <c r="BL395" s="210" t="n"/>
      <c r="BM395" s="93" t="n"/>
      <c r="BN395" s="94" t="n"/>
      <c r="BO395" s="93" t="n"/>
      <c r="BP395" s="86" t="n"/>
      <c r="BQ395" s="96" t="n"/>
      <c r="BR395" s="96" t="n"/>
      <c r="BS395" s="97" t="n"/>
      <c r="BT395" s="96" t="n"/>
      <c r="BU395" s="97" t="n"/>
      <c r="BV395" s="96" t="n"/>
      <c r="BW395" s="97" t="n"/>
      <c r="BX395" s="97" t="n"/>
      <c r="BY395" s="97" t="n"/>
      <c r="BZ395" s="97" t="n"/>
      <c r="CH395" s="2" t="n"/>
      <c r="CI395" s="14" t="n"/>
      <c r="CJ395" s="25" t="n"/>
      <c r="CK395" s="25" t="n"/>
      <c r="CL395" s="25" t="n"/>
      <c r="CM395" s="25" t="n"/>
      <c r="CN395" s="25" t="n"/>
      <c r="CO395" s="25" t="n"/>
      <c r="CP395" s="25" t="n"/>
      <c r="CQ395" s="25" t="n"/>
      <c r="CR395" s="25" t="n"/>
      <c r="CS395" s="25" t="n"/>
      <c r="CT395" s="25" t="n"/>
      <c r="CU395" s="25" t="n"/>
      <c r="CV395" s="25" t="n"/>
      <c r="CW395" s="25" t="n"/>
      <c r="CX395" s="25" t="n"/>
      <c r="CY395" s="25" t="n"/>
      <c r="DC395" s="26" t="n"/>
      <c r="DD395" s="26" t="n"/>
      <c r="DE395" s="26" t="n"/>
      <c r="DF395" s="26" t="n"/>
      <c r="DG395" s="26" t="n"/>
      <c r="DH395" s="27" t="n"/>
      <c r="DJ395" s="211" t="inlineStr">
        <is>
          <t>订单表中未找到</t>
        </is>
      </c>
      <c r="DK395" t="inlineStr">
        <is>
          <t>—</t>
        </is>
      </c>
      <c r="DL395" t="inlineStr">
        <is>
          <t>—</t>
        </is>
      </c>
    </row>
    <row r="396" ht="14.25" customHeight="1" s="187">
      <c r="A396" s="84" t="n">
        <v>45968</v>
      </c>
      <c r="B396" s="206" t="inlineStr">
        <is>
          <t>已收货</t>
        </is>
      </c>
      <c r="C396" s="86" t="inlineStr">
        <is>
          <t>3048100465538713084</t>
        </is>
      </c>
      <c r="D396" s="86" t="inlineStr">
        <is>
          <t>江荣斌</t>
        </is>
      </c>
      <c r="E396" s="87" t="n"/>
      <c r="F396" s="87" t="n"/>
      <c r="G396" s="207" t="inlineStr">
        <is>
          <t>补差价</t>
        </is>
      </c>
      <c r="H396" s="207" t="n"/>
      <c r="I396" s="89" t="n"/>
      <c r="J396" s="87" t="inlineStr">
        <is>
          <t>已结算</t>
        </is>
      </c>
      <c r="K396" s="86" t="inlineStr">
        <is>
          <t>江西</t>
        </is>
      </c>
      <c r="L396" s="207" t="n">
        <v>0</v>
      </c>
      <c r="M396" s="207" t="n">
        <v>0</v>
      </c>
      <c r="N396" s="207" t="n"/>
      <c r="O396" s="207" t="n"/>
      <c r="P396" s="207" t="n"/>
      <c r="Q396" s="207" t="n"/>
      <c r="R396" s="207" t="n"/>
      <c r="S396" s="207" t="n"/>
      <c r="T396" s="207" t="n"/>
      <c r="U396" s="207" t="n"/>
      <c r="V396" s="207" t="n"/>
      <c r="W396" s="207" t="n"/>
      <c r="X396" s="207" t="n"/>
      <c r="Y396" s="207" t="n"/>
      <c r="Z396" s="207" t="n"/>
      <c r="AA396" s="207" t="n"/>
      <c r="AB396" s="207" t="n"/>
      <c r="AC396" s="207" t="n"/>
      <c r="AD396" s="207" t="n"/>
      <c r="AE396" s="207" t="n"/>
      <c r="AF396" s="207" t="n"/>
      <c r="AG396" s="207" t="n"/>
      <c r="AH396" s="207" t="n"/>
      <c r="AI396" s="207" t="n"/>
      <c r="AJ396" s="207" t="n"/>
      <c r="AK396" s="207" t="n"/>
      <c r="AL396" s="207" t="n"/>
      <c r="AM396" s="207" t="n"/>
      <c r="AN396" s="207" t="n"/>
      <c r="AO396" s="207" t="n"/>
      <c r="AP396" s="207" t="n">
        <v>0</v>
      </c>
      <c r="AQ396" s="207" t="n">
        <v>0</v>
      </c>
      <c r="AR396" s="207" t="n">
        <v>0</v>
      </c>
      <c r="AS396" s="207" t="n">
        <v>0</v>
      </c>
      <c r="AT396" s="207" t="n">
        <v>0</v>
      </c>
      <c r="AU396" s="207" t="n">
        <v>0</v>
      </c>
      <c r="AV396" s="207" t="n">
        <v>0</v>
      </c>
      <c r="AW396" s="207" t="n">
        <v>0</v>
      </c>
      <c r="AX396" s="208" t="n">
        <v>1</v>
      </c>
      <c r="AY396" s="209">
        <f>L396*AX396+AP396+AQ396+AR396+AV396+AW396+AS396+AT396+AU396</f>
        <v/>
      </c>
      <c r="AZ396" s="207" t="n">
        <v>152</v>
      </c>
      <c r="BA396" s="207" t="n">
        <v>0</v>
      </c>
      <c r="BB396" s="207">
        <f>AZ396*0.006</f>
        <v/>
      </c>
      <c r="BC396" s="209">
        <f>AZ396+BA396-BB396</f>
        <v/>
      </c>
      <c r="BD396" s="207" t="n">
        <v>0</v>
      </c>
      <c r="BE396" s="207" t="n">
        <v>0</v>
      </c>
      <c r="BF396" s="209">
        <f>BD396+BE396</f>
        <v/>
      </c>
      <c r="BG396" s="209">
        <f>BC396-AY396+BF396</f>
        <v/>
      </c>
      <c r="BH396" s="86" t="inlineStr">
        <is>
          <t>江荣斌</t>
        </is>
      </c>
      <c r="BI396" s="86" t="inlineStr">
        <is>
          <t>福建省 福州市 仓山区 盖山镇融创福州府C区C5#楼1单元402室</t>
        </is>
      </c>
      <c r="BJ396" s="86" t="inlineStr">
        <is>
          <t>18480118891-1605</t>
        </is>
      </c>
      <c r="BK396" s="86" t="n"/>
      <c r="BL396" s="210" t="n"/>
      <c r="BM396" s="93" t="n"/>
      <c r="BN396" s="94" t="n"/>
      <c r="BO396" s="93" t="n"/>
      <c r="BP396" s="86" t="n"/>
      <c r="BQ396" s="96" t="n"/>
      <c r="BR396" s="96" t="n"/>
      <c r="BS396" s="97" t="n"/>
      <c r="BT396" s="96" t="n"/>
      <c r="BU396" s="97" t="n"/>
      <c r="BV396" s="96" t="n"/>
      <c r="BW396" s="97" t="n"/>
      <c r="BX396" s="97" t="n"/>
      <c r="BY396" s="97" t="n"/>
      <c r="BZ396" s="97" t="n"/>
      <c r="CH396" s="2" t="n"/>
      <c r="CI396" s="14" t="n"/>
      <c r="CJ396" s="25" t="n"/>
      <c r="CK396" s="25" t="n"/>
      <c r="CL396" s="25" t="n"/>
      <c r="CM396" s="25" t="n"/>
      <c r="CN396" s="25" t="n"/>
      <c r="CO396" s="25" t="n"/>
      <c r="CP396" s="25" t="n"/>
      <c r="CQ396" s="25" t="n"/>
      <c r="CR396" s="25" t="n"/>
      <c r="CS396" s="25" t="n"/>
      <c r="CT396" s="25" t="n"/>
      <c r="CU396" s="25" t="n"/>
      <c r="CV396" s="25" t="n"/>
      <c r="CW396" s="25" t="n"/>
      <c r="CX396" s="25" t="n"/>
      <c r="CY396" s="25" t="n"/>
      <c r="DC396" s="26" t="n"/>
      <c r="DD396" s="26" t="n"/>
      <c r="DE396" s="26" t="n"/>
      <c r="DF396" s="26" t="n"/>
      <c r="DG396" s="26" t="n"/>
      <c r="DH396" s="27" t="n"/>
      <c r="DJ396" s="211" t="inlineStr">
        <is>
          <t>订单表中未找到</t>
        </is>
      </c>
      <c r="DK396" t="inlineStr">
        <is>
          <t>—</t>
        </is>
      </c>
      <c r="DL396" t="inlineStr">
        <is>
          <t>—</t>
        </is>
      </c>
    </row>
    <row r="397" ht="15.75" customHeight="1" s="187">
      <c r="A397" s="84" t="n">
        <v>45968</v>
      </c>
      <c r="B397" s="206" t="inlineStr">
        <is>
          <t>已收货</t>
        </is>
      </c>
      <c r="C397" s="86" t="inlineStr">
        <is>
          <t>4865301183501483326</t>
        </is>
      </c>
      <c r="D397" s="86" t="inlineStr">
        <is>
          <t>郑</t>
        </is>
      </c>
      <c r="E397" s="87" t="n"/>
      <c r="F397" s="87" t="n"/>
      <c r="G397" s="207" t="inlineStr">
        <is>
          <t>砂白色1.6米岩板餐桌+巧克力椅子*4</t>
        </is>
      </c>
      <c r="H397" s="207" t="inlineStr">
        <is>
          <t>榉木餐桌</t>
        </is>
      </c>
      <c r="I397" s="89" t="inlineStr">
        <is>
          <t>160cm*85cm</t>
        </is>
      </c>
      <c r="J397" s="87" t="inlineStr">
        <is>
          <t>已结算</t>
        </is>
      </c>
      <c r="K397" s="86" t="inlineStr">
        <is>
          <t>江西</t>
        </is>
      </c>
      <c r="L397" s="207">
        <f>SUM(M397:AO397)</f>
        <v/>
      </c>
      <c r="M397" s="207">
        <f>1350</f>
        <v/>
      </c>
      <c r="N397" s="207" t="n"/>
      <c r="O397" s="207" t="n"/>
      <c r="P397" s="207" t="n"/>
      <c r="Q397" s="207" t="n"/>
      <c r="R397" s="207" t="n">
        <v>240</v>
      </c>
      <c r="S397" s="207" t="n"/>
      <c r="T397" s="207" t="n"/>
      <c r="U397" s="207" t="n"/>
      <c r="V397" s="207" t="n"/>
      <c r="W397" s="207" t="n"/>
      <c r="X397" s="207" t="n"/>
      <c r="Y397" s="207" t="n"/>
      <c r="Z397" s="207" t="n"/>
      <c r="AA397" s="207" t="n"/>
      <c r="AB397" s="207" t="n"/>
      <c r="AC397" s="207" t="n"/>
      <c r="AD397" s="207" t="n">
        <v>2.5</v>
      </c>
      <c r="AE397" s="207" t="n"/>
      <c r="AF397" s="207" t="n">
        <v>1307.99</v>
      </c>
      <c r="AG397" s="207" t="n"/>
      <c r="AH397" s="207" t="n"/>
      <c r="AI397" s="207" t="n"/>
      <c r="AJ397" s="207" t="n"/>
      <c r="AK397" s="207" t="n"/>
      <c r="AL397" s="207" t="n"/>
      <c r="AM397" s="207" t="n">
        <v>170</v>
      </c>
      <c r="AN397" s="207" t="n"/>
      <c r="AO397" s="207" t="n"/>
      <c r="AP397" s="207">
        <f>134-AQ397</f>
        <v/>
      </c>
      <c r="AQ397" s="207" t="n">
        <v>30</v>
      </c>
      <c r="AR397" s="207" t="n">
        <v>80</v>
      </c>
      <c r="AS397" s="207" t="n">
        <v>0</v>
      </c>
      <c r="AT397" s="207" t="n">
        <v>0</v>
      </c>
      <c r="AU397" s="207" t="n">
        <v>0</v>
      </c>
      <c r="AV397" s="207" t="n">
        <v>0</v>
      </c>
      <c r="AW397" s="207" t="n">
        <v>0</v>
      </c>
      <c r="AX397" s="208" t="n">
        <v>1</v>
      </c>
      <c r="AY397" s="209">
        <f>L397*AX397+AP397+AQ397+AR397+AV397+AW397+AS397+AT397+AU397</f>
        <v/>
      </c>
      <c r="AZ397" s="207" t="n">
        <v>5083.41</v>
      </c>
      <c r="BA397" s="207" t="n">
        <v>0</v>
      </c>
      <c r="BB397" s="207">
        <f>AZ397*0.006</f>
        <v/>
      </c>
      <c r="BC397" s="209">
        <f>AZ397+BA397-BB397</f>
        <v/>
      </c>
      <c r="BD397" s="207" t="n">
        <v>0</v>
      </c>
      <c r="BE397" s="207" t="n">
        <v>0</v>
      </c>
      <c r="BF397" s="209">
        <f>BD397+BE397</f>
        <v/>
      </c>
      <c r="BG397" s="209">
        <f>BC397-AY397+BF397</f>
        <v/>
      </c>
      <c r="BH397" s="86" t="inlineStr">
        <is>
          <t>郑</t>
        </is>
      </c>
      <c r="BI397" s="86" t="inlineStr">
        <is>
          <t>福建省 福州市 连江县 敖江镇 建发双玺书香府6幢705</t>
        </is>
      </c>
      <c r="BJ397" s="86" t="inlineStr">
        <is>
          <t>18480125011-4845</t>
        </is>
      </c>
      <c r="BK397" s="86" t="n"/>
      <c r="BL397" s="210" t="n"/>
      <c r="BM397" s="93" t="n"/>
      <c r="BN397" s="94" t="n"/>
      <c r="BO397" s="93" t="n"/>
      <c r="BP397" s="86" t="n"/>
      <c r="BQ397" s="96" t="n"/>
      <c r="BR397" s="96" t="n"/>
      <c r="BS397" s="97" t="n"/>
      <c r="BT397" s="96" t="n"/>
      <c r="BU397" s="97" t="n"/>
      <c r="BV397" s="96" t="n"/>
      <c r="BW397" s="97" t="n"/>
      <c r="BX397" s="97" t="n"/>
      <c r="BY397" s="97" t="n"/>
      <c r="BZ397" s="97" t="n"/>
      <c r="CH397" s="2" t="n"/>
      <c r="CI397" s="14" t="n"/>
      <c r="CJ397" s="25" t="n"/>
      <c r="CK397" s="25" t="n"/>
      <c r="CL397" s="25" t="n"/>
      <c r="CM397" s="25" t="n"/>
      <c r="CN397" s="25" t="n"/>
      <c r="CO397" s="25" t="n"/>
      <c r="CP397" s="25" t="n"/>
      <c r="CQ397" s="25" t="n"/>
      <c r="CR397" s="25" t="n"/>
      <c r="CS397" s="25" t="n"/>
      <c r="CT397" s="25" t="n"/>
      <c r="CU397" s="25" t="n"/>
      <c r="CV397" s="25" t="n"/>
      <c r="CW397" s="25" t="n"/>
      <c r="CX397" s="25" t="n"/>
      <c r="CY397" s="25" t="n"/>
      <c r="DC397" s="26" t="n"/>
      <c r="DD397" s="26" t="n"/>
      <c r="DE397" s="26" t="n"/>
      <c r="DF397" s="26" t="n"/>
      <c r="DG397" s="26" t="n"/>
      <c r="DH397" s="27" t="n"/>
      <c r="DJ397" s="211" t="inlineStr">
        <is>
          <t>订单表中未找到</t>
        </is>
      </c>
      <c r="DK397" t="inlineStr">
        <is>
          <t>—</t>
        </is>
      </c>
      <c r="DL397" t="inlineStr">
        <is>
          <t>—</t>
        </is>
      </c>
    </row>
    <row r="398" ht="15.75" customHeight="1" s="187">
      <c r="A398" s="84" t="n">
        <v>45968</v>
      </c>
      <c r="B398" s="206" t="inlineStr">
        <is>
          <t>已收货</t>
        </is>
      </c>
      <c r="C398" s="86" t="inlineStr">
        <is>
          <t>3048420468952579758</t>
        </is>
      </c>
      <c r="D398" s="86" t="inlineStr">
        <is>
          <t>朱叶峰</t>
        </is>
      </c>
      <c r="E398" s="87" t="n"/>
      <c r="F398" s="87" t="n"/>
      <c r="G398" s="207" t="inlineStr">
        <is>
          <t>定制1.2榉木柜-补差价</t>
        </is>
      </c>
      <c r="H398" s="207" t="inlineStr">
        <is>
          <t>榉木餐边柜</t>
        </is>
      </c>
      <c r="I398" s="89" t="n">
        <v>1200</v>
      </c>
      <c r="J398" s="87" t="inlineStr">
        <is>
          <t>已结算</t>
        </is>
      </c>
      <c r="K398" s="86" t="inlineStr">
        <is>
          <t>江西</t>
        </is>
      </c>
      <c r="L398" s="207" t="n">
        <v>0</v>
      </c>
      <c r="M398" s="207" t="n">
        <v>0</v>
      </c>
      <c r="N398" s="207" t="n"/>
      <c r="O398" s="207" t="n"/>
      <c r="P398" s="207" t="n"/>
      <c r="Q398" s="207" t="n"/>
      <c r="R398" s="207" t="n"/>
      <c r="S398" s="207" t="n"/>
      <c r="T398" s="207" t="n"/>
      <c r="U398" s="207" t="n"/>
      <c r="V398" s="207" t="n"/>
      <c r="W398" s="207" t="n"/>
      <c r="X398" s="207" t="n"/>
      <c r="Y398" s="207" t="n"/>
      <c r="Z398" s="207" t="n"/>
      <c r="AA398" s="207" t="n"/>
      <c r="AB398" s="207" t="n"/>
      <c r="AC398" s="207" t="n"/>
      <c r="AD398" s="207" t="n"/>
      <c r="AE398" s="207" t="n"/>
      <c r="AF398" s="207" t="n"/>
      <c r="AG398" s="207" t="n"/>
      <c r="AH398" s="207" t="n"/>
      <c r="AI398" s="207" t="n"/>
      <c r="AJ398" s="207" t="n"/>
      <c r="AK398" s="207" t="n"/>
      <c r="AL398" s="207" t="n"/>
      <c r="AM398" s="207" t="n"/>
      <c r="AN398" s="207" t="n"/>
      <c r="AO398" s="207" t="n"/>
      <c r="AP398" s="207" t="n"/>
      <c r="AQ398" s="207" t="n">
        <v>0</v>
      </c>
      <c r="AR398" s="207" t="n">
        <v>0</v>
      </c>
      <c r="AS398" s="207" t="n">
        <v>0</v>
      </c>
      <c r="AT398" s="207" t="n">
        <v>0</v>
      </c>
      <c r="AU398" s="207" t="n">
        <v>0</v>
      </c>
      <c r="AV398" s="207" t="n">
        <v>0</v>
      </c>
      <c r="AW398" s="207" t="n">
        <v>0</v>
      </c>
      <c r="AX398" s="208" t="n">
        <v>1</v>
      </c>
      <c r="AY398" s="209">
        <f>L398*AX398+AP398+AQ398+AR398+AV398+AW398+AS398+AT398+AU398</f>
        <v/>
      </c>
      <c r="AZ398" s="207" t="n">
        <v>375</v>
      </c>
      <c r="BA398" s="207" t="n">
        <v>0</v>
      </c>
      <c r="BB398" s="207">
        <f>AZ398*0.006</f>
        <v/>
      </c>
      <c r="BC398" s="209">
        <f>AZ398+BA398-BB398</f>
        <v/>
      </c>
      <c r="BD398" s="207" t="n">
        <v>0</v>
      </c>
      <c r="BE398" s="207" t="n">
        <v>0</v>
      </c>
      <c r="BF398" s="209">
        <f>BD398+BE398</f>
        <v/>
      </c>
      <c r="BG398" s="209">
        <f>BC398-AY398+BF398</f>
        <v/>
      </c>
      <c r="BH398" s="86" t="inlineStr">
        <is>
          <t>朱叶峰</t>
        </is>
      </c>
      <c r="BI398" s="86" t="inlineStr">
        <is>
          <t>广东省 广州市 海珠区 昌岗街道 昌岗东路271号之一 403 房</t>
        </is>
      </c>
      <c r="BJ398" s="86" t="inlineStr">
        <is>
          <t>18466125923-1548</t>
        </is>
      </c>
      <c r="BK398" s="86" t="n"/>
      <c r="BL398" s="210" t="n"/>
      <c r="BM398" s="93" t="n"/>
      <c r="BN398" s="94" t="n"/>
      <c r="BO398" s="93" t="n"/>
      <c r="BP398" s="86" t="n"/>
      <c r="BQ398" s="96" t="n"/>
      <c r="BR398" s="96" t="n"/>
      <c r="BS398" s="97" t="n"/>
      <c r="BT398" s="96" t="n"/>
      <c r="BU398" s="97" t="n"/>
      <c r="BV398" s="96" t="n"/>
      <c r="BW398" s="97" t="n"/>
      <c r="BX398" s="97" t="n"/>
      <c r="BY398" s="97" t="n"/>
      <c r="BZ398" s="97" t="n"/>
      <c r="CH398" s="2" t="n"/>
      <c r="CI398" s="14" t="n"/>
      <c r="CJ398" s="25" t="n"/>
      <c r="CK398" s="25" t="n"/>
      <c r="CL398" s="25" t="n"/>
      <c r="CM398" s="25" t="n"/>
      <c r="CN398" s="25" t="n"/>
      <c r="CO398" s="25" t="n"/>
      <c r="CP398" s="25" t="n"/>
      <c r="CQ398" s="25" t="n"/>
      <c r="CR398" s="25" t="n"/>
      <c r="CS398" s="25" t="n"/>
      <c r="CT398" s="25" t="n"/>
      <c r="CU398" s="25" t="n"/>
      <c r="CV398" s="25" t="n"/>
      <c r="CW398" s="25" t="n"/>
      <c r="CX398" s="25" t="n"/>
      <c r="CY398" s="25" t="n"/>
      <c r="DC398" s="26" t="n"/>
      <c r="DD398" s="26" t="n"/>
      <c r="DE398" s="26" t="n"/>
      <c r="DF398" s="26" t="n"/>
      <c r="DG398" s="26" t="n"/>
      <c r="DH398" s="27" t="n"/>
      <c r="DJ398" s="211" t="inlineStr">
        <is>
          <t>订单表中未找到</t>
        </is>
      </c>
      <c r="DK398" t="inlineStr">
        <is>
          <t>—</t>
        </is>
      </c>
      <c r="DL398" t="inlineStr">
        <is>
          <t>—</t>
        </is>
      </c>
    </row>
    <row r="399" ht="15.75" customHeight="1" s="187">
      <c r="A399" s="84" t="n">
        <v>45969</v>
      </c>
      <c r="B399" s="206" t="inlineStr">
        <is>
          <t>已收货</t>
        </is>
      </c>
      <c r="C399" s="86" t="inlineStr">
        <is>
          <t>4868040528254208729</t>
        </is>
      </c>
      <c r="D399" s="86" t="inlineStr">
        <is>
          <t>殷康</t>
        </is>
      </c>
      <c r="E399" s="87" t="n"/>
      <c r="F399" s="87" t="n"/>
      <c r="G399" s="207" t="inlineStr">
        <is>
          <t>砂白色1.8米岩板餐桌</t>
        </is>
      </c>
      <c r="H399" s="207" t="inlineStr">
        <is>
          <t>榉木餐桌</t>
        </is>
      </c>
      <c r="I399" s="89" t="inlineStr">
        <is>
          <t>180cm*85cm</t>
        </is>
      </c>
      <c r="J399" s="87" t="inlineStr">
        <is>
          <t>已结算</t>
        </is>
      </c>
      <c r="K399" s="86" t="inlineStr">
        <is>
          <t>江西</t>
        </is>
      </c>
      <c r="L399" s="207">
        <f>SUM(M399:AO399)</f>
        <v/>
      </c>
      <c r="M399" s="207">
        <f>1400</f>
        <v/>
      </c>
      <c r="N399" s="207" t="n"/>
      <c r="O399" s="207" t="n"/>
      <c r="P399" s="207" t="n"/>
      <c r="Q399" s="207" t="n"/>
      <c r="R399" s="207" t="n">
        <v>240</v>
      </c>
      <c r="S399" s="207" t="n"/>
      <c r="T399" s="207" t="n"/>
      <c r="U399" s="207" t="n"/>
      <c r="V399" s="207" t="n"/>
      <c r="W399" s="207" t="n"/>
      <c r="X399" s="207" t="n"/>
      <c r="Y399" s="207" t="n"/>
      <c r="Z399" s="207" t="n"/>
      <c r="AA399" s="207" t="n"/>
      <c r="AB399" s="207" t="n"/>
      <c r="AC399" s="207" t="n"/>
      <c r="AD399" s="207" t="n">
        <v>2.5</v>
      </c>
      <c r="AE399" s="207" t="n"/>
      <c r="AF399" s="207" t="n"/>
      <c r="AG399" s="207" t="n"/>
      <c r="AH399" s="207" t="n"/>
      <c r="AI399" s="207" t="n"/>
      <c r="AJ399" s="207" t="n"/>
      <c r="AK399" s="207" t="n"/>
      <c r="AL399" s="207" t="n"/>
      <c r="AM399" s="207" t="n">
        <v>180</v>
      </c>
      <c r="AN399" s="207" t="n"/>
      <c r="AO399" s="207" t="n"/>
      <c r="AP399" s="207">
        <f>173-AQ399</f>
        <v/>
      </c>
      <c r="AQ399" s="207" t="n">
        <v>35</v>
      </c>
      <c r="AR399" s="207" t="n">
        <v>65</v>
      </c>
      <c r="AS399" s="207" t="n">
        <v>0</v>
      </c>
      <c r="AT399" s="207" t="n">
        <v>0</v>
      </c>
      <c r="AU399" s="207" t="n">
        <v>0</v>
      </c>
      <c r="AV399" s="207" t="n">
        <v>0</v>
      </c>
      <c r="AW399" s="207" t="n">
        <v>0</v>
      </c>
      <c r="AX399" s="208" t="n">
        <v>1</v>
      </c>
      <c r="AY399" s="209">
        <f>L399*AX399+AP399+AQ399+AR399+AV399+AW399+AS399+AT399+AU399</f>
        <v/>
      </c>
      <c r="AZ399" s="207" t="n">
        <v>2789.6</v>
      </c>
      <c r="BA399" s="207" t="n">
        <v>0</v>
      </c>
      <c r="BB399" s="207">
        <f>AZ399*0.006</f>
        <v/>
      </c>
      <c r="BC399" s="209">
        <f>AZ399+BA399-BB399</f>
        <v/>
      </c>
      <c r="BD399" s="207" t="n">
        <v>0</v>
      </c>
      <c r="BE399" s="207" t="n">
        <v>0</v>
      </c>
      <c r="BF399" s="209">
        <f>BD399+BE399</f>
        <v/>
      </c>
      <c r="BG399" s="209">
        <f>BC399-AY399+BF399</f>
        <v/>
      </c>
      <c r="BH399" s="207" t="inlineStr">
        <is>
          <t>殷康</t>
        </is>
      </c>
      <c r="BI399" s="207" t="inlineStr">
        <is>
          <t>山东省 青岛市 即墨区 通济街道佳园都市北区9号楼二单元902</t>
        </is>
      </c>
      <c r="BJ399" s="207" t="inlineStr">
        <is>
          <t>13148960029-8101</t>
        </is>
      </c>
      <c r="BK399" s="86" t="n"/>
      <c r="BL399" s="210" t="n"/>
      <c r="BM399" s="93" t="n"/>
      <c r="BN399" s="94" t="n"/>
      <c r="BO399" s="93" t="n"/>
      <c r="BP399" s="86" t="n"/>
      <c r="BQ399" s="96" t="n"/>
      <c r="BR399" s="96" t="n"/>
      <c r="BS399" s="97" t="n"/>
      <c r="BT399" s="96" t="n"/>
      <c r="BU399" s="97" t="n"/>
      <c r="BV399" s="96" t="n"/>
      <c r="BW399" s="97" t="n"/>
      <c r="BX399" s="97" t="n"/>
      <c r="BY399" s="97" t="n"/>
      <c r="BZ399" s="97" t="n"/>
      <c r="CH399" s="2" t="n"/>
      <c r="CI399" s="14" t="n"/>
      <c r="CJ399" s="25" t="n"/>
      <c r="CK399" s="25" t="n"/>
      <c r="CL399" s="25" t="n"/>
      <c r="CM399" s="25" t="n"/>
      <c r="CN399" s="25" t="n"/>
      <c r="CO399" s="25" t="n"/>
      <c r="CP399" s="25" t="n"/>
      <c r="CQ399" s="25" t="n"/>
      <c r="CR399" s="25" t="n"/>
      <c r="CS399" s="25" t="n"/>
      <c r="CT399" s="25" t="n"/>
      <c r="CU399" s="25" t="n"/>
      <c r="CV399" s="25" t="n"/>
      <c r="CW399" s="25" t="n"/>
      <c r="CX399" s="25" t="n"/>
      <c r="CY399" s="25" t="n"/>
      <c r="DC399" s="26" t="n"/>
      <c r="DD399" s="26" t="n"/>
      <c r="DE399" s="26" t="n"/>
      <c r="DF399" s="26" t="n"/>
      <c r="DG399" s="26" t="n"/>
      <c r="DH399" s="27" t="n"/>
      <c r="DJ399" s="211" t="inlineStr">
        <is>
          <t>订单表中未找到</t>
        </is>
      </c>
      <c r="DK399" t="inlineStr">
        <is>
          <t>—</t>
        </is>
      </c>
      <c r="DL399" t="inlineStr">
        <is>
          <t>—</t>
        </is>
      </c>
    </row>
    <row r="400" ht="15.75" customHeight="1" s="187">
      <c r="A400" s="84" t="n">
        <v>45969</v>
      </c>
      <c r="B400" s="206" t="inlineStr">
        <is>
          <t>已收货</t>
        </is>
      </c>
      <c r="C400" s="86" t="inlineStr">
        <is>
          <t>3050781637737483287</t>
        </is>
      </c>
      <c r="D400" s="110" t="inlineStr">
        <is>
          <t>段</t>
        </is>
      </c>
      <c r="E400" s="87" t="n"/>
      <c r="F400" s="87" t="n"/>
      <c r="G400" s="87" t="inlineStr">
        <is>
          <t>1.2岩板桌</t>
        </is>
      </c>
      <c r="H400" s="207" t="inlineStr">
        <is>
          <t>樱桃木餐桌</t>
        </is>
      </c>
      <c r="I400" s="89" t="inlineStr">
        <is>
          <t>120cm*85cm</t>
        </is>
      </c>
      <c r="J400" s="87" t="inlineStr">
        <is>
          <t>已结算</t>
        </is>
      </c>
      <c r="K400" s="86" t="inlineStr">
        <is>
          <t>江西</t>
        </is>
      </c>
      <c r="L400" s="207">
        <f>1300+2.5+390+170</f>
        <v/>
      </c>
      <c r="M400" s="207">
        <f>1300</f>
        <v/>
      </c>
      <c r="N400" s="207" t="n">
        <v>2.5</v>
      </c>
      <c r="O400" s="207" t="n">
        <v>390</v>
      </c>
      <c r="P400" s="207" t="n">
        <v>170</v>
      </c>
      <c r="Q400" s="207" t="n"/>
      <c r="R400" s="207" t="n"/>
      <c r="S400" s="207" t="n"/>
      <c r="T400" s="207" t="n"/>
      <c r="U400" s="207" t="n"/>
      <c r="V400" s="207" t="n"/>
      <c r="W400" s="207" t="n"/>
      <c r="X400" s="207" t="n"/>
      <c r="Y400" s="207" t="n"/>
      <c r="Z400" s="207" t="n"/>
      <c r="AA400" s="207" t="n"/>
      <c r="AB400" s="207" t="n"/>
      <c r="AC400" s="207" t="n"/>
      <c r="AD400" s="207" t="n"/>
      <c r="AE400" s="207" t="n"/>
      <c r="AF400" s="207" t="n"/>
      <c r="AG400" s="207" t="n"/>
      <c r="AH400" s="207" t="n"/>
      <c r="AI400" s="207" t="n"/>
      <c r="AJ400" s="207" t="n"/>
      <c r="AK400" s="207" t="n"/>
      <c r="AL400" s="207" t="n"/>
      <c r="AM400" s="207" t="n">
        <v>170</v>
      </c>
      <c r="AN400" s="207" t="n"/>
      <c r="AO400" s="207" t="n"/>
      <c r="AP400" s="207">
        <f>112-AQ400</f>
        <v/>
      </c>
      <c r="AQ400" s="207" t="n">
        <v>25</v>
      </c>
      <c r="AR400" s="207" t="n">
        <v>88</v>
      </c>
      <c r="AS400" s="207" t="n">
        <v>0</v>
      </c>
      <c r="AT400" s="207" t="n">
        <v>0</v>
      </c>
      <c r="AU400" s="207" t="n">
        <v>0</v>
      </c>
      <c r="AV400" s="207" t="n">
        <v>0</v>
      </c>
      <c r="AW400" s="207" t="n">
        <v>0</v>
      </c>
      <c r="AX400" s="208" t="n">
        <v>1</v>
      </c>
      <c r="AY400" s="209">
        <f>L400*AX400+AP400+AQ400+AR400+AV400+AW400+AS400+AT400+AU400</f>
        <v/>
      </c>
      <c r="AZ400" s="207" t="n">
        <v>1907.9</v>
      </c>
      <c r="BA400" s="207" t="n">
        <v>0</v>
      </c>
      <c r="BB400" s="207">
        <f>AZ400*0.006</f>
        <v/>
      </c>
      <c r="BC400" s="209">
        <f>AZ400+BA400-BB400</f>
        <v/>
      </c>
      <c r="BD400" s="207" t="n">
        <v>0</v>
      </c>
      <c r="BE400" s="207" t="n">
        <v>0</v>
      </c>
      <c r="BF400" s="209">
        <f>BD400+BE400</f>
        <v/>
      </c>
      <c r="BG400" s="209">
        <f>BC400-AY400+BF400</f>
        <v/>
      </c>
      <c r="BH400" s="86" t="inlineStr">
        <is>
          <t>段</t>
        </is>
      </c>
      <c r="BI400" s="86" t="inlineStr">
        <is>
          <t>陕西省 西安市 雁塔区 小寨路街道香山红叶 10号楼</t>
        </is>
      </c>
      <c r="BJ400" s="86" t="inlineStr">
        <is>
          <t>15664708445-6586</t>
        </is>
      </c>
      <c r="BK400" s="86" t="n"/>
      <c r="BL400" s="210" t="n"/>
      <c r="BM400" s="93" t="n"/>
      <c r="BN400" s="94" t="n"/>
      <c r="BO400" s="93" t="n"/>
      <c r="BP400" s="86" t="n"/>
      <c r="BQ400" s="96" t="n"/>
      <c r="BR400" s="96" t="n"/>
      <c r="BS400" s="97" t="n"/>
      <c r="BT400" s="96" t="n"/>
      <c r="BU400" s="97" t="n"/>
      <c r="BV400" s="96" t="n"/>
      <c r="BW400" s="97" t="n"/>
      <c r="BX400" s="97" t="n"/>
      <c r="BY400" s="97" t="n"/>
      <c r="BZ400" s="97" t="n"/>
      <c r="CH400" s="2" t="n"/>
      <c r="CI400" s="14" t="n"/>
      <c r="CJ400" s="25" t="n"/>
      <c r="CK400" s="25" t="n"/>
      <c r="CL400" s="25" t="n"/>
      <c r="CM400" s="25" t="n"/>
      <c r="CN400" s="25" t="n"/>
      <c r="CO400" s="25" t="n"/>
      <c r="CP400" s="25" t="n"/>
      <c r="CQ400" s="25" t="n"/>
      <c r="CR400" s="25" t="n"/>
      <c r="CS400" s="25" t="n"/>
      <c r="CT400" s="25" t="n"/>
      <c r="CU400" s="25" t="n"/>
      <c r="CV400" s="25" t="n"/>
      <c r="CW400" s="25" t="n"/>
      <c r="CX400" s="25" t="n"/>
      <c r="CY400" s="25" t="n"/>
      <c r="DC400" s="26" t="n"/>
      <c r="DD400" s="26" t="n"/>
      <c r="DE400" s="26" t="n"/>
      <c r="DF400" s="26" t="n"/>
      <c r="DG400" s="26" t="n"/>
      <c r="DH400" s="27" t="n"/>
      <c r="DJ400" s="211" t="inlineStr">
        <is>
          <t>订单表中未找到</t>
        </is>
      </c>
      <c r="DK400" t="inlineStr">
        <is>
          <t>—</t>
        </is>
      </c>
      <c r="DL400" t="inlineStr">
        <is>
          <t>—</t>
        </is>
      </c>
    </row>
    <row r="401" ht="15.75" customHeight="1" s="187">
      <c r="A401" s="84" t="n">
        <v>45970</v>
      </c>
      <c r="B401" s="206" t="inlineStr">
        <is>
          <t>已收货</t>
        </is>
      </c>
      <c r="C401" s="86" t="inlineStr">
        <is>
          <t>3050834125964873551</t>
        </is>
      </c>
      <c r="D401" s="110" t="inlineStr">
        <is>
          <t>向磊</t>
        </is>
      </c>
      <c r="E401" s="87" t="n"/>
      <c r="F401" s="87" t="n"/>
      <c r="G401" s="207" t="inlineStr">
        <is>
          <t>砂白色1.8米岩板餐桌</t>
        </is>
      </c>
      <c r="H401" s="207" t="inlineStr">
        <is>
          <t>榉木餐桌</t>
        </is>
      </c>
      <c r="I401" s="89" t="inlineStr">
        <is>
          <t>180cm*85cm</t>
        </is>
      </c>
      <c r="J401" s="87" t="inlineStr">
        <is>
          <t>已结算</t>
        </is>
      </c>
      <c r="K401" s="86" t="inlineStr">
        <is>
          <t>庄毅</t>
        </is>
      </c>
      <c r="L401" s="207">
        <f>SUM(M401:AO401)</f>
        <v/>
      </c>
      <c r="M401" s="207">
        <f>1580</f>
        <v/>
      </c>
      <c r="N401" s="207" t="n"/>
      <c r="O401" s="207" t="n"/>
      <c r="P401" s="207" t="n"/>
      <c r="Q401" s="207" t="n"/>
      <c r="R401" s="207">
        <f>180*1.8*0.85</f>
        <v/>
      </c>
      <c r="S401" s="207" t="n"/>
      <c r="T401" s="207" t="n"/>
      <c r="U401" s="207" t="n"/>
      <c r="V401" s="207" t="n"/>
      <c r="W401" s="207" t="n"/>
      <c r="X401" s="207" t="n"/>
      <c r="Y401" s="207" t="n"/>
      <c r="Z401" s="207" t="n"/>
      <c r="AA401" s="207" t="n"/>
      <c r="AB401" s="207" t="n"/>
      <c r="AC401" s="207" t="n"/>
      <c r="AD401" s="207" t="n">
        <v>2.5</v>
      </c>
      <c r="AE401" s="207" t="n"/>
      <c r="AF401" s="207" t="n"/>
      <c r="AG401" s="207" t="n"/>
      <c r="AH401" s="207" t="n"/>
      <c r="AI401" s="207" t="n"/>
      <c r="AJ401" s="207" t="n"/>
      <c r="AK401" s="207" t="n"/>
      <c r="AL401" s="207" t="n"/>
      <c r="AM401" s="207" t="n"/>
      <c r="AN401" s="207" t="n"/>
      <c r="AO401" s="207" t="n"/>
      <c r="AP401" s="207" t="n">
        <v>248</v>
      </c>
      <c r="AQ401" s="207" t="n">
        <v>0</v>
      </c>
      <c r="AR401" s="207" t="n">
        <v>79</v>
      </c>
      <c r="AS401" s="207" t="n">
        <v>0</v>
      </c>
      <c r="AT401" s="207" t="n">
        <v>0</v>
      </c>
      <c r="AU401" s="207" t="n">
        <v>0</v>
      </c>
      <c r="AV401" s="207" t="n">
        <v>0</v>
      </c>
      <c r="AW401" s="207" t="n">
        <v>0</v>
      </c>
      <c r="AX401" s="208" t="n">
        <v>1</v>
      </c>
      <c r="AY401" s="209">
        <f>L401*AX401+AP401+AQ401+AR401+AV401+AW401+AS401+AT401+AU401</f>
        <v/>
      </c>
      <c r="AZ401" s="207" t="n">
        <v>2789.6</v>
      </c>
      <c r="BA401" s="207" t="n">
        <v>0</v>
      </c>
      <c r="BB401" s="207">
        <f>AZ401*0.006</f>
        <v/>
      </c>
      <c r="BC401" s="209">
        <f>AZ401+BA401-BB401</f>
        <v/>
      </c>
      <c r="BD401" s="207" t="n">
        <v>0</v>
      </c>
      <c r="BE401" s="207" t="n">
        <v>0</v>
      </c>
      <c r="BF401" s="209">
        <f>BD401+BE401</f>
        <v/>
      </c>
      <c r="BG401" s="209">
        <f>BC401-AY401+BF401</f>
        <v/>
      </c>
      <c r="BH401" s="207" t="inlineStr">
        <is>
          <t>向磊</t>
        </is>
      </c>
      <c r="BI401" s="207" t="inlineStr">
        <is>
          <t>湖南省 邵阳市 洞口县 文昌街道天坤·名门世家2栋2单元607</t>
        </is>
      </c>
      <c r="BJ401" s="207" t="inlineStr">
        <is>
          <t>18472629543-3371</t>
        </is>
      </c>
      <c r="BK401" s="86" t="n"/>
      <c r="BL401" s="210" t="n"/>
      <c r="BM401" s="93" t="n"/>
      <c r="BN401" s="94" t="n"/>
      <c r="BO401" s="93" t="n"/>
      <c r="BP401" s="86" t="n"/>
      <c r="BQ401" s="96" t="n"/>
      <c r="BR401" s="96" t="n"/>
      <c r="BS401" s="97" t="n"/>
      <c r="BT401" s="96" t="n"/>
      <c r="BU401" s="97" t="n"/>
      <c r="BV401" s="96" t="n"/>
      <c r="BW401" s="97" t="n"/>
      <c r="BX401" s="97" t="n"/>
      <c r="BY401" s="97" t="n"/>
      <c r="BZ401" s="97" t="n"/>
      <c r="CH401" s="2" t="n"/>
      <c r="CI401" s="14" t="n"/>
      <c r="CJ401" s="25" t="n"/>
      <c r="CK401" s="25" t="n"/>
      <c r="CL401" s="25" t="n"/>
      <c r="CM401" s="25" t="n"/>
      <c r="CN401" s="25" t="n"/>
      <c r="CO401" s="25" t="n"/>
      <c r="CP401" s="25" t="n"/>
      <c r="CQ401" s="25" t="n"/>
      <c r="CR401" s="25" t="n"/>
      <c r="CS401" s="25" t="n"/>
      <c r="CT401" s="25" t="n"/>
      <c r="CU401" s="25" t="n"/>
      <c r="CV401" s="25" t="n"/>
      <c r="CW401" s="25" t="n"/>
      <c r="CX401" s="25" t="n"/>
      <c r="CY401" s="25" t="n"/>
      <c r="DC401" s="26" t="n"/>
      <c r="DD401" s="26" t="n"/>
      <c r="DE401" s="26" t="n"/>
      <c r="DF401" s="26" t="n"/>
      <c r="DG401" s="26" t="n"/>
      <c r="DH401" s="27" t="n"/>
      <c r="DJ401" s="211" t="inlineStr">
        <is>
          <t>订单表中未找到</t>
        </is>
      </c>
      <c r="DK401" t="inlineStr">
        <is>
          <t>—</t>
        </is>
      </c>
      <c r="DL401" t="inlineStr">
        <is>
          <t>—</t>
        </is>
      </c>
    </row>
    <row r="402" ht="15.75" customHeight="1" s="187">
      <c r="A402" s="84" t="n">
        <v>45970</v>
      </c>
      <c r="B402" s="206" t="inlineStr">
        <is>
          <t>已收货</t>
        </is>
      </c>
      <c r="C402" s="86" t="inlineStr">
        <is>
          <t>3051663063060263596</t>
        </is>
      </c>
      <c r="D402" s="86" t="inlineStr">
        <is>
          <t>陳安明-(leo880516)</t>
        </is>
      </c>
      <c r="E402" s="87" t="n"/>
      <c r="F402" s="87" t="n"/>
      <c r="G402" s="207" t="inlineStr">
        <is>
          <t>曜黑柜-整柜-2.1米</t>
        </is>
      </c>
      <c r="H402" s="207" t="inlineStr">
        <is>
          <t>曜黑餐边柜</t>
        </is>
      </c>
      <c r="I402" s="89" t="n">
        <v>2100</v>
      </c>
      <c r="J402" s="87" t="inlineStr">
        <is>
          <t>已结算</t>
        </is>
      </c>
      <c r="K402" s="86" t="inlineStr">
        <is>
          <t>江西</t>
        </is>
      </c>
      <c r="L402" s="207">
        <f>9200+350+2550/6/1.5+30+14+20+46+712.08+22*3+470+28+44+20</f>
        <v/>
      </c>
      <c r="M402" s="207">
        <f>9200</f>
        <v/>
      </c>
      <c r="N402" s="207" t="n">
        <v>350</v>
      </c>
      <c r="O402" s="207" t="inlineStr">
        <is>
          <t>2550/6/1.5</t>
        </is>
      </c>
      <c r="P402" s="207" t="n">
        <v>30</v>
      </c>
      <c r="Q402" s="207" t="n">
        <v>14</v>
      </c>
      <c r="R402" s="207" t="n">
        <v>20</v>
      </c>
      <c r="S402" s="207" t="n">
        <v>46</v>
      </c>
      <c r="T402" s="207" t="n">
        <v>712.08</v>
      </c>
      <c r="U402" s="207" t="inlineStr">
        <is>
          <t>22*3</t>
        </is>
      </c>
      <c r="V402" s="207" t="n">
        <v>470</v>
      </c>
      <c r="W402" s="207" t="n">
        <v>28</v>
      </c>
      <c r="X402" s="207">
        <f>22*3</f>
        <v/>
      </c>
      <c r="Y402" s="207" t="n">
        <v>20</v>
      </c>
      <c r="Z402" s="207" t="n"/>
      <c r="AA402" s="207" t="n"/>
      <c r="AB402" s="207" t="n"/>
      <c r="AC402" s="207" t="n"/>
      <c r="AD402" s="207" t="n"/>
      <c r="AE402" s="207" t="n"/>
      <c r="AF402" s="207" t="n"/>
      <c r="AG402" s="207" t="n"/>
      <c r="AH402" s="207" t="n"/>
      <c r="AI402" s="207" t="n"/>
      <c r="AJ402" s="207" t="n"/>
      <c r="AK402" s="207" t="n"/>
      <c r="AL402" s="207" t="n"/>
      <c r="AM402" s="207" t="n">
        <v>470</v>
      </c>
      <c r="AN402" s="207" t="n"/>
      <c r="AO402" s="207" t="n"/>
      <c r="AP402" s="207">
        <f>511-AQ402</f>
        <v/>
      </c>
      <c r="AQ402" s="207" t="n">
        <v>30</v>
      </c>
      <c r="AR402" s="207" t="n">
        <v>0</v>
      </c>
      <c r="AS402" s="207" t="n">
        <v>0</v>
      </c>
      <c r="AT402" s="207" t="n">
        <v>0</v>
      </c>
      <c r="AU402" s="207" t="n">
        <v>0</v>
      </c>
      <c r="AV402" s="207" t="n">
        <v>0</v>
      </c>
      <c r="AW402" s="207" t="n">
        <v>0</v>
      </c>
      <c r="AX402" s="208" t="n">
        <v>1</v>
      </c>
      <c r="AY402" s="209">
        <f>L402*AX402+AP402+AQ402+AR402+AV402+AW402+AS402+AT402+AU402</f>
        <v/>
      </c>
      <c r="AZ402" s="207" t="n">
        <v>12954.82</v>
      </c>
      <c r="BA402" s="207" t="n">
        <v>0</v>
      </c>
      <c r="BB402" s="207">
        <f>AZ402*0.006</f>
        <v/>
      </c>
      <c r="BC402" s="209">
        <f>AZ402+BA402-BB402</f>
        <v/>
      </c>
      <c r="BD402" s="207" t="n">
        <v>0</v>
      </c>
      <c r="BE402" s="207" t="n">
        <v>0</v>
      </c>
      <c r="BF402" s="209">
        <f>BD402+BE402</f>
        <v/>
      </c>
      <c r="BG402" s="209">
        <f>BC402-AY402+BF402</f>
        <v/>
      </c>
      <c r="BH402" s="207" t="inlineStr">
        <is>
          <t>陳安明-(leo880516)</t>
        </is>
      </c>
      <c r="BI402" s="207" t="inlineStr">
        <is>
          <t>广东省 东莞市  洪梅镇洪金路888号全通-(189717)</t>
        </is>
      </c>
      <c r="BJ402" s="207" t="inlineStr">
        <is>
          <t>13149391706-5291</t>
        </is>
      </c>
      <c r="BK402" s="86" t="n"/>
      <c r="BL402" s="210" t="n"/>
      <c r="BM402" s="93" t="n"/>
      <c r="BN402" s="94" t="n"/>
      <c r="BO402" s="93" t="n"/>
      <c r="BP402" s="86" t="n"/>
      <c r="BQ402" s="96" t="n"/>
      <c r="BR402" s="96" t="n"/>
      <c r="BS402" s="97" t="n"/>
      <c r="BT402" s="96" t="n"/>
      <c r="BU402" s="97" t="n"/>
      <c r="BV402" s="96" t="n"/>
      <c r="BW402" s="97" t="n"/>
      <c r="BX402" s="97" t="n"/>
      <c r="BY402" s="97" t="n"/>
      <c r="BZ402" s="97" t="n"/>
      <c r="CH402" s="2" t="n"/>
      <c r="CI402" s="14" t="n"/>
      <c r="CJ402" s="25" t="n"/>
      <c r="CK402" s="25" t="n"/>
      <c r="CL402" s="25" t="n"/>
      <c r="CM402" s="25" t="n"/>
      <c r="CN402" s="25" t="n"/>
      <c r="CO402" s="25" t="n"/>
      <c r="CP402" s="25" t="n"/>
      <c r="CQ402" s="25" t="n"/>
      <c r="CR402" s="25" t="n"/>
      <c r="CS402" s="25" t="n"/>
      <c r="CT402" s="25" t="n"/>
      <c r="CU402" s="25" t="n"/>
      <c r="CV402" s="25" t="n"/>
      <c r="CW402" s="25" t="n"/>
      <c r="CX402" s="25" t="n"/>
      <c r="CY402" s="25" t="n"/>
      <c r="DC402" s="26" t="n"/>
      <c r="DD402" s="26" t="n"/>
      <c r="DE402" s="26" t="n"/>
      <c r="DF402" s="26" t="n"/>
      <c r="DG402" s="26" t="n"/>
      <c r="DH402" s="27" t="n"/>
      <c r="DJ402" s="211" t="inlineStr">
        <is>
          <t>订单表中未找到</t>
        </is>
      </c>
      <c r="DK402" t="inlineStr">
        <is>
          <t>—</t>
        </is>
      </c>
      <c r="DL402" t="inlineStr">
        <is>
          <t>—</t>
        </is>
      </c>
    </row>
    <row r="403" ht="15.75" customHeight="1" s="187">
      <c r="A403" s="84" t="n">
        <v>45970</v>
      </c>
      <c r="B403" s="206" t="inlineStr">
        <is>
          <t>已收货</t>
        </is>
      </c>
      <c r="C403" s="86" t="inlineStr">
        <is>
          <t>3051660507739263596</t>
        </is>
      </c>
      <c r="D403" s="86" t="inlineStr">
        <is>
          <t>陳安明-(leo880516)</t>
        </is>
      </c>
      <c r="E403" s="87" t="n"/>
      <c r="F403" s="87" t="n"/>
      <c r="G403" s="207" t="inlineStr">
        <is>
          <t>黑胡桃木岩板桌1.2米</t>
        </is>
      </c>
      <c r="H403" s="207" t="inlineStr">
        <is>
          <t>黑胡桃木餐桌</t>
        </is>
      </c>
      <c r="I403" s="89" t="inlineStr">
        <is>
          <t>120cm*85cm</t>
        </is>
      </c>
      <c r="J403" s="87" t="inlineStr">
        <is>
          <t>已结算</t>
        </is>
      </c>
      <c r="K403" s="86" t="inlineStr">
        <is>
          <t>江西</t>
        </is>
      </c>
      <c r="L403" s="207" t="n">
        <v>0</v>
      </c>
      <c r="M403" s="207" t="n">
        <v>0</v>
      </c>
      <c r="N403" s="207" t="n"/>
      <c r="O403" s="207" t="n"/>
      <c r="P403" s="207" t="n"/>
      <c r="Q403" s="207" t="n"/>
      <c r="R403" s="207" t="n"/>
      <c r="S403" s="207" t="n"/>
      <c r="T403" s="207" t="n"/>
      <c r="U403" s="207" t="n"/>
      <c r="V403" s="207" t="n"/>
      <c r="W403" s="207" t="n"/>
      <c r="X403" s="207" t="n"/>
      <c r="Y403" s="207" t="n"/>
      <c r="Z403" s="207" t="n"/>
      <c r="AA403" s="207" t="n"/>
      <c r="AB403" s="207" t="n"/>
      <c r="AC403" s="207" t="n"/>
      <c r="AD403" s="207" t="n"/>
      <c r="AE403" s="207" t="n"/>
      <c r="AF403" s="207" t="n"/>
      <c r="AG403" s="207" t="n"/>
      <c r="AH403" s="207" t="n"/>
      <c r="AI403" s="207" t="n"/>
      <c r="AJ403" s="207" t="n"/>
      <c r="AK403" s="207" t="n"/>
      <c r="AL403" s="207" t="n"/>
      <c r="AM403" s="207" t="n"/>
      <c r="AN403" s="207" t="n"/>
      <c r="AO403" s="207" t="n"/>
      <c r="AP403" s="207" t="n">
        <v>0</v>
      </c>
      <c r="AQ403" s="207" t="n">
        <v>0</v>
      </c>
      <c r="AR403" s="207" t="n">
        <v>0</v>
      </c>
      <c r="AS403" s="207" t="n">
        <v>0</v>
      </c>
      <c r="AT403" s="207" t="n">
        <v>0</v>
      </c>
      <c r="AU403" s="207" t="n">
        <v>0</v>
      </c>
      <c r="AV403" s="207" t="n">
        <v>0</v>
      </c>
      <c r="AW403" s="207" t="n">
        <v>0</v>
      </c>
      <c r="AX403" s="208" t="n">
        <v>1</v>
      </c>
      <c r="AY403" s="209">
        <f>L403*AX403+AP403+AQ403+AR403+AV403+AW403+AS403+AT403+AU403</f>
        <v/>
      </c>
      <c r="AZ403" s="207" t="n">
        <v>3277.5</v>
      </c>
      <c r="BA403" s="207" t="n">
        <v>0</v>
      </c>
      <c r="BB403" s="207">
        <f>AZ403*0.006</f>
        <v/>
      </c>
      <c r="BC403" s="209">
        <f>AZ403+BA403-BB403</f>
        <v/>
      </c>
      <c r="BD403" s="207" t="n">
        <v>0</v>
      </c>
      <c r="BE403" s="207" t="n">
        <v>0</v>
      </c>
      <c r="BF403" s="209">
        <f>BD403+BE403</f>
        <v/>
      </c>
      <c r="BG403" s="209">
        <f>BC403-AY403+BF403</f>
        <v/>
      </c>
      <c r="BH403" s="207" t="inlineStr">
        <is>
          <t>陳安明-(leo880516)</t>
        </is>
      </c>
      <c r="BI403" s="207" t="inlineStr">
        <is>
          <t>广东省 东莞市  洪梅镇洪金路888号全通-(189717)</t>
        </is>
      </c>
      <c r="BJ403" s="207" t="inlineStr">
        <is>
          <t>13149391706-5291</t>
        </is>
      </c>
      <c r="BK403" s="86" t="n"/>
      <c r="BL403" s="210" t="n"/>
      <c r="BM403" s="93" t="n"/>
      <c r="BN403" s="94" t="n"/>
      <c r="BO403" s="93" t="n"/>
      <c r="BP403" s="86" t="n"/>
      <c r="BQ403" s="96" t="n"/>
      <c r="BR403" s="96" t="n"/>
      <c r="BS403" s="97" t="n"/>
      <c r="BT403" s="96" t="n"/>
      <c r="BU403" s="97" t="n"/>
      <c r="BV403" s="96" t="n"/>
      <c r="BW403" s="97" t="n"/>
      <c r="BX403" s="97" t="n"/>
      <c r="BY403" s="97" t="n"/>
      <c r="BZ403" s="97" t="n"/>
      <c r="CH403" s="2" t="n"/>
      <c r="CI403" s="14" t="n"/>
      <c r="CJ403" s="25" t="n"/>
      <c r="CK403" s="25" t="n"/>
      <c r="CL403" s="25" t="n"/>
      <c r="CM403" s="25" t="n"/>
      <c r="CN403" s="25" t="n"/>
      <c r="CO403" s="25" t="n"/>
      <c r="CP403" s="25" t="n"/>
      <c r="CQ403" s="25" t="n"/>
      <c r="CR403" s="25" t="n"/>
      <c r="CS403" s="25" t="n"/>
      <c r="CT403" s="25" t="n"/>
      <c r="CU403" s="25" t="n"/>
      <c r="CV403" s="25" t="n"/>
      <c r="CW403" s="25" t="n"/>
      <c r="CX403" s="25" t="n"/>
      <c r="CY403" s="25" t="n"/>
      <c r="DC403" s="26" t="n"/>
      <c r="DD403" s="26" t="n"/>
      <c r="DE403" s="26" t="n"/>
      <c r="DF403" s="26" t="n"/>
      <c r="DG403" s="26" t="n"/>
      <c r="DH403" s="27" t="n"/>
      <c r="DJ403" s="211" t="inlineStr">
        <is>
          <t>订单表中未找到</t>
        </is>
      </c>
      <c r="DK403" t="inlineStr">
        <is>
          <t>—</t>
        </is>
      </c>
      <c r="DL403" t="inlineStr">
        <is>
          <t>—</t>
        </is>
      </c>
    </row>
    <row r="404" ht="15.75" customHeight="1" s="187">
      <c r="A404" s="84" t="n">
        <v>45970</v>
      </c>
      <c r="B404" s="206" t="inlineStr">
        <is>
          <t>已收货</t>
        </is>
      </c>
      <c r="C404" s="86" t="inlineStr">
        <is>
          <t>4870333800158259538</t>
        </is>
      </c>
      <c r="D404" s="86" t="inlineStr">
        <is>
          <t>筱寅</t>
        </is>
      </c>
      <c r="E404" s="87" t="n"/>
      <c r="F404" s="87" t="n"/>
      <c r="G404" s="207" t="inlineStr">
        <is>
          <t>插座</t>
        </is>
      </c>
      <c r="H404" s="207" t="inlineStr">
        <is>
          <t>配件</t>
        </is>
      </c>
      <c r="I404" s="89" t="n"/>
      <c r="J404" s="87" t="inlineStr">
        <is>
          <t>已结算</t>
        </is>
      </c>
      <c r="K404" s="86" t="inlineStr">
        <is>
          <t>其他</t>
        </is>
      </c>
      <c r="L404" s="207" t="n">
        <v>55</v>
      </c>
      <c r="M404" s="207" t="n">
        <v>55</v>
      </c>
      <c r="N404" s="207" t="n"/>
      <c r="O404" s="207" t="n"/>
      <c r="P404" s="207" t="n"/>
      <c r="Q404" s="207" t="n"/>
      <c r="R404" s="207" t="n"/>
      <c r="S404" s="207" t="n"/>
      <c r="T404" s="207" t="n"/>
      <c r="U404" s="207" t="n"/>
      <c r="V404" s="207" t="n"/>
      <c r="W404" s="207" t="n"/>
      <c r="X404" s="207" t="n"/>
      <c r="Y404" s="207" t="n"/>
      <c r="Z404" s="207" t="n"/>
      <c r="AA404" s="207" t="n"/>
      <c r="AB404" s="207" t="n"/>
      <c r="AC404" s="207" t="n"/>
      <c r="AD404" s="207" t="n"/>
      <c r="AE404" s="207" t="n"/>
      <c r="AF404" s="207" t="n"/>
      <c r="AG404" s="207" t="n"/>
      <c r="AH404" s="207" t="n"/>
      <c r="AI404" s="207" t="n"/>
      <c r="AJ404" s="207" t="n"/>
      <c r="AK404" s="207" t="n"/>
      <c r="AL404" s="207" t="n"/>
      <c r="AM404" s="207" t="n"/>
      <c r="AN404" s="207" t="n"/>
      <c r="AO404" s="207" t="n"/>
      <c r="AP404" s="207" t="n">
        <v>8</v>
      </c>
      <c r="AQ404" s="207" t="n">
        <v>0</v>
      </c>
      <c r="AR404" s="207" t="n">
        <v>0</v>
      </c>
      <c r="AS404" s="207" t="n">
        <v>0</v>
      </c>
      <c r="AT404" s="207" t="n">
        <v>0</v>
      </c>
      <c r="AU404" s="207" t="n">
        <v>0</v>
      </c>
      <c r="AV404" s="207" t="n">
        <v>0</v>
      </c>
      <c r="AW404" s="207" t="n">
        <v>0</v>
      </c>
      <c r="AX404" s="208" t="n">
        <v>1</v>
      </c>
      <c r="AY404" s="209">
        <f>L404*AX404+AP404+AQ404+AR404+AV404+AW404+AS404+AT404+AU404</f>
        <v/>
      </c>
      <c r="AZ404" s="207" t="n">
        <v>100</v>
      </c>
      <c r="BA404" s="207" t="n">
        <v>0</v>
      </c>
      <c r="BB404" s="207">
        <f>AZ404*0.006</f>
        <v/>
      </c>
      <c r="BC404" s="209">
        <f>AZ404+BA404-BB404</f>
        <v/>
      </c>
      <c r="BD404" s="207" t="n">
        <v>0</v>
      </c>
      <c r="BE404" s="207" t="n">
        <v>0</v>
      </c>
      <c r="BF404" s="209">
        <f>BD404+BE404</f>
        <v/>
      </c>
      <c r="BG404" s="209">
        <f>BC404-AY404+BF404</f>
        <v/>
      </c>
      <c r="BH404" s="86" t="inlineStr">
        <is>
          <t>筱寅</t>
        </is>
      </c>
      <c r="BI404" s="86" t="inlineStr">
        <is>
          <t>江苏省 无锡市 锡山区 东亭街道柏木南苑物业办公室</t>
        </is>
      </c>
      <c r="BJ404" s="86" t="inlineStr">
        <is>
          <t>17804411871-6384</t>
        </is>
      </c>
      <c r="BK404" s="86" t="n"/>
      <c r="BL404" s="210" t="n"/>
      <c r="BM404" s="93" t="n"/>
      <c r="BN404" s="94" t="n"/>
      <c r="BO404" s="93" t="n"/>
      <c r="BP404" s="86" t="n"/>
      <c r="BQ404" s="96" t="n"/>
      <c r="BR404" s="96" t="n"/>
      <c r="BS404" s="97" t="n"/>
      <c r="BT404" s="96" t="n"/>
      <c r="BU404" s="97" t="n"/>
      <c r="BV404" s="96" t="n"/>
      <c r="BW404" s="97" t="n"/>
      <c r="BX404" s="97" t="n"/>
      <c r="BY404" s="97" t="n"/>
      <c r="BZ404" s="97" t="n"/>
      <c r="CH404" s="2" t="n"/>
      <c r="CI404" s="14" t="n"/>
      <c r="CJ404" s="25" t="n"/>
      <c r="CK404" s="25" t="n"/>
      <c r="CL404" s="25" t="n"/>
      <c r="CM404" s="25" t="n"/>
      <c r="CN404" s="25" t="n"/>
      <c r="CO404" s="25" t="n"/>
      <c r="CP404" s="25" t="n"/>
      <c r="CQ404" s="25" t="n"/>
      <c r="CR404" s="25" t="n"/>
      <c r="CS404" s="25" t="n"/>
      <c r="CT404" s="25" t="n"/>
      <c r="CU404" s="25" t="n"/>
      <c r="CV404" s="25" t="n"/>
      <c r="CW404" s="25" t="n"/>
      <c r="CX404" s="25" t="n"/>
      <c r="CY404" s="25" t="n"/>
      <c r="DC404" s="26" t="n"/>
      <c r="DD404" s="26" t="n"/>
      <c r="DE404" s="26" t="n"/>
      <c r="DF404" s="26" t="n"/>
      <c r="DG404" s="26" t="n"/>
      <c r="DH404" s="27" t="n"/>
      <c r="DJ404" s="211" t="inlineStr">
        <is>
          <t>订单表中未找到</t>
        </is>
      </c>
      <c r="DK404" t="inlineStr">
        <is>
          <t>—</t>
        </is>
      </c>
      <c r="DL404" t="inlineStr">
        <is>
          <t>—</t>
        </is>
      </c>
    </row>
    <row r="405" ht="15.75" customHeight="1" s="187">
      <c r="A405" s="84" t="n">
        <v>45970</v>
      </c>
      <c r="B405" s="206" t="inlineStr">
        <is>
          <t>已收货</t>
        </is>
      </c>
      <c r="C405" s="86" t="inlineStr">
        <is>
          <t>3052561226288059455</t>
        </is>
      </c>
      <c r="D405" s="110" t="inlineStr">
        <is>
          <t>邓凯达</t>
        </is>
      </c>
      <c r="E405" s="87" t="n"/>
      <c r="F405" s="87" t="n"/>
      <c r="G405" s="207" t="inlineStr">
        <is>
          <t>样块</t>
        </is>
      </c>
      <c r="H405" s="207" t="inlineStr">
        <is>
          <t>样块</t>
        </is>
      </c>
      <c r="I405" s="89" t="n"/>
      <c r="J405" s="87" t="inlineStr">
        <is>
          <t>已结算</t>
        </is>
      </c>
      <c r="K405" s="87" t="inlineStr">
        <is>
          <t>杭州</t>
        </is>
      </c>
      <c r="L405" s="207">
        <f>SUM(M405:AO405)</f>
        <v/>
      </c>
      <c r="M405" s="207" t="n">
        <v>5</v>
      </c>
      <c r="N405" s="207" t="n"/>
      <c r="O405" s="207" t="n"/>
      <c r="P405" s="207" t="n"/>
      <c r="Q405" s="207" t="n"/>
      <c r="R405" s="207" t="n"/>
      <c r="S405" s="207" t="n"/>
      <c r="T405" s="207" t="n"/>
      <c r="U405" s="207" t="n"/>
      <c r="V405" s="207" t="n"/>
      <c r="W405" s="207" t="n"/>
      <c r="X405" s="207" t="n"/>
      <c r="Y405" s="207" t="n"/>
      <c r="Z405" s="207" t="n"/>
      <c r="AA405" s="207" t="n"/>
      <c r="AB405" s="207" t="n"/>
      <c r="AC405" s="207" t="n"/>
      <c r="AD405" s="207" t="n"/>
      <c r="AE405" s="207" t="n"/>
      <c r="AF405" s="207" t="n"/>
      <c r="AG405" s="207" t="n"/>
      <c r="AH405" s="207" t="n"/>
      <c r="AI405" s="207" t="n"/>
      <c r="AJ405" s="207" t="n"/>
      <c r="AK405" s="207" t="n"/>
      <c r="AL405" s="207" t="n"/>
      <c r="AM405" s="207" t="n">
        <v>2</v>
      </c>
      <c r="AN405" s="207" t="n"/>
      <c r="AO405" s="207" t="n"/>
      <c r="AP405" s="207" t="n">
        <v>5</v>
      </c>
      <c r="AQ405" s="207" t="n">
        <v>0</v>
      </c>
      <c r="AR405" s="207" t="n">
        <v>0</v>
      </c>
      <c r="AS405" s="207" t="n">
        <v>0</v>
      </c>
      <c r="AT405" s="207" t="n">
        <v>0</v>
      </c>
      <c r="AU405" s="207" t="n">
        <v>0</v>
      </c>
      <c r="AV405" s="207" t="n">
        <v>0</v>
      </c>
      <c r="AW405" s="207" t="n">
        <v>0</v>
      </c>
      <c r="AX405" s="208" t="n">
        <v>1</v>
      </c>
      <c r="AY405" s="209">
        <f>L405*AX405+AP405+AQ405+AR405+AV405+AW405+AS405+AT405+AU405</f>
        <v/>
      </c>
      <c r="AZ405" s="207" t="n">
        <v>21.2</v>
      </c>
      <c r="BA405" s="207" t="n">
        <v>0</v>
      </c>
      <c r="BB405" s="207">
        <f>AZ405*0.006</f>
        <v/>
      </c>
      <c r="BC405" s="209">
        <f>AZ405+BA405-BB405</f>
        <v/>
      </c>
      <c r="BD405" s="207" t="n">
        <v>0</v>
      </c>
      <c r="BE405" s="207" t="n">
        <v>0</v>
      </c>
      <c r="BF405" s="209">
        <f>BD405+BE405</f>
        <v/>
      </c>
      <c r="BG405" s="209">
        <f>BC405-AY405+BF405</f>
        <v/>
      </c>
      <c r="BH405" s="86" t="inlineStr">
        <is>
          <t>邓凯达</t>
        </is>
      </c>
      <c r="BI405" s="86" t="inlineStr">
        <is>
          <t>江苏省 无锡市 梁溪区 扬名街道金科世界城C区12号2604室</t>
        </is>
      </c>
      <c r="BJ405" s="86" t="inlineStr">
        <is>
          <t>18468303122-4577</t>
        </is>
      </c>
      <c r="BK405" s="86" t="n"/>
      <c r="BL405" s="210" t="n"/>
      <c r="BM405" s="93" t="n"/>
      <c r="BN405" s="94" t="n"/>
      <c r="BO405" s="93" t="n"/>
      <c r="BP405" s="86" t="n"/>
      <c r="BQ405" s="96" t="n"/>
      <c r="BR405" s="96" t="n"/>
      <c r="BS405" s="97" t="n"/>
      <c r="BT405" s="96" t="n"/>
      <c r="BU405" s="97" t="n"/>
      <c r="BV405" s="96" t="n"/>
      <c r="BW405" s="97" t="n"/>
      <c r="BX405" s="97" t="n"/>
      <c r="BY405" s="97" t="n"/>
      <c r="BZ405" s="97" t="n"/>
      <c r="CH405" s="2" t="n"/>
      <c r="CI405" s="14" t="n"/>
      <c r="CJ405" s="25" t="n"/>
      <c r="CK405" s="25" t="n"/>
      <c r="CL405" s="25" t="n"/>
      <c r="CM405" s="25" t="n"/>
      <c r="CN405" s="25" t="n"/>
      <c r="CO405" s="25" t="n"/>
      <c r="CP405" s="25" t="n"/>
      <c r="CQ405" s="25" t="n"/>
      <c r="CR405" s="25" t="n"/>
      <c r="CS405" s="25" t="n"/>
      <c r="CT405" s="25" t="n"/>
      <c r="CU405" s="25" t="n"/>
      <c r="CV405" s="25" t="n"/>
      <c r="CW405" s="25" t="n"/>
      <c r="CX405" s="25" t="n"/>
      <c r="CY405" s="25" t="n"/>
      <c r="DC405" s="26" t="n"/>
      <c r="DD405" s="26" t="n"/>
      <c r="DE405" s="26" t="n"/>
      <c r="DF405" s="26" t="n"/>
      <c r="DG405" s="26" t="n"/>
      <c r="DH405" s="27" t="n"/>
      <c r="DJ405" s="211" t="inlineStr">
        <is>
          <t>订单表中未找到</t>
        </is>
      </c>
      <c r="DK405" t="inlineStr">
        <is>
          <t>—</t>
        </is>
      </c>
      <c r="DL405" t="inlineStr">
        <is>
          <t>—</t>
        </is>
      </c>
    </row>
    <row r="406" ht="15.75" customHeight="1" s="187">
      <c r="A406" s="84" t="n">
        <v>45971</v>
      </c>
      <c r="B406" s="206" t="inlineStr">
        <is>
          <t>已收货</t>
        </is>
      </c>
      <c r="C406" s="86" t="inlineStr">
        <is>
          <t>4871737335768941236</t>
        </is>
      </c>
      <c r="D406" s="110" t="inlineStr">
        <is>
          <t>郑嘉桐</t>
        </is>
      </c>
      <c r="E406" s="87" t="n"/>
      <c r="F406" s="87" t="n"/>
      <c r="G406" s="207" t="inlineStr">
        <is>
          <t>隔板</t>
        </is>
      </c>
      <c r="H406" s="207" t="inlineStr">
        <is>
          <t>配件</t>
        </is>
      </c>
      <c r="I406" s="89" t="n"/>
      <c r="J406" s="87" t="inlineStr">
        <is>
          <t>已结算</t>
        </is>
      </c>
      <c r="K406" s="86" t="inlineStr">
        <is>
          <t>江西</t>
        </is>
      </c>
      <c r="L406" s="207" t="n">
        <v>10</v>
      </c>
      <c r="M406" s="207" t="n">
        <v>10</v>
      </c>
      <c r="N406" s="207" t="n"/>
      <c r="O406" s="207" t="n"/>
      <c r="P406" s="207" t="n"/>
      <c r="Q406" s="207" t="n"/>
      <c r="R406" s="207" t="n"/>
      <c r="S406" s="207" t="n"/>
      <c r="T406" s="207" t="n"/>
      <c r="U406" s="207" t="n"/>
      <c r="V406" s="207" t="n"/>
      <c r="W406" s="207" t="n"/>
      <c r="X406" s="207" t="n"/>
      <c r="Y406" s="207" t="n"/>
      <c r="Z406" s="207" t="n"/>
      <c r="AA406" s="207" t="n"/>
      <c r="AB406" s="207" t="n"/>
      <c r="AC406" s="207" t="n"/>
      <c r="AD406" s="207" t="n"/>
      <c r="AE406" s="207" t="n"/>
      <c r="AF406" s="207" t="n"/>
      <c r="AG406" s="207" t="n"/>
      <c r="AH406" s="207" t="n"/>
      <c r="AI406" s="207" t="n"/>
      <c r="AJ406" s="207" t="n"/>
      <c r="AK406" s="207" t="n"/>
      <c r="AL406" s="207" t="n"/>
      <c r="AM406" s="207" t="n">
        <v>0</v>
      </c>
      <c r="AN406" s="207" t="n"/>
      <c r="AO406" s="207" t="n"/>
      <c r="AP406" s="207" t="n">
        <v>15</v>
      </c>
      <c r="AQ406" s="207" t="n">
        <v>0</v>
      </c>
      <c r="AR406" s="207" t="n">
        <v>0</v>
      </c>
      <c r="AS406" s="207" t="n">
        <v>0</v>
      </c>
      <c r="AT406" s="207" t="n">
        <v>0</v>
      </c>
      <c r="AU406" s="207" t="n">
        <v>0</v>
      </c>
      <c r="AV406" s="207" t="n">
        <v>0</v>
      </c>
      <c r="AW406" s="207" t="n">
        <v>0</v>
      </c>
      <c r="AX406" s="208" t="n">
        <v>1</v>
      </c>
      <c r="AY406" s="209">
        <f>L406*AX406+AP406+AQ406+AR406+AV406+AW406+AS406+AT406+AU406</f>
        <v/>
      </c>
      <c r="AZ406" s="207" t="n">
        <v>89</v>
      </c>
      <c r="BA406" s="207" t="n">
        <v>0</v>
      </c>
      <c r="BB406" s="207">
        <f>AZ406*0.006</f>
        <v/>
      </c>
      <c r="BC406" s="209">
        <f>AZ406+BA406-BB406</f>
        <v/>
      </c>
      <c r="BD406" s="207" t="n">
        <v>0</v>
      </c>
      <c r="BE406" s="207" t="n">
        <v>0</v>
      </c>
      <c r="BF406" s="209">
        <f>BD406+BE406</f>
        <v/>
      </c>
      <c r="BG406" s="209">
        <f>BC406-AY406+BF406</f>
        <v/>
      </c>
      <c r="BH406" s="86" t="inlineStr">
        <is>
          <t>郑嘉桐</t>
        </is>
      </c>
      <c r="BI406" s="86" t="inlineStr">
        <is>
          <t>广东省 潮州市 潮安区 枫溪镇枫溪区新风路</t>
        </is>
      </c>
      <c r="BJ406" s="86" t="inlineStr">
        <is>
          <t>17896683087-1577</t>
        </is>
      </c>
      <c r="BK406" s="86" t="n"/>
      <c r="BL406" s="210" t="n"/>
      <c r="BM406" s="93" t="n"/>
      <c r="BN406" s="94" t="n"/>
      <c r="BO406" s="93" t="n"/>
      <c r="BP406" s="86" t="n"/>
      <c r="BQ406" s="96" t="n"/>
      <c r="BR406" s="96" t="n"/>
      <c r="BS406" s="97" t="n"/>
      <c r="BT406" s="96" t="n"/>
      <c r="BU406" s="97" t="n"/>
      <c r="BV406" s="96" t="n"/>
      <c r="BW406" s="97" t="n"/>
      <c r="BX406" s="97" t="n"/>
      <c r="BY406" s="97" t="n"/>
      <c r="BZ406" s="97" t="n"/>
      <c r="CH406" s="2" t="n"/>
      <c r="CI406" s="14" t="n"/>
      <c r="CJ406" s="25" t="n"/>
      <c r="CK406" s="25" t="n"/>
      <c r="CL406" s="25" t="n"/>
      <c r="CM406" s="25" t="n"/>
      <c r="CN406" s="25" t="n"/>
      <c r="CO406" s="25" t="n"/>
      <c r="CP406" s="25" t="n"/>
      <c r="CQ406" s="25" t="n"/>
      <c r="CR406" s="25" t="n"/>
      <c r="CS406" s="25" t="n"/>
      <c r="CT406" s="25" t="n"/>
      <c r="CU406" s="25" t="n"/>
      <c r="CV406" s="25" t="n"/>
      <c r="CW406" s="25" t="n"/>
      <c r="CX406" s="25" t="n"/>
      <c r="CY406" s="25" t="n"/>
      <c r="DC406" s="26" t="n"/>
      <c r="DD406" s="26" t="n"/>
      <c r="DE406" s="26" t="n"/>
      <c r="DF406" s="26" t="n"/>
      <c r="DG406" s="26" t="n"/>
      <c r="DH406" s="27" t="n"/>
      <c r="DJ406" s="211" t="inlineStr">
        <is>
          <t>订单表中未找到</t>
        </is>
      </c>
      <c r="DK406" t="inlineStr">
        <is>
          <t>—</t>
        </is>
      </c>
      <c r="DL406" t="inlineStr">
        <is>
          <t>—</t>
        </is>
      </c>
    </row>
    <row r="407" ht="15.75" customHeight="1" s="187">
      <c r="A407" s="84" t="n">
        <v>45971</v>
      </c>
      <c r="B407" s="206" t="inlineStr">
        <is>
          <t>已收货</t>
        </is>
      </c>
      <c r="C407" s="86" t="inlineStr">
        <is>
          <t>3054249482602788358</t>
        </is>
      </c>
      <c r="D407" s="86" t="inlineStr">
        <is>
          <t>林雯30F</t>
        </is>
      </c>
      <c r="E407" s="87" t="n"/>
      <c r="F407" s="87" t="n"/>
      <c r="G407" s="207" t="inlineStr">
        <is>
          <t>砂白色1.6米岩板餐桌</t>
        </is>
      </c>
      <c r="H407" s="207" t="inlineStr">
        <is>
          <t>榉木餐桌</t>
        </is>
      </c>
      <c r="I407" s="89" t="inlineStr">
        <is>
          <t>160cm*85cm</t>
        </is>
      </c>
      <c r="J407" s="87" t="inlineStr">
        <is>
          <t>已结算</t>
        </is>
      </c>
      <c r="K407" s="86" t="inlineStr">
        <is>
          <t>江西</t>
        </is>
      </c>
      <c r="L407" s="207">
        <f>SUM(M407:AO407)</f>
        <v/>
      </c>
      <c r="M407" s="207">
        <f>1350</f>
        <v/>
      </c>
      <c r="N407" s="207" t="n"/>
      <c r="O407" s="207" t="n"/>
      <c r="P407" s="207" t="n"/>
      <c r="Q407" s="207" t="n"/>
      <c r="R407" s="207" t="n">
        <v>240</v>
      </c>
      <c r="S407" s="207" t="n"/>
      <c r="T407" s="207" t="n"/>
      <c r="U407" s="207" t="n"/>
      <c r="V407" s="207" t="n"/>
      <c r="W407" s="207" t="n"/>
      <c r="X407" s="207" t="n"/>
      <c r="Y407" s="207" t="n"/>
      <c r="Z407" s="207" t="n"/>
      <c r="AA407" s="207" t="n"/>
      <c r="AB407" s="207" t="n"/>
      <c r="AC407" s="207" t="n"/>
      <c r="AD407" s="207" t="n">
        <v>2.5</v>
      </c>
      <c r="AE407" s="207" t="n"/>
      <c r="AF407" s="207" t="n"/>
      <c r="AG407" s="207" t="n"/>
      <c r="AH407" s="207" t="n"/>
      <c r="AI407" s="207" t="n"/>
      <c r="AJ407" s="207" t="n"/>
      <c r="AK407" s="207" t="n"/>
      <c r="AL407" s="207" t="n"/>
      <c r="AM407" s="207" t="n">
        <v>190</v>
      </c>
      <c r="AN407" s="207" t="n"/>
      <c r="AO407" s="207" t="n"/>
      <c r="AP407" s="207" t="n">
        <v>90</v>
      </c>
      <c r="AQ407" s="207" t="n">
        <v>0</v>
      </c>
      <c r="AR407" s="207" t="n">
        <v>0</v>
      </c>
      <c r="AS407" s="207" t="n">
        <v>0</v>
      </c>
      <c r="AT407" s="207" t="n">
        <v>0</v>
      </c>
      <c r="AU407" s="207" t="n">
        <v>0</v>
      </c>
      <c r="AV407" s="207" t="n">
        <v>0</v>
      </c>
      <c r="AW407" s="207" t="n">
        <v>0</v>
      </c>
      <c r="AX407" s="208" t="n">
        <v>1</v>
      </c>
      <c r="AY407" s="209">
        <f>L407*AX407+AP407+AQ407+AR407+AV407+AW407+AS407+AT407+AU407</f>
        <v/>
      </c>
      <c r="AZ407" s="207" t="n">
        <v>2693.41</v>
      </c>
      <c r="BA407" s="207" t="n">
        <v>0</v>
      </c>
      <c r="BB407" s="207">
        <f>AZ407*0.006</f>
        <v/>
      </c>
      <c r="BC407" s="209">
        <f>AZ407+BA407-BB407</f>
        <v/>
      </c>
      <c r="BD407" s="207" t="n">
        <v>0</v>
      </c>
      <c r="BE407" s="207" t="n">
        <v>0</v>
      </c>
      <c r="BF407" s="209">
        <f>BD407+BE407</f>
        <v/>
      </c>
      <c r="BG407" s="209">
        <f>BC407-AY407+BF407</f>
        <v/>
      </c>
      <c r="BH407" s="207" t="inlineStr">
        <is>
          <t>林雯30F</t>
        </is>
      </c>
      <c r="BI407" s="207" t="inlineStr">
        <is>
          <t>上海 上海市 松江区 佘山镇强业路278号海龙仓库HLEH250731E</t>
        </is>
      </c>
      <c r="BJ407" s="207" t="inlineStr">
        <is>
          <t>13122177244-6701</t>
        </is>
      </c>
      <c r="BK407" s="86" t="n"/>
      <c r="BL407" s="210" t="n"/>
      <c r="BM407" s="93" t="n"/>
      <c r="BN407" s="94" t="n"/>
      <c r="BO407" s="93" t="n"/>
      <c r="BP407" s="86" t="n"/>
      <c r="BQ407" s="96" t="n"/>
      <c r="BR407" s="96" t="n"/>
      <c r="BS407" s="97" t="n"/>
      <c r="BT407" s="96" t="n"/>
      <c r="BU407" s="97" t="n"/>
      <c r="BV407" s="96" t="n"/>
      <c r="BW407" s="97" t="n"/>
      <c r="BX407" s="97" t="n"/>
      <c r="BY407" s="97" t="n"/>
      <c r="BZ407" s="97" t="n"/>
      <c r="CH407" s="2" t="n"/>
      <c r="CI407" s="14" t="n"/>
      <c r="CJ407" s="25" t="n"/>
      <c r="CK407" s="25" t="n"/>
      <c r="CL407" s="25" t="n"/>
      <c r="CM407" s="25" t="n"/>
      <c r="CN407" s="25" t="n"/>
      <c r="CO407" s="25" t="n"/>
      <c r="CP407" s="25" t="n"/>
      <c r="CQ407" s="25" t="n"/>
      <c r="CR407" s="25" t="n"/>
      <c r="CS407" s="25" t="n"/>
      <c r="CT407" s="25" t="n"/>
      <c r="CU407" s="25" t="n"/>
      <c r="CV407" s="25" t="n"/>
      <c r="CW407" s="25" t="n"/>
      <c r="CX407" s="25" t="n"/>
      <c r="CY407" s="25" t="n"/>
      <c r="DC407" s="26" t="n"/>
      <c r="DD407" s="26" t="n"/>
      <c r="DE407" s="26" t="n"/>
      <c r="DF407" s="26" t="n"/>
      <c r="DG407" s="26" t="n"/>
      <c r="DH407" s="27" t="n"/>
      <c r="DJ407" s="211" t="inlineStr">
        <is>
          <t>订单表中未找到</t>
        </is>
      </c>
      <c r="DK407" t="inlineStr">
        <is>
          <t>—</t>
        </is>
      </c>
      <c r="DL407" t="inlineStr">
        <is>
          <t>—</t>
        </is>
      </c>
    </row>
    <row r="408" ht="15.75" customHeight="1" s="187">
      <c r="A408" s="84" t="n">
        <v>45971</v>
      </c>
      <c r="B408" s="206" t="inlineStr">
        <is>
          <t>已收货</t>
        </is>
      </c>
      <c r="C408" s="86" t="inlineStr">
        <is>
          <t>4872402183293049141</t>
        </is>
      </c>
      <c r="D408" s="86" t="inlineStr">
        <is>
          <t>刘晓彤</t>
        </is>
      </c>
      <c r="E408" s="87" t="n"/>
      <c r="F408" s="87" t="n"/>
      <c r="G408" s="207" t="inlineStr">
        <is>
          <t>2.1米洞洞板款</t>
        </is>
      </c>
      <c r="H408" s="207" t="inlineStr">
        <is>
          <t>基础餐边柜</t>
        </is>
      </c>
      <c r="I408" s="89" t="n"/>
      <c r="J408" s="87" t="inlineStr">
        <is>
          <t>已结算</t>
        </is>
      </c>
      <c r="K408" s="86" t="inlineStr">
        <is>
          <t>江西</t>
        </is>
      </c>
      <c r="L408" s="207">
        <f>5400+320+655+350+22+10+30.5+2.5+25+10+230+22*4+28+52+450</f>
        <v/>
      </c>
      <c r="M408" s="207">
        <f>5400</f>
        <v/>
      </c>
      <c r="N408" s="207" t="n">
        <v>320</v>
      </c>
      <c r="O408" s="207" t="n">
        <v>655</v>
      </c>
      <c r="P408" s="207" t="n">
        <v>350</v>
      </c>
      <c r="Q408" s="207" t="n"/>
      <c r="R408" s="207" t="n">
        <v>22</v>
      </c>
      <c r="S408" s="207" t="n">
        <v>10</v>
      </c>
      <c r="T408" s="207" t="n">
        <v>30.5</v>
      </c>
      <c r="U408" s="207" t="n"/>
      <c r="V408" s="207" t="n"/>
      <c r="W408" s="207" t="n">
        <v>2.5</v>
      </c>
      <c r="X408" s="207" t="n">
        <v>25</v>
      </c>
      <c r="Y408" s="207" t="n">
        <v>10</v>
      </c>
      <c r="Z408" s="207" t="n"/>
      <c r="AA408" s="207" t="n"/>
      <c r="AB408" s="207" t="n"/>
      <c r="AC408" s="207" t="n">
        <v>450</v>
      </c>
      <c r="AD408" s="207" t="inlineStr">
        <is>
          <t>22*4</t>
        </is>
      </c>
      <c r="AE408" s="207" t="n">
        <v>230</v>
      </c>
      <c r="AF408" s="207" t="n">
        <v>28</v>
      </c>
      <c r="AG408" s="207" t="n"/>
      <c r="AH408" s="207" t="n"/>
      <c r="AI408" s="207" t="n"/>
      <c r="AJ408" s="207" t="n">
        <v>52</v>
      </c>
      <c r="AK408" s="207" t="n"/>
      <c r="AL408" s="207" t="n"/>
      <c r="AM408" s="207" t="n">
        <v>450</v>
      </c>
      <c r="AN408" s="207" t="n"/>
      <c r="AO408" s="207" t="n"/>
      <c r="AP408" s="207">
        <f>826-AQ408</f>
        <v/>
      </c>
      <c r="AQ408" s="207" t="n">
        <v>130</v>
      </c>
      <c r="AR408" s="207" t="n">
        <v>199</v>
      </c>
      <c r="AS408" s="207" t="n">
        <v>0</v>
      </c>
      <c r="AT408" s="207" t="n">
        <v>0</v>
      </c>
      <c r="AU408" s="207" t="n">
        <v>0</v>
      </c>
      <c r="AV408" s="207" t="n">
        <v>0</v>
      </c>
      <c r="AW408" s="207" t="n">
        <v>0</v>
      </c>
      <c r="AX408" s="208" t="n">
        <v>1</v>
      </c>
      <c r="AY408" s="209">
        <f>L408*AX408+AP408+AQ408+AR408+AV408+AW408+AS408+AT408+AU408</f>
        <v/>
      </c>
      <c r="AZ408" s="207" t="n">
        <v>8244.719999999999</v>
      </c>
      <c r="BA408" s="207" t="n">
        <v>0</v>
      </c>
      <c r="BB408" s="207">
        <f>AZ408*0.006</f>
        <v/>
      </c>
      <c r="BC408" s="209">
        <f>AZ408+BA408-BB408</f>
        <v/>
      </c>
      <c r="BD408" s="207" t="n">
        <v>0</v>
      </c>
      <c r="BE408" s="207" t="n">
        <v>0</v>
      </c>
      <c r="BF408" s="209">
        <f>BD408+BE408</f>
        <v/>
      </c>
      <c r="BG408" s="209">
        <f>BC408-AY408+BF408</f>
        <v/>
      </c>
      <c r="BH408" s="207" t="inlineStr">
        <is>
          <t>刘晓彤</t>
        </is>
      </c>
      <c r="BI408" s="207" t="inlineStr">
        <is>
          <t>北京 北京市 丰台区 成寿寺街道东叁金茂府1期6号楼1602</t>
        </is>
      </c>
      <c r="BJ408" s="207" t="inlineStr">
        <is>
          <t>18400753211-5073</t>
        </is>
      </c>
      <c r="BK408" s="86" t="n"/>
      <c r="BL408" s="210" t="n"/>
      <c r="BM408" s="93" t="n"/>
      <c r="BN408" s="94" t="n"/>
      <c r="BO408" s="93" t="n"/>
      <c r="BP408" s="86" t="n"/>
      <c r="BQ408" s="96" t="n"/>
      <c r="BR408" s="96" t="n"/>
      <c r="BS408" s="97" t="n"/>
      <c r="BT408" s="96" t="n"/>
      <c r="BU408" s="97" t="n"/>
      <c r="BV408" s="96" t="n"/>
      <c r="BW408" s="97" t="n"/>
      <c r="BX408" s="97" t="n"/>
      <c r="BY408" s="97" t="n"/>
      <c r="BZ408" s="97" t="n"/>
      <c r="CH408" s="2" t="n"/>
      <c r="CI408" s="14" t="n"/>
      <c r="CJ408" s="25" t="n"/>
      <c r="CK408" s="25" t="n"/>
      <c r="CL408" s="25" t="n"/>
      <c r="CM408" s="25" t="n"/>
      <c r="CN408" s="25" t="n"/>
      <c r="CO408" s="25" t="n"/>
      <c r="CP408" s="25" t="n"/>
      <c r="CQ408" s="25" t="n"/>
      <c r="CR408" s="25" t="n"/>
      <c r="CS408" s="25" t="n"/>
      <c r="CT408" s="25" t="n"/>
      <c r="CU408" s="25" t="n"/>
      <c r="CV408" s="25" t="n"/>
      <c r="CW408" s="25" t="n"/>
      <c r="CX408" s="25" t="n"/>
      <c r="CY408" s="25" t="n"/>
      <c r="DC408" s="26" t="n"/>
      <c r="DD408" s="26" t="n"/>
      <c r="DE408" s="26" t="n"/>
      <c r="DF408" s="26" t="n"/>
      <c r="DG408" s="26" t="n"/>
      <c r="DH408" s="27" t="n"/>
      <c r="DJ408" s="211" t="inlineStr">
        <is>
          <t>订单表中未找到</t>
        </is>
      </c>
      <c r="DK408" t="inlineStr">
        <is>
          <t>—</t>
        </is>
      </c>
      <c r="DL408" t="inlineStr">
        <is>
          <t>—</t>
        </is>
      </c>
    </row>
    <row r="409" ht="15.75" customHeight="1" s="187">
      <c r="A409" s="84" t="n">
        <v>45972</v>
      </c>
      <c r="B409" s="206" t="inlineStr">
        <is>
          <t>已收货</t>
        </is>
      </c>
      <c r="C409" s="86" t="inlineStr">
        <is>
          <t>3055037414612092963</t>
        </is>
      </c>
      <c r="D409" s="86" t="inlineStr">
        <is>
          <t>严淘宝</t>
        </is>
      </c>
      <c r="E409" s="87" t="n"/>
      <c r="F409" s="87" t="n"/>
      <c r="G409" s="207" t="inlineStr">
        <is>
          <t>窄柜-整柜洞石背板-0.8米</t>
        </is>
      </c>
      <c r="H409" s="207" t="inlineStr">
        <is>
          <t>樱桃木窄柜</t>
        </is>
      </c>
      <c r="I409" s="89" t="n">
        <v>800</v>
      </c>
      <c r="J409" s="87" t="inlineStr">
        <is>
          <t>已结算</t>
        </is>
      </c>
      <c r="K409" s="86" t="inlineStr">
        <is>
          <t>江西</t>
        </is>
      </c>
      <c r="L409" s="207">
        <f>115+1.16+3.37+3300+1.1+1.03+60/2+4+307.08+52+3+160+10+150+40</f>
        <v/>
      </c>
      <c r="M409" s="207" t="n">
        <v>3300</v>
      </c>
      <c r="N409" s="207">
        <f>0.758*260+2*55</f>
        <v/>
      </c>
      <c r="O409" s="207">
        <f>115</f>
        <v/>
      </c>
      <c r="P409" s="207" t="n"/>
      <c r="Q409" s="207" t="n">
        <v>30</v>
      </c>
      <c r="R409" s="207" t="n"/>
      <c r="S409" s="207" t="n"/>
      <c r="T409" s="207" t="n">
        <v>21947</v>
      </c>
      <c r="U409" s="207" t="n"/>
      <c r="V409" s="207" t="n">
        <v>4</v>
      </c>
      <c r="W409" s="207" t="n"/>
      <c r="X409" s="207" t="n">
        <v>307.08</v>
      </c>
      <c r="Y409" s="207" t="n">
        <v>52</v>
      </c>
      <c r="Z409" s="207" t="n"/>
      <c r="AA409" s="207" t="n"/>
      <c r="AB409" s="207" t="n"/>
      <c r="AC409" s="207" t="n">
        <v>40</v>
      </c>
      <c r="AD409" s="207" t="n">
        <v>160</v>
      </c>
      <c r="AE409" s="207" t="n">
        <v>3</v>
      </c>
      <c r="AF409" s="207" t="n">
        <v>10</v>
      </c>
      <c r="AG409" s="207" t="n"/>
      <c r="AH409" s="207" t="n"/>
      <c r="AI409" s="207" t="n"/>
      <c r="AJ409" s="207" t="n"/>
      <c r="AK409" s="207" t="n"/>
      <c r="AL409" s="207" t="n"/>
      <c r="AM409" s="207" t="n">
        <v>150</v>
      </c>
      <c r="AN409" s="207" t="n"/>
      <c r="AO409" s="207" t="n"/>
      <c r="AP409" s="207" t="n">
        <v>165</v>
      </c>
      <c r="AQ409" s="207" t="n">
        <v>0</v>
      </c>
      <c r="AR409" s="207" t="n">
        <v>90</v>
      </c>
      <c r="AS409" s="207" t="n">
        <v>0</v>
      </c>
      <c r="AT409" s="207" t="n">
        <v>0</v>
      </c>
      <c r="AU409" s="207" t="n">
        <v>0</v>
      </c>
      <c r="AV409" s="207" t="n">
        <v>0</v>
      </c>
      <c r="AW409" s="207" t="n">
        <v>0</v>
      </c>
      <c r="AX409" s="208" t="n">
        <v>1</v>
      </c>
      <c r="AY409" s="209">
        <f>L409*AX409+AP409+AQ409+AR409+AV409+AW409+AS409+AT409+AU409</f>
        <v/>
      </c>
      <c r="AZ409" s="207" t="n">
        <v>4824.5</v>
      </c>
      <c r="BA409" s="207" t="n">
        <v>0</v>
      </c>
      <c r="BB409" s="207">
        <f>AZ409*0.006</f>
        <v/>
      </c>
      <c r="BC409" s="209">
        <f>AZ409+BA409-BB409</f>
        <v/>
      </c>
      <c r="BD409" s="207" t="n">
        <v>0</v>
      </c>
      <c r="BE409" s="207" t="n">
        <v>0</v>
      </c>
      <c r="BF409" s="209">
        <f>BD409+BE409</f>
        <v/>
      </c>
      <c r="BG409" s="209">
        <f>BC409-AY409+BF409</f>
        <v/>
      </c>
      <c r="BH409" s="86" t="inlineStr">
        <is>
          <t>严淘宝</t>
        </is>
      </c>
      <c r="BI409" s="86" t="inlineStr">
        <is>
          <t>江苏省 南通市 海安市 海安街道海安悦珑庭</t>
        </is>
      </c>
      <c r="BJ409" s="86" t="inlineStr">
        <is>
          <t>17834703024-5680</t>
        </is>
      </c>
      <c r="BK409" s="86" t="n"/>
      <c r="BL409" s="210" t="n"/>
      <c r="BM409" s="93" t="n"/>
      <c r="BN409" s="94" t="n"/>
      <c r="BO409" s="93" t="n"/>
      <c r="BP409" s="86" t="n"/>
      <c r="BQ409" s="96" t="n"/>
      <c r="BR409" s="96" t="n"/>
      <c r="BS409" s="97" t="n"/>
      <c r="BT409" s="96" t="n"/>
      <c r="BU409" s="97" t="n"/>
      <c r="BV409" s="96" t="n"/>
      <c r="BW409" s="97" t="n"/>
      <c r="BX409" s="97" t="n"/>
      <c r="BY409" s="97" t="n"/>
      <c r="BZ409" s="97" t="n"/>
      <c r="CH409" s="2" t="n"/>
      <c r="CI409" s="14" t="n"/>
      <c r="CJ409" s="25" t="n"/>
      <c r="CK409" s="25" t="n"/>
      <c r="CL409" s="25" t="n"/>
      <c r="CM409" s="25" t="n"/>
      <c r="CN409" s="25" t="n"/>
      <c r="CO409" s="25" t="n"/>
      <c r="CP409" s="25" t="n"/>
      <c r="CQ409" s="25" t="n"/>
      <c r="CR409" s="25" t="n"/>
      <c r="CS409" s="25" t="n"/>
      <c r="CT409" s="25" t="n"/>
      <c r="CU409" s="25" t="n"/>
      <c r="CV409" s="25" t="n"/>
      <c r="CW409" s="25" t="n"/>
      <c r="CX409" s="25" t="n"/>
      <c r="CY409" s="25" t="n"/>
      <c r="DC409" s="26" t="n"/>
      <c r="DD409" s="26" t="n"/>
      <c r="DE409" s="26" t="n"/>
      <c r="DF409" s="26" t="n"/>
      <c r="DG409" s="26" t="n"/>
      <c r="DH409" s="27" t="n"/>
      <c r="DJ409" s="211" t="inlineStr">
        <is>
          <t>订单表中未找到</t>
        </is>
      </c>
      <c r="DK409" t="inlineStr">
        <is>
          <t>—</t>
        </is>
      </c>
      <c r="DL409" t="inlineStr">
        <is>
          <t>—</t>
        </is>
      </c>
    </row>
    <row r="410" ht="15.75" customHeight="1" s="187">
      <c r="A410" s="84" t="n">
        <v>45972</v>
      </c>
      <c r="B410" s="206" t="inlineStr">
        <is>
          <t>已收货</t>
        </is>
      </c>
      <c r="C410" s="86" t="inlineStr">
        <is>
          <t>4873592377128930109</t>
        </is>
      </c>
      <c r="D410" s="86" t="inlineStr">
        <is>
          <t>杨坤鹏转余栋</t>
        </is>
      </c>
      <c r="E410" s="87" t="n"/>
      <c r="F410" s="87" t="n"/>
      <c r="G410" s="87" t="inlineStr">
        <is>
          <t>1.8黑色背板洞石柜</t>
        </is>
      </c>
      <c r="H410" s="207" t="inlineStr">
        <is>
          <t>洞石餐边柜</t>
        </is>
      </c>
      <c r="I410" s="89" t="n">
        <v>1800</v>
      </c>
      <c r="J410" s="87" t="inlineStr">
        <is>
          <t>已结算</t>
        </is>
      </c>
      <c r="K410" s="86" t="inlineStr">
        <is>
          <t>江西</t>
        </is>
      </c>
      <c r="L410" s="207">
        <f>6080+80+2550/6/1.5+579.08+390+10+14+22*7+580+82</f>
        <v/>
      </c>
      <c r="M410" s="207">
        <f>6080</f>
        <v/>
      </c>
      <c r="N410" s="207" t="n">
        <v>80</v>
      </c>
      <c r="O410" s="207" t="inlineStr">
        <is>
          <t>2550/6/1.5</t>
        </is>
      </c>
      <c r="P410" s="207" t="n">
        <v>579.08</v>
      </c>
      <c r="Q410" s="207" t="n"/>
      <c r="R410" s="207" t="n">
        <v>390</v>
      </c>
      <c r="S410" s="207" t="n">
        <v>10</v>
      </c>
      <c r="T410" s="207" t="n">
        <v>14</v>
      </c>
      <c r="U410" s="207" t="n"/>
      <c r="V410" s="207" t="n"/>
      <c r="W410" s="207" t="inlineStr">
        <is>
          <t>22*7</t>
        </is>
      </c>
      <c r="X410" s="207" t="n">
        <v>580</v>
      </c>
      <c r="Y410" s="207" t="n">
        <v>82</v>
      </c>
      <c r="Z410" s="207" t="n"/>
      <c r="AA410" s="207" t="n"/>
      <c r="AB410" s="207" t="n"/>
      <c r="AC410" s="207" t="n"/>
      <c r="AD410" s="207" t="n"/>
      <c r="AE410" s="207" t="n"/>
      <c r="AF410" s="207" t="n"/>
      <c r="AG410" s="207" t="n"/>
      <c r="AH410" s="207" t="n"/>
      <c r="AI410" s="207" t="n"/>
      <c r="AJ410" s="207" t="n"/>
      <c r="AK410" s="207" t="n"/>
      <c r="AL410" s="207" t="n"/>
      <c r="AM410" s="207" t="n">
        <v>390</v>
      </c>
      <c r="AN410" s="207" t="n"/>
      <c r="AO410" s="207" t="n"/>
      <c r="AP410" s="121" t="n">
        <v>350</v>
      </c>
      <c r="AQ410" s="121" t="n">
        <v>30</v>
      </c>
      <c r="AR410" s="121" t="n">
        <v>80</v>
      </c>
      <c r="AS410" s="207" t="n">
        <v>0</v>
      </c>
      <c r="AT410" s="207" t="n">
        <v>0</v>
      </c>
      <c r="AU410" s="207" t="n">
        <v>0</v>
      </c>
      <c r="AV410" s="207" t="n">
        <v>0</v>
      </c>
      <c r="AW410" s="207" t="n">
        <v>0</v>
      </c>
      <c r="AX410" s="208" t="n">
        <v>1</v>
      </c>
      <c r="AY410" s="209">
        <f>L410*AX410+AP410+AQ410+AR410+AV410+AW410+AS410+AT410+AU410</f>
        <v/>
      </c>
      <c r="AZ410" s="207" t="n">
        <v>10497.36</v>
      </c>
      <c r="BA410" s="207" t="n">
        <v>0</v>
      </c>
      <c r="BB410" s="207">
        <f>AZ410*0.006</f>
        <v/>
      </c>
      <c r="BC410" s="209">
        <f>AZ410+BA410-BB410</f>
        <v/>
      </c>
      <c r="BD410" s="207" t="n">
        <v>0</v>
      </c>
      <c r="BE410" s="207" t="n">
        <v>0</v>
      </c>
      <c r="BF410" s="209">
        <f>BD410+BE410</f>
        <v/>
      </c>
      <c r="BG410" s="209">
        <f>BC410-AY410+BF410</f>
        <v/>
      </c>
      <c r="BH410" s="207" t="inlineStr">
        <is>
          <t>杨坤鹏转余栋</t>
        </is>
      </c>
      <c r="BI410" s="207" t="inlineStr">
        <is>
          <t>广东省 广州市 白云区 江高镇夏花三路498号部队路A14仓 （YD502-SIN）</t>
        </is>
      </c>
      <c r="BJ410" s="207" t="inlineStr">
        <is>
          <t>14749678969-1705</t>
        </is>
      </c>
      <c r="BK410" s="86" t="n"/>
      <c r="BL410" s="210" t="n"/>
      <c r="BM410" s="93" t="n"/>
      <c r="BN410" s="94" t="n"/>
      <c r="BO410" s="93" t="n"/>
      <c r="BP410" s="86" t="n"/>
      <c r="BQ410" s="96" t="n"/>
      <c r="BR410" s="96" t="n"/>
      <c r="BS410" s="97" t="n"/>
      <c r="BT410" s="96" t="n"/>
      <c r="BU410" s="97" t="n"/>
      <c r="BV410" s="96" t="n"/>
      <c r="BW410" s="97" t="n"/>
      <c r="BX410" s="97" t="n"/>
      <c r="BY410" s="97" t="n"/>
      <c r="BZ410" s="97" t="n"/>
      <c r="CH410" s="2" t="n"/>
      <c r="CI410" s="14" t="n"/>
      <c r="CJ410" s="25" t="n"/>
      <c r="CK410" s="25" t="n"/>
      <c r="CL410" s="25" t="n"/>
      <c r="CM410" s="25" t="n"/>
      <c r="CN410" s="25" t="n"/>
      <c r="CO410" s="25" t="n"/>
      <c r="CP410" s="25" t="n"/>
      <c r="CQ410" s="25" t="n"/>
      <c r="CR410" s="25" t="n"/>
      <c r="CS410" s="25" t="n"/>
      <c r="CT410" s="25" t="n"/>
      <c r="CU410" s="25" t="n"/>
      <c r="CV410" s="25" t="n"/>
      <c r="CW410" s="25" t="n"/>
      <c r="CX410" s="25" t="n"/>
      <c r="CY410" s="25" t="n"/>
      <c r="DC410" s="26" t="n"/>
      <c r="DD410" s="26" t="n"/>
      <c r="DE410" s="26" t="n"/>
      <c r="DF410" s="26" t="n"/>
      <c r="DG410" s="26" t="n"/>
      <c r="DH410" s="27" t="n"/>
      <c r="DJ410" s="211" t="inlineStr">
        <is>
          <t>订单表中未找到</t>
        </is>
      </c>
      <c r="DK410" t="inlineStr">
        <is>
          <t>—</t>
        </is>
      </c>
      <c r="DL410" t="inlineStr">
        <is>
          <t>—</t>
        </is>
      </c>
    </row>
    <row r="411" ht="15.75" customHeight="1" s="187">
      <c r="A411" s="84" t="n">
        <v>45972</v>
      </c>
      <c r="B411" s="226" t="inlineStr">
        <is>
          <t>未发货</t>
        </is>
      </c>
      <c r="C411" s="86" t="inlineStr">
        <is>
          <t>3055457355359207296</t>
        </is>
      </c>
      <c r="D411" s="86" t="inlineStr">
        <is>
          <t>舟舟</t>
        </is>
      </c>
      <c r="E411" s="87" t="n"/>
      <c r="F411" s="87" t="n"/>
      <c r="G411" s="207" t="inlineStr">
        <is>
          <t>窄柜-整柜洞石背板-1.0米</t>
        </is>
      </c>
      <c r="H411" s="207" t="inlineStr">
        <is>
          <t>樱桃木窄柜</t>
        </is>
      </c>
      <c r="I411" s="89" t="n">
        <v>1000</v>
      </c>
      <c r="J411" s="87" t="n"/>
      <c r="K411" s="86" t="inlineStr">
        <is>
          <t>江西</t>
        </is>
      </c>
      <c r="L411" s="207">
        <f>3300+125+190+1.16+3.37+1.1+1.03+76/2+5+359.08+52+170</f>
        <v/>
      </c>
      <c r="M411" s="207">
        <f>3300</f>
        <v/>
      </c>
      <c r="N411" s="207">
        <f>0.958*260+2*55</f>
        <v/>
      </c>
      <c r="O411" s="207" t="n">
        <v>120</v>
      </c>
      <c r="P411" s="207" t="n"/>
      <c r="Q411" s="207">
        <f>19*2</f>
        <v/>
      </c>
      <c r="R411" s="207" t="n">
        <v>190</v>
      </c>
      <c r="S411" s="207" t="n">
        <v>54</v>
      </c>
      <c r="T411" s="207" t="n">
        <v>52</v>
      </c>
      <c r="U411" s="207" t="n"/>
      <c r="V411" s="207" t="n">
        <v>5</v>
      </c>
      <c r="W411" s="207" t="n"/>
      <c r="X411" s="207" t="n"/>
      <c r="Y411" s="207" t="n"/>
      <c r="Z411" s="207" t="n"/>
      <c r="AA411" s="207" t="n">
        <v>2</v>
      </c>
      <c r="AB411" s="207" t="n">
        <v>1.1</v>
      </c>
      <c r="AC411" s="207" t="n">
        <v>3.5</v>
      </c>
      <c r="AD411" s="207" t="n"/>
      <c r="AE411" s="207" t="n"/>
      <c r="AF411" s="207" t="n"/>
      <c r="AG411" s="207" t="n"/>
      <c r="AH411" s="207" t="n"/>
      <c r="AI411" s="207" t="n"/>
      <c r="AJ411" s="207" t="n"/>
      <c r="AK411" s="207" t="n"/>
      <c r="AL411" s="207" t="n"/>
      <c r="AM411" s="207" t="n">
        <v>170</v>
      </c>
      <c r="AN411" s="207" t="n"/>
      <c r="AO411" s="207" t="n"/>
      <c r="AP411" s="121" t="n">
        <v>350</v>
      </c>
      <c r="AQ411" s="121" t="n">
        <v>30</v>
      </c>
      <c r="AR411" s="121" t="n">
        <v>80</v>
      </c>
      <c r="AS411" s="207" t="n">
        <v>0</v>
      </c>
      <c r="AT411" s="207" t="n">
        <v>0</v>
      </c>
      <c r="AU411" s="207" t="n">
        <v>0</v>
      </c>
      <c r="AV411" s="207" t="n">
        <v>0</v>
      </c>
      <c r="AW411" s="207" t="n">
        <v>0</v>
      </c>
      <c r="AX411" s="208" t="n">
        <v>1</v>
      </c>
      <c r="AY411" s="209">
        <f>L411*AX411+AP411+AQ411+AR411+AV411+AW411+AS411+AT411+AU411</f>
        <v/>
      </c>
      <c r="AZ411" s="207" t="n">
        <v>5156.5</v>
      </c>
      <c r="BA411" s="207" t="n">
        <v>0</v>
      </c>
      <c r="BB411" s="207">
        <f>AZ411*0.006</f>
        <v/>
      </c>
      <c r="BC411" s="209">
        <f>AZ411+BA411-BB411</f>
        <v/>
      </c>
      <c r="BD411" s="207" t="n">
        <v>0</v>
      </c>
      <c r="BE411" s="207" t="n">
        <v>0</v>
      </c>
      <c r="BF411" s="209">
        <f>BD411+BE411</f>
        <v/>
      </c>
      <c r="BG411" s="209">
        <f>BC411-AY411+BF411</f>
        <v/>
      </c>
      <c r="BH411" s="207" t="inlineStr">
        <is>
          <t>舟舟</t>
        </is>
      </c>
      <c r="BI411" s="207" t="inlineStr">
        <is>
          <t>上海 上海市 长宁区 新华路街道法华镇路751弄西镇小区18号楼601室(000000)</t>
        </is>
      </c>
      <c r="BJ411" s="207" t="inlineStr">
        <is>
          <t>18466658942-6583</t>
        </is>
      </c>
      <c r="BK411" s="86" t="n"/>
      <c r="BL411" s="210" t="n"/>
      <c r="BM411" s="93" t="n"/>
      <c r="BN411" s="94" t="n"/>
      <c r="BO411" s="93" t="n"/>
      <c r="BP411" s="86" t="n"/>
      <c r="BQ411" s="96" t="n"/>
      <c r="BR411" s="96" t="n"/>
      <c r="BS411" s="97" t="n"/>
      <c r="BT411" s="96" t="n"/>
      <c r="BU411" s="97" t="n"/>
      <c r="BV411" s="96" t="n"/>
      <c r="BW411" s="97" t="n"/>
      <c r="BX411" s="97" t="n"/>
      <c r="BY411" s="97" t="n"/>
      <c r="BZ411" s="97" t="n"/>
      <c r="CH411" s="2" t="n"/>
      <c r="CI411" s="14" t="n"/>
      <c r="CJ411" s="25" t="n"/>
      <c r="CK411" s="25" t="n"/>
      <c r="CL411" s="25" t="n"/>
      <c r="CM411" s="25" t="n"/>
      <c r="CN411" s="25" t="n"/>
      <c r="CO411" s="25" t="n"/>
      <c r="CP411" s="25" t="n"/>
      <c r="CQ411" s="25" t="n"/>
      <c r="CR411" s="25" t="n"/>
      <c r="CS411" s="25" t="n"/>
      <c r="CT411" s="25" t="n"/>
      <c r="CU411" s="25" t="n"/>
      <c r="CV411" s="25" t="n"/>
      <c r="CW411" s="25" t="n"/>
      <c r="CX411" s="25" t="n"/>
      <c r="CY411" s="25" t="n"/>
      <c r="DC411" s="26" t="n"/>
      <c r="DD411" s="26" t="n"/>
      <c r="DE411" s="26" t="n"/>
      <c r="DF411" s="26" t="n"/>
      <c r="DG411" s="26" t="n"/>
      <c r="DH411" s="27" t="n"/>
      <c r="DJ411" s="211" t="inlineStr">
        <is>
          <t>订单表中未找到</t>
        </is>
      </c>
      <c r="DK411" t="inlineStr">
        <is>
          <t>—</t>
        </is>
      </c>
      <c r="DL411" t="inlineStr">
        <is>
          <t>—</t>
        </is>
      </c>
    </row>
    <row r="412" ht="15.75" customHeight="1" s="187">
      <c r="A412" s="84" t="n">
        <v>45972</v>
      </c>
      <c r="B412" s="206" t="inlineStr">
        <is>
          <t>已收货</t>
        </is>
      </c>
      <c r="C412" s="86" t="inlineStr">
        <is>
          <t>4873599577469930109</t>
        </is>
      </c>
      <c r="D412" s="86" t="inlineStr">
        <is>
          <t>杨坤鹏转余栋</t>
        </is>
      </c>
      <c r="E412" s="87" t="n"/>
      <c r="F412" s="87" t="n"/>
      <c r="G412" s="207" t="inlineStr">
        <is>
          <t>补差价</t>
        </is>
      </c>
      <c r="H412" s="207" t="n"/>
      <c r="I412" s="89" t="n"/>
      <c r="J412" s="87" t="n"/>
      <c r="K412" s="86" t="inlineStr">
        <is>
          <t>江西</t>
        </is>
      </c>
      <c r="L412" s="207" t="n">
        <v>0</v>
      </c>
      <c r="M412" s="207" t="n">
        <v>0</v>
      </c>
      <c r="N412" s="207" t="n"/>
      <c r="O412" s="207" t="n"/>
      <c r="P412" s="207" t="n"/>
      <c r="Q412" s="207" t="n"/>
      <c r="R412" s="207" t="n"/>
      <c r="S412" s="207" t="n"/>
      <c r="T412" s="207" t="n"/>
      <c r="U412" s="207" t="n"/>
      <c r="V412" s="207" t="n"/>
      <c r="W412" s="207" t="n"/>
      <c r="X412" s="207" t="n"/>
      <c r="Y412" s="207" t="n"/>
      <c r="Z412" s="207" t="n"/>
      <c r="AA412" s="207" t="n"/>
      <c r="AB412" s="207" t="n"/>
      <c r="AC412" s="207" t="n"/>
      <c r="AD412" s="207" t="n"/>
      <c r="AE412" s="207" t="n"/>
      <c r="AF412" s="207" t="n"/>
      <c r="AG412" s="207" t="n"/>
      <c r="AH412" s="207" t="n"/>
      <c r="AI412" s="207" t="n"/>
      <c r="AJ412" s="207" t="n"/>
      <c r="AK412" s="207" t="n"/>
      <c r="AL412" s="207" t="n"/>
      <c r="AM412" s="207" t="n"/>
      <c r="AN412" s="207" t="n"/>
      <c r="AO412" s="207" t="n"/>
      <c r="AP412" s="207" t="n">
        <v>0</v>
      </c>
      <c r="AQ412" s="207" t="n">
        <v>0</v>
      </c>
      <c r="AR412" s="207" t="n">
        <v>0</v>
      </c>
      <c r="AS412" s="207" t="n">
        <v>0</v>
      </c>
      <c r="AT412" s="207" t="n">
        <v>0</v>
      </c>
      <c r="AU412" s="207" t="n">
        <v>0</v>
      </c>
      <c r="AV412" s="207" t="n">
        <v>0</v>
      </c>
      <c r="AW412" s="207" t="n">
        <v>0</v>
      </c>
      <c r="AX412" s="208" t="n">
        <v>1</v>
      </c>
      <c r="AY412" s="209">
        <f>L412*AX412+AP412+AQ412+AR412+AV412+AW412+AS412+AT412+AU412</f>
        <v/>
      </c>
      <c r="AZ412" s="207" t="n">
        <v>175</v>
      </c>
      <c r="BA412" s="207" t="n">
        <v>0</v>
      </c>
      <c r="BB412" s="207">
        <f>AZ412*0.006</f>
        <v/>
      </c>
      <c r="BC412" s="209">
        <f>AZ412+BA412-BB412</f>
        <v/>
      </c>
      <c r="BD412" s="207" t="n">
        <v>0</v>
      </c>
      <c r="BE412" s="207" t="n">
        <v>0</v>
      </c>
      <c r="BF412" s="209">
        <f>BD412+BE412</f>
        <v/>
      </c>
      <c r="BG412" s="209">
        <f>BC412-AY412+BF412</f>
        <v/>
      </c>
      <c r="BH412" s="86" t="inlineStr">
        <is>
          <t>杨坤鹏转余栋</t>
        </is>
      </c>
      <c r="BI412" s="86" t="inlineStr">
        <is>
          <t>广东省 广州市 白云区 江高镇夏花三路498号部队路A14仓 （YD502-SIN）</t>
        </is>
      </c>
      <c r="BJ412" s="86" t="inlineStr">
        <is>
          <t>14749678969-1705</t>
        </is>
      </c>
      <c r="BK412" s="86" t="n"/>
      <c r="BL412" s="210" t="n"/>
      <c r="BM412" s="93" t="n"/>
      <c r="BN412" s="94" t="n"/>
      <c r="BO412" s="93" t="n"/>
      <c r="BP412" s="86" t="n"/>
      <c r="BQ412" s="96" t="n"/>
      <c r="BR412" s="96" t="n"/>
      <c r="BS412" s="97" t="n"/>
      <c r="BT412" s="96" t="n"/>
      <c r="BU412" s="97" t="n"/>
      <c r="BV412" s="96" t="n"/>
      <c r="BW412" s="97" t="n"/>
      <c r="BX412" s="97" t="n"/>
      <c r="BY412" s="97" t="n"/>
      <c r="BZ412" s="97" t="n"/>
      <c r="CH412" s="2" t="n"/>
      <c r="CI412" s="14" t="n"/>
      <c r="CJ412" s="25" t="n"/>
      <c r="CK412" s="25" t="n"/>
      <c r="CL412" s="25" t="n"/>
      <c r="CM412" s="25" t="n"/>
      <c r="CN412" s="25" t="n"/>
      <c r="CO412" s="25" t="n"/>
      <c r="CP412" s="25" t="n"/>
      <c r="CQ412" s="25" t="n"/>
      <c r="CR412" s="25" t="n"/>
      <c r="CS412" s="25" t="n"/>
      <c r="CT412" s="25" t="n"/>
      <c r="CU412" s="25" t="n"/>
      <c r="CV412" s="25" t="n"/>
      <c r="CW412" s="25" t="n"/>
      <c r="CX412" s="25" t="n"/>
      <c r="CY412" s="25" t="n"/>
      <c r="DC412" s="26" t="n"/>
      <c r="DD412" s="26" t="n"/>
      <c r="DE412" s="26" t="n"/>
      <c r="DF412" s="26" t="n"/>
      <c r="DG412" s="26" t="n"/>
      <c r="DH412" s="27" t="n"/>
      <c r="DJ412" s="211" t="inlineStr">
        <is>
          <t>订单表中未找到</t>
        </is>
      </c>
      <c r="DK412" t="inlineStr">
        <is>
          <t>—</t>
        </is>
      </c>
      <c r="DL412" t="inlineStr">
        <is>
          <t>—</t>
        </is>
      </c>
    </row>
    <row r="413" ht="15.75" customHeight="1" s="187">
      <c r="A413" s="84" t="n">
        <v>45972</v>
      </c>
      <c r="B413" s="206" t="inlineStr">
        <is>
          <t>已收货</t>
        </is>
      </c>
      <c r="C413" s="86" t="inlineStr">
        <is>
          <t>4874185801635993306</t>
        </is>
      </c>
      <c r="D413" s="110" t="inlineStr">
        <is>
          <t>曾瓊萩</t>
        </is>
      </c>
      <c r="E413" s="87" t="n"/>
      <c r="F413" s="87" t="n"/>
      <c r="G413" s="207" t="inlineStr">
        <is>
          <t>2.1基础柜洞洞板</t>
        </is>
      </c>
      <c r="H413" s="207" t="inlineStr">
        <is>
          <t>基础餐边柜</t>
        </is>
      </c>
      <c r="I413" s="89" t="n"/>
      <c r="J413" s="87" t="inlineStr">
        <is>
          <t>已结算</t>
        </is>
      </c>
      <c r="K413" s="86" t="inlineStr">
        <is>
          <t>江西</t>
        </is>
      </c>
      <c r="L413" s="207">
        <f>5400+320+655+350+22+10+30.5+2.5+20.5+25+10+230+22*4+470+230+28+52+700</f>
        <v/>
      </c>
      <c r="M413" s="207">
        <f>5400</f>
        <v/>
      </c>
      <c r="N413" s="207" t="n">
        <v>320</v>
      </c>
      <c r="O413" s="207" t="n">
        <v>655</v>
      </c>
      <c r="P413" s="207" t="n">
        <v>350</v>
      </c>
      <c r="Q413" s="207" t="n"/>
      <c r="R413" s="207" t="n">
        <v>22</v>
      </c>
      <c r="S413" s="207" t="n">
        <v>10</v>
      </c>
      <c r="T413" s="207" t="n">
        <v>30.5</v>
      </c>
      <c r="U413" s="207" t="n"/>
      <c r="V413" s="207" t="n"/>
      <c r="W413" s="207" t="n">
        <v>2.5</v>
      </c>
      <c r="X413" s="207" t="n">
        <v>20.5</v>
      </c>
      <c r="Y413" s="207" t="n">
        <v>25</v>
      </c>
      <c r="Z413" s="207" t="n"/>
      <c r="AA413" s="207" t="n"/>
      <c r="AB413" s="207" t="n"/>
      <c r="AC413" s="207" t="n">
        <v>230</v>
      </c>
      <c r="AD413" s="207" t="n">
        <v>230</v>
      </c>
      <c r="AE413" s="207" t="n">
        <v>10</v>
      </c>
      <c r="AF413" s="207" t="inlineStr">
        <is>
          <t>22*4</t>
        </is>
      </c>
      <c r="AG413" s="207" t="n"/>
      <c r="AH413" s="207" t="n">
        <v>28</v>
      </c>
      <c r="AI413" s="207" t="n">
        <v>52</v>
      </c>
      <c r="AJ413" s="207" t="n">
        <v>470</v>
      </c>
      <c r="AK413" s="207" t="n">
        <v>700</v>
      </c>
      <c r="AL413" s="207" t="n"/>
      <c r="AM413" s="207">
        <f>470+230</f>
        <v/>
      </c>
      <c r="AN413" s="207" t="n"/>
      <c r="AO413" s="207" t="n"/>
      <c r="AP413" s="207">
        <f>493+85+594-AQ413</f>
        <v/>
      </c>
      <c r="AQ413" s="207">
        <f>30+30+185</f>
        <v/>
      </c>
      <c r="AR413" s="207" t="n">
        <v>0</v>
      </c>
      <c r="AS413" s="207" t="n">
        <v>0</v>
      </c>
      <c r="AT413" s="207" t="n">
        <v>0</v>
      </c>
      <c r="AU413" s="207" t="n">
        <v>0</v>
      </c>
      <c r="AV413" s="207" t="n">
        <v>0</v>
      </c>
      <c r="AW413" s="207" t="n">
        <v>0</v>
      </c>
      <c r="AX413" s="208" t="n">
        <v>1</v>
      </c>
      <c r="AY413" s="209">
        <f>L413*AX413+AP413+AQ413+AR413+AV413+AW413+AS413+AT413+AU413</f>
        <v/>
      </c>
      <c r="AZ413" s="207" t="n">
        <v>8244.719999999999</v>
      </c>
      <c r="BA413" s="207" t="n">
        <v>0</v>
      </c>
      <c r="BB413" s="207">
        <f>AZ413*0.006</f>
        <v/>
      </c>
      <c r="BC413" s="209">
        <f>AZ413+BA413-BB413</f>
        <v/>
      </c>
      <c r="BD413" s="207" t="n">
        <v>0</v>
      </c>
      <c r="BE413" s="207" t="n">
        <v>0</v>
      </c>
      <c r="BF413" s="209">
        <f>BD413+BE413</f>
        <v/>
      </c>
      <c r="BG413" s="209">
        <f>BC413-AY413+BF413</f>
        <v/>
      </c>
      <c r="BH413" s="86" t="inlineStr">
        <is>
          <t>曾瓊萩</t>
        </is>
      </c>
      <c r="BI413" s="86" t="inlineStr">
        <is>
          <t>福建省 厦门市 同安区  #AYXWLY9Q#中国/福建省/厦门市/同安区集安路555号逊达洪通物流园B库台湾海运集运@F8M5IJD3</t>
        </is>
      </c>
      <c r="BJ413" s="86" t="n">
        <v>15880251056</v>
      </c>
      <c r="BK413" s="86" t="n"/>
      <c r="BL413" s="210" t="n"/>
      <c r="BM413" s="93" t="n"/>
      <c r="BN413" s="94" t="n"/>
      <c r="BO413" s="93" t="n"/>
      <c r="BP413" s="86" t="n"/>
      <c r="BQ413" s="96" t="n"/>
      <c r="BR413" s="96" t="n"/>
      <c r="BS413" s="97" t="n"/>
      <c r="BT413" s="96" t="n"/>
      <c r="BU413" s="97" t="n"/>
      <c r="BV413" s="96" t="n"/>
      <c r="BW413" s="97" t="n"/>
      <c r="BX413" s="97" t="n"/>
      <c r="BY413" s="97" t="n"/>
      <c r="BZ413" s="97" t="n"/>
      <c r="CH413" s="2" t="n"/>
      <c r="CI413" s="14" t="n"/>
      <c r="CJ413" s="25" t="n"/>
      <c r="CK413" s="25" t="n"/>
      <c r="CL413" s="25" t="n"/>
      <c r="CM413" s="25" t="n"/>
      <c r="CN413" s="25" t="n"/>
      <c r="CO413" s="25" t="n"/>
      <c r="CP413" s="25" t="n"/>
      <c r="CQ413" s="25" t="n"/>
      <c r="CR413" s="25" t="n"/>
      <c r="CS413" s="25" t="n"/>
      <c r="CT413" s="25" t="n"/>
      <c r="CU413" s="25" t="n"/>
      <c r="CV413" s="25" t="n"/>
      <c r="CW413" s="25" t="n"/>
      <c r="CX413" s="25" t="n"/>
      <c r="CY413" s="25" t="n"/>
      <c r="DC413" s="26" t="n"/>
      <c r="DD413" s="26" t="n"/>
      <c r="DE413" s="26" t="n"/>
      <c r="DF413" s="26" t="n"/>
      <c r="DG413" s="26" t="n"/>
      <c r="DH413" s="27" t="n"/>
      <c r="DJ413" s="211" t="inlineStr">
        <is>
          <t>订单表中未找到</t>
        </is>
      </c>
      <c r="DK413" t="inlineStr">
        <is>
          <t>—</t>
        </is>
      </c>
      <c r="DL413" t="inlineStr">
        <is>
          <t>—</t>
        </is>
      </c>
    </row>
    <row r="414" ht="15.75" customHeight="1" s="187">
      <c r="A414" s="84" t="n">
        <v>45972</v>
      </c>
      <c r="B414" s="206" t="inlineStr">
        <is>
          <t>已收货</t>
        </is>
      </c>
      <c r="C414" s="86" t="inlineStr">
        <is>
          <t>4874189943628890528</t>
        </is>
      </c>
      <c r="D414" s="110" t="inlineStr">
        <is>
          <t>邱雨荷</t>
        </is>
      </c>
      <c r="E414" s="87" t="n"/>
      <c r="F414" s="87" t="n"/>
      <c r="G414" s="87" t="inlineStr">
        <is>
          <t>砂白色1.4米岩板餐桌</t>
        </is>
      </c>
      <c r="H414" s="207" t="inlineStr">
        <is>
          <t>榉木餐桌</t>
        </is>
      </c>
      <c r="I414" s="89" t="inlineStr">
        <is>
          <t>140cm*85cm</t>
        </is>
      </c>
      <c r="J414" s="87" t="inlineStr">
        <is>
          <t>已结算</t>
        </is>
      </c>
      <c r="K414" s="86" t="inlineStr">
        <is>
          <t>庄毅</t>
        </is>
      </c>
      <c r="L414" s="207">
        <f>SUM(M414:AO414)</f>
        <v/>
      </c>
      <c r="M414" s="207">
        <f>1480</f>
        <v/>
      </c>
      <c r="N414" s="207" t="n"/>
      <c r="O414" s="207" t="n"/>
      <c r="P414" s="207" t="n"/>
      <c r="Q414" s="207" t="n"/>
      <c r="R414" s="207">
        <f>180*1.4*0.85</f>
        <v/>
      </c>
      <c r="S414" s="207" t="n"/>
      <c r="T414" s="207" t="n"/>
      <c r="U414" s="207" t="n"/>
      <c r="V414" s="207" t="n"/>
      <c r="W414" s="207" t="n"/>
      <c r="X414" s="207" t="n"/>
      <c r="Y414" s="207" t="n"/>
      <c r="Z414" s="207" t="n"/>
      <c r="AA414" s="207" t="n"/>
      <c r="AB414" s="207" t="n"/>
      <c r="AC414" s="207" t="n"/>
      <c r="AD414" s="207" t="n">
        <v>2.5</v>
      </c>
      <c r="AE414" s="207" t="n"/>
      <c r="AF414" s="207" t="n"/>
      <c r="AG414" s="207" t="n"/>
      <c r="AH414" s="207" t="n"/>
      <c r="AI414" s="207" t="n"/>
      <c r="AJ414" s="207" t="n"/>
      <c r="AK414" s="207" t="n"/>
      <c r="AL414" s="207" t="n"/>
      <c r="AM414" s="207" t="n"/>
      <c r="AN414" s="207" t="n"/>
      <c r="AO414" s="207" t="n"/>
      <c r="AP414" s="207" t="n">
        <v>229</v>
      </c>
      <c r="AQ414" s="207" t="n">
        <v>0</v>
      </c>
      <c r="AR414" s="207" t="n">
        <v>80</v>
      </c>
      <c r="AS414" s="207" t="n">
        <v>0</v>
      </c>
      <c r="AT414" s="207" t="n">
        <v>0</v>
      </c>
      <c r="AU414" s="207" t="n">
        <v>0</v>
      </c>
      <c r="AV414" s="207" t="n">
        <v>0</v>
      </c>
      <c r="AW414" s="207" t="n">
        <v>0</v>
      </c>
      <c r="AX414" s="208" t="n">
        <v>1</v>
      </c>
      <c r="AY414" s="209">
        <f>L414*AX414+AP414+AQ414+AR414+AV414+AW414+AS414+AT414+AU414</f>
        <v/>
      </c>
      <c r="AZ414" s="207" t="n">
        <v>2588.89</v>
      </c>
      <c r="BA414" s="207" t="n">
        <v>0</v>
      </c>
      <c r="BB414" s="207">
        <f>AZ414*0.006</f>
        <v/>
      </c>
      <c r="BC414" s="209">
        <f>AZ414+BA414-BB414</f>
        <v/>
      </c>
      <c r="BD414" s="207" t="n">
        <v>0</v>
      </c>
      <c r="BE414" s="207" t="n">
        <v>0</v>
      </c>
      <c r="BF414" s="209">
        <f>BD414+BE414</f>
        <v/>
      </c>
      <c r="BG414" s="209">
        <f>BC414-AY414+BF414</f>
        <v/>
      </c>
      <c r="BH414" s="207" t="inlineStr">
        <is>
          <t>邱雨荷</t>
        </is>
      </c>
      <c r="BI414" s="207" t="inlineStr">
        <is>
          <t>陕西省 西安市 雁塔区 电子城街道信达雁熙云著铂翠2号楼一单元2202</t>
        </is>
      </c>
      <c r="BJ414" s="207" t="inlineStr">
        <is>
          <t>15529015942-6794</t>
        </is>
      </c>
      <c r="BK414" s="86" t="n"/>
      <c r="BL414" s="210" t="n"/>
      <c r="BM414" s="93" t="n"/>
      <c r="BN414" s="94" t="n"/>
      <c r="BO414" s="93" t="n"/>
      <c r="BP414" s="86" t="n"/>
      <c r="BQ414" s="96" t="n"/>
      <c r="BR414" s="96" t="n"/>
      <c r="BS414" s="97" t="n"/>
      <c r="BT414" s="96" t="n"/>
      <c r="BU414" s="97" t="n"/>
      <c r="BV414" s="96" t="n"/>
      <c r="BW414" s="97" t="n"/>
      <c r="BX414" s="97" t="n"/>
      <c r="BY414" s="97" t="n"/>
      <c r="BZ414" s="97" t="n"/>
      <c r="CH414" s="2" t="n"/>
      <c r="CI414" s="14" t="n"/>
      <c r="CJ414" s="25" t="n"/>
      <c r="CK414" s="25" t="n"/>
      <c r="CL414" s="25" t="n"/>
      <c r="CM414" s="25" t="n"/>
      <c r="CN414" s="25" t="n"/>
      <c r="CO414" s="25" t="n"/>
      <c r="CP414" s="25" t="n"/>
      <c r="CQ414" s="25" t="n"/>
      <c r="CR414" s="25" t="n"/>
      <c r="CS414" s="25" t="n"/>
      <c r="CT414" s="25" t="n"/>
      <c r="CU414" s="25" t="n"/>
      <c r="CV414" s="25" t="n"/>
      <c r="CW414" s="25" t="n"/>
      <c r="CX414" s="25" t="n"/>
      <c r="CY414" s="25" t="n"/>
      <c r="DC414" s="26" t="n"/>
      <c r="DD414" s="26" t="n"/>
      <c r="DE414" s="26" t="n"/>
      <c r="DF414" s="26" t="n"/>
      <c r="DG414" s="26" t="n"/>
      <c r="DH414" s="27" t="n"/>
      <c r="DJ414" s="211" t="inlineStr">
        <is>
          <t>订单表中未找到</t>
        </is>
      </c>
      <c r="DK414" t="inlineStr">
        <is>
          <t>—</t>
        </is>
      </c>
      <c r="DL414" t="inlineStr">
        <is>
          <t>—</t>
        </is>
      </c>
    </row>
    <row r="415" ht="15.75" customHeight="1" s="187">
      <c r="A415" s="84" t="n">
        <v>45972</v>
      </c>
      <c r="B415" s="206" t="inlineStr">
        <is>
          <t>已收货</t>
        </is>
      </c>
      <c r="C415" s="86" t="inlineStr">
        <is>
          <t>3057139056361511074</t>
        </is>
      </c>
      <c r="D415" s="86" t="inlineStr">
        <is>
          <t>程玲霞</t>
        </is>
      </c>
      <c r="E415" s="87" t="n"/>
      <c r="F415" s="87" t="n"/>
      <c r="G415" s="207" t="inlineStr">
        <is>
          <t>曜黑柜-整柜-2.1米</t>
        </is>
      </c>
      <c r="H415" s="207" t="inlineStr">
        <is>
          <t>曜黑餐边柜</t>
        </is>
      </c>
      <c r="I415" s="89" t="n">
        <v>2100</v>
      </c>
      <c r="J415" s="87" t="inlineStr">
        <is>
          <t>已结算</t>
        </is>
      </c>
      <c r="K415" s="86" t="inlineStr">
        <is>
          <t>江西</t>
        </is>
      </c>
      <c r="L415" s="207">
        <f>9200+350+2550/6/1.5+30+14+20+46+712.08+22*3+410+44+20</f>
        <v/>
      </c>
      <c r="M415" s="207">
        <f>9200</f>
        <v/>
      </c>
      <c r="N415" s="207" t="n">
        <v>350</v>
      </c>
      <c r="O415" s="207">
        <f>2550/6/1.5</f>
        <v/>
      </c>
      <c r="P415" s="207" t="n">
        <v>30</v>
      </c>
      <c r="Q415" s="207" t="n"/>
      <c r="R415" s="207" t="n">
        <v>14</v>
      </c>
      <c r="S415" s="207" t="n">
        <v>20</v>
      </c>
      <c r="T415" s="207">
        <f>18*2</f>
        <v/>
      </c>
      <c r="U415" s="207" t="n"/>
      <c r="V415" s="207" t="n"/>
      <c r="W415" s="207" t="n">
        <v>712.08</v>
      </c>
      <c r="X415" s="207">
        <f>22*3</f>
        <v/>
      </c>
      <c r="Y415" s="207" t="n">
        <v>410</v>
      </c>
      <c r="Z415" s="207" t="n"/>
      <c r="AA415" s="207" t="n"/>
      <c r="AB415" s="207" t="n"/>
      <c r="AC415" s="207" t="n"/>
      <c r="AD415" s="207" t="n">
        <v>20</v>
      </c>
      <c r="AE415" s="207" t="n">
        <v>44</v>
      </c>
      <c r="AF415" s="207" t="n"/>
      <c r="AG415" s="207" t="n"/>
      <c r="AH415" s="207" t="n"/>
      <c r="AI415" s="207" t="n"/>
      <c r="AJ415" s="207" t="n"/>
      <c r="AK415" s="207" t="n"/>
      <c r="AL415" s="207" t="n"/>
      <c r="AM415" s="207" t="n">
        <v>410</v>
      </c>
      <c r="AN415" s="207" t="n"/>
      <c r="AO415" s="207" t="n"/>
      <c r="AP415" s="207" t="n">
        <v>498</v>
      </c>
      <c r="AQ415" s="207" t="n">
        <v>0</v>
      </c>
      <c r="AR415" s="207" t="n">
        <v>278</v>
      </c>
      <c r="AS415" s="207" t="n">
        <v>0</v>
      </c>
      <c r="AT415" s="207" t="n">
        <v>0</v>
      </c>
      <c r="AU415" s="207" t="n">
        <v>0</v>
      </c>
      <c r="AV415" s="207" t="n">
        <v>0</v>
      </c>
      <c r="AW415" s="207" t="n">
        <v>0</v>
      </c>
      <c r="AX415" s="208" t="n">
        <v>1</v>
      </c>
      <c r="AY415" s="209">
        <f>L415*AX415+AP415+AQ415+AR415+AV415+AW415+AS415+AT415+AU415</f>
        <v/>
      </c>
      <c r="AZ415" s="207" t="n">
        <v>15411.84</v>
      </c>
      <c r="BA415" s="207" t="n">
        <v>0</v>
      </c>
      <c r="BB415" s="207">
        <f>AZ415*0.006</f>
        <v/>
      </c>
      <c r="BC415" s="209">
        <f>AZ415+BA415-BB415</f>
        <v/>
      </c>
      <c r="BD415" s="207" t="n">
        <v>0</v>
      </c>
      <c r="BE415" s="207" t="n">
        <v>0</v>
      </c>
      <c r="BF415" s="209">
        <f>BD415+BE415</f>
        <v/>
      </c>
      <c r="BG415" s="209">
        <f>BC415-AY415+BF415</f>
        <v/>
      </c>
      <c r="BH415" s="207" t="inlineStr">
        <is>
          <t>程玲霞</t>
        </is>
      </c>
      <c r="BI415" s="207" t="inlineStr">
        <is>
          <t>河南省 新乡市 长垣市 蒲东街道汇淼紫云府5-1-101</t>
        </is>
      </c>
      <c r="BJ415" s="207" t="inlineStr">
        <is>
          <t>14738732449-3548</t>
        </is>
      </c>
      <c r="BK415" s="86" t="n"/>
      <c r="BL415" s="210" t="n"/>
      <c r="BM415" s="93" t="n"/>
      <c r="BN415" s="94" t="n"/>
      <c r="BO415" s="93" t="n"/>
      <c r="BP415" s="86" t="n"/>
      <c r="BQ415" s="96" t="n"/>
      <c r="BR415" s="96" t="n"/>
      <c r="BS415" s="97" t="n"/>
      <c r="BT415" s="96" t="n"/>
      <c r="BU415" s="97" t="n"/>
      <c r="BV415" s="96" t="n"/>
      <c r="BW415" s="97" t="n"/>
      <c r="BX415" s="97" t="n"/>
      <c r="BY415" s="97" t="n"/>
      <c r="BZ415" s="97" t="n"/>
      <c r="CH415" s="2" t="n"/>
      <c r="CI415" s="14" t="n"/>
      <c r="CJ415" s="25" t="n"/>
      <c r="CK415" s="25" t="n"/>
      <c r="CL415" s="25" t="n"/>
      <c r="CM415" s="25" t="n"/>
      <c r="CN415" s="25" t="n"/>
      <c r="CO415" s="25" t="n"/>
      <c r="CP415" s="25" t="n"/>
      <c r="CQ415" s="25" t="n"/>
      <c r="CR415" s="25" t="n"/>
      <c r="CS415" s="25" t="n"/>
      <c r="CT415" s="25" t="n"/>
      <c r="CU415" s="25" t="n"/>
      <c r="CV415" s="25" t="n"/>
      <c r="CW415" s="25" t="n"/>
      <c r="CX415" s="25" t="n"/>
      <c r="CY415" s="25" t="n"/>
      <c r="DC415" s="26" t="n"/>
      <c r="DD415" s="26" t="n"/>
      <c r="DE415" s="26" t="n"/>
      <c r="DF415" s="26" t="n"/>
      <c r="DG415" s="26" t="n"/>
      <c r="DH415" s="27" t="n"/>
      <c r="DJ415" s="211" t="inlineStr">
        <is>
          <t>订单表中未找到</t>
        </is>
      </c>
      <c r="DK415" t="inlineStr">
        <is>
          <t>—</t>
        </is>
      </c>
      <c r="DL415" t="inlineStr">
        <is>
          <t>—</t>
        </is>
      </c>
    </row>
    <row r="416" ht="15.75" customHeight="1" s="187">
      <c r="A416" s="84" t="n">
        <v>45972</v>
      </c>
      <c r="B416" s="206" t="inlineStr">
        <is>
          <t>已收货</t>
        </is>
      </c>
      <c r="C416" s="86" t="inlineStr">
        <is>
          <t>3057235608330627656</t>
        </is>
      </c>
      <c r="D416" s="86" t="inlineStr">
        <is>
          <t>徐女士</t>
        </is>
      </c>
      <c r="E416" s="87" t="n"/>
      <c r="F416" s="87" t="n"/>
      <c r="G416" s="207" t="inlineStr">
        <is>
          <t>长虹玻璃</t>
        </is>
      </c>
      <c r="H416" s="207" t="inlineStr">
        <is>
          <t>长虹玻璃</t>
        </is>
      </c>
      <c r="I416" s="89" t="n"/>
      <c r="J416" s="87" t="n"/>
      <c r="K416" s="86" t="inlineStr">
        <is>
          <t>江西</t>
        </is>
      </c>
      <c r="L416" s="207">
        <f>20+20</f>
        <v/>
      </c>
      <c r="M416" s="207">
        <f>20+20</f>
        <v/>
      </c>
      <c r="N416" s="207" t="n"/>
      <c r="O416" s="207" t="n"/>
      <c r="P416" s="207" t="n"/>
      <c r="Q416" s="207" t="n"/>
      <c r="R416" s="207" t="n"/>
      <c r="S416" s="207" t="n"/>
      <c r="T416" s="207" t="n"/>
      <c r="U416" s="207" t="n"/>
      <c r="V416" s="207" t="n"/>
      <c r="W416" s="207" t="n"/>
      <c r="X416" s="207" t="n"/>
      <c r="Y416" s="207" t="n"/>
      <c r="Z416" s="207" t="n"/>
      <c r="AA416" s="207" t="n"/>
      <c r="AB416" s="207" t="n"/>
      <c r="AC416" s="207" t="n"/>
      <c r="AD416" s="207" t="n"/>
      <c r="AE416" s="207" t="n"/>
      <c r="AF416" s="207" t="n"/>
      <c r="AG416" s="207" t="n"/>
      <c r="AH416" s="207" t="n"/>
      <c r="AI416" s="207" t="n"/>
      <c r="AJ416" s="207" t="n"/>
      <c r="AK416" s="207" t="n"/>
      <c r="AL416" s="207" t="n"/>
      <c r="AM416" s="207" t="n">
        <v>20</v>
      </c>
      <c r="AN416" s="207" t="n"/>
      <c r="AO416" s="207" t="n"/>
      <c r="AP416" s="207" t="n">
        <v>65</v>
      </c>
      <c r="AQ416" s="207" t="n">
        <v>0</v>
      </c>
      <c r="AR416" s="207" t="n">
        <v>0</v>
      </c>
      <c r="AS416" s="207" t="n">
        <v>0</v>
      </c>
      <c r="AT416" s="207" t="n">
        <v>0</v>
      </c>
      <c r="AU416" s="207" t="n">
        <v>0</v>
      </c>
      <c r="AV416" s="207" t="n">
        <v>0</v>
      </c>
      <c r="AW416" s="207" t="n">
        <v>0</v>
      </c>
      <c r="AX416" s="208" t="n">
        <v>1</v>
      </c>
      <c r="AY416" s="209">
        <f>L416*AX416+AP416+AQ416+AR416+AV416+AW416+AS416+AT416+AU416</f>
        <v/>
      </c>
      <c r="AZ416" s="207" t="n">
        <v>120</v>
      </c>
      <c r="BA416" s="207" t="n">
        <v>0</v>
      </c>
      <c r="BB416" s="207">
        <f>AZ416*0.006</f>
        <v/>
      </c>
      <c r="BC416" s="209">
        <f>AZ416+BA416-BB416</f>
        <v/>
      </c>
      <c r="BD416" s="207" t="n">
        <v>0</v>
      </c>
      <c r="BE416" s="207" t="n">
        <v>0</v>
      </c>
      <c r="BF416" s="209">
        <f>BD416+BE416</f>
        <v/>
      </c>
      <c r="BG416" s="209">
        <f>BC416-AY416+BF416</f>
        <v/>
      </c>
      <c r="BH416" s="207" t="inlineStr">
        <is>
          <t>徐女士</t>
        </is>
      </c>
      <c r="BI416" s="207" t="inlineStr">
        <is>
          <t>北京 北京市 东城区 安定门街道花园胡同1号楼2门301</t>
        </is>
      </c>
      <c r="BJ416" s="207" t="inlineStr">
        <is>
          <t>18400837006-9574</t>
        </is>
      </c>
      <c r="BK416" s="86" t="n"/>
      <c r="BL416" s="210" t="n"/>
      <c r="BM416" s="93" t="n"/>
      <c r="BN416" s="94" t="n"/>
      <c r="BO416" s="93" t="n"/>
      <c r="BP416" s="86" t="n"/>
      <c r="BQ416" s="96" t="n"/>
      <c r="BR416" s="96" t="n"/>
      <c r="BS416" s="97" t="n"/>
      <c r="BT416" s="96" t="n"/>
      <c r="BU416" s="97" t="n"/>
      <c r="BV416" s="96" t="n"/>
      <c r="BW416" s="97" t="n"/>
      <c r="BX416" s="97" t="n"/>
      <c r="BY416" s="97" t="n"/>
      <c r="BZ416" s="97" t="n"/>
      <c r="CH416" s="2" t="n"/>
      <c r="CI416" s="14" t="n"/>
      <c r="CJ416" s="25" t="n"/>
      <c r="CK416" s="25" t="n"/>
      <c r="CL416" s="25" t="n"/>
      <c r="CM416" s="25" t="n"/>
      <c r="CN416" s="25" t="n"/>
      <c r="CO416" s="25" t="n"/>
      <c r="CP416" s="25" t="n"/>
      <c r="CQ416" s="25" t="n"/>
      <c r="CR416" s="25" t="n"/>
      <c r="CS416" s="25" t="n"/>
      <c r="CT416" s="25" t="n"/>
      <c r="CU416" s="25" t="n"/>
      <c r="CV416" s="25" t="n"/>
      <c r="CW416" s="25" t="n"/>
      <c r="CX416" s="25" t="n"/>
      <c r="CY416" s="25" t="n"/>
      <c r="DC416" s="26" t="n"/>
      <c r="DD416" s="26" t="n"/>
      <c r="DE416" s="26" t="n"/>
      <c r="DF416" s="26" t="n"/>
      <c r="DG416" s="26" t="n"/>
      <c r="DH416" s="27" t="n"/>
      <c r="DJ416" s="211" t="inlineStr">
        <is>
          <t>订单表中未找到</t>
        </is>
      </c>
      <c r="DK416" t="inlineStr">
        <is>
          <t>—</t>
        </is>
      </c>
      <c r="DL416" t="inlineStr">
        <is>
          <t>—</t>
        </is>
      </c>
    </row>
    <row r="417" ht="15.75" customHeight="1" s="187">
      <c r="A417" s="84" t="n">
        <v>45972</v>
      </c>
      <c r="B417" s="206" t="inlineStr">
        <is>
          <t>已收货</t>
        </is>
      </c>
      <c r="C417" s="86" t="inlineStr">
        <is>
          <t>4875055094191354028</t>
        </is>
      </c>
      <c r="D417" s="110" t="inlineStr">
        <is>
          <t>陈先生</t>
        </is>
      </c>
      <c r="E417" s="87" t="n"/>
      <c r="F417" s="87" t="n"/>
      <c r="G417" s="87" t="inlineStr">
        <is>
          <t>砂白色2.0米岩板餐桌，定制</t>
        </is>
      </c>
      <c r="H417" s="207" t="inlineStr">
        <is>
          <t>榉木餐桌</t>
        </is>
      </c>
      <c r="I417" s="89" t="inlineStr">
        <is>
          <t>200cm*90cm</t>
        </is>
      </c>
      <c r="J417" s="87" t="inlineStr">
        <is>
          <t>已结算</t>
        </is>
      </c>
      <c r="K417" s="86" t="inlineStr">
        <is>
          <t>江西</t>
        </is>
      </c>
      <c r="L417" s="207">
        <f>SUM(M417:AO417)</f>
        <v/>
      </c>
      <c r="M417" s="207">
        <f>1500</f>
        <v/>
      </c>
      <c r="N417" s="207" t="n"/>
      <c r="O417" s="207" t="n"/>
      <c r="P417" s="207" t="n"/>
      <c r="Q417" s="207" t="n"/>
      <c r="R417" s="207" t="n">
        <v>540</v>
      </c>
      <c r="S417" s="207" t="n"/>
      <c r="T417" s="207" t="n"/>
      <c r="U417" s="207" t="n"/>
      <c r="V417" s="207" t="n"/>
      <c r="W417" s="207" t="n"/>
      <c r="X417" s="207" t="n"/>
      <c r="Y417" s="207" t="n"/>
      <c r="Z417" s="207" t="n"/>
      <c r="AA417" s="207" t="n"/>
      <c r="AB417" s="207" t="n"/>
      <c r="AC417" s="207" t="n"/>
      <c r="AD417" s="207" t="n">
        <v>2.5</v>
      </c>
      <c r="AE417" s="207" t="n"/>
      <c r="AF417" s="207" t="n"/>
      <c r="AG417" s="207" t="n"/>
      <c r="AH417" s="207" t="n"/>
      <c r="AI417" s="207" t="n"/>
      <c r="AJ417" s="207" t="n"/>
      <c r="AK417" s="207" t="n"/>
      <c r="AL417" s="207" t="n"/>
      <c r="AM417" s="207" t="n">
        <v>130</v>
      </c>
      <c r="AN417" s="207" t="n"/>
      <c r="AO417" s="207" t="n"/>
      <c r="AP417" s="207">
        <f>259-AQ417</f>
        <v/>
      </c>
      <c r="AQ417" s="207" t="n">
        <v>36</v>
      </c>
      <c r="AR417" s="207" t="n">
        <v>70</v>
      </c>
      <c r="AS417" s="207" t="n">
        <v>0</v>
      </c>
      <c r="AT417" s="207" t="n">
        <v>0</v>
      </c>
      <c r="AU417" s="207" t="n">
        <v>0</v>
      </c>
      <c r="AV417" s="207" t="n">
        <v>0</v>
      </c>
      <c r="AW417" s="207" t="n">
        <v>0</v>
      </c>
      <c r="AX417" s="208" t="n">
        <v>1</v>
      </c>
      <c r="AY417" s="209">
        <f>L417*AX417+AP417+AQ417+AR417+AV417+AW417+AS417+AT417+AU417</f>
        <v/>
      </c>
      <c r="AZ417" s="207" t="n">
        <v>2925.31</v>
      </c>
      <c r="BA417" s="207" t="n">
        <v>0</v>
      </c>
      <c r="BB417" s="207">
        <f>AZ417*0.006</f>
        <v/>
      </c>
      <c r="BC417" s="209">
        <f>AZ417+BA417-BB417</f>
        <v/>
      </c>
      <c r="BD417" s="207" t="n">
        <v>0</v>
      </c>
      <c r="BE417" s="207" t="n">
        <v>0</v>
      </c>
      <c r="BF417" s="209">
        <f>BD417+BE417</f>
        <v/>
      </c>
      <c r="BG417" s="209">
        <f>BC417-AY417+BF417</f>
        <v/>
      </c>
      <c r="BH417" s="86" t="inlineStr">
        <is>
          <t>陈先生</t>
        </is>
      </c>
      <c r="BI417" s="86" t="inlineStr">
        <is>
          <t>河北省 张家口市 桥西区 沈家屯镇岭秀城3号院8号楼2单元501</t>
        </is>
      </c>
      <c r="BJ417" s="86" t="inlineStr">
        <is>
          <t>18433935654-7461</t>
        </is>
      </c>
      <c r="BK417" s="86" t="n"/>
      <c r="BL417" s="210" t="n"/>
      <c r="BM417" s="93" t="n"/>
      <c r="BN417" s="94" t="n"/>
      <c r="BO417" s="93" t="n"/>
      <c r="BP417" s="86" t="n"/>
      <c r="BQ417" s="96" t="n"/>
      <c r="BR417" s="96" t="n"/>
      <c r="BS417" s="97" t="n"/>
      <c r="BT417" s="96" t="n"/>
      <c r="BU417" s="97" t="n"/>
      <c r="BV417" s="96" t="n"/>
      <c r="BW417" s="97" t="n"/>
      <c r="BX417" s="97" t="n"/>
      <c r="BY417" s="97" t="n"/>
      <c r="BZ417" s="97" t="n"/>
      <c r="CH417" s="2" t="n"/>
      <c r="CI417" s="14" t="n"/>
      <c r="CJ417" s="25" t="n"/>
      <c r="CK417" s="25" t="n"/>
      <c r="CL417" s="25" t="n"/>
      <c r="CM417" s="25" t="n"/>
      <c r="CN417" s="25" t="n"/>
      <c r="CO417" s="25" t="n"/>
      <c r="CP417" s="25" t="n"/>
      <c r="CQ417" s="25" t="n"/>
      <c r="CR417" s="25" t="n"/>
      <c r="CS417" s="25" t="n"/>
      <c r="CT417" s="25" t="n"/>
      <c r="CU417" s="25" t="n"/>
      <c r="CV417" s="25" t="n"/>
      <c r="CW417" s="25" t="n"/>
      <c r="CX417" s="25" t="n"/>
      <c r="CY417" s="25" t="n"/>
      <c r="DC417" s="26" t="n"/>
      <c r="DD417" s="26" t="n"/>
      <c r="DE417" s="26" t="n"/>
      <c r="DF417" s="26" t="n"/>
      <c r="DG417" s="26" t="n"/>
      <c r="DH417" s="27" t="n"/>
      <c r="DJ417" s="211" t="inlineStr">
        <is>
          <t>订单表中未找到</t>
        </is>
      </c>
      <c r="DK417" t="inlineStr">
        <is>
          <t>—</t>
        </is>
      </c>
      <c r="DL417" t="inlineStr">
        <is>
          <t>—</t>
        </is>
      </c>
    </row>
    <row r="418" ht="15.75" customHeight="1" s="187">
      <c r="A418" s="84" t="n">
        <v>45972</v>
      </c>
      <c r="B418" s="206" t="inlineStr">
        <is>
          <t>已收货</t>
        </is>
      </c>
      <c r="C418" s="86" t="inlineStr">
        <is>
          <t>4875433920491354028</t>
        </is>
      </c>
      <c r="D418" s="86" t="inlineStr">
        <is>
          <t>陈先生</t>
        </is>
      </c>
      <c r="E418" s="87" t="n"/>
      <c r="F418" s="87" t="n"/>
      <c r="G418" s="207" t="inlineStr">
        <is>
          <t>补差价</t>
        </is>
      </c>
      <c r="H418" s="207" t="n"/>
      <c r="I418" s="89" t="n"/>
      <c r="J418" s="87" t="n"/>
      <c r="K418" s="86" t="inlineStr">
        <is>
          <t>江西</t>
        </is>
      </c>
      <c r="L418" s="207" t="n">
        <v>0</v>
      </c>
      <c r="M418" s="207" t="n">
        <v>0</v>
      </c>
      <c r="N418" s="207" t="n"/>
      <c r="O418" s="207" t="n"/>
      <c r="P418" s="207" t="n"/>
      <c r="Q418" s="207" t="n"/>
      <c r="R418" s="207" t="n"/>
      <c r="S418" s="207" t="n"/>
      <c r="T418" s="207" t="n"/>
      <c r="U418" s="207" t="n"/>
      <c r="V418" s="207" t="n"/>
      <c r="W418" s="207" t="n"/>
      <c r="X418" s="207" t="n"/>
      <c r="Y418" s="207" t="n"/>
      <c r="Z418" s="207" t="n"/>
      <c r="AA418" s="207" t="n"/>
      <c r="AB418" s="207" t="n"/>
      <c r="AC418" s="207" t="n"/>
      <c r="AD418" s="207" t="n"/>
      <c r="AE418" s="207" t="n"/>
      <c r="AF418" s="207" t="n"/>
      <c r="AG418" s="207" t="n"/>
      <c r="AH418" s="207" t="n"/>
      <c r="AI418" s="207" t="n"/>
      <c r="AJ418" s="207" t="n"/>
      <c r="AK418" s="207" t="n"/>
      <c r="AL418" s="207" t="n"/>
      <c r="AM418" s="207" t="n"/>
      <c r="AN418" s="207" t="n"/>
      <c r="AO418" s="207" t="n"/>
      <c r="AP418" s="207" t="n">
        <v>0</v>
      </c>
      <c r="AQ418" s="207" t="n">
        <v>0</v>
      </c>
      <c r="AR418" s="207" t="n">
        <v>0</v>
      </c>
      <c r="AS418" s="207" t="n">
        <v>0</v>
      </c>
      <c r="AT418" s="207" t="n">
        <v>0</v>
      </c>
      <c r="AU418" s="207" t="n">
        <v>0</v>
      </c>
      <c r="AV418" s="207" t="n">
        <v>0</v>
      </c>
      <c r="AW418" s="207" t="n">
        <v>0</v>
      </c>
      <c r="AX418" s="208" t="n">
        <v>1</v>
      </c>
      <c r="AY418" s="209">
        <f>L418*AX418+AP418+AQ418+AR418+AV418+AW418+AS418+AT418+AU418</f>
        <v/>
      </c>
      <c r="AZ418" s="207" t="n">
        <v>70</v>
      </c>
      <c r="BA418" s="207" t="n">
        <v>0</v>
      </c>
      <c r="BB418" s="207">
        <f>AZ418*0.006</f>
        <v/>
      </c>
      <c r="BC418" s="209">
        <f>AZ418+BA418-BB418</f>
        <v/>
      </c>
      <c r="BD418" s="207" t="n">
        <v>0</v>
      </c>
      <c r="BE418" s="207" t="n">
        <v>0</v>
      </c>
      <c r="BF418" s="209">
        <f>BD418+BE418</f>
        <v/>
      </c>
      <c r="BG418" s="209">
        <f>BC418-AY418+BF418</f>
        <v/>
      </c>
      <c r="BH418" s="86" t="inlineStr">
        <is>
          <t>陈先生</t>
        </is>
      </c>
      <c r="BI418" s="86" t="inlineStr">
        <is>
          <t>河北省 张家口市 桥西区 沈家屯镇岭秀城3号院8号楼2单元501</t>
        </is>
      </c>
      <c r="BJ418" s="86" t="inlineStr">
        <is>
          <t>18433935506-7995</t>
        </is>
      </c>
      <c r="BK418" s="86" t="n"/>
      <c r="BL418" s="210" t="n"/>
      <c r="BM418" s="93" t="n"/>
      <c r="BN418" s="94" t="n"/>
      <c r="BO418" s="93" t="n"/>
      <c r="BP418" s="86" t="n"/>
      <c r="BQ418" s="96" t="n"/>
      <c r="BR418" s="96" t="n"/>
      <c r="BS418" s="97" t="n"/>
      <c r="BT418" s="96" t="n"/>
      <c r="BU418" s="97" t="n"/>
      <c r="BV418" s="96" t="n"/>
      <c r="BW418" s="97" t="n"/>
      <c r="BX418" s="97" t="n"/>
      <c r="BY418" s="97" t="n"/>
      <c r="BZ418" s="97" t="n"/>
      <c r="CH418" s="2" t="n"/>
      <c r="CI418" s="14" t="n"/>
      <c r="CJ418" s="25" t="n"/>
      <c r="CK418" s="25" t="n"/>
      <c r="CL418" s="25" t="n"/>
      <c r="CM418" s="25" t="n"/>
      <c r="CN418" s="25" t="n"/>
      <c r="CO418" s="25" t="n"/>
      <c r="CP418" s="25" t="n"/>
      <c r="CQ418" s="25" t="n"/>
      <c r="CR418" s="25" t="n"/>
      <c r="CS418" s="25" t="n"/>
      <c r="CT418" s="25" t="n"/>
      <c r="CU418" s="25" t="n"/>
      <c r="CV418" s="25" t="n"/>
      <c r="CW418" s="25" t="n"/>
      <c r="CX418" s="25" t="n"/>
      <c r="CY418" s="25" t="n"/>
      <c r="DC418" s="26" t="n"/>
      <c r="DD418" s="26" t="n"/>
      <c r="DE418" s="26" t="n"/>
      <c r="DF418" s="26" t="n"/>
      <c r="DG418" s="26" t="n"/>
      <c r="DH418" s="27" t="n"/>
      <c r="DJ418" s="211" t="inlineStr">
        <is>
          <t>订单表中未找到</t>
        </is>
      </c>
      <c r="DK418" t="inlineStr">
        <is>
          <t>—</t>
        </is>
      </c>
      <c r="DL418" t="inlineStr">
        <is>
          <t>—</t>
        </is>
      </c>
    </row>
    <row r="419" ht="15.75" customHeight="1" s="187">
      <c r="A419" s="84" t="n">
        <v>45972</v>
      </c>
      <c r="B419" s="206" t="inlineStr">
        <is>
          <t>已收货</t>
        </is>
      </c>
      <c r="C419" s="86" t="inlineStr">
        <is>
          <t>4875481081000424447</t>
        </is>
      </c>
      <c r="D419" s="86" t="inlineStr">
        <is>
          <t>高艺玲</t>
        </is>
      </c>
      <c r="E419" s="87" t="n"/>
      <c r="F419" s="87" t="n"/>
      <c r="G419" s="207" t="inlineStr">
        <is>
          <t>1.6米餐边柜+1.2米双腿桌</t>
        </is>
      </c>
      <c r="H419" s="87" t="inlineStr">
        <is>
          <t>旋转餐边柜</t>
        </is>
      </c>
      <c r="I419" s="89" t="n">
        <v>1600</v>
      </c>
      <c r="J419" s="87" t="inlineStr">
        <is>
          <t>已结算</t>
        </is>
      </c>
      <c r="K419" s="86" t="inlineStr">
        <is>
          <t>江西</t>
        </is>
      </c>
      <c r="L419" s="207">
        <f>SUM(M419:AM419)</f>
        <v/>
      </c>
      <c r="M419" s="207">
        <f>8120</f>
        <v/>
      </c>
      <c r="N419" s="207" t="n"/>
      <c r="O419" s="207" t="n"/>
      <c r="P419" s="207" t="n"/>
      <c r="Q419" s="207" t="n"/>
      <c r="R419" s="207" t="n"/>
      <c r="S419" s="207" t="n"/>
      <c r="T419" s="207" t="n">
        <v>21</v>
      </c>
      <c r="U419" s="207" t="n"/>
      <c r="V419" s="207" t="n"/>
      <c r="W419" s="207" t="n">
        <v>40</v>
      </c>
      <c r="X419" s="207" t="n">
        <v>21</v>
      </c>
      <c r="Y419" s="207" t="n">
        <v>48</v>
      </c>
      <c r="Z419" s="207" t="n"/>
      <c r="AA419" s="207" t="n"/>
      <c r="AB419" s="207" t="n"/>
      <c r="AC419" s="207" t="n"/>
      <c r="AD419" s="207" t="n"/>
      <c r="AE419" s="207" t="n">
        <v>10</v>
      </c>
      <c r="AF419" s="207" t="n"/>
      <c r="AG419" s="207" t="n"/>
      <c r="AH419" s="207" t="n"/>
      <c r="AI419" s="207" t="n"/>
      <c r="AJ419" s="207" t="n">
        <v>146</v>
      </c>
      <c r="AK419" s="207" t="n"/>
      <c r="AL419" s="207" t="n"/>
      <c r="AM419" s="207" t="n">
        <v>480</v>
      </c>
      <c r="AN419" s="207" t="n"/>
      <c r="AO419" s="207" t="n"/>
      <c r="AP419" s="121" t="n">
        <v>400</v>
      </c>
      <c r="AQ419" s="121" t="n">
        <v>50</v>
      </c>
      <c r="AR419" s="207" t="n">
        <v>150</v>
      </c>
      <c r="AS419" s="207" t="n">
        <v>0</v>
      </c>
      <c r="AT419" s="207" t="n">
        <v>0</v>
      </c>
      <c r="AU419" s="207" t="n">
        <v>0</v>
      </c>
      <c r="AV419" s="207" t="n">
        <v>0</v>
      </c>
      <c r="AW419" s="207" t="n">
        <v>0</v>
      </c>
      <c r="AX419" s="208" t="n">
        <v>1</v>
      </c>
      <c r="AY419" s="209">
        <f>L419*AX419+AP419+AQ419+AR419+AV419+AW419+AS419+AT419+AU419</f>
        <v/>
      </c>
      <c r="AZ419" s="207" t="n">
        <v>11141.18</v>
      </c>
      <c r="BA419" s="207" t="n">
        <v>0</v>
      </c>
      <c r="BB419" s="207">
        <f>AZ419*0.006</f>
        <v/>
      </c>
      <c r="BC419" s="209">
        <f>AZ419+BA419-BB419</f>
        <v/>
      </c>
      <c r="BD419" s="207" t="n">
        <v>0</v>
      </c>
      <c r="BE419" s="207" t="n">
        <v>0</v>
      </c>
      <c r="BF419" s="209">
        <f>BD419+BE419</f>
        <v/>
      </c>
      <c r="BG419" s="209">
        <f>BC419-AY419+BF419</f>
        <v/>
      </c>
      <c r="BH419" s="86" t="inlineStr">
        <is>
          <t>高艺玲</t>
        </is>
      </c>
      <c r="BI419" s="86" t="inlineStr">
        <is>
          <t>云南省 昆明市 西山区 永昌街道金地九樾1-105</t>
        </is>
      </c>
      <c r="BJ419" s="86" t="inlineStr">
        <is>
          <t>13124814575-9217</t>
        </is>
      </c>
      <c r="BK419" s="86" t="n"/>
      <c r="BL419" s="210" t="n"/>
      <c r="BM419" s="93" t="n"/>
      <c r="BN419" s="94" t="n"/>
      <c r="BO419" s="93" t="n"/>
      <c r="BP419" s="86" t="n"/>
      <c r="BQ419" s="96" t="n"/>
      <c r="BR419" s="96" t="n"/>
      <c r="BS419" s="97" t="n"/>
      <c r="BT419" s="96" t="n"/>
      <c r="BU419" s="97" t="n"/>
      <c r="BV419" s="96" t="n"/>
      <c r="BW419" s="97" t="n"/>
      <c r="BX419" s="97" t="n"/>
      <c r="BY419" s="97" t="n"/>
      <c r="BZ419" s="97" t="n"/>
      <c r="CH419" s="2" t="n"/>
      <c r="CI419" s="14" t="n"/>
      <c r="CJ419" s="25" t="n"/>
      <c r="CK419" s="25" t="n"/>
      <c r="CL419" s="25" t="n"/>
      <c r="CM419" s="25" t="n"/>
      <c r="CN419" s="25" t="n"/>
      <c r="CO419" s="25" t="n"/>
      <c r="CP419" s="25" t="n"/>
      <c r="CQ419" s="25" t="n"/>
      <c r="CR419" s="25" t="n"/>
      <c r="CS419" s="25" t="n"/>
      <c r="CT419" s="25" t="n"/>
      <c r="CU419" s="25" t="n"/>
      <c r="CV419" s="25" t="n"/>
      <c r="CW419" s="25" t="n"/>
      <c r="CX419" s="25" t="n"/>
      <c r="CY419" s="25" t="n"/>
      <c r="DC419" s="26" t="n"/>
      <c r="DD419" s="26" t="n"/>
      <c r="DE419" s="26" t="n"/>
      <c r="DF419" s="26" t="n"/>
      <c r="DG419" s="26" t="n"/>
      <c r="DH419" s="27" t="n"/>
      <c r="DJ419" s="211" t="inlineStr">
        <is>
          <t>订单表中未找到</t>
        </is>
      </c>
      <c r="DK419" t="inlineStr">
        <is>
          <t>—</t>
        </is>
      </c>
      <c r="DL419" t="inlineStr">
        <is>
          <t>—</t>
        </is>
      </c>
    </row>
    <row r="420" ht="15.75" customHeight="1" s="187">
      <c r="A420" s="84" t="n">
        <v>45972</v>
      </c>
      <c r="B420" s="206" t="inlineStr">
        <is>
          <t>已收货</t>
        </is>
      </c>
      <c r="C420" s="86" t="inlineStr">
        <is>
          <t>3057560472733772170</t>
        </is>
      </c>
      <c r="D420" s="110" t="inlineStr">
        <is>
          <t>飞楠楠</t>
        </is>
      </c>
      <c r="E420" s="87" t="n"/>
      <c r="F420" s="87" t="n"/>
      <c r="G420" s="87" t="inlineStr">
        <is>
          <t>砂白色2.0米岩板餐桌</t>
        </is>
      </c>
      <c r="H420" s="207" t="inlineStr">
        <is>
          <t>榉木餐桌</t>
        </is>
      </c>
      <c r="I420" s="89" t="inlineStr">
        <is>
          <t>200cm*85cm</t>
        </is>
      </c>
      <c r="J420" s="87" t="inlineStr">
        <is>
          <t>已结算</t>
        </is>
      </c>
      <c r="K420" s="86" t="inlineStr">
        <is>
          <t>庄毅</t>
        </is>
      </c>
      <c r="L420" s="207">
        <f>SUM(M420:AO420)</f>
        <v/>
      </c>
      <c r="M420" s="207">
        <f>1630</f>
        <v/>
      </c>
      <c r="N420" s="207" t="n"/>
      <c r="O420" s="207" t="n"/>
      <c r="P420" s="207" t="n"/>
      <c r="Q420" s="207" t="n"/>
      <c r="R420" s="207">
        <f>180*2*0.85</f>
        <v/>
      </c>
      <c r="S420" s="207" t="n"/>
      <c r="T420" s="207" t="n"/>
      <c r="U420" s="207" t="n"/>
      <c r="V420" s="207" t="n"/>
      <c r="W420" s="207" t="n"/>
      <c r="X420" s="207" t="n"/>
      <c r="Y420" s="207" t="n"/>
      <c r="Z420" s="207" t="n"/>
      <c r="AA420" s="207" t="n"/>
      <c r="AB420" s="207" t="n"/>
      <c r="AC420" s="207" t="n"/>
      <c r="AD420" s="207" t="n">
        <v>2.5</v>
      </c>
      <c r="AE420" s="207" t="n"/>
      <c r="AF420" s="207" t="n"/>
      <c r="AG420" s="207" t="n"/>
      <c r="AH420" s="207" t="n"/>
      <c r="AI420" s="207" t="n"/>
      <c r="AJ420" s="207" t="n"/>
      <c r="AK420" s="207" t="n"/>
      <c r="AL420" s="207" t="n"/>
      <c r="AM420" s="207" t="n"/>
      <c r="AN420" s="207" t="n"/>
      <c r="AO420" s="207" t="n"/>
      <c r="AP420" s="207" t="n">
        <v>298</v>
      </c>
      <c r="AQ420" s="207" t="n">
        <v>0</v>
      </c>
      <c r="AR420" s="207" t="n">
        <v>68</v>
      </c>
      <c r="AS420" s="207" t="n">
        <v>0</v>
      </c>
      <c r="AT420" s="207" t="n">
        <v>0</v>
      </c>
      <c r="AU420" s="207" t="n">
        <v>0</v>
      </c>
      <c r="AV420" s="207" t="n">
        <v>0</v>
      </c>
      <c r="AW420" s="207" t="n">
        <v>0</v>
      </c>
      <c r="AX420" s="208" t="n">
        <v>1</v>
      </c>
      <c r="AY420" s="209">
        <f>L420*AX420+AP420+AQ420+AR420+AV420+AW420+AS420+AT420+AU420</f>
        <v/>
      </c>
      <c r="AZ420" s="207" t="n">
        <v>2925.31</v>
      </c>
      <c r="BA420" s="207" t="n">
        <v>0</v>
      </c>
      <c r="BB420" s="207">
        <f>AZ420*0.006</f>
        <v/>
      </c>
      <c r="BC420" s="209">
        <f>AZ420+BA420-BB420</f>
        <v/>
      </c>
      <c r="BD420" s="207" t="n">
        <v>0</v>
      </c>
      <c r="BE420" s="207" t="n">
        <v>0</v>
      </c>
      <c r="BF420" s="209">
        <f>BD420+BE420</f>
        <v/>
      </c>
      <c r="BG420" s="209">
        <f>BC420-AY420+BF420</f>
        <v/>
      </c>
      <c r="BH420" s="207" t="inlineStr">
        <is>
          <t>飞楠楠</t>
        </is>
      </c>
      <c r="BI420" s="207" t="inlineStr">
        <is>
          <t>云南省 昆明市 盘龙区 青云街道中海·汇德里3栋1501</t>
        </is>
      </c>
      <c r="BJ420" s="207" t="inlineStr">
        <is>
          <t>18400314437-6968</t>
        </is>
      </c>
      <c r="BK420" s="86" t="n"/>
      <c r="BL420" s="210" t="n"/>
      <c r="BM420" s="93" t="n"/>
      <c r="BN420" s="94" t="n"/>
      <c r="BO420" s="93" t="n"/>
      <c r="BP420" s="86" t="n"/>
      <c r="BQ420" s="96" t="n"/>
      <c r="BR420" s="96" t="n"/>
      <c r="BS420" s="97" t="n"/>
      <c r="BT420" s="96" t="n"/>
      <c r="BU420" s="97" t="n"/>
      <c r="BV420" s="96" t="n"/>
      <c r="BW420" s="97" t="n"/>
      <c r="BX420" s="97" t="n"/>
      <c r="BY420" s="97" t="n"/>
      <c r="BZ420" s="97" t="n"/>
      <c r="CH420" s="2" t="n"/>
      <c r="CI420" s="14" t="n"/>
      <c r="CJ420" s="25" t="n"/>
      <c r="CK420" s="25" t="n"/>
      <c r="CL420" s="25" t="n"/>
      <c r="CM420" s="25" t="n"/>
      <c r="CN420" s="25" t="n"/>
      <c r="CO420" s="25" t="n"/>
      <c r="CP420" s="25" t="n"/>
      <c r="CQ420" s="25" t="n"/>
      <c r="CR420" s="25" t="n"/>
      <c r="CS420" s="25" t="n"/>
      <c r="CT420" s="25" t="n"/>
      <c r="CU420" s="25" t="n"/>
      <c r="CV420" s="25" t="n"/>
      <c r="CW420" s="25" t="n"/>
      <c r="CX420" s="25" t="n"/>
      <c r="CY420" s="25" t="n"/>
      <c r="DC420" s="26" t="n"/>
      <c r="DD420" s="26" t="n"/>
      <c r="DE420" s="26" t="n"/>
      <c r="DF420" s="26" t="n"/>
      <c r="DG420" s="26" t="n"/>
      <c r="DH420" s="27" t="n"/>
      <c r="DJ420" s="211" t="inlineStr">
        <is>
          <t>订单表中未找到</t>
        </is>
      </c>
      <c r="DK420" t="inlineStr">
        <is>
          <t>—</t>
        </is>
      </c>
      <c r="DL420" t="inlineStr">
        <is>
          <t>—</t>
        </is>
      </c>
    </row>
    <row r="421" ht="15.75" customHeight="1" s="187">
      <c r="A421" s="84" t="n">
        <v>45972</v>
      </c>
      <c r="B421" s="206" t="inlineStr">
        <is>
          <t>已收货</t>
        </is>
      </c>
      <c r="C421" s="86" t="inlineStr">
        <is>
          <t>4875168278346424447</t>
        </is>
      </c>
      <c r="D421" s="86" t="inlineStr">
        <is>
          <t>高艺玲</t>
        </is>
      </c>
      <c r="E421" s="87" t="n"/>
      <c r="F421" s="87" t="n"/>
      <c r="G421" s="207" t="inlineStr">
        <is>
          <t>补差价</t>
        </is>
      </c>
      <c r="H421" s="87" t="inlineStr">
        <is>
          <t>旋转餐边柜</t>
        </is>
      </c>
      <c r="I421" s="89" t="n"/>
      <c r="J421" s="87" t="inlineStr">
        <is>
          <t>已结算</t>
        </is>
      </c>
      <c r="K421" s="86" t="inlineStr">
        <is>
          <t>江西</t>
        </is>
      </c>
      <c r="L421" s="207" t="n">
        <v>0</v>
      </c>
      <c r="M421" s="207" t="n">
        <v>0</v>
      </c>
      <c r="N421" s="207" t="n"/>
      <c r="O421" s="207" t="n"/>
      <c r="P421" s="207" t="n"/>
      <c r="Q421" s="207" t="n"/>
      <c r="R421" s="207" t="n"/>
      <c r="S421" s="207" t="n"/>
      <c r="T421" s="207" t="n"/>
      <c r="U421" s="207" t="n"/>
      <c r="V421" s="207" t="n"/>
      <c r="W421" s="207" t="n"/>
      <c r="X421" s="207" t="n"/>
      <c r="Y421" s="207" t="n"/>
      <c r="Z421" s="207" t="n"/>
      <c r="AA421" s="207" t="n"/>
      <c r="AB421" s="207" t="n"/>
      <c r="AC421" s="207" t="n"/>
      <c r="AD421" s="207" t="n"/>
      <c r="AE421" s="207" t="n"/>
      <c r="AF421" s="207" t="n"/>
      <c r="AG421" s="207" t="n"/>
      <c r="AH421" s="207" t="n"/>
      <c r="AI421" s="207" t="n"/>
      <c r="AJ421" s="207" t="n"/>
      <c r="AK421" s="207" t="n"/>
      <c r="AL421" s="207" t="n"/>
      <c r="AM421" s="207" t="n"/>
      <c r="AN421" s="207" t="n"/>
      <c r="AO421" s="207" t="n"/>
      <c r="AP421" s="207" t="n">
        <v>0</v>
      </c>
      <c r="AQ421" s="207" t="n">
        <v>0</v>
      </c>
      <c r="AR421" s="207" t="n">
        <v>0</v>
      </c>
      <c r="AS421" s="207" t="n">
        <v>0</v>
      </c>
      <c r="AT421" s="207" t="n">
        <v>0</v>
      </c>
      <c r="AU421" s="207" t="n">
        <v>0</v>
      </c>
      <c r="AV421" s="207" t="n">
        <v>0</v>
      </c>
      <c r="AW421" s="207" t="n">
        <v>0</v>
      </c>
      <c r="AX421" s="208" t="n">
        <v>1</v>
      </c>
      <c r="AY421" s="209">
        <f>L421*AX421+AP421+AQ421+AR421+AV421+AW421+AS421+AT421+AU421</f>
        <v/>
      </c>
      <c r="AZ421" s="207" t="n">
        <v>1950</v>
      </c>
      <c r="BA421" s="207" t="n">
        <v>0</v>
      </c>
      <c r="BB421" s="207">
        <f>AZ421*0.006</f>
        <v/>
      </c>
      <c r="BC421" s="209">
        <f>AZ421+BA421-BB421</f>
        <v/>
      </c>
      <c r="BD421" s="207" t="n">
        <v>0</v>
      </c>
      <c r="BE421" s="207" t="n">
        <v>0</v>
      </c>
      <c r="BF421" s="209">
        <f>BD421+BE421</f>
        <v/>
      </c>
      <c r="BG421" s="209">
        <f>BC421-AY421+BF421</f>
        <v/>
      </c>
      <c r="BH421" s="207" t="inlineStr">
        <is>
          <t>高艺玲</t>
        </is>
      </c>
      <c r="BI421" s="207" t="inlineStr">
        <is>
          <t>云南省 昆明市 西山区 永昌街道金地九樾1-105</t>
        </is>
      </c>
      <c r="BJ421" s="207" t="inlineStr">
        <is>
          <t>13124814575-9217</t>
        </is>
      </c>
      <c r="BK421" s="86" t="n"/>
      <c r="BL421" s="210" t="n"/>
      <c r="BM421" s="93" t="n"/>
      <c r="BN421" s="94" t="n"/>
      <c r="BO421" s="93" t="n"/>
      <c r="BP421" s="86" t="n"/>
      <c r="BQ421" s="96" t="n"/>
      <c r="BR421" s="96" t="n"/>
      <c r="BS421" s="97" t="n"/>
      <c r="BT421" s="96" t="n"/>
      <c r="BU421" s="97" t="n"/>
      <c r="BV421" s="96" t="n"/>
      <c r="BW421" s="97" t="n"/>
      <c r="BX421" s="97" t="n"/>
      <c r="BY421" s="97" t="n"/>
      <c r="BZ421" s="97" t="n"/>
      <c r="CH421" s="2" t="n"/>
      <c r="CI421" s="14" t="n"/>
      <c r="CJ421" s="25" t="n"/>
      <c r="CK421" s="25" t="n"/>
      <c r="CL421" s="25" t="n"/>
      <c r="CM421" s="25" t="n"/>
      <c r="CN421" s="25" t="n"/>
      <c r="CO421" s="25" t="n"/>
      <c r="CP421" s="25" t="n"/>
      <c r="CQ421" s="25" t="n"/>
      <c r="CR421" s="25" t="n"/>
      <c r="CS421" s="25" t="n"/>
      <c r="CT421" s="25" t="n"/>
      <c r="CU421" s="25" t="n"/>
      <c r="CV421" s="25" t="n"/>
      <c r="CW421" s="25" t="n"/>
      <c r="CX421" s="25" t="n"/>
      <c r="CY421" s="25" t="n"/>
      <c r="DC421" s="26" t="n"/>
      <c r="DD421" s="26" t="n"/>
      <c r="DE421" s="26" t="n"/>
      <c r="DF421" s="26" t="n"/>
      <c r="DG421" s="26" t="n"/>
      <c r="DH421" s="27" t="n"/>
      <c r="DJ421" s="211" t="inlineStr">
        <is>
          <t>订单表中未找到</t>
        </is>
      </c>
      <c r="DK421" t="inlineStr">
        <is>
          <t>—</t>
        </is>
      </c>
      <c r="DL421" t="inlineStr">
        <is>
          <t>—</t>
        </is>
      </c>
    </row>
    <row r="422" ht="15.75" customHeight="1" s="187">
      <c r="A422" s="84" t="n">
        <v>45972</v>
      </c>
      <c r="B422" s="206" t="inlineStr">
        <is>
          <t>已收货</t>
        </is>
      </c>
      <c r="C422" s="86" t="inlineStr">
        <is>
          <t>4875692185702429200</t>
        </is>
      </c>
      <c r="D422" s="110" t="inlineStr">
        <is>
          <t>牛牛</t>
        </is>
      </c>
      <c r="E422" s="87" t="n"/>
      <c r="F422" s="87" t="n"/>
      <c r="G422" s="207" t="inlineStr">
        <is>
          <t>窄柜-整柜洞石背板-1.0米</t>
        </is>
      </c>
      <c r="H422" s="207" t="inlineStr">
        <is>
          <t>樱桃木窄柜</t>
        </is>
      </c>
      <c r="I422" s="89" t="n">
        <v>1000</v>
      </c>
      <c r="J422" s="87" t="inlineStr">
        <is>
          <t>已结算</t>
        </is>
      </c>
      <c r="K422" s="86" t="inlineStr">
        <is>
          <t>庄毅</t>
        </is>
      </c>
      <c r="L422" s="207">
        <f>SUM(M422:AO422)</f>
        <v/>
      </c>
      <c r="M422" s="207">
        <f>3300</f>
        <v/>
      </c>
      <c r="N422" s="207">
        <f>0.958*260+2*55</f>
        <v/>
      </c>
      <c r="O422" s="207" t="n">
        <v>120</v>
      </c>
      <c r="P422" s="207" t="n"/>
      <c r="Q422" s="207">
        <f>19*2</f>
        <v/>
      </c>
      <c r="R422" s="207" t="n">
        <v>106.8</v>
      </c>
      <c r="S422" s="207" t="n">
        <v>59.23</v>
      </c>
      <c r="T422" s="207" t="n"/>
      <c r="U422" s="207" t="n"/>
      <c r="V422" s="207" t="n">
        <v>5</v>
      </c>
      <c r="W422" s="207" t="n"/>
      <c r="X422" s="207" t="n"/>
      <c r="Y422" s="207" t="n"/>
      <c r="Z422" s="207" t="n"/>
      <c r="AA422" s="207" t="n">
        <v>2</v>
      </c>
      <c r="AB422" s="207" t="n">
        <v>1.1</v>
      </c>
      <c r="AC422" s="207" t="n">
        <v>3.5</v>
      </c>
      <c r="AD422" s="207" t="n"/>
      <c r="AE422" s="207" t="n"/>
      <c r="AF422" s="207" t="n"/>
      <c r="AG422" s="207" t="n"/>
      <c r="AH422" s="207" t="n"/>
      <c r="AI422" s="207" t="n"/>
      <c r="AJ422" s="207" t="n"/>
      <c r="AK422" s="207" t="n"/>
      <c r="AL422" s="207" t="n"/>
      <c r="AM422" s="207" t="n"/>
      <c r="AN422" s="207" t="n"/>
      <c r="AO422" s="207" t="n"/>
      <c r="AP422" s="207" t="n">
        <v>248</v>
      </c>
      <c r="AQ422" s="207" t="n">
        <v>0</v>
      </c>
      <c r="AR422" s="207" t="n">
        <v>128</v>
      </c>
      <c r="AS422" s="207" t="n">
        <v>0</v>
      </c>
      <c r="AT422" s="207" t="n">
        <v>0</v>
      </c>
      <c r="AU422" s="207" t="n">
        <v>0</v>
      </c>
      <c r="AV422" s="207" t="n">
        <v>0</v>
      </c>
      <c r="AW422" s="207" t="n">
        <v>0</v>
      </c>
      <c r="AX422" s="208" t="n">
        <v>1</v>
      </c>
      <c r="AY422" s="209">
        <f>L422*AX422+AP422+AQ422+AR422+AV422+AW422+AS422+AT422+AU422</f>
        <v/>
      </c>
      <c r="AZ422" s="207" t="n">
        <v>5156.5</v>
      </c>
      <c r="BA422" s="207" t="n">
        <v>0</v>
      </c>
      <c r="BB422" s="207">
        <f>AZ422*0.006</f>
        <v/>
      </c>
      <c r="BC422" s="209">
        <f>AZ422+BA422-BB422</f>
        <v/>
      </c>
      <c r="BD422" s="207" t="n">
        <v>0</v>
      </c>
      <c r="BE422" s="207" t="n">
        <v>0</v>
      </c>
      <c r="BF422" s="209">
        <f>BD422+BE422</f>
        <v/>
      </c>
      <c r="BG422" s="209">
        <f>BC422-AY422+BF422</f>
        <v/>
      </c>
      <c r="BH422" s="207" t="inlineStr">
        <is>
          <t>牛牛</t>
        </is>
      </c>
      <c r="BI422" s="207" t="inlineStr">
        <is>
          <t>广东省 广州市 白云区 永平街道白云堡大道1号白云堡豪苑2排3号</t>
        </is>
      </c>
      <c r="BJ422" s="207" t="inlineStr">
        <is>
          <t>17896421721-5810</t>
        </is>
      </c>
      <c r="BK422" s="86" t="n"/>
      <c r="BL422" s="210" t="n"/>
      <c r="BM422" s="93" t="n"/>
      <c r="BN422" s="94" t="n"/>
      <c r="BO422" s="93" t="n"/>
      <c r="BP422" s="86" t="n"/>
      <c r="BQ422" s="96" t="n"/>
      <c r="BR422" s="96" t="n"/>
      <c r="BS422" s="97" t="n"/>
      <c r="BT422" s="96" t="n"/>
      <c r="BU422" s="97" t="n"/>
      <c r="BV422" s="96" t="n"/>
      <c r="BW422" s="97" t="n"/>
      <c r="BX422" s="97" t="n"/>
      <c r="BY422" s="97" t="n"/>
      <c r="BZ422" s="97" t="n"/>
      <c r="CH422" s="2" t="n"/>
      <c r="CI422" s="14" t="n"/>
      <c r="CJ422" s="25" t="n"/>
      <c r="CK422" s="25" t="n"/>
      <c r="CL422" s="25" t="n"/>
      <c r="CM422" s="25" t="n"/>
      <c r="CN422" s="25" t="n"/>
      <c r="CO422" s="25" t="n"/>
      <c r="CP422" s="25" t="n"/>
      <c r="CQ422" s="25" t="n"/>
      <c r="CR422" s="25" t="n"/>
      <c r="CS422" s="25" t="n"/>
      <c r="CT422" s="25" t="n"/>
      <c r="CU422" s="25" t="n"/>
      <c r="CV422" s="25" t="n"/>
      <c r="CW422" s="25" t="n"/>
      <c r="CX422" s="25" t="n"/>
      <c r="CY422" s="25" t="n"/>
      <c r="DC422" s="26" t="n"/>
      <c r="DD422" s="26" t="n"/>
      <c r="DE422" s="26" t="n"/>
      <c r="DF422" s="26" t="n"/>
      <c r="DG422" s="26" t="n"/>
      <c r="DH422" s="27" t="n"/>
      <c r="DJ422" s="211" t="inlineStr">
        <is>
          <t>订单表中未找到</t>
        </is>
      </c>
      <c r="DK422" t="inlineStr">
        <is>
          <t>—</t>
        </is>
      </c>
      <c r="DL422" t="inlineStr">
        <is>
          <t>—</t>
        </is>
      </c>
    </row>
    <row r="423" ht="15.75" customHeight="1" s="187">
      <c r="A423" s="84" t="n">
        <v>45972</v>
      </c>
      <c r="B423" s="206" t="inlineStr">
        <is>
          <t>已收货</t>
        </is>
      </c>
      <c r="C423" s="86" t="inlineStr">
        <is>
          <t>3057490310386136577</t>
        </is>
      </c>
      <c r="D423" s="110" t="inlineStr">
        <is>
          <t>李焯翾</t>
        </is>
      </c>
      <c r="E423" s="87" t="n"/>
      <c r="F423" s="87" t="n"/>
      <c r="G423" s="207" t="inlineStr">
        <is>
          <t>1.8基础柜aa柱子</t>
        </is>
      </c>
      <c r="H423" s="207" t="inlineStr">
        <is>
          <t>基础餐边柜</t>
        </is>
      </c>
      <c r="I423" s="89" t="n">
        <v>1800</v>
      </c>
      <c r="J423" s="87" t="inlineStr">
        <is>
          <t>已结算</t>
        </is>
      </c>
      <c r="K423" s="86" t="inlineStr">
        <is>
          <t>江西</t>
        </is>
      </c>
      <c r="L423" s="207">
        <f>5100+240+28+14+22*4+579.08+10+450+(72+126)/6</f>
        <v/>
      </c>
      <c r="M423" s="207">
        <f>5100</f>
        <v/>
      </c>
      <c r="N423" s="207" t="n">
        <v>240</v>
      </c>
      <c r="O423" s="207" t="n">
        <v>28</v>
      </c>
      <c r="P423" s="207" t="n">
        <v>14</v>
      </c>
      <c r="Q423" s="207" t="n"/>
      <c r="R423" s="207" t="inlineStr">
        <is>
          <t>22*4</t>
        </is>
      </c>
      <c r="S423" s="207" t="n">
        <v>579.08</v>
      </c>
      <c r="T423" s="207" t="n">
        <v>10</v>
      </c>
      <c r="U423" s="207" t="n"/>
      <c r="V423" s="207" t="n"/>
      <c r="W423" s="207" t="n">
        <v>450</v>
      </c>
      <c r="X423" s="207" t="inlineStr">
        <is>
          <t>(72</t>
        </is>
      </c>
      <c r="Y423" s="207" t="inlineStr">
        <is>
          <t>126)/6</t>
        </is>
      </c>
      <c r="Z423" s="207" t="n"/>
      <c r="AA423" s="207" t="n"/>
      <c r="AB423" s="207" t="n"/>
      <c r="AC423" s="207" t="n"/>
      <c r="AD423" s="207" t="n"/>
      <c r="AE423" s="207" t="n"/>
      <c r="AF423" s="207" t="n"/>
      <c r="AG423" s="207" t="n"/>
      <c r="AH423" s="207" t="n"/>
      <c r="AI423" s="207" t="n"/>
      <c r="AJ423" s="207" t="n"/>
      <c r="AK423" s="207" t="n"/>
      <c r="AL423" s="207" t="n"/>
      <c r="AM423" s="207" t="n">
        <v>450</v>
      </c>
      <c r="AN423" s="207" t="n"/>
      <c r="AO423" s="207" t="n">
        <v>240</v>
      </c>
      <c r="AP423" s="207">
        <f>505-AQ423</f>
        <v/>
      </c>
      <c r="AQ423" s="207" t="n">
        <v>103</v>
      </c>
      <c r="AR423" s="207" t="n">
        <v>90</v>
      </c>
      <c r="AS423" s="207" t="n">
        <v>0</v>
      </c>
      <c r="AT423" s="207" t="n">
        <v>0</v>
      </c>
      <c r="AU423" s="207" t="n">
        <v>0</v>
      </c>
      <c r="AV423" s="207" t="n">
        <v>0</v>
      </c>
      <c r="AW423" s="207" t="n">
        <v>0</v>
      </c>
      <c r="AX423" s="208" t="n">
        <v>1</v>
      </c>
      <c r="AY423" s="209">
        <f>L423*AX423+AP423+AQ423+AR423+AV423+AW423+AS423+AT423+AU423</f>
        <v/>
      </c>
      <c r="AZ423" s="207" t="n">
        <v>7312.98</v>
      </c>
      <c r="BA423" s="207" t="n">
        <v>0</v>
      </c>
      <c r="BB423" s="207">
        <f>AZ423*0.006</f>
        <v/>
      </c>
      <c r="BC423" s="209">
        <f>AZ423+BA423-BB423</f>
        <v/>
      </c>
      <c r="BD423" s="207" t="n">
        <v>0</v>
      </c>
      <c r="BE423" s="207" t="n">
        <v>0</v>
      </c>
      <c r="BF423" s="209">
        <f>BD423+BE423</f>
        <v/>
      </c>
      <c r="BG423" s="209">
        <f>BC423-AY423+BF423</f>
        <v/>
      </c>
      <c r="BH423" s="207" t="inlineStr">
        <is>
          <t>李焯翾</t>
        </is>
      </c>
      <c r="BI423" s="207" t="inlineStr">
        <is>
          <t>河南省 郑州市 管城回族区 商都路街道国龙绿城怡园2期3号楼3单元1002</t>
        </is>
      </c>
      <c r="BJ423" s="207" t="inlineStr">
        <is>
          <t>15786743099-8722</t>
        </is>
      </c>
      <c r="BK423" s="86" t="n"/>
      <c r="BL423" s="210" t="n"/>
      <c r="BM423" s="93" t="n"/>
      <c r="BN423" s="94" t="n"/>
      <c r="BO423" s="93" t="n"/>
      <c r="BP423" s="86" t="n"/>
      <c r="BQ423" s="96" t="n"/>
      <c r="BR423" s="96" t="n"/>
      <c r="BS423" s="97" t="n"/>
      <c r="BT423" s="96" t="n"/>
      <c r="BU423" s="97" t="n"/>
      <c r="BV423" s="96" t="n"/>
      <c r="BW423" s="97" t="n"/>
      <c r="BX423" s="97" t="n"/>
      <c r="BY423" s="97" t="n"/>
      <c r="BZ423" s="97" t="n"/>
      <c r="CH423" s="2" t="n"/>
      <c r="CI423" s="14" t="n"/>
      <c r="CJ423" s="25" t="n"/>
      <c r="CK423" s="25" t="n"/>
      <c r="CL423" s="25" t="n"/>
      <c r="CM423" s="25" t="n"/>
      <c r="CN423" s="25" t="n"/>
      <c r="CO423" s="25" t="n"/>
      <c r="CP423" s="25" t="n"/>
      <c r="CQ423" s="25" t="n"/>
      <c r="CR423" s="25" t="n"/>
      <c r="CS423" s="25" t="n"/>
      <c r="CT423" s="25" t="n"/>
      <c r="CU423" s="25" t="n"/>
      <c r="CV423" s="25" t="n"/>
      <c r="CW423" s="25" t="n"/>
      <c r="CX423" s="25" t="n"/>
      <c r="CY423" s="25" t="n"/>
      <c r="DC423" s="26" t="n"/>
      <c r="DD423" s="26" t="n"/>
      <c r="DE423" s="26" t="n"/>
      <c r="DF423" s="26" t="n"/>
      <c r="DG423" s="26" t="n"/>
      <c r="DH423" s="27" t="n"/>
      <c r="DJ423" s="211" t="inlineStr">
        <is>
          <t>订单表中未找到</t>
        </is>
      </c>
      <c r="DK423" t="inlineStr">
        <is>
          <t>—</t>
        </is>
      </c>
      <c r="DL423" t="inlineStr">
        <is>
          <t>—</t>
        </is>
      </c>
    </row>
    <row r="424" ht="15.75" customHeight="1" s="187">
      <c r="A424" s="84" t="n">
        <v>45972</v>
      </c>
      <c r="B424" s="206" t="inlineStr">
        <is>
          <t>已收货</t>
        </is>
      </c>
      <c r="C424" s="86" t="inlineStr">
        <is>
          <t>3057973860108645288</t>
        </is>
      </c>
      <c r="D424" s="110" t="inlineStr">
        <is>
          <t>陈艳红</t>
        </is>
      </c>
      <c r="E424" s="87" t="n"/>
      <c r="F424" s="87" t="n"/>
      <c r="G424" s="207" t="inlineStr">
        <is>
          <t>0.6米岛台+1.6米餐桌</t>
        </is>
      </c>
      <c r="H424" s="207" t="inlineStr">
        <is>
          <t>岛台</t>
        </is>
      </c>
      <c r="I424" s="89" t="n">
        <v>600</v>
      </c>
      <c r="J424" s="87" t="inlineStr">
        <is>
          <t>已结算</t>
        </is>
      </c>
      <c r="K424" s="86" t="inlineStr">
        <is>
          <t>江西</t>
        </is>
      </c>
      <c r="L424" s="207">
        <f>3880+212+12+180*0.6*0.85+22+40</f>
        <v/>
      </c>
      <c r="M424" s="207">
        <f>3880</f>
        <v/>
      </c>
      <c r="N424" s="207" t="n">
        <v>212</v>
      </c>
      <c r="O424" s="207" t="n">
        <v>12</v>
      </c>
      <c r="P424" s="207" t="n"/>
      <c r="Q424" s="207" t="n"/>
      <c r="R424" s="207">
        <f>180*0.6*0.85</f>
        <v/>
      </c>
      <c r="S424" s="207" t="n">
        <v>40</v>
      </c>
      <c r="T424" s="207" t="n"/>
      <c r="U424" s="207" t="n"/>
      <c r="V424" s="207" t="n"/>
      <c r="W424" s="207" t="n"/>
      <c r="X424" s="207" t="n">
        <v>22</v>
      </c>
      <c r="Y424" s="207" t="n"/>
      <c r="Z424" s="207" t="n"/>
      <c r="AA424" s="207" t="n"/>
      <c r="AB424" s="207" t="n"/>
      <c r="AC424" s="207" t="n"/>
      <c r="AD424" s="207" t="n"/>
      <c r="AE424" s="207" t="n"/>
      <c r="AF424" s="207" t="n"/>
      <c r="AG424" s="207" t="n"/>
      <c r="AH424" s="207" t="n"/>
      <c r="AI424" s="207" t="n"/>
      <c r="AJ424" s="207" t="n"/>
      <c r="AK424" s="207" t="n"/>
      <c r="AL424" s="207" t="n"/>
      <c r="AM424" s="207" t="n"/>
      <c r="AN424" s="207" t="n"/>
      <c r="AO424" s="207" t="n"/>
      <c r="AP424" s="207" t="n">
        <v>0</v>
      </c>
      <c r="AQ424" s="207" t="n">
        <v>0</v>
      </c>
      <c r="AR424" s="207" t="n">
        <v>168</v>
      </c>
      <c r="AS424" s="207" t="n">
        <v>0</v>
      </c>
      <c r="AT424" s="207" t="n">
        <v>0</v>
      </c>
      <c r="AU424" s="207" t="n">
        <v>0</v>
      </c>
      <c r="AV424" s="207" t="n">
        <v>0</v>
      </c>
      <c r="AW424" s="207" t="n">
        <v>0</v>
      </c>
      <c r="AX424" s="208" t="n">
        <v>1</v>
      </c>
      <c r="AY424" s="209">
        <f>L424*AX424+AP424+AQ424+AR424+AV424+AW424+AS424+AT424+AU424</f>
        <v/>
      </c>
      <c r="AZ424" s="207" t="n">
        <v>6347.3</v>
      </c>
      <c r="BA424" s="207" t="n">
        <v>0</v>
      </c>
      <c r="BB424" s="207">
        <f>AZ424*0.006</f>
        <v/>
      </c>
      <c r="BC424" s="209">
        <f>AZ424+BA424-BB424</f>
        <v/>
      </c>
      <c r="BD424" s="207" t="n">
        <v>0</v>
      </c>
      <c r="BE424" s="207" t="n">
        <v>0</v>
      </c>
      <c r="BF424" s="209">
        <f>BD424+BE424</f>
        <v/>
      </c>
      <c r="BG424" s="209">
        <f>BC424-AY424+BF424</f>
        <v/>
      </c>
      <c r="BH424" s="86" t="inlineStr">
        <is>
          <t>陈艳红</t>
        </is>
      </c>
      <c r="BI424" s="86" t="inlineStr">
        <is>
          <t>广东省 惠州市 惠阳区 新圩镇牧云溪谷八期毓山郡云庭5栋1203房</t>
        </is>
      </c>
      <c r="BJ424" s="86" t="inlineStr">
        <is>
          <t>17806519257-9154</t>
        </is>
      </c>
      <c r="BK424" s="86" t="n"/>
      <c r="BL424" s="210" t="n"/>
      <c r="BM424" s="93" t="n"/>
      <c r="BN424" s="94" t="n"/>
      <c r="BO424" s="93" t="n"/>
      <c r="BP424" s="86" t="n"/>
      <c r="BQ424" s="96" t="n"/>
      <c r="BR424" s="96" t="n"/>
      <c r="BS424" s="97" t="n"/>
      <c r="BT424" s="96" t="n"/>
      <c r="BU424" s="97" t="n"/>
      <c r="BV424" s="96" t="n"/>
      <c r="BW424" s="97" t="n"/>
      <c r="BX424" s="97" t="n"/>
      <c r="BY424" s="97" t="n"/>
      <c r="BZ424" s="97" t="n"/>
      <c r="CH424" s="2" t="n"/>
      <c r="CI424" s="14" t="n"/>
      <c r="CJ424" s="25" t="n"/>
      <c r="CK424" s="25" t="n"/>
      <c r="CL424" s="25" t="n"/>
      <c r="CM424" s="25" t="n"/>
      <c r="CN424" s="25" t="n"/>
      <c r="CO424" s="25" t="n"/>
      <c r="CP424" s="25" t="n"/>
      <c r="CQ424" s="25" t="n"/>
      <c r="CR424" s="25" t="n"/>
      <c r="CS424" s="25" t="n"/>
      <c r="CT424" s="25" t="n"/>
      <c r="CU424" s="25" t="n"/>
      <c r="CV424" s="25" t="n"/>
      <c r="CW424" s="25" t="n"/>
      <c r="CX424" s="25" t="n"/>
      <c r="CY424" s="25" t="n"/>
      <c r="DC424" s="26" t="n"/>
      <c r="DD424" s="26" t="n"/>
      <c r="DE424" s="26" t="n"/>
      <c r="DF424" s="26" t="n"/>
      <c r="DG424" s="26" t="n"/>
      <c r="DH424" s="27" t="n"/>
      <c r="DJ424" s="211" t="inlineStr">
        <is>
          <t>订单表中未找到</t>
        </is>
      </c>
      <c r="DK424" t="inlineStr">
        <is>
          <t>—</t>
        </is>
      </c>
      <c r="DL424" t="inlineStr">
        <is>
          <t>—</t>
        </is>
      </c>
    </row>
    <row r="425" ht="15.75" customHeight="1" s="187">
      <c r="A425" s="84" t="n">
        <v>45972</v>
      </c>
      <c r="B425" s="206" t="inlineStr">
        <is>
          <t>已收货</t>
        </is>
      </c>
      <c r="C425" s="86" t="inlineStr">
        <is>
          <t>4875631239075205606</t>
        </is>
      </c>
      <c r="D425" s="110" t="inlineStr">
        <is>
          <t>啊奖</t>
        </is>
      </c>
      <c r="E425" s="87" t="n"/>
      <c r="F425" s="87" t="n"/>
      <c r="G425" s="207" t="inlineStr">
        <is>
          <t>砂白色1.8米岩板餐桌</t>
        </is>
      </c>
      <c r="H425" s="207" t="inlineStr">
        <is>
          <t>榉木餐桌</t>
        </is>
      </c>
      <c r="I425" s="89" t="inlineStr">
        <is>
          <t>180cm*85cm</t>
        </is>
      </c>
      <c r="J425" s="87" t="inlineStr">
        <is>
          <t>已结算</t>
        </is>
      </c>
      <c r="K425" s="86" t="inlineStr">
        <is>
          <t>庄毅</t>
        </is>
      </c>
      <c r="L425" s="207">
        <f>SUM(M425:AO425)</f>
        <v/>
      </c>
      <c r="M425" s="207">
        <f>1580</f>
        <v/>
      </c>
      <c r="N425" s="207" t="n"/>
      <c r="O425" s="207" t="n"/>
      <c r="P425" s="207" t="n"/>
      <c r="Q425" s="207" t="n"/>
      <c r="R425" s="207">
        <f>180*1.8*0.85</f>
        <v/>
      </c>
      <c r="S425" s="207" t="n"/>
      <c r="T425" s="207" t="n"/>
      <c r="U425" s="207" t="n"/>
      <c r="V425" s="207" t="n"/>
      <c r="W425" s="207" t="n"/>
      <c r="X425" s="207" t="n"/>
      <c r="Y425" s="207" t="n"/>
      <c r="Z425" s="207" t="n"/>
      <c r="AA425" s="207" t="n"/>
      <c r="AB425" s="207" t="n"/>
      <c r="AC425" s="207" t="n"/>
      <c r="AD425" s="207" t="n">
        <v>2.5</v>
      </c>
      <c r="AE425" s="207" t="n"/>
      <c r="AF425" s="207" t="n"/>
      <c r="AG425" s="207" t="n"/>
      <c r="AH425" s="207" t="n"/>
      <c r="AI425" s="207" t="n"/>
      <c r="AJ425" s="207" t="n"/>
      <c r="AK425" s="207" t="n"/>
      <c r="AL425" s="207" t="n"/>
      <c r="AM425" s="207" t="n"/>
      <c r="AN425" s="207" t="n"/>
      <c r="AO425" s="207" t="n"/>
      <c r="AP425" s="207" t="n">
        <v>110</v>
      </c>
      <c r="AQ425" s="207" t="n">
        <v>0</v>
      </c>
      <c r="AR425" s="207" t="n">
        <v>65</v>
      </c>
      <c r="AS425" s="207" t="n">
        <v>0</v>
      </c>
      <c r="AT425" s="207" t="n">
        <v>0</v>
      </c>
      <c r="AU425" s="207" t="n">
        <v>0</v>
      </c>
      <c r="AV425" s="207" t="n">
        <v>0</v>
      </c>
      <c r="AW425" s="207" t="n">
        <v>0</v>
      </c>
      <c r="AX425" s="208" t="n">
        <v>1</v>
      </c>
      <c r="AY425" s="209">
        <f>L425*AX425+AP425+AQ425+AR425+AV425+AW425+AS425+AT425+AU425</f>
        <v/>
      </c>
      <c r="AZ425" s="207">
        <f>2794.6- 51.36</f>
        <v/>
      </c>
      <c r="BA425" s="207" t="n">
        <v>0</v>
      </c>
      <c r="BB425" s="207">
        <f>AZ425*0.006</f>
        <v/>
      </c>
      <c r="BC425" s="209">
        <f>AZ425+BA425-BB425</f>
        <v/>
      </c>
      <c r="BD425" s="207" t="n">
        <v>0</v>
      </c>
      <c r="BE425" s="207" t="n">
        <v>0</v>
      </c>
      <c r="BF425" s="209">
        <f>BD425+BE425</f>
        <v/>
      </c>
      <c r="BG425" s="209">
        <f>BC425-AY425+BF425</f>
        <v/>
      </c>
      <c r="BH425" s="207" t="inlineStr">
        <is>
          <t>啊奖</t>
        </is>
      </c>
      <c r="BI425" s="207" t="inlineStr">
        <is>
          <t>福建省 泉州市 晋江市 罗山街道许坑社区高厝头振兴路正书香名邸29幢709</t>
        </is>
      </c>
      <c r="BJ425" s="207" t="inlineStr">
        <is>
          <t>13159000994-6418</t>
        </is>
      </c>
      <c r="BK425" s="86" t="n"/>
      <c r="BL425" s="210" t="n"/>
      <c r="BM425" s="93" t="n"/>
      <c r="BN425" s="94" t="n"/>
      <c r="BO425" s="93" t="n"/>
      <c r="BP425" s="86" t="n"/>
      <c r="BQ425" s="96" t="n"/>
      <c r="BR425" s="96" t="n"/>
      <c r="BS425" s="97" t="n"/>
      <c r="BT425" s="96" t="n"/>
      <c r="BU425" s="97" t="n"/>
      <c r="BV425" s="96" t="n"/>
      <c r="BW425" s="97" t="n"/>
      <c r="BX425" s="97" t="n"/>
      <c r="BY425" s="97" t="n"/>
      <c r="BZ425" s="97" t="n"/>
      <c r="CH425" s="2" t="n"/>
      <c r="CI425" s="14" t="n"/>
      <c r="CJ425" s="25" t="n"/>
      <c r="CK425" s="25" t="n"/>
      <c r="CL425" s="25" t="n"/>
      <c r="CM425" s="25" t="n"/>
      <c r="CN425" s="25" t="n"/>
      <c r="CO425" s="25" t="n"/>
      <c r="CP425" s="25" t="n"/>
      <c r="CQ425" s="25" t="n"/>
      <c r="CR425" s="25" t="n"/>
      <c r="CS425" s="25" t="n"/>
      <c r="CT425" s="25" t="n"/>
      <c r="CU425" s="25" t="n"/>
      <c r="CV425" s="25" t="n"/>
      <c r="CW425" s="25" t="n"/>
      <c r="CX425" s="25" t="n"/>
      <c r="CY425" s="25" t="n"/>
      <c r="DC425" s="26" t="n"/>
      <c r="DD425" s="26" t="n"/>
      <c r="DE425" s="26" t="n"/>
      <c r="DF425" s="26" t="n"/>
      <c r="DG425" s="26" t="n"/>
      <c r="DH425" s="27" t="n"/>
      <c r="DJ425" s="211" t="inlineStr">
        <is>
          <t>订单表中未找到</t>
        </is>
      </c>
      <c r="DK425" t="inlineStr">
        <is>
          <t>—</t>
        </is>
      </c>
      <c r="DL425" t="inlineStr">
        <is>
          <t>—</t>
        </is>
      </c>
    </row>
    <row r="426" ht="15.75" customHeight="1" s="187">
      <c r="A426" s="84" t="n">
        <v>45972</v>
      </c>
      <c r="B426" s="206" t="inlineStr">
        <is>
          <t>已收货</t>
        </is>
      </c>
      <c r="C426" s="86" t="inlineStr">
        <is>
          <t>4875654027502809205</t>
        </is>
      </c>
      <c r="D426" s="110" t="inlineStr">
        <is>
          <t>刘薇</t>
        </is>
      </c>
      <c r="E426" s="87" t="n"/>
      <c r="F426" s="87" t="n"/>
      <c r="G426" s="207" t="inlineStr">
        <is>
          <t>窄柜-整柜洞石背板-0.8米</t>
        </is>
      </c>
      <c r="H426" s="207" t="inlineStr">
        <is>
          <t>樱桃木窄柜</t>
        </is>
      </c>
      <c r="I426" s="89" t="n">
        <v>800</v>
      </c>
      <c r="J426" s="87" t="inlineStr">
        <is>
          <t>已结算</t>
        </is>
      </c>
      <c r="K426" s="86" t="inlineStr">
        <is>
          <t>庄毅</t>
        </is>
      </c>
      <c r="L426" s="207">
        <f>115+1.16+3.37+3100+1.1+1.03+60/2+4+307.08+54.9+3+0.8*0.48*160+30*5+10</f>
        <v/>
      </c>
      <c r="M426" s="207">
        <f>3100</f>
        <v/>
      </c>
      <c r="N426" s="207">
        <f>0.758*260+2*55</f>
        <v/>
      </c>
      <c r="O426" s="207">
        <f>115</f>
        <v/>
      </c>
      <c r="P426" s="207" t="n"/>
      <c r="Q426" s="207">
        <f>15*2</f>
        <v/>
      </c>
      <c r="R426" s="207">
        <f>0.8*0.48*160+30</f>
        <v/>
      </c>
      <c r="S426" s="207" t="n">
        <v>54.9</v>
      </c>
      <c r="T426" s="207" t="n"/>
      <c r="U426" s="207" t="n"/>
      <c r="V426" s="207" t="n">
        <v>4</v>
      </c>
      <c r="W426" s="207" t="n"/>
      <c r="X426" s="207" t="n"/>
      <c r="Y426" s="207" t="n"/>
      <c r="Z426" s="207" t="n"/>
      <c r="AA426" s="207" t="n"/>
      <c r="AB426" s="207" t="n"/>
      <c r="AC426" s="207" t="n">
        <v>3.5</v>
      </c>
      <c r="AD426" s="207" t="n"/>
      <c r="AE426" s="207" t="n">
        <v>3</v>
      </c>
      <c r="AF426" s="207" t="n"/>
      <c r="AG426" s="207" t="n"/>
      <c r="AH426" s="207" t="n"/>
      <c r="AI426" s="207" t="n"/>
      <c r="AJ426" s="207" t="n">
        <v>1.2</v>
      </c>
      <c r="AK426" s="207" t="n"/>
      <c r="AL426" s="207" t="n"/>
      <c r="AM426" s="207" t="n"/>
      <c r="AN426" s="207" t="n"/>
      <c r="AO426" s="207" t="n"/>
      <c r="AP426" s="207" t="n">
        <v>308</v>
      </c>
      <c r="AQ426" s="207" t="n">
        <v>0</v>
      </c>
      <c r="AR426" s="207" t="n">
        <v>75</v>
      </c>
      <c r="AS426" s="207" t="n">
        <v>0</v>
      </c>
      <c r="AT426" s="207" t="n">
        <v>0</v>
      </c>
      <c r="AU426" s="207" t="n">
        <v>0</v>
      </c>
      <c r="AV426" s="207" t="n">
        <v>0</v>
      </c>
      <c r="AW426" s="207" t="n">
        <v>0</v>
      </c>
      <c r="AX426" s="208" t="n">
        <v>1</v>
      </c>
      <c r="AY426" s="209">
        <f>L426*AX426+AP426+AQ426+AR426+AV426+AW426+AS426+AT426+AU426</f>
        <v/>
      </c>
      <c r="AZ426" s="207" t="n">
        <v>4819.5</v>
      </c>
      <c r="BA426" s="207" t="n">
        <v>0</v>
      </c>
      <c r="BB426" s="207">
        <f>AZ426*0.006</f>
        <v/>
      </c>
      <c r="BC426" s="209">
        <f>AZ426+BA426-BB426</f>
        <v/>
      </c>
      <c r="BD426" s="207" t="n">
        <v>0</v>
      </c>
      <c r="BE426" s="207" t="n">
        <v>0</v>
      </c>
      <c r="BF426" s="209">
        <f>BD426+BE426</f>
        <v/>
      </c>
      <c r="BG426" s="209">
        <f>BC426-AY426+BF426</f>
        <v/>
      </c>
      <c r="BH426" s="207" t="inlineStr">
        <is>
          <t>刘薇</t>
        </is>
      </c>
      <c r="BI426" s="207" t="inlineStr">
        <is>
          <t>北京 北京市 海淀区 清河街道小营西路48号美和园东区3号楼2单元103</t>
        </is>
      </c>
      <c r="BJ426" s="207" t="inlineStr">
        <is>
          <t>13141171455-1939</t>
        </is>
      </c>
      <c r="BK426" s="86" t="n"/>
      <c r="BL426" s="210" t="n"/>
      <c r="BM426" s="93" t="n"/>
      <c r="BN426" s="94" t="n"/>
      <c r="BO426" s="93" t="n"/>
      <c r="BP426" s="86" t="n"/>
      <c r="BQ426" s="96" t="n"/>
      <c r="BR426" s="96" t="n"/>
      <c r="BS426" s="97" t="n"/>
      <c r="BT426" s="96" t="n"/>
      <c r="BU426" s="97" t="n"/>
      <c r="BV426" s="96" t="n"/>
      <c r="BW426" s="97" t="n"/>
      <c r="BX426" s="97" t="n"/>
      <c r="BY426" s="97" t="n"/>
      <c r="BZ426" s="97" t="n"/>
      <c r="CH426" s="2" t="n"/>
      <c r="CI426" s="14" t="n"/>
      <c r="CJ426" s="25" t="n"/>
      <c r="CK426" s="25" t="n"/>
      <c r="CL426" s="25" t="n"/>
      <c r="CM426" s="25" t="n"/>
      <c r="CN426" s="25" t="n"/>
      <c r="CO426" s="25" t="n"/>
      <c r="CP426" s="25" t="n"/>
      <c r="CQ426" s="25" t="n"/>
      <c r="CR426" s="25" t="n"/>
      <c r="CS426" s="25" t="n"/>
      <c r="CT426" s="25" t="n"/>
      <c r="CU426" s="25" t="n"/>
      <c r="CV426" s="25" t="n"/>
      <c r="CW426" s="25" t="n"/>
      <c r="CX426" s="25" t="n"/>
      <c r="CY426" s="25" t="n"/>
      <c r="DC426" s="26" t="n"/>
      <c r="DD426" s="26" t="n"/>
      <c r="DE426" s="26" t="n"/>
      <c r="DF426" s="26" t="n"/>
      <c r="DG426" s="26" t="n"/>
      <c r="DH426" s="27" t="n"/>
      <c r="DJ426" s="211" t="inlineStr">
        <is>
          <t>订单表中未找到</t>
        </is>
      </c>
      <c r="DK426" t="inlineStr">
        <is>
          <t>—</t>
        </is>
      </c>
      <c r="DL426" t="inlineStr">
        <is>
          <t>—</t>
        </is>
      </c>
    </row>
    <row r="427" ht="15.75" customHeight="1" s="187">
      <c r="A427" s="84" t="n">
        <v>45972</v>
      </c>
      <c r="B427" s="206" t="inlineStr">
        <is>
          <t>已收货</t>
        </is>
      </c>
      <c r="C427" s="86" t="inlineStr">
        <is>
          <t>3058037400160928591</t>
        </is>
      </c>
      <c r="D427" s="110" t="inlineStr">
        <is>
          <t>林成毅</t>
        </is>
      </c>
      <c r="E427" s="87" t="n"/>
      <c r="F427" s="87" t="n"/>
      <c r="G427" s="207" t="inlineStr">
        <is>
          <t>1.8基础柜AA柱</t>
        </is>
      </c>
      <c r="H427" s="207" t="inlineStr">
        <is>
          <t>基础餐边柜</t>
        </is>
      </c>
      <c r="I427" s="89" t="n"/>
      <c r="J427" s="87" t="inlineStr">
        <is>
          <t>已结算</t>
        </is>
      </c>
      <c r="K427" s="86" t="inlineStr">
        <is>
          <t>江西</t>
        </is>
      </c>
      <c r="L427" s="207">
        <f>5100+240+28+14+22*4+579.08+22+535+(72+126)/6</f>
        <v/>
      </c>
      <c r="M427" s="207">
        <f>5100</f>
        <v/>
      </c>
      <c r="N427" s="207" t="n">
        <v>240</v>
      </c>
      <c r="O427" s="207" t="n">
        <v>28</v>
      </c>
      <c r="P427" s="207" t="n">
        <v>14</v>
      </c>
      <c r="Q427" s="207" t="n"/>
      <c r="R427" s="207" t="inlineStr">
        <is>
          <t>22*4</t>
        </is>
      </c>
      <c r="S427" s="207" t="n">
        <v>579.08</v>
      </c>
      <c r="T427" s="207" t="n">
        <v>22</v>
      </c>
      <c r="U427" s="207" t="n"/>
      <c r="V427" s="207" t="n"/>
      <c r="W427" s="207" t="n">
        <v>535</v>
      </c>
      <c r="X427" s="207" t="inlineStr">
        <is>
          <t>(72</t>
        </is>
      </c>
      <c r="Y427" s="207" t="inlineStr">
        <is>
          <t>126)/6</t>
        </is>
      </c>
      <c r="Z427" s="207" t="n"/>
      <c r="AA427" s="207" t="n"/>
      <c r="AB427" s="207" t="n"/>
      <c r="AC427" s="207" t="n"/>
      <c r="AD427" s="207" t="n"/>
      <c r="AE427" s="207" t="n"/>
      <c r="AF427" s="207" t="n"/>
      <c r="AG427" s="207" t="n"/>
      <c r="AH427" s="207" t="n"/>
      <c r="AI427" s="207" t="n"/>
      <c r="AJ427" s="207" t="n"/>
      <c r="AK427" s="207" t="n"/>
      <c r="AL427" s="207" t="n"/>
      <c r="AM427" s="207" t="n">
        <v>535</v>
      </c>
      <c r="AN427" s="207" t="n"/>
      <c r="AO427" s="207" t="n"/>
      <c r="AP427" s="207">
        <f>493-AQ427</f>
        <v/>
      </c>
      <c r="AQ427" s="207" t="n">
        <v>40</v>
      </c>
      <c r="AR427" s="121" t="n">
        <v>150</v>
      </c>
      <c r="AS427" s="207" t="n">
        <v>0</v>
      </c>
      <c r="AT427" s="207" t="n">
        <v>0</v>
      </c>
      <c r="AU427" s="207" t="n">
        <v>0</v>
      </c>
      <c r="AV427" s="207" t="n">
        <v>0</v>
      </c>
      <c r="AW427" s="207" t="n">
        <v>0</v>
      </c>
      <c r="AX427" s="208" t="n">
        <v>1</v>
      </c>
      <c r="AY427" s="209">
        <f>L427*AX427+AP427+AQ427+AR427+AV427+AW427+AS427+AT427+AU427</f>
        <v/>
      </c>
      <c r="AZ427" s="207" t="n">
        <v>7749.37</v>
      </c>
      <c r="BA427" s="207" t="n">
        <v>0</v>
      </c>
      <c r="BB427" s="207">
        <f>AZ427*0.006</f>
        <v/>
      </c>
      <c r="BC427" s="209">
        <f>AZ427+BA427-BB427</f>
        <v/>
      </c>
      <c r="BD427" s="207" t="n">
        <v>0</v>
      </c>
      <c r="BE427" s="207" t="n">
        <v>0</v>
      </c>
      <c r="BF427" s="209">
        <f>BD427+BE427</f>
        <v/>
      </c>
      <c r="BG427" s="209">
        <f>BC427-AY427+BF427</f>
        <v/>
      </c>
      <c r="BH427" s="207" t="inlineStr">
        <is>
          <t>林成毅</t>
        </is>
      </c>
      <c r="BI427" s="207" t="inlineStr">
        <is>
          <t>福建省 漳州市 龙海区 九湖镇#Q8XZDZCQ#中国/福建省/漳州市/龙海区/九湖镇九湖镇传化物流园L2 栋 7121号AE仓@8AQL2HB</t>
        </is>
      </c>
      <c r="BJ427" s="207" t="n">
        <v>13859953775</v>
      </c>
      <c r="BK427" s="86" t="n"/>
      <c r="BL427" s="210" t="n"/>
      <c r="BM427" s="93" t="n"/>
      <c r="BN427" s="94" t="n"/>
      <c r="BO427" s="93" t="n"/>
      <c r="BP427" s="86" t="n"/>
      <c r="BQ427" s="96" t="n"/>
      <c r="BR427" s="96" t="n"/>
      <c r="BS427" s="97" t="n"/>
      <c r="BT427" s="96" t="n"/>
      <c r="BU427" s="97" t="n"/>
      <c r="BV427" s="96" t="n"/>
      <c r="BW427" s="97" t="n"/>
      <c r="BX427" s="97" t="n"/>
      <c r="BY427" s="97" t="n"/>
      <c r="BZ427" s="97" t="n"/>
      <c r="CH427" s="2" t="n"/>
      <c r="CI427" s="14" t="n"/>
      <c r="CJ427" s="25" t="n"/>
      <c r="CK427" s="25" t="n"/>
      <c r="CL427" s="25" t="n"/>
      <c r="CM427" s="25" t="n"/>
      <c r="CN427" s="25" t="n"/>
      <c r="CO427" s="25" t="n"/>
      <c r="CP427" s="25" t="n"/>
      <c r="CQ427" s="25" t="n"/>
      <c r="CR427" s="25" t="n"/>
      <c r="CS427" s="25" t="n"/>
      <c r="CT427" s="25" t="n"/>
      <c r="CU427" s="25" t="n"/>
      <c r="CV427" s="25" t="n"/>
      <c r="CW427" s="25" t="n"/>
      <c r="CX427" s="25" t="n"/>
      <c r="CY427" s="25" t="n"/>
      <c r="DC427" s="26" t="n"/>
      <c r="DD427" s="26" t="n"/>
      <c r="DE427" s="26" t="n"/>
      <c r="DF427" s="26" t="n"/>
      <c r="DG427" s="26" t="n"/>
      <c r="DH427" s="27" t="n"/>
      <c r="DJ427" s="211" t="inlineStr">
        <is>
          <t>订单表中未找到</t>
        </is>
      </c>
      <c r="DK427" t="inlineStr">
        <is>
          <t>—</t>
        </is>
      </c>
      <c r="DL427" t="inlineStr">
        <is>
          <t>—</t>
        </is>
      </c>
    </row>
    <row r="428" ht="15.75" customHeight="1" s="187">
      <c r="A428" s="84" t="n">
        <v>45973</v>
      </c>
      <c r="B428" s="206" t="inlineStr">
        <is>
          <t>已收货</t>
        </is>
      </c>
      <c r="C428" s="86" t="inlineStr">
        <is>
          <t>3058058353165945066</t>
        </is>
      </c>
      <c r="D428" s="110" t="inlineStr">
        <is>
          <t>无敌</t>
        </is>
      </c>
      <c r="E428" s="116" t="inlineStr">
        <is>
          <t>产品成本+抽屉轨道+打包费</t>
        </is>
      </c>
      <c r="F428" s="87" t="n"/>
      <c r="G428" s="207" t="inlineStr">
        <is>
          <t>床头柜</t>
        </is>
      </c>
      <c r="H428" s="207" t="inlineStr">
        <is>
          <t>床头柜</t>
        </is>
      </c>
      <c r="I428" s="89" t="n"/>
      <c r="J428" s="87" t="inlineStr">
        <is>
          <t>已结算</t>
        </is>
      </c>
      <c r="K428" s="86" t="inlineStr">
        <is>
          <t>江西</t>
        </is>
      </c>
      <c r="L428" s="207">
        <f>SUM(M428:AO428)</f>
        <v/>
      </c>
      <c r="M428" s="207">
        <f>750</f>
        <v/>
      </c>
      <c r="N428" s="207" t="n"/>
      <c r="O428" s="207" t="n"/>
      <c r="P428" s="207" t="n"/>
      <c r="Q428" s="207" t="n"/>
      <c r="R428" s="207" t="n"/>
      <c r="S428" s="207" t="n"/>
      <c r="T428" s="207" t="n"/>
      <c r="U428" s="207" t="n"/>
      <c r="V428" s="207" t="n"/>
      <c r="W428" s="207" t="n"/>
      <c r="X428" s="207">
        <f>20*2</f>
        <v/>
      </c>
      <c r="Y428" s="207" t="n"/>
      <c r="Z428" s="207" t="n"/>
      <c r="AA428" s="207" t="n"/>
      <c r="AB428" s="207" t="n"/>
      <c r="AC428" s="207" t="n"/>
      <c r="AD428" s="207" t="n"/>
      <c r="AE428" s="207" t="n"/>
      <c r="AF428" s="207" t="n"/>
      <c r="AG428" s="207" t="n"/>
      <c r="AH428" s="207" t="n"/>
      <c r="AI428" s="207" t="n"/>
      <c r="AJ428" s="207" t="n"/>
      <c r="AK428" s="207" t="n"/>
      <c r="AL428" s="207" t="n"/>
      <c r="AM428" s="207" t="n">
        <v>45</v>
      </c>
      <c r="AN428" s="207" t="n"/>
      <c r="AO428" s="207" t="n"/>
      <c r="AP428" s="207" t="n"/>
      <c r="AQ428" s="207" t="n">
        <v>65</v>
      </c>
      <c r="AR428" s="207" t="n">
        <v>0</v>
      </c>
      <c r="AS428" s="207" t="n">
        <v>0</v>
      </c>
      <c r="AT428" s="207" t="n">
        <v>0</v>
      </c>
      <c r="AU428" s="207" t="n">
        <v>0</v>
      </c>
      <c r="AV428" s="207" t="n">
        <v>0</v>
      </c>
      <c r="AW428" s="207" t="n">
        <v>0</v>
      </c>
      <c r="AX428" s="208" t="n">
        <v>1</v>
      </c>
      <c r="AY428" s="209">
        <f>L428*AX428+AP428+AQ428+AR428+AV428+AW428+AS428+AT428+AU428</f>
        <v/>
      </c>
      <c r="AZ428" s="207" t="n">
        <v>753.73</v>
      </c>
      <c r="BA428" s="207" t="n">
        <v>0</v>
      </c>
      <c r="BB428" s="207">
        <f>AZ428*0.006</f>
        <v/>
      </c>
      <c r="BC428" s="209">
        <f>AZ428+BA428-BB428</f>
        <v/>
      </c>
      <c r="BD428" s="207" t="n">
        <v>0</v>
      </c>
      <c r="BE428" s="207" t="n">
        <v>0</v>
      </c>
      <c r="BF428" s="209">
        <f>BD428+BE428</f>
        <v/>
      </c>
      <c r="BG428" s="209">
        <f>BC428-AY428+BF428</f>
        <v/>
      </c>
      <c r="BH428" s="86" t="inlineStr">
        <is>
          <t>无敌</t>
        </is>
      </c>
      <c r="BI428" s="86" t="inlineStr">
        <is>
          <t>北京 北京市 昌平区 东小口镇东小口 天通苑西二区5号楼9单元703</t>
        </is>
      </c>
      <c r="BJ428" s="86" t="inlineStr">
        <is>
          <t>13164216447-4077</t>
        </is>
      </c>
      <c r="BK428" s="86" t="n"/>
      <c r="BL428" s="210" t="n"/>
      <c r="BM428" s="93" t="n"/>
      <c r="BN428" s="94" t="n"/>
      <c r="BO428" s="93" t="n"/>
      <c r="BP428" s="86" t="n"/>
      <c r="BQ428" s="96" t="n"/>
      <c r="BR428" s="96" t="n"/>
      <c r="BS428" s="97" t="n"/>
      <c r="BT428" s="96" t="n"/>
      <c r="BU428" s="97" t="n"/>
      <c r="BV428" s="96" t="n"/>
      <c r="BW428" s="97" t="n"/>
      <c r="BX428" s="97" t="n"/>
      <c r="BY428" s="97" t="n"/>
      <c r="BZ428" s="97" t="n"/>
      <c r="CH428" s="2" t="n"/>
      <c r="CI428" s="14" t="n"/>
      <c r="CJ428" s="25" t="n"/>
      <c r="CK428" s="25" t="n"/>
      <c r="CL428" s="25" t="n"/>
      <c r="CM428" s="25" t="n"/>
      <c r="CN428" s="25" t="n"/>
      <c r="CO428" s="25" t="n"/>
      <c r="CP428" s="25" t="n"/>
      <c r="CQ428" s="25" t="n"/>
      <c r="CR428" s="25" t="n"/>
      <c r="CS428" s="25" t="n"/>
      <c r="CT428" s="25" t="n"/>
      <c r="CU428" s="25" t="n"/>
      <c r="CV428" s="25" t="n"/>
      <c r="CW428" s="25" t="n"/>
      <c r="CX428" s="25" t="n"/>
      <c r="CY428" s="25" t="n"/>
      <c r="DC428" s="26" t="n"/>
      <c r="DD428" s="26" t="n"/>
      <c r="DE428" s="26" t="n"/>
      <c r="DF428" s="26" t="n"/>
      <c r="DG428" s="26" t="n"/>
      <c r="DH428" s="27" t="n"/>
      <c r="DJ428" s="211" t="inlineStr">
        <is>
          <t>订单表中未找到</t>
        </is>
      </c>
      <c r="DK428" t="inlineStr">
        <is>
          <t>—</t>
        </is>
      </c>
      <c r="DL428" t="inlineStr">
        <is>
          <t>—</t>
        </is>
      </c>
    </row>
    <row r="429" ht="15.75" customHeight="1" s="187">
      <c r="A429" s="84" t="n">
        <v>45973</v>
      </c>
      <c r="B429" s="206" t="inlineStr">
        <is>
          <t>已收货</t>
        </is>
      </c>
      <c r="C429" s="86" t="inlineStr">
        <is>
          <t>3057774135007509266</t>
        </is>
      </c>
      <c r="D429" s="110" t="inlineStr">
        <is>
          <t>黑兔</t>
        </is>
      </c>
      <c r="E429" s="87" t="n"/>
      <c r="F429" s="87" t="n"/>
      <c r="G429" s="207" t="inlineStr">
        <is>
          <t>砂白色1.6米岩板餐桌</t>
        </is>
      </c>
      <c r="H429" s="207" t="inlineStr">
        <is>
          <t>榉木餐桌</t>
        </is>
      </c>
      <c r="I429" s="218" t="inlineStr">
        <is>
          <t>160cm*85cm</t>
        </is>
      </c>
      <c r="J429" s="87" t="inlineStr">
        <is>
          <t>已结算</t>
        </is>
      </c>
      <c r="K429" s="86" t="inlineStr">
        <is>
          <t>庄毅</t>
        </is>
      </c>
      <c r="L429" s="207">
        <f>SUM(M429:AO429)</f>
        <v/>
      </c>
      <c r="M429" s="207">
        <f>1530</f>
        <v/>
      </c>
      <c r="N429" s="207" t="n"/>
      <c r="O429" s="207" t="n"/>
      <c r="P429" s="207" t="n"/>
      <c r="Q429" s="207" t="n"/>
      <c r="R429" s="207">
        <f>180*1.6*0.85</f>
        <v/>
      </c>
      <c r="S429" s="207" t="n"/>
      <c r="T429" s="207" t="n"/>
      <c r="U429" s="207" t="n"/>
      <c r="V429" s="207" t="n"/>
      <c r="W429" s="207" t="n"/>
      <c r="X429" s="207" t="n"/>
      <c r="Y429" s="207" t="n"/>
      <c r="Z429" s="207" t="n"/>
      <c r="AA429" s="207" t="n"/>
      <c r="AB429" s="207" t="n"/>
      <c r="AC429" s="207" t="n"/>
      <c r="AD429" s="207" t="n">
        <v>2.5</v>
      </c>
      <c r="AE429" s="207" t="n"/>
      <c r="AF429" s="207" t="n"/>
      <c r="AG429" s="207" t="n"/>
      <c r="AH429" s="207" t="n"/>
      <c r="AI429" s="207" t="n"/>
      <c r="AJ429" s="207" t="n"/>
      <c r="AK429" s="207" t="n"/>
      <c r="AL429" s="207" t="n"/>
      <c r="AM429" s="207" t="n"/>
      <c r="AN429" s="207" t="n"/>
      <c r="AO429" s="207" t="n"/>
      <c r="AP429" s="207" t="n">
        <v>208</v>
      </c>
      <c r="AQ429" s="207" t="n">
        <v>0</v>
      </c>
      <c r="AR429" s="207" t="n">
        <v>95</v>
      </c>
      <c r="AS429" s="207" t="n">
        <v>0</v>
      </c>
      <c r="AT429" s="207" t="n">
        <v>135</v>
      </c>
      <c r="AU429" s="207" t="n">
        <v>0</v>
      </c>
      <c r="AV429" s="207" t="n">
        <v>0</v>
      </c>
      <c r="AW429" s="207" t="n">
        <v>0</v>
      </c>
      <c r="AX429" s="208" t="n">
        <v>1</v>
      </c>
      <c r="AY429" s="209">
        <f>L429*AX429+AP429+AQ429+AR429+AV429+AW429+AS429+AT429+AU429</f>
        <v/>
      </c>
      <c r="AZ429" s="207" t="n">
        <v>2688.41</v>
      </c>
      <c r="BA429" s="207" t="n">
        <v>0</v>
      </c>
      <c r="BB429" s="207">
        <f>AZ429*0.006</f>
        <v/>
      </c>
      <c r="BC429" s="209">
        <f>AZ429+BA429-BB429</f>
        <v/>
      </c>
      <c r="BD429" s="207" t="n">
        <v>0</v>
      </c>
      <c r="BE429" s="207" t="n">
        <v>0</v>
      </c>
      <c r="BF429" s="209">
        <f>BD429+BE429</f>
        <v/>
      </c>
      <c r="BG429" s="209">
        <f>BC429-AY429+BF429</f>
        <v/>
      </c>
      <c r="BH429" s="207" t="inlineStr">
        <is>
          <t>黑兔</t>
        </is>
      </c>
      <c r="BI429" s="207" t="inlineStr">
        <is>
          <t>湖南省 常德市 汉寿县 沧浪街道恒大御府14栋1单元702</t>
        </is>
      </c>
      <c r="BJ429" s="207" t="inlineStr">
        <is>
          <t>18897409265-7454</t>
        </is>
      </c>
      <c r="BK429" s="86" t="n"/>
      <c r="BL429" s="210" t="n"/>
      <c r="BM429" s="93" t="n"/>
      <c r="BN429" s="94" t="n"/>
      <c r="BO429" s="93" t="n"/>
      <c r="BP429" s="86" t="n"/>
      <c r="BQ429" s="96" t="n"/>
      <c r="BR429" s="96" t="n"/>
      <c r="BS429" s="97" t="n"/>
      <c r="BT429" s="96" t="n"/>
      <c r="BU429" s="97" t="n"/>
      <c r="BV429" s="96" t="n"/>
      <c r="BW429" s="97" t="n"/>
      <c r="BX429" s="97" t="n"/>
      <c r="BY429" s="97" t="n"/>
      <c r="BZ429" s="97" t="n"/>
      <c r="CH429" s="2" t="n"/>
      <c r="CI429" s="14" t="n"/>
      <c r="CJ429" s="25" t="n"/>
      <c r="CK429" s="25" t="n"/>
      <c r="CL429" s="25" t="n"/>
      <c r="CM429" s="25" t="n"/>
      <c r="CN429" s="25" t="n"/>
      <c r="CO429" s="25" t="n"/>
      <c r="CP429" s="25" t="n"/>
      <c r="CQ429" s="25" t="n"/>
      <c r="CR429" s="25" t="n"/>
      <c r="CS429" s="25" t="n"/>
      <c r="CT429" s="25" t="n"/>
      <c r="CU429" s="25" t="n"/>
      <c r="CV429" s="25" t="n"/>
      <c r="CW429" s="25" t="n"/>
      <c r="CX429" s="25" t="n"/>
      <c r="CY429" s="25" t="n"/>
      <c r="DC429" s="26" t="n"/>
      <c r="DD429" s="26" t="n"/>
      <c r="DE429" s="26" t="n"/>
      <c r="DF429" s="26" t="n"/>
      <c r="DG429" s="26" t="n"/>
      <c r="DH429" s="27" t="n"/>
      <c r="DJ429" s="211" t="inlineStr">
        <is>
          <t>订单表中未找到</t>
        </is>
      </c>
      <c r="DK429" t="inlineStr">
        <is>
          <t>—</t>
        </is>
      </c>
      <c r="DL429" t="inlineStr">
        <is>
          <t>—</t>
        </is>
      </c>
    </row>
    <row r="430" ht="15.75" customHeight="1" s="187">
      <c r="A430" s="84" t="n">
        <v>45973</v>
      </c>
      <c r="B430" s="206" t="inlineStr">
        <is>
          <t>已收货</t>
        </is>
      </c>
      <c r="C430" s="86" t="inlineStr">
        <is>
          <t>4876802533571938447</t>
        </is>
      </c>
      <c r="D430" s="110" t="inlineStr">
        <is>
          <t>花生</t>
        </is>
      </c>
      <c r="E430" s="87" t="n"/>
      <c r="F430" s="87" t="n"/>
      <c r="G430" s="207" t="inlineStr">
        <is>
          <t>1.8基础柜AA柱</t>
        </is>
      </c>
      <c r="H430" s="207" t="inlineStr">
        <is>
          <t>基础餐边柜</t>
        </is>
      </c>
      <c r="I430" s="89" t="n"/>
      <c r="J430" s="87" t="inlineStr">
        <is>
          <t>已结算</t>
        </is>
      </c>
      <c r="K430" s="86" t="inlineStr">
        <is>
          <t>江西</t>
        </is>
      </c>
      <c r="L430" s="207">
        <f>5100+240+28+14+22*4+579.08+22+450+(72+126)/6</f>
        <v/>
      </c>
      <c r="M430" s="207">
        <f>5100</f>
        <v/>
      </c>
      <c r="N430" s="207" t="n">
        <v>240</v>
      </c>
      <c r="O430" s="207" t="n">
        <v>28</v>
      </c>
      <c r="P430" s="207" t="n">
        <v>14</v>
      </c>
      <c r="Q430" s="207" t="n"/>
      <c r="R430" s="207" t="inlineStr">
        <is>
          <t>22*4</t>
        </is>
      </c>
      <c r="S430" s="207" t="n">
        <v>579.08</v>
      </c>
      <c r="T430" s="207" t="n">
        <v>22</v>
      </c>
      <c r="U430" s="207" t="n"/>
      <c r="V430" s="207" t="n"/>
      <c r="W430" s="207" t="n">
        <v>450</v>
      </c>
      <c r="X430" s="207" t="inlineStr">
        <is>
          <t>(72</t>
        </is>
      </c>
      <c r="Y430" s="207" t="inlineStr">
        <is>
          <t>126)/6</t>
        </is>
      </c>
      <c r="Z430" s="207" t="n"/>
      <c r="AA430" s="207" t="n"/>
      <c r="AB430" s="207" t="n"/>
      <c r="AC430" s="207" t="n"/>
      <c r="AD430" s="207" t="n"/>
      <c r="AE430" s="207" t="n"/>
      <c r="AF430" s="207" t="n"/>
      <c r="AG430" s="207" t="n"/>
      <c r="AH430" s="207" t="n"/>
      <c r="AI430" s="207" t="n"/>
      <c r="AJ430" s="207" t="n"/>
      <c r="AK430" s="207" t="n"/>
      <c r="AL430" s="207" t="n"/>
      <c r="AM430" s="207" t="n">
        <v>450</v>
      </c>
      <c r="AN430" s="207" t="n"/>
      <c r="AO430" s="207" t="n"/>
      <c r="AP430" s="207">
        <f>710-AQ430</f>
        <v/>
      </c>
      <c r="AQ430" s="207" t="n">
        <v>103</v>
      </c>
      <c r="AR430" s="207" t="n">
        <v>140</v>
      </c>
      <c r="AS430" s="207" t="n">
        <v>0</v>
      </c>
      <c r="AT430" s="207" t="n">
        <v>0</v>
      </c>
      <c r="AU430" s="207" t="n">
        <v>0</v>
      </c>
      <c r="AV430" s="207" t="n">
        <v>0</v>
      </c>
      <c r="AW430" s="207" t="n">
        <v>0</v>
      </c>
      <c r="AX430" s="208" t="n">
        <v>1</v>
      </c>
      <c r="AY430" s="209">
        <f>L430*AX430+AP430+AQ430+AR430+AV430+AW430+AS430+AT430+AU430</f>
        <v/>
      </c>
      <c r="AZ430" s="207" t="n">
        <v>7749.37</v>
      </c>
      <c r="BA430" s="207" t="n">
        <v>0</v>
      </c>
      <c r="BB430" s="207">
        <f>AZ430*0.006</f>
        <v/>
      </c>
      <c r="BC430" s="209">
        <f>AZ430+BA430-BB430</f>
        <v/>
      </c>
      <c r="BD430" s="207" t="n">
        <v>10</v>
      </c>
      <c r="BE430" s="207" t="n">
        <v>0</v>
      </c>
      <c r="BF430" s="209">
        <f>BD430+BE430</f>
        <v/>
      </c>
      <c r="BG430" s="209">
        <f>BC430-AY430+BF430</f>
        <v/>
      </c>
      <c r="BH430" s="207" t="inlineStr">
        <is>
          <t>花生</t>
        </is>
      </c>
      <c r="BI430" s="207" t="inlineStr">
        <is>
          <t>四川省 成都市 青羊区 西御河街道市体育局宿舍(东华门街)</t>
        </is>
      </c>
      <c r="BJ430" s="207" t="inlineStr">
        <is>
          <t>13164447183-7803</t>
        </is>
      </c>
      <c r="BK430" s="86" t="n"/>
      <c r="BL430" s="210" t="n"/>
      <c r="BM430" s="93" t="n"/>
      <c r="BN430" s="94" t="n"/>
      <c r="BO430" s="93" t="n"/>
      <c r="BP430" s="86" t="n"/>
      <c r="BQ430" s="96" t="n"/>
      <c r="BR430" s="96" t="n"/>
      <c r="BS430" s="97" t="n"/>
      <c r="BT430" s="96" t="n"/>
      <c r="BU430" s="97" t="n"/>
      <c r="BV430" s="96" t="n"/>
      <c r="BW430" s="97" t="n"/>
      <c r="BX430" s="97" t="n"/>
      <c r="BY430" s="97" t="n"/>
      <c r="BZ430" s="97" t="n"/>
      <c r="CH430" s="2" t="n"/>
      <c r="CI430" s="14" t="n"/>
      <c r="CJ430" s="25" t="n"/>
      <c r="CK430" s="25" t="n"/>
      <c r="CL430" s="25" t="n"/>
      <c r="CM430" s="25" t="n"/>
      <c r="CN430" s="25" t="n"/>
      <c r="CO430" s="25" t="n"/>
      <c r="CP430" s="25" t="n"/>
      <c r="CQ430" s="25" t="n"/>
      <c r="CR430" s="25" t="n"/>
      <c r="CS430" s="25" t="n"/>
      <c r="CT430" s="25" t="n"/>
      <c r="CU430" s="25" t="n"/>
      <c r="CV430" s="25" t="n"/>
      <c r="CW430" s="25" t="n"/>
      <c r="CX430" s="25" t="n"/>
      <c r="CY430" s="25" t="n"/>
      <c r="DC430" s="26" t="n"/>
      <c r="DD430" s="26" t="n"/>
      <c r="DE430" s="26" t="n"/>
      <c r="DF430" s="26" t="n"/>
      <c r="DG430" s="26" t="n"/>
      <c r="DH430" s="27" t="n"/>
      <c r="DJ430" s="211" t="inlineStr">
        <is>
          <t>订单表中未找到</t>
        </is>
      </c>
      <c r="DK430" t="inlineStr">
        <is>
          <t>—</t>
        </is>
      </c>
      <c r="DL430" t="inlineStr">
        <is>
          <t>—</t>
        </is>
      </c>
    </row>
    <row r="431" ht="15.75" customHeight="1" s="187">
      <c r="A431" s="84" t="n">
        <v>45973</v>
      </c>
      <c r="B431" s="206" t="inlineStr">
        <is>
          <t>已收货</t>
        </is>
      </c>
      <c r="C431" s="86" t="inlineStr">
        <is>
          <t>3059438703883079777</t>
        </is>
      </c>
      <c r="D431" s="86" t="inlineStr">
        <is>
          <t>次仁卓嘎</t>
        </is>
      </c>
      <c r="E431" s="87" t="n"/>
      <c r="F431" s="87" t="n"/>
      <c r="G431" s="207" t="inlineStr">
        <is>
          <t>窄柜-整柜洞石背板-1.0米</t>
        </is>
      </c>
      <c r="H431" s="207" t="inlineStr">
        <is>
          <t>樱桃木窄柜</t>
        </is>
      </c>
      <c r="I431" s="89" t="n">
        <v>1000</v>
      </c>
      <c r="J431" s="87" t="inlineStr">
        <is>
          <t>已结算</t>
        </is>
      </c>
      <c r="K431" s="86" t="inlineStr">
        <is>
          <t>江西</t>
        </is>
      </c>
      <c r="L431" s="207">
        <f>3600+115+0.48*1*160+30+1.16+3.37+1.1+1.03+76/2+5+359.08+52+3+160+54</f>
        <v/>
      </c>
      <c r="M431" s="207">
        <f>3600</f>
        <v/>
      </c>
      <c r="N431" s="207">
        <f>0.958*260+2*55</f>
        <v/>
      </c>
      <c r="O431" s="207" t="n">
        <v>120</v>
      </c>
      <c r="P431" s="207" t="n"/>
      <c r="Q431" s="207">
        <f>19*2</f>
        <v/>
      </c>
      <c r="R431" s="207">
        <f>0.48*1*160+30</f>
        <v/>
      </c>
      <c r="S431" s="207" t="n">
        <v>54</v>
      </c>
      <c r="T431" s="207" t="n">
        <v>52</v>
      </c>
      <c r="U431" s="207" t="n"/>
      <c r="V431" s="207" t="n">
        <v>5</v>
      </c>
      <c r="W431" s="207" t="n"/>
      <c r="X431" s="207" t="n"/>
      <c r="Y431" s="207" t="n"/>
      <c r="Z431" s="207" t="n"/>
      <c r="AA431" s="207" t="n">
        <v>2</v>
      </c>
      <c r="AB431" s="207" t="n">
        <v>1.1</v>
      </c>
      <c r="AC431" s="207" t="n">
        <v>3.5</v>
      </c>
      <c r="AD431" s="207" t="n"/>
      <c r="AE431" s="207" t="n"/>
      <c r="AF431" s="207" t="n"/>
      <c r="AG431" s="207" t="n"/>
      <c r="AH431" s="207" t="n"/>
      <c r="AI431" s="207" t="n"/>
      <c r="AJ431" s="207" t="n"/>
      <c r="AK431" s="207" t="n"/>
      <c r="AL431" s="207" t="n"/>
      <c r="AM431" s="207" t="n">
        <v>160</v>
      </c>
      <c r="AN431" s="207" t="n"/>
      <c r="AO431" s="207" t="n"/>
      <c r="AP431" s="207">
        <f>561-AQ431</f>
        <v/>
      </c>
      <c r="AQ431" s="207" t="n">
        <v>65</v>
      </c>
      <c r="AR431" s="207" t="n">
        <v>96</v>
      </c>
      <c r="AS431" s="207" t="n">
        <v>0</v>
      </c>
      <c r="AT431" s="207" t="n">
        <v>0</v>
      </c>
      <c r="AU431" s="207" t="n">
        <v>0</v>
      </c>
      <c r="AV431" s="207" t="n">
        <v>0</v>
      </c>
      <c r="AW431" s="207" t="n">
        <v>0</v>
      </c>
      <c r="AX431" s="208" t="n">
        <v>1</v>
      </c>
      <c r="AY431" s="209">
        <f>L431*AX431+AP431+AQ431+AR431+AV431+AW431+AS431+AT431+AU431</f>
        <v/>
      </c>
      <c r="AZ431" s="207" t="n">
        <v>5156.5</v>
      </c>
      <c r="BA431" s="207" t="n">
        <v>0</v>
      </c>
      <c r="BB431" s="207">
        <f>AZ431*0.006</f>
        <v/>
      </c>
      <c r="BC431" s="209">
        <f>AZ431+BA431-BB431</f>
        <v/>
      </c>
      <c r="BD431" s="207" t="n">
        <v>0</v>
      </c>
      <c r="BE431" s="207" t="n">
        <v>0</v>
      </c>
      <c r="BF431" s="209">
        <f>BD431+BE431</f>
        <v/>
      </c>
      <c r="BG431" s="209">
        <f>BC431-AY431+BF431</f>
        <v/>
      </c>
      <c r="BH431" s="86" t="inlineStr">
        <is>
          <t>次仁卓嘎</t>
        </is>
      </c>
      <c r="BI431" s="86" t="inlineStr">
        <is>
          <t>青海省 西宁市 城北区 二十里铺镇绿地·国际花都1期 7 号楼 1 单元 29 楼 1292 室</t>
        </is>
      </c>
      <c r="BJ431" s="86" t="inlineStr">
        <is>
          <t>15780133120-5802</t>
        </is>
      </c>
      <c r="BK431" s="86" t="n"/>
      <c r="BL431" s="210" t="n"/>
      <c r="BM431" s="93" t="n"/>
      <c r="BN431" s="94" t="n"/>
      <c r="BO431" s="93" t="n"/>
      <c r="BP431" s="86" t="n"/>
      <c r="BQ431" s="96" t="n"/>
      <c r="BR431" s="96" t="n"/>
      <c r="BS431" s="97" t="n"/>
      <c r="BT431" s="96" t="n"/>
      <c r="BU431" s="97" t="n"/>
      <c r="BV431" s="96" t="n"/>
      <c r="BW431" s="97" t="n"/>
      <c r="BX431" s="97" t="n"/>
      <c r="BY431" s="97" t="n"/>
      <c r="BZ431" s="97" t="n"/>
      <c r="CH431" s="2" t="n"/>
      <c r="CI431" s="14" t="n"/>
      <c r="CJ431" s="25" t="n"/>
      <c r="CK431" s="25" t="n"/>
      <c r="CL431" s="25" t="n"/>
      <c r="CM431" s="25" t="n"/>
      <c r="CN431" s="25" t="n"/>
      <c r="CO431" s="25" t="n"/>
      <c r="CP431" s="25" t="n"/>
      <c r="CQ431" s="25" t="n"/>
      <c r="CR431" s="25" t="n"/>
      <c r="CS431" s="25" t="n"/>
      <c r="CT431" s="25" t="n"/>
      <c r="CU431" s="25" t="n"/>
      <c r="CV431" s="25" t="n"/>
      <c r="CW431" s="25" t="n"/>
      <c r="CX431" s="25" t="n"/>
      <c r="CY431" s="25" t="n"/>
      <c r="DC431" s="26" t="n"/>
      <c r="DD431" s="26" t="n"/>
      <c r="DE431" s="26" t="n"/>
      <c r="DF431" s="26" t="n"/>
      <c r="DG431" s="26" t="n"/>
      <c r="DH431" s="27" t="n"/>
      <c r="DJ431" s="211" t="inlineStr">
        <is>
          <t>订单表中未找到</t>
        </is>
      </c>
      <c r="DK431" t="inlineStr">
        <is>
          <t>—</t>
        </is>
      </c>
      <c r="DL431" t="inlineStr">
        <is>
          <t>—</t>
        </is>
      </c>
    </row>
    <row r="432" ht="15.75" customHeight="1" s="187">
      <c r="A432" s="99" t="n">
        <v>45973</v>
      </c>
      <c r="B432" s="100" t="inlineStr">
        <is>
          <t>退货转寄</t>
        </is>
      </c>
      <c r="C432" s="101" t="inlineStr">
        <is>
          <t>3057664227238991077</t>
        </is>
      </c>
      <c r="D432" s="100" t="inlineStr">
        <is>
          <t>张小姐</t>
        </is>
      </c>
      <c r="E432" s="100" t="n"/>
      <c r="F432" s="100" t="n"/>
      <c r="G432" s="100" t="inlineStr">
        <is>
          <t>砂白色1.8米岩板餐桌</t>
        </is>
      </c>
      <c r="H432" s="100" t="inlineStr">
        <is>
          <t>榉木餐桌</t>
        </is>
      </c>
      <c r="I432" s="102" t="inlineStr">
        <is>
          <t>180cm*85cm</t>
        </is>
      </c>
      <c r="J432" s="100" t="inlineStr">
        <is>
          <t>已结算</t>
        </is>
      </c>
      <c r="K432" s="100" t="inlineStr">
        <is>
          <t>庄毅</t>
        </is>
      </c>
      <c r="L432" s="212" t="n">
        <v>0</v>
      </c>
      <c r="M432" s="207" t="n">
        <v>0</v>
      </c>
      <c r="N432" s="207" t="n"/>
      <c r="O432" s="207" t="n"/>
      <c r="P432" s="207" t="n"/>
      <c r="Q432" s="207" t="n"/>
      <c r="R432" s="207" t="n"/>
      <c r="S432" s="207" t="n"/>
      <c r="T432" s="207" t="n"/>
      <c r="U432" s="207" t="n"/>
      <c r="V432" s="207" t="n"/>
      <c r="W432" s="207" t="n"/>
      <c r="X432" s="207" t="n"/>
      <c r="Y432" s="207" t="n"/>
      <c r="Z432" s="207" t="n"/>
      <c r="AA432" s="207" t="n"/>
      <c r="AB432" s="207" t="n"/>
      <c r="AC432" s="207" t="n"/>
      <c r="AD432" s="207" t="n"/>
      <c r="AE432" s="207" t="n"/>
      <c r="AF432" s="207" t="n"/>
      <c r="AG432" s="207" t="n"/>
      <c r="AH432" s="207" t="n"/>
      <c r="AI432" s="207" t="n"/>
      <c r="AJ432" s="207" t="n"/>
      <c r="AK432" s="207" t="n"/>
      <c r="AL432" s="207" t="n"/>
      <c r="AM432" s="207" t="n"/>
      <c r="AN432" s="207" t="n"/>
      <c r="AO432" s="207" t="n"/>
      <c r="AP432" s="213" t="n">
        <v>0</v>
      </c>
      <c r="AQ432" s="213" t="n">
        <v>0</v>
      </c>
      <c r="AR432" s="213" t="n">
        <v>0</v>
      </c>
      <c r="AS432" s="213" t="n">
        <v>0</v>
      </c>
      <c r="AT432" s="213" t="n">
        <v>0</v>
      </c>
      <c r="AU432" s="213" t="n">
        <v>0</v>
      </c>
      <c r="AV432" s="213" t="n">
        <v>0</v>
      </c>
      <c r="AW432" s="213" t="n">
        <v>0</v>
      </c>
      <c r="AX432" s="214" t="n">
        <v>1</v>
      </c>
      <c r="AY432" s="213">
        <f>L432*AX432+AP432+AQ432+AR432+AV432+AW432+AS432+AT432+AU432</f>
        <v/>
      </c>
      <c r="AZ432" s="213" t="n">
        <v>0</v>
      </c>
      <c r="BA432" s="213" t="n">
        <v>0</v>
      </c>
      <c r="BB432" s="213">
        <f>AZ432*0.006</f>
        <v/>
      </c>
      <c r="BC432" s="213">
        <f>AZ432+BA432-BB432</f>
        <v/>
      </c>
      <c r="BD432" s="213" t="n">
        <v>0</v>
      </c>
      <c r="BE432" s="213" t="n">
        <v>0</v>
      </c>
      <c r="BF432" s="213">
        <f>BD432+BE432</f>
        <v/>
      </c>
      <c r="BG432" s="213">
        <f>BC432-AY432+BF432</f>
        <v/>
      </c>
      <c r="BH432" s="100" t="inlineStr">
        <is>
          <t>张小姐</t>
        </is>
      </c>
      <c r="BI432" s="100" t="inlineStr">
        <is>
          <t>广东省 广州市 天河区 珠吉街道珠江花城30栋2101</t>
        </is>
      </c>
      <c r="BJ432" s="100" t="inlineStr">
        <is>
          <t>15710702946-2387</t>
        </is>
      </c>
      <c r="BK432" s="101" t="n"/>
      <c r="BL432" s="215" t="n"/>
      <c r="BM432" s="107" t="n"/>
      <c r="BN432" s="108" t="n"/>
      <c r="BO432" s="107" t="n"/>
      <c r="BP432" s="101" t="n"/>
      <c r="BQ432" s="109" t="n"/>
      <c r="BR432" s="109" t="n"/>
      <c r="BS432" s="100" t="n"/>
      <c r="BT432" s="109" t="n"/>
      <c r="BU432" s="100" t="n"/>
      <c r="BV432" s="109" t="n"/>
      <c r="BW432" s="100" t="n"/>
      <c r="BX432" s="100" t="n"/>
      <c r="BY432" s="100" t="n"/>
      <c r="BZ432" s="100" t="n"/>
      <c r="CA432" s="98" t="n"/>
      <c r="CH432" s="2" t="n"/>
      <c r="CI432" s="14" t="n"/>
      <c r="CY432" s="25" t="n"/>
      <c r="DA432" s="25" t="n"/>
      <c r="DC432" s="26" t="n"/>
      <c r="DD432" s="26" t="n"/>
      <c r="DE432" s="26" t="n"/>
      <c r="DF432" s="26" t="n"/>
      <c r="DG432" s="26" t="n"/>
      <c r="DH432" s="27" t="n"/>
      <c r="DJ432" s="211" t="inlineStr">
        <is>
          <t>订单表中未找到</t>
        </is>
      </c>
      <c r="DK432" t="inlineStr">
        <is>
          <t>—</t>
        </is>
      </c>
      <c r="DL432" t="inlineStr">
        <is>
          <t>—</t>
        </is>
      </c>
    </row>
    <row r="433" ht="15.75" customHeight="1" s="187">
      <c r="A433" s="84" t="n">
        <v>45974</v>
      </c>
      <c r="B433" s="206" t="inlineStr">
        <is>
          <t>已收货</t>
        </is>
      </c>
      <c r="C433" s="86" t="inlineStr">
        <is>
          <t>4878166501663034707</t>
        </is>
      </c>
      <c r="D433" s="86" t="inlineStr">
        <is>
          <t>叶先生</t>
        </is>
      </c>
      <c r="E433" s="87" t="n"/>
      <c r="F433" s="87" t="n"/>
      <c r="G433" s="207" t="inlineStr">
        <is>
          <t>窄柜-整柜洞石背板-0.8米</t>
        </is>
      </c>
      <c r="H433" s="207" t="inlineStr">
        <is>
          <t>樱桃木窄柜</t>
        </is>
      </c>
      <c r="I433" s="89" t="n">
        <v>800</v>
      </c>
      <c r="J433" s="87" t="inlineStr">
        <is>
          <t>已结算</t>
        </is>
      </c>
      <c r="K433" s="87" t="inlineStr">
        <is>
          <t>江西</t>
        </is>
      </c>
      <c r="L433" s="207">
        <f>3300+125+0.48*0.8*160+30*5+1.16+3.37+1.1+1.03+76/2+5+307/8+59.23+3+170</f>
        <v/>
      </c>
      <c r="M433" s="207">
        <f>3300</f>
        <v/>
      </c>
      <c r="N433" s="207">
        <f>0.758*260+2*55</f>
        <v/>
      </c>
      <c r="O433" s="207" t="n">
        <v>115</v>
      </c>
      <c r="P433" s="207" t="n"/>
      <c r="Q433" s="207" t="n">
        <v>30</v>
      </c>
      <c r="R433" s="207">
        <f>0.8*0.48*160+30</f>
        <v/>
      </c>
      <c r="S433" s="207" t="n"/>
      <c r="T433" s="207" t="n"/>
      <c r="U433" s="207" t="n"/>
      <c r="V433" s="207" t="n">
        <v>4</v>
      </c>
      <c r="W433" s="207" t="n"/>
      <c r="X433" s="207" t="n"/>
      <c r="Y433" s="207" t="n">
        <v>5</v>
      </c>
      <c r="Z433" s="207" t="n"/>
      <c r="AA433" s="207" t="n"/>
      <c r="AB433" s="207" t="n"/>
      <c r="AC433" s="207" t="n"/>
      <c r="AD433" s="207" t="n">
        <v>59.23</v>
      </c>
      <c r="AE433" s="207">
        <f>307/8</f>
        <v/>
      </c>
      <c r="AF433" s="207" t="n">
        <v>3</v>
      </c>
      <c r="AG433" s="207" t="n"/>
      <c r="AH433" s="207" t="n"/>
      <c r="AI433" s="207" t="n"/>
      <c r="AJ433" s="207" t="n"/>
      <c r="AK433" s="207" t="n"/>
      <c r="AL433" s="207" t="n"/>
      <c r="AM433" s="207" t="n">
        <v>170</v>
      </c>
      <c r="AN433" s="207" t="n"/>
      <c r="AO433" s="207" t="n"/>
      <c r="AP433" s="207" t="n">
        <v>140</v>
      </c>
      <c r="AQ433" s="207" t="n">
        <v>0</v>
      </c>
      <c r="AR433" s="207" t="n">
        <v>300</v>
      </c>
      <c r="AS433" s="207" t="n">
        <v>0</v>
      </c>
      <c r="AT433" s="207" t="n">
        <v>0</v>
      </c>
      <c r="AU433" s="207" t="n">
        <v>0</v>
      </c>
      <c r="AV433" s="207" t="n">
        <v>0</v>
      </c>
      <c r="AW433" s="207" t="n">
        <v>0</v>
      </c>
      <c r="AX433" s="208" t="n">
        <v>1</v>
      </c>
      <c r="AY433" s="209">
        <f>L433*AX433+AP433+AQ433+AR433+AV433+AW433+AS433+AT433+AU433</f>
        <v/>
      </c>
      <c r="AZ433" s="207" t="n">
        <v>4824.5</v>
      </c>
      <c r="BA433" s="207" t="n">
        <v>0</v>
      </c>
      <c r="BB433" s="207">
        <f>AZ433*0.006</f>
        <v/>
      </c>
      <c r="BC433" s="209">
        <f>AZ433+BA433-BB433</f>
        <v/>
      </c>
      <c r="BD433" s="207" t="n">
        <v>0</v>
      </c>
      <c r="BE433" s="207" t="n">
        <v>0</v>
      </c>
      <c r="BF433" s="209">
        <f>BD433+BE433</f>
        <v/>
      </c>
      <c r="BG433" s="209">
        <f>BC433-AY433+BF433</f>
        <v/>
      </c>
      <c r="BH433" s="86" t="inlineStr">
        <is>
          <t>叶先生</t>
        </is>
      </c>
      <c r="BI433" s="86" t="inlineStr">
        <is>
          <t>上海 上海市 闵行区 吴泾镇象屿招商·公园1872 24号802</t>
        </is>
      </c>
      <c r="BJ433" s="86" t="inlineStr">
        <is>
          <t>18466819480-1635</t>
        </is>
      </c>
      <c r="BK433" s="86" t="n"/>
      <c r="BL433" s="210" t="n"/>
      <c r="BM433" s="93" t="n"/>
      <c r="BN433" s="94" t="n"/>
      <c r="BO433" s="93" t="n"/>
      <c r="BP433" s="86" t="n"/>
      <c r="BQ433" s="96" t="n"/>
      <c r="BR433" s="96" t="n"/>
      <c r="BS433" s="97" t="n"/>
      <c r="BT433" s="96" t="n"/>
      <c r="BU433" s="97" t="n"/>
      <c r="BV433" s="96" t="n"/>
      <c r="BW433" s="97" t="n"/>
      <c r="BX433" s="97" t="n"/>
      <c r="BY433" s="97" t="n"/>
      <c r="BZ433" s="97" t="n"/>
      <c r="CH433" s="2" t="n"/>
      <c r="CI433" s="14" t="n"/>
      <c r="CJ433" s="25" t="n"/>
      <c r="CK433" s="25" t="n"/>
      <c r="CL433" s="25" t="n"/>
      <c r="CM433" s="25" t="n"/>
      <c r="CN433" s="25" t="n"/>
      <c r="CO433" s="25" t="n"/>
      <c r="CP433" s="25" t="n"/>
      <c r="CQ433" s="25" t="n"/>
      <c r="CR433" s="25" t="n"/>
      <c r="CS433" s="25" t="n"/>
      <c r="CT433" s="25" t="n"/>
      <c r="CU433" s="25" t="n"/>
      <c r="CV433" s="25" t="n"/>
      <c r="CW433" s="25" t="n"/>
      <c r="CX433" s="25" t="n"/>
      <c r="CY433" s="25" t="n"/>
      <c r="DC433" s="26" t="n"/>
      <c r="DD433" s="26" t="n"/>
      <c r="DE433" s="26" t="n"/>
      <c r="DF433" s="26" t="n"/>
      <c r="DG433" s="26" t="n"/>
      <c r="DH433" s="27" t="n"/>
      <c r="DJ433" s="211" t="inlineStr">
        <is>
          <t>订单表中未找到</t>
        </is>
      </c>
      <c r="DK433" t="inlineStr">
        <is>
          <t>—</t>
        </is>
      </c>
      <c r="DL433" t="inlineStr">
        <is>
          <t>—</t>
        </is>
      </c>
    </row>
    <row r="434" ht="15.75" customHeight="1" s="187">
      <c r="A434" s="84" t="n">
        <v>45974</v>
      </c>
      <c r="B434" s="206" t="inlineStr">
        <is>
          <t>已收货</t>
        </is>
      </c>
      <c r="C434" s="86" t="inlineStr">
        <is>
          <t>3061974901843987868</t>
        </is>
      </c>
      <c r="D434" s="110" t="inlineStr">
        <is>
          <t>霓蓝蓝</t>
        </is>
      </c>
      <c r="E434" s="87" t="n"/>
      <c r="F434" s="87" t="n"/>
      <c r="G434" s="207" t="inlineStr">
        <is>
          <t>窄柜-整柜洞石背板-1.0米</t>
        </is>
      </c>
      <c r="H434" s="207" t="inlineStr">
        <is>
          <t>樱桃木窄柜</t>
        </is>
      </c>
      <c r="I434" s="89" t="n">
        <v>1000</v>
      </c>
      <c r="J434" s="87" t="inlineStr">
        <is>
          <t>已结算</t>
        </is>
      </c>
      <c r="K434" s="87" t="inlineStr">
        <is>
          <t>江西</t>
        </is>
      </c>
      <c r="L434" s="207">
        <f>3300+115+0.48*1*160+30*5+1.16+3.37+1.1+1.03+76/2+5+359.08+59.23+3+170</f>
        <v/>
      </c>
      <c r="M434" s="207">
        <f>3300</f>
        <v/>
      </c>
      <c r="N434" s="207">
        <f>0.958*260+2*55</f>
        <v/>
      </c>
      <c r="O434" s="207" t="n">
        <v>120</v>
      </c>
      <c r="P434" s="207" t="n"/>
      <c r="Q434" s="207">
        <f>19*2</f>
        <v/>
      </c>
      <c r="R434" s="207">
        <f>0.48*1*160+30</f>
        <v/>
      </c>
      <c r="S434" s="207" t="n">
        <v>54</v>
      </c>
      <c r="T434" s="207" t="n">
        <v>52</v>
      </c>
      <c r="U434" s="207" t="n"/>
      <c r="V434" s="207" t="n">
        <v>5</v>
      </c>
      <c r="W434" s="207" t="n"/>
      <c r="X434" s="207" t="n"/>
      <c r="Y434" s="207" t="n"/>
      <c r="Z434" s="207" t="n"/>
      <c r="AA434" s="207" t="n">
        <v>2</v>
      </c>
      <c r="AB434" s="207" t="n">
        <v>1.1</v>
      </c>
      <c r="AC434" s="207" t="n">
        <v>3.5</v>
      </c>
      <c r="AD434" s="207" t="n"/>
      <c r="AE434" s="207" t="n"/>
      <c r="AF434" s="207" t="n"/>
      <c r="AG434" s="207" t="n"/>
      <c r="AH434" s="207" t="n"/>
      <c r="AI434" s="207" t="n"/>
      <c r="AJ434" s="207" t="n"/>
      <c r="AK434" s="207" t="n"/>
      <c r="AL434" s="207" t="n"/>
      <c r="AM434" s="207" t="n">
        <v>170</v>
      </c>
      <c r="AN434" s="207" t="n"/>
      <c r="AO434" s="207" t="n"/>
      <c r="AP434" s="207">
        <f>394-AQ434</f>
        <v/>
      </c>
      <c r="AQ434" s="207" t="n">
        <v>63</v>
      </c>
      <c r="AR434" s="207" t="n">
        <v>99</v>
      </c>
      <c r="AS434" s="207" t="n">
        <v>0</v>
      </c>
      <c r="AT434" s="207" t="n">
        <v>0</v>
      </c>
      <c r="AU434" s="207" t="n">
        <v>0</v>
      </c>
      <c r="AV434" s="207" t="n">
        <v>0</v>
      </c>
      <c r="AW434" s="207" t="n">
        <v>0</v>
      </c>
      <c r="AX434" s="208" t="n">
        <v>1</v>
      </c>
      <c r="AY434" s="209">
        <f>L434*AX434+AP434+AQ434+AR434+AV434+AW434+AS434+AT434+AU434</f>
        <v/>
      </c>
      <c r="AZ434" s="207" t="n">
        <v>5151.5</v>
      </c>
      <c r="BA434" s="207" t="n">
        <v>0</v>
      </c>
      <c r="BB434" s="207">
        <f>AZ434*0.006</f>
        <v/>
      </c>
      <c r="BC434" s="209">
        <f>AZ434+BA434-BB434</f>
        <v/>
      </c>
      <c r="BD434" s="207" t="n">
        <v>0</v>
      </c>
      <c r="BE434" s="207" t="n">
        <v>0</v>
      </c>
      <c r="BF434" s="209">
        <f>BD434+BE434</f>
        <v/>
      </c>
      <c r="BG434" s="209">
        <f>BC434-AY434+BF434</f>
        <v/>
      </c>
      <c r="BH434" s="207" t="inlineStr">
        <is>
          <t>霓蓝蓝</t>
        </is>
      </c>
      <c r="BI434" s="207" t="inlineStr">
        <is>
          <t>北京 北京市 朝阳区 双井街道光华北一街东三路合生国际家园西区10号楼1903</t>
        </is>
      </c>
      <c r="BJ434" s="207" t="inlineStr">
        <is>
          <t>18400849205-5056</t>
        </is>
      </c>
      <c r="BK434" s="86" t="n"/>
      <c r="BL434" s="210" t="n"/>
      <c r="BM434" s="93" t="n"/>
      <c r="BN434" s="94" t="n"/>
      <c r="BO434" s="93" t="n"/>
      <c r="BP434" s="86" t="n"/>
      <c r="BQ434" s="96" t="n"/>
      <c r="BR434" s="96" t="n"/>
      <c r="BS434" s="97" t="n"/>
      <c r="BT434" s="96" t="n"/>
      <c r="BU434" s="97" t="n"/>
      <c r="BV434" s="96" t="n"/>
      <c r="BW434" s="97" t="n"/>
      <c r="BX434" s="97" t="n"/>
      <c r="BY434" s="97" t="n"/>
      <c r="BZ434" s="97" t="n"/>
      <c r="CH434" s="2" t="n"/>
      <c r="CI434" s="14" t="n"/>
      <c r="CJ434" s="25" t="n"/>
      <c r="CK434" s="25" t="n"/>
      <c r="CL434" s="25" t="n"/>
      <c r="CM434" s="25" t="n"/>
      <c r="CN434" s="25" t="n"/>
      <c r="CO434" s="25" t="n"/>
      <c r="CP434" s="25" t="n"/>
      <c r="CQ434" s="25" t="n"/>
      <c r="CR434" s="25" t="n"/>
      <c r="CS434" s="25" t="n"/>
      <c r="CT434" s="25" t="n"/>
      <c r="CU434" s="25" t="n"/>
      <c r="CV434" s="25" t="n"/>
      <c r="CW434" s="25" t="n"/>
      <c r="CX434" s="25" t="n"/>
      <c r="CY434" s="25" t="n"/>
      <c r="DC434" s="26" t="n"/>
      <c r="DD434" s="26" t="n"/>
      <c r="DE434" s="26" t="n"/>
      <c r="DF434" s="26" t="n"/>
      <c r="DG434" s="26" t="n"/>
      <c r="DH434" s="27" t="n"/>
      <c r="DJ434" s="211" t="inlineStr">
        <is>
          <t>订单表中未找到</t>
        </is>
      </c>
      <c r="DK434" t="inlineStr">
        <is>
          <t>—</t>
        </is>
      </c>
      <c r="DL434" t="inlineStr">
        <is>
          <t>—</t>
        </is>
      </c>
    </row>
    <row r="435" ht="15.75" customHeight="1" s="187">
      <c r="A435" s="84" t="n">
        <v>45974</v>
      </c>
      <c r="B435" s="206" t="inlineStr">
        <is>
          <t>已收货</t>
        </is>
      </c>
      <c r="C435" s="86" t="inlineStr">
        <is>
          <t>3062137944631846472</t>
        </is>
      </c>
      <c r="D435" s="86" t="inlineStr">
        <is>
          <t>洪小姐</t>
        </is>
      </c>
      <c r="E435" s="87" t="n"/>
      <c r="F435" s="87" t="n"/>
      <c r="G435" s="207" t="inlineStr">
        <is>
          <t>砂白色1.6米岩板餐桌</t>
        </is>
      </c>
      <c r="H435" s="207" t="inlineStr">
        <is>
          <t>榉木餐桌</t>
        </is>
      </c>
      <c r="I435" s="89" t="inlineStr">
        <is>
          <t>160cm*85cm</t>
        </is>
      </c>
      <c r="J435" s="87" t="inlineStr">
        <is>
          <t>已结算</t>
        </is>
      </c>
      <c r="K435" s="86" t="inlineStr">
        <is>
          <t>庄毅</t>
        </is>
      </c>
      <c r="L435" s="207">
        <f>SUM(M435:AO435)</f>
        <v/>
      </c>
      <c r="M435" s="207">
        <f>1530</f>
        <v/>
      </c>
      <c r="N435" s="207" t="n"/>
      <c r="O435" s="207" t="n"/>
      <c r="P435" s="207" t="n"/>
      <c r="Q435" s="207" t="n"/>
      <c r="R435" s="207">
        <f>180*1.6*0.85</f>
        <v/>
      </c>
      <c r="S435" s="207" t="n"/>
      <c r="T435" s="207" t="n"/>
      <c r="U435" s="207" t="n"/>
      <c r="V435" s="207" t="n"/>
      <c r="W435" s="207" t="n"/>
      <c r="X435" s="207" t="n"/>
      <c r="Y435" s="207" t="n"/>
      <c r="Z435" s="207" t="n"/>
      <c r="AA435" s="207" t="n"/>
      <c r="AB435" s="207" t="n"/>
      <c r="AC435" s="207" t="n"/>
      <c r="AD435" s="207" t="n">
        <v>2.5</v>
      </c>
      <c r="AE435" s="207" t="n"/>
      <c r="AF435" s="207" t="n"/>
      <c r="AG435" s="207" t="n"/>
      <c r="AH435" s="207" t="n"/>
      <c r="AI435" s="207" t="n"/>
      <c r="AJ435" s="207" t="n"/>
      <c r="AK435" s="207" t="n"/>
      <c r="AL435" s="207" t="n"/>
      <c r="AM435" s="207" t="n"/>
      <c r="AN435" s="207" t="n"/>
      <c r="AO435" s="207" t="n"/>
      <c r="AP435" s="207" t="n">
        <v>148</v>
      </c>
      <c r="AQ435" s="207" t="n">
        <v>0</v>
      </c>
      <c r="AR435" s="207" t="n">
        <v>65</v>
      </c>
      <c r="AS435" s="207" t="n">
        <v>0</v>
      </c>
      <c r="AT435" s="207" t="n">
        <v>0</v>
      </c>
      <c r="AU435" s="207" t="n">
        <v>0</v>
      </c>
      <c r="AV435" s="207" t="n">
        <v>0</v>
      </c>
      <c r="AW435" s="207" t="n">
        <v>0</v>
      </c>
      <c r="AX435" s="208" t="n">
        <v>1</v>
      </c>
      <c r="AY435" s="209">
        <f>L435*AX435+AP435+AQ435+AR435+AV435+AW435+AS435+AT435+AU435</f>
        <v/>
      </c>
      <c r="AZ435" s="207" t="n">
        <v>2688.41</v>
      </c>
      <c r="BA435" s="207" t="n">
        <v>0</v>
      </c>
      <c r="BB435" s="207">
        <f>AZ435*0.006</f>
        <v/>
      </c>
      <c r="BC435" s="209">
        <f>AZ435+BA435-BB435</f>
        <v/>
      </c>
      <c r="BD435" s="207" t="n">
        <v>0</v>
      </c>
      <c r="BE435" s="207" t="n">
        <v>0</v>
      </c>
      <c r="BF435" s="209">
        <f>BD435+BE435</f>
        <v/>
      </c>
      <c r="BG435" s="209">
        <f>BC435-AY435+BF435</f>
        <v/>
      </c>
      <c r="BH435" s="207" t="inlineStr">
        <is>
          <t>洪小姐</t>
        </is>
      </c>
      <c r="BI435" s="207" t="inlineStr">
        <is>
          <t>江苏省 宿迁市 宿城区 双庄街道书香尚庭3-803</t>
        </is>
      </c>
      <c r="BJ435" s="207" t="inlineStr">
        <is>
          <t>18451490174-4888</t>
        </is>
      </c>
      <c r="BK435" s="86" t="n"/>
      <c r="BL435" s="210" t="n"/>
      <c r="BM435" s="93" t="n"/>
      <c r="BN435" s="94" t="n"/>
      <c r="BO435" s="93" t="n"/>
      <c r="BP435" s="86" t="n"/>
      <c r="BQ435" s="96" t="n"/>
      <c r="BR435" s="96" t="n"/>
      <c r="BS435" s="97" t="n"/>
      <c r="BT435" s="96" t="n"/>
      <c r="BU435" s="97" t="n"/>
      <c r="BV435" s="96" t="n"/>
      <c r="BW435" s="97" t="n"/>
      <c r="BX435" s="97" t="n"/>
      <c r="BY435" s="97" t="n"/>
      <c r="BZ435" s="97" t="n"/>
      <c r="CH435" s="2" t="n"/>
      <c r="CI435" s="14" t="n"/>
      <c r="CJ435" s="25" t="n"/>
      <c r="CK435" s="25" t="n"/>
      <c r="CL435" s="25" t="n"/>
      <c r="CM435" s="25" t="n"/>
      <c r="CN435" s="25" t="n"/>
      <c r="CO435" s="25" t="n"/>
      <c r="CP435" s="25" t="n"/>
      <c r="CQ435" s="25" t="n"/>
      <c r="CR435" s="25" t="n"/>
      <c r="CS435" s="25" t="n"/>
      <c r="CT435" s="25" t="n"/>
      <c r="CU435" s="25" t="n"/>
      <c r="CV435" s="25" t="n"/>
      <c r="CW435" s="25" t="n"/>
      <c r="CX435" s="25" t="n"/>
      <c r="CY435" s="25" t="n"/>
      <c r="DC435" s="26" t="n"/>
      <c r="DD435" s="26" t="n"/>
      <c r="DE435" s="26" t="n"/>
      <c r="DF435" s="26" t="n"/>
      <c r="DG435" s="26" t="n"/>
      <c r="DH435" s="27" t="n"/>
      <c r="DJ435" s="211" t="inlineStr">
        <is>
          <t>订单表中未找到</t>
        </is>
      </c>
      <c r="DK435" t="inlineStr">
        <is>
          <t>—</t>
        </is>
      </c>
      <c r="DL435" t="inlineStr">
        <is>
          <t>—</t>
        </is>
      </c>
    </row>
    <row r="436" ht="15.75" customHeight="1" s="187">
      <c r="A436" s="84" t="n">
        <v>45975</v>
      </c>
      <c r="B436" s="206" t="inlineStr">
        <is>
          <t>已收货</t>
        </is>
      </c>
      <c r="C436" s="86" t="inlineStr">
        <is>
          <t>4880763722429255426</t>
        </is>
      </c>
      <c r="D436" s="110" t="inlineStr">
        <is>
          <t>钱小姐</t>
        </is>
      </c>
      <c r="E436" s="87" t="n"/>
      <c r="F436" s="87" t="n"/>
      <c r="G436" s="87" t="inlineStr">
        <is>
          <t>砂白色1.4米岩板餐桌，定制</t>
        </is>
      </c>
      <c r="H436" s="207" t="inlineStr">
        <is>
          <t>榉木餐桌</t>
        </is>
      </c>
      <c r="I436" s="89" t="inlineStr">
        <is>
          <t>140cm*80cm</t>
        </is>
      </c>
      <c r="J436" s="87" t="inlineStr">
        <is>
          <t>已结算</t>
        </is>
      </c>
      <c r="K436" s="87" t="inlineStr">
        <is>
          <t>江西</t>
        </is>
      </c>
      <c r="L436" s="207">
        <f>SUM(M436:AO436)</f>
        <v/>
      </c>
      <c r="M436" s="207">
        <f>1300</f>
        <v/>
      </c>
      <c r="N436" s="207" t="n"/>
      <c r="O436" s="207" t="n"/>
      <c r="P436" s="207" t="n"/>
      <c r="Q436" s="207" t="n"/>
      <c r="R436" s="207" t="n">
        <v>240</v>
      </c>
      <c r="S436" s="207" t="n"/>
      <c r="T436" s="207" t="n"/>
      <c r="U436" s="207" t="n"/>
      <c r="V436" s="207" t="n"/>
      <c r="W436" s="207" t="n"/>
      <c r="X436" s="207" t="n"/>
      <c r="Y436" s="207" t="n"/>
      <c r="Z436" s="207" t="n"/>
      <c r="AA436" s="207" t="n"/>
      <c r="AB436" s="207" t="n"/>
      <c r="AC436" s="207" t="n"/>
      <c r="AD436" s="207" t="n">
        <v>2.5</v>
      </c>
      <c r="AE436" s="207" t="n"/>
      <c r="AF436" s="207" t="n"/>
      <c r="AG436" s="207" t="n"/>
      <c r="AH436" s="207" t="n"/>
      <c r="AI436" s="207" t="n"/>
      <c r="AJ436" s="207" t="n"/>
      <c r="AK436" s="207" t="n"/>
      <c r="AL436" s="207" t="n"/>
      <c r="AM436" s="207" t="n">
        <v>190</v>
      </c>
      <c r="AN436" s="207" t="n"/>
      <c r="AO436" s="207" t="n"/>
      <c r="AP436" s="207">
        <f>120-AQ436</f>
        <v/>
      </c>
      <c r="AQ436" s="207" t="n">
        <v>30</v>
      </c>
      <c r="AR436" s="207" t="n">
        <v>75</v>
      </c>
      <c r="AS436" s="207" t="n">
        <v>0</v>
      </c>
      <c r="AT436" s="207" t="n">
        <v>0</v>
      </c>
      <c r="AU436" s="207" t="n">
        <v>0</v>
      </c>
      <c r="AV436" s="207" t="n">
        <v>0</v>
      </c>
      <c r="AW436" s="207" t="n">
        <v>0</v>
      </c>
      <c r="AX436" s="208" t="n">
        <v>1</v>
      </c>
      <c r="AY436" s="209">
        <f>L436*AX436+AP436+AQ436+AR436+AV436+AW436+AS436+AT436+AU436</f>
        <v/>
      </c>
      <c r="AZ436" s="207" t="n">
        <v>2588.89</v>
      </c>
      <c r="BA436" s="207" t="n">
        <v>0</v>
      </c>
      <c r="BB436" s="207">
        <f>AZ436*0.006</f>
        <v/>
      </c>
      <c r="BC436" s="209">
        <f>AZ436+BA436-BB436</f>
        <v/>
      </c>
      <c r="BD436" s="207" t="n">
        <v>0</v>
      </c>
      <c r="BE436" s="207" t="n">
        <v>0</v>
      </c>
      <c r="BF436" s="209">
        <f>BD436+BE436</f>
        <v/>
      </c>
      <c r="BG436" s="209">
        <f>BC436-AY436+BF436</f>
        <v/>
      </c>
      <c r="BH436" s="207" t="inlineStr">
        <is>
          <t>钱小姐</t>
        </is>
      </c>
      <c r="BI436" s="207" t="inlineStr">
        <is>
          <t>上海 上海市 普陀区 万里街道真欣园 真金路251弄34号201室</t>
        </is>
      </c>
      <c r="BJ436" s="207" t="inlineStr">
        <is>
          <t>18466859370-6654</t>
        </is>
      </c>
      <c r="BK436" s="86" t="n"/>
      <c r="BL436" s="210" t="n"/>
      <c r="BM436" s="93" t="n"/>
      <c r="BN436" s="94" t="n"/>
      <c r="BO436" s="93" t="n"/>
      <c r="BP436" s="86" t="n"/>
      <c r="BQ436" s="96" t="n"/>
      <c r="BR436" s="96" t="n"/>
      <c r="BS436" s="97" t="n"/>
      <c r="BT436" s="96" t="n"/>
      <c r="BU436" s="97" t="n"/>
      <c r="BV436" s="96" t="n"/>
      <c r="BW436" s="97" t="n"/>
      <c r="BX436" s="97" t="n"/>
      <c r="BY436" s="97" t="n"/>
      <c r="BZ436" s="97" t="n"/>
      <c r="CH436" s="2" t="n"/>
      <c r="CI436" s="14" t="n"/>
      <c r="CJ436" s="25" t="n"/>
      <c r="CK436" s="25" t="n"/>
      <c r="CL436" s="25" t="n"/>
      <c r="CM436" s="25" t="n"/>
      <c r="CN436" s="25" t="n"/>
      <c r="CO436" s="25" t="n"/>
      <c r="CP436" s="25" t="n"/>
      <c r="CQ436" s="25" t="n"/>
      <c r="CR436" s="25" t="n"/>
      <c r="CS436" s="25" t="n"/>
      <c r="CT436" s="25" t="n"/>
      <c r="CU436" s="25" t="n"/>
      <c r="CV436" s="25" t="n"/>
      <c r="CW436" s="25" t="n"/>
      <c r="CX436" s="25" t="n"/>
      <c r="CY436" s="25" t="n"/>
      <c r="DC436" s="26" t="n"/>
      <c r="DD436" s="26" t="n"/>
      <c r="DE436" s="26" t="n"/>
      <c r="DF436" s="26" t="n"/>
      <c r="DG436" s="26" t="n"/>
      <c r="DH436" s="27" t="n"/>
      <c r="DJ436" s="211" t="inlineStr">
        <is>
          <t>订单表中未找到</t>
        </is>
      </c>
      <c r="DK436" t="inlineStr">
        <is>
          <t>—</t>
        </is>
      </c>
      <c r="DL436" t="inlineStr">
        <is>
          <t>—</t>
        </is>
      </c>
    </row>
    <row r="437" ht="15.75" customHeight="1" s="187">
      <c r="A437" s="84" t="n">
        <v>45975</v>
      </c>
      <c r="B437" s="206" t="inlineStr">
        <is>
          <t>已收货</t>
        </is>
      </c>
      <c r="C437" s="86" t="inlineStr">
        <is>
          <t>3063287785186682080</t>
        </is>
      </c>
      <c r="D437" s="110" t="inlineStr">
        <is>
          <t>崔先生</t>
        </is>
      </c>
      <c r="E437" s="87" t="n"/>
      <c r="F437" s="87" t="n"/>
      <c r="G437" s="207" t="inlineStr">
        <is>
          <t>补差价</t>
        </is>
      </c>
      <c r="H437" s="207" t="n"/>
      <c r="I437" s="89" t="n"/>
      <c r="J437" s="87" t="inlineStr">
        <is>
          <t>已结算</t>
        </is>
      </c>
      <c r="K437" s="87" t="inlineStr">
        <is>
          <t>江西</t>
        </is>
      </c>
      <c r="L437" s="216" t="n">
        <v>0</v>
      </c>
      <c r="M437" s="207" t="n">
        <v>0</v>
      </c>
      <c r="N437" s="207" t="n"/>
      <c r="O437" s="207" t="n"/>
      <c r="P437" s="207" t="n"/>
      <c r="Q437" s="207" t="n"/>
      <c r="R437" s="207" t="n"/>
      <c r="S437" s="207" t="n"/>
      <c r="T437" s="207" t="n"/>
      <c r="U437" s="207" t="n"/>
      <c r="V437" s="207" t="n"/>
      <c r="W437" s="207" t="n"/>
      <c r="X437" s="207" t="n"/>
      <c r="Y437" s="207" t="n"/>
      <c r="Z437" s="207" t="n"/>
      <c r="AA437" s="207" t="n"/>
      <c r="AB437" s="207" t="n"/>
      <c r="AC437" s="207" t="n"/>
      <c r="AD437" s="207" t="n"/>
      <c r="AE437" s="207" t="n"/>
      <c r="AF437" s="207" t="n"/>
      <c r="AG437" s="207" t="n"/>
      <c r="AH437" s="207" t="n"/>
      <c r="AI437" s="207" t="n"/>
      <c r="AJ437" s="207" t="n"/>
      <c r="AK437" s="207" t="n"/>
      <c r="AL437" s="207" t="n"/>
      <c r="AM437" s="207" t="n"/>
      <c r="AN437" s="207" t="n"/>
      <c r="AO437" s="207" t="n"/>
      <c r="AP437" s="207" t="n">
        <v>0</v>
      </c>
      <c r="AQ437" s="207" t="n">
        <v>0</v>
      </c>
      <c r="AR437" s="207" t="n">
        <v>0</v>
      </c>
      <c r="AS437" s="207" t="n">
        <v>0</v>
      </c>
      <c r="AT437" s="207" t="n">
        <v>0</v>
      </c>
      <c r="AU437" s="207" t="n">
        <v>0</v>
      </c>
      <c r="AV437" s="207" t="n">
        <v>0</v>
      </c>
      <c r="AW437" s="207" t="n">
        <v>0</v>
      </c>
      <c r="AX437" s="208" t="n">
        <v>1</v>
      </c>
      <c r="AY437" s="209">
        <f>L437*AX437+AP437+AQ437+AR437+AV437+AW437+AS437+AT437+AU437</f>
        <v/>
      </c>
      <c r="AZ437" s="207" t="n">
        <v>195</v>
      </c>
      <c r="BA437" s="207" t="n">
        <v>0</v>
      </c>
      <c r="BB437" s="207">
        <f>AZ437*0.006</f>
        <v/>
      </c>
      <c r="BC437" s="209">
        <f>AZ437+BA437-BB437</f>
        <v/>
      </c>
      <c r="BD437" s="207" t="n">
        <v>0</v>
      </c>
      <c r="BE437" s="207" t="n">
        <v>0</v>
      </c>
      <c r="BF437" s="209">
        <f>BD437+BE437</f>
        <v/>
      </c>
      <c r="BG437" s="209">
        <f>BC437-AY437+BF437</f>
        <v/>
      </c>
      <c r="BH437" s="86" t="inlineStr">
        <is>
          <t>崔先生</t>
        </is>
      </c>
      <c r="BI437" s="86" t="inlineStr">
        <is>
          <t>云南省 昆明市 盘龙区 金辰街道云南映象碧桂湾24-801</t>
        </is>
      </c>
      <c r="BJ437" s="86" t="inlineStr">
        <is>
          <t>18400302778-8072</t>
        </is>
      </c>
      <c r="BK437" s="86" t="n"/>
      <c r="BL437" s="210" t="n"/>
      <c r="BM437" s="93" t="n"/>
      <c r="BN437" s="94" t="n"/>
      <c r="BO437" s="93" t="n"/>
      <c r="BP437" s="86" t="n"/>
      <c r="BQ437" s="96" t="n"/>
      <c r="BR437" s="96" t="n"/>
      <c r="BS437" s="97" t="n"/>
      <c r="BT437" s="96" t="n"/>
      <c r="BU437" s="97" t="n"/>
      <c r="BV437" s="96" t="n"/>
      <c r="BW437" s="97" t="n"/>
      <c r="BX437" s="97" t="n"/>
      <c r="BY437" s="97" t="n"/>
      <c r="BZ437" s="97" t="n"/>
      <c r="CH437" s="2" t="n"/>
      <c r="CI437" s="14" t="n"/>
      <c r="CJ437" s="25" t="n"/>
      <c r="CK437" s="25" t="n"/>
      <c r="CL437" s="25" t="n"/>
      <c r="CM437" s="25" t="n"/>
      <c r="CN437" s="25" t="n"/>
      <c r="CO437" s="25" t="n"/>
      <c r="CP437" s="25" t="n"/>
      <c r="CQ437" s="25" t="n"/>
      <c r="CR437" s="25" t="n"/>
      <c r="CS437" s="25" t="n"/>
      <c r="CT437" s="25" t="n"/>
      <c r="CU437" s="25" t="n"/>
      <c r="CV437" s="25" t="n"/>
      <c r="CW437" s="25" t="n"/>
      <c r="CX437" s="25" t="n"/>
      <c r="CY437" s="25" t="n"/>
      <c r="DC437" s="26" t="n"/>
      <c r="DD437" s="26" t="n"/>
      <c r="DE437" s="26" t="n"/>
      <c r="DF437" s="26" t="n"/>
      <c r="DG437" s="26" t="n"/>
      <c r="DH437" s="27" t="n"/>
      <c r="DJ437" s="211" t="inlineStr">
        <is>
          <t>订单表中未找到</t>
        </is>
      </c>
      <c r="DK437" t="inlineStr">
        <is>
          <t>—</t>
        </is>
      </c>
      <c r="DL437" t="inlineStr">
        <is>
          <t>—</t>
        </is>
      </c>
    </row>
    <row r="438" ht="15.75" customHeight="1" s="187">
      <c r="A438" s="84" t="n">
        <v>45975</v>
      </c>
      <c r="B438" s="206" t="inlineStr">
        <is>
          <t>已收货</t>
        </is>
      </c>
      <c r="C438" s="86" t="inlineStr">
        <is>
          <t>4881708936487332847</t>
        </is>
      </c>
      <c r="D438" s="110" t="inlineStr">
        <is>
          <t>丁毅</t>
        </is>
      </c>
      <c r="E438" s="87" t="n"/>
      <c r="F438" s="87" t="n"/>
      <c r="G438" s="207" t="inlineStr">
        <is>
          <t>样块</t>
        </is>
      </c>
      <c r="H438" s="207" t="inlineStr">
        <is>
          <t>样块</t>
        </is>
      </c>
      <c r="I438" s="89" t="n"/>
      <c r="J438" s="87" t="inlineStr">
        <is>
          <t>已结算</t>
        </is>
      </c>
      <c r="K438" s="87" t="inlineStr">
        <is>
          <t>杭州</t>
        </is>
      </c>
      <c r="L438" s="207">
        <f>SUM(M438:AO438)</f>
        <v/>
      </c>
      <c r="M438" s="207" t="n">
        <v>5</v>
      </c>
      <c r="N438" s="207" t="n"/>
      <c r="O438" s="207" t="n"/>
      <c r="P438" s="207" t="n"/>
      <c r="Q438" s="207" t="n"/>
      <c r="R438" s="207" t="n"/>
      <c r="S438" s="207" t="n"/>
      <c r="T438" s="207" t="n"/>
      <c r="U438" s="207" t="n"/>
      <c r="V438" s="207" t="n"/>
      <c r="W438" s="207" t="n"/>
      <c r="X438" s="207" t="n"/>
      <c r="Y438" s="207" t="n"/>
      <c r="Z438" s="207" t="n"/>
      <c r="AA438" s="207" t="n"/>
      <c r="AB438" s="207" t="n"/>
      <c r="AC438" s="207" t="n"/>
      <c r="AD438" s="207" t="n"/>
      <c r="AE438" s="207" t="n"/>
      <c r="AF438" s="207" t="n"/>
      <c r="AG438" s="207" t="n"/>
      <c r="AH438" s="207" t="n"/>
      <c r="AI438" s="207" t="n"/>
      <c r="AJ438" s="207" t="n"/>
      <c r="AK438" s="207" t="n"/>
      <c r="AL438" s="207" t="n"/>
      <c r="AM438" s="207" t="n">
        <v>2</v>
      </c>
      <c r="AN438" s="207" t="n"/>
      <c r="AO438" s="207" t="n"/>
      <c r="AP438" s="207" t="n">
        <v>5</v>
      </c>
      <c r="AQ438" s="207" t="n">
        <v>0</v>
      </c>
      <c r="AR438" s="207" t="n">
        <v>0</v>
      </c>
      <c r="AS438" s="207" t="n">
        <v>0</v>
      </c>
      <c r="AT438" s="207" t="n">
        <v>0</v>
      </c>
      <c r="AU438" s="207" t="n">
        <v>0</v>
      </c>
      <c r="AV438" s="207" t="n">
        <v>0</v>
      </c>
      <c r="AW438" s="207" t="n">
        <v>0</v>
      </c>
      <c r="AX438" s="208" t="n">
        <v>1</v>
      </c>
      <c r="AY438" s="209">
        <f>L438*AX438+AP438+AQ438+AR438+AV438+AW438+AS438+AT438+AU438</f>
        <v/>
      </c>
      <c r="AZ438" s="207" t="n">
        <v>21.2</v>
      </c>
      <c r="BA438" s="207" t="n">
        <v>0</v>
      </c>
      <c r="BB438" s="207">
        <f>AZ438*0.006</f>
        <v/>
      </c>
      <c r="BC438" s="209">
        <f>AZ438+BA438-BB438</f>
        <v/>
      </c>
      <c r="BD438" s="207" t="n">
        <v>0</v>
      </c>
      <c r="BE438" s="207" t="n">
        <v>0</v>
      </c>
      <c r="BF438" s="209">
        <f>BD438+BE438</f>
        <v/>
      </c>
      <c r="BG438" s="209">
        <f>BC438-AY438+BF438</f>
        <v/>
      </c>
      <c r="BH438" s="86" t="inlineStr">
        <is>
          <t>丁毅</t>
        </is>
      </c>
      <c r="BI438" s="86" t="inlineStr">
        <is>
          <t>湖北省 武汉市 江岸区 花桥街道红星美凯龙(武汉竹叶山商场红星美凯龙店)</t>
        </is>
      </c>
      <c r="BJ438" s="86" t="inlineStr">
        <is>
          <t>18627054515-6287</t>
        </is>
      </c>
      <c r="BK438" s="86" t="n"/>
      <c r="BL438" s="210" t="n"/>
      <c r="BM438" s="93" t="n"/>
      <c r="BN438" s="94" t="n"/>
      <c r="BO438" s="93" t="n"/>
      <c r="BP438" s="86" t="n"/>
      <c r="BQ438" s="96" t="n"/>
      <c r="BR438" s="96" t="n"/>
      <c r="BS438" s="97" t="n"/>
      <c r="BT438" s="96" t="n"/>
      <c r="BU438" s="97" t="n"/>
      <c r="BV438" s="96" t="n"/>
      <c r="BW438" s="97" t="n"/>
      <c r="BX438" s="97" t="n"/>
      <c r="BY438" s="97" t="n"/>
      <c r="BZ438" s="97" t="n"/>
      <c r="CH438" s="2" t="n"/>
      <c r="CI438" s="14" t="n"/>
      <c r="CJ438" s="25" t="n"/>
      <c r="CK438" s="25" t="n"/>
      <c r="CL438" s="25" t="n"/>
      <c r="CM438" s="25" t="n"/>
      <c r="CN438" s="25" t="n"/>
      <c r="CO438" s="25" t="n"/>
      <c r="CP438" s="25" t="n"/>
      <c r="CQ438" s="25" t="n"/>
      <c r="CR438" s="25" t="n"/>
      <c r="CS438" s="25" t="n"/>
      <c r="CT438" s="25" t="n"/>
      <c r="CU438" s="25" t="n"/>
      <c r="CV438" s="25" t="n"/>
      <c r="CW438" s="25" t="n"/>
      <c r="CX438" s="25" t="n"/>
      <c r="CY438" s="25" t="n"/>
      <c r="DC438" s="26" t="n"/>
      <c r="DD438" s="26" t="n"/>
      <c r="DE438" s="26" t="n"/>
      <c r="DF438" s="26" t="n"/>
      <c r="DG438" s="26" t="n"/>
      <c r="DH438" s="27" t="n"/>
      <c r="DJ438" s="211" t="inlineStr">
        <is>
          <t>订单表中未找到</t>
        </is>
      </c>
      <c r="DK438" t="inlineStr">
        <is>
          <t>—</t>
        </is>
      </c>
      <c r="DL438" t="inlineStr">
        <is>
          <t>—</t>
        </is>
      </c>
    </row>
    <row r="439" ht="15.6" customHeight="1" s="187">
      <c r="A439" s="84" t="n">
        <v>45975</v>
      </c>
      <c r="B439" s="206" t="inlineStr">
        <is>
          <t>已收货</t>
        </is>
      </c>
      <c r="C439" s="86" t="inlineStr">
        <is>
          <t>4881569295019687329</t>
        </is>
      </c>
      <c r="D439" s="110" t="inlineStr">
        <is>
          <t>王磊</t>
        </is>
      </c>
      <c r="E439" s="87" t="n"/>
      <c r="F439" s="87" t="n"/>
      <c r="G439" s="207" t="inlineStr">
        <is>
          <t>砂白色1.4米岩板餐桌（福建退货修复）</t>
        </is>
      </c>
      <c r="H439" s="207" t="inlineStr">
        <is>
          <t>榉木餐桌</t>
        </is>
      </c>
      <c r="I439" s="89" t="inlineStr">
        <is>
          <t>140cm*85cm</t>
        </is>
      </c>
      <c r="J439" s="87" t="inlineStr">
        <is>
          <t>已结算</t>
        </is>
      </c>
      <c r="K439" s="87" t="inlineStr">
        <is>
          <t>庄毅-江西</t>
        </is>
      </c>
      <c r="L439" s="207">
        <f>SUM(M439:AO439)</f>
        <v/>
      </c>
      <c r="M439" s="207">
        <f>1350</f>
        <v/>
      </c>
      <c r="N439" s="207" t="n"/>
      <c r="O439" s="207" t="n"/>
      <c r="P439" s="207" t="n"/>
      <c r="Q439" s="207" t="n"/>
      <c r="R439" s="207">
        <f>1.4*0.85*180</f>
        <v/>
      </c>
      <c r="S439" s="207" t="n"/>
      <c r="T439" s="207" t="n"/>
      <c r="U439" s="207" t="n"/>
      <c r="V439" s="207" t="n"/>
      <c r="W439" s="207" t="n"/>
      <c r="X439" s="207" t="n"/>
      <c r="Y439" s="207" t="n"/>
      <c r="Z439" s="207" t="n"/>
      <c r="AA439" s="207" t="n"/>
      <c r="AB439" s="207" t="n"/>
      <c r="AC439" s="207" t="n"/>
      <c r="AD439" s="207" t="n">
        <v>2.5</v>
      </c>
      <c r="AE439" s="207" t="n"/>
      <c r="AF439" s="207" t="n"/>
      <c r="AG439" s="207" t="n"/>
      <c r="AH439" s="207" t="n"/>
      <c r="AI439" s="207" t="n"/>
      <c r="AJ439" s="207" t="n"/>
      <c r="AK439" s="207" t="n"/>
      <c r="AL439" s="207" t="n"/>
      <c r="AM439" s="207" t="n"/>
      <c r="AN439" s="207" t="n"/>
      <c r="AO439" s="207" t="n"/>
      <c r="AP439" s="207" t="n">
        <v>145</v>
      </c>
      <c r="AQ439" s="207" t="n">
        <v>0</v>
      </c>
      <c r="AR439" s="207" t="n">
        <v>60</v>
      </c>
      <c r="AS439" s="207" t="n">
        <v>0</v>
      </c>
      <c r="AT439" s="207" t="n">
        <v>0</v>
      </c>
      <c r="AU439" s="207" t="n">
        <v>0</v>
      </c>
      <c r="AV439" s="207" t="n">
        <v>0</v>
      </c>
      <c r="AW439" s="207" t="n">
        <v>0</v>
      </c>
      <c r="AX439" s="208" t="n">
        <v>1</v>
      </c>
      <c r="AY439" s="209">
        <f>L439*AX439+AP439+AQ439+AR439+AV439+AW439+AS439+AT439+AU439</f>
        <v/>
      </c>
      <c r="AZ439" s="207" t="n">
        <v>2588.89</v>
      </c>
      <c r="BA439" s="207" t="n">
        <v>0</v>
      </c>
      <c r="BB439" s="207">
        <f>AZ439*0.006</f>
        <v/>
      </c>
      <c r="BC439" s="209">
        <f>AZ439+BA439-BB439</f>
        <v/>
      </c>
      <c r="BD439" s="207" t="n">
        <v>0</v>
      </c>
      <c r="BE439" s="207" t="n">
        <v>0</v>
      </c>
      <c r="BF439" s="209">
        <f>BD439+BE439</f>
        <v/>
      </c>
      <c r="BG439" s="209">
        <f>BC439-AY439+BF439</f>
        <v/>
      </c>
      <c r="BH439" s="207" t="inlineStr">
        <is>
          <t>王磊</t>
        </is>
      </c>
      <c r="BI439" s="207" t="inlineStr">
        <is>
          <t>湖北省 武汉市 武昌区 水果湖街道水果湖街办事处 武汉市武昌区水果湖张家湾小区41栋54号101室</t>
        </is>
      </c>
      <c r="BJ439" s="207" t="inlineStr">
        <is>
          <t>15783645691-3427</t>
        </is>
      </c>
      <c r="BK439" s="86" t="n"/>
      <c r="BL439" s="210" t="n"/>
      <c r="BM439" s="93" t="n"/>
      <c r="BN439" s="94" t="n"/>
      <c r="BO439" s="93" t="n"/>
      <c r="BP439" s="86" t="n"/>
      <c r="BQ439" s="96" t="n"/>
      <c r="BR439" s="96" t="n"/>
      <c r="BS439" s="97" t="n"/>
      <c r="BT439" s="96" t="n"/>
      <c r="BU439" s="97" t="n"/>
      <c r="BV439" s="96" t="n"/>
      <c r="BW439" s="97" t="n"/>
      <c r="BX439" s="97" t="n"/>
      <c r="BY439" s="97" t="n"/>
      <c r="BZ439" s="97" t="n"/>
      <c r="CH439" s="2" t="n"/>
      <c r="CI439" s="14" t="n"/>
      <c r="CJ439" s="25" t="n"/>
      <c r="CK439" s="25" t="n"/>
      <c r="CL439" s="25" t="n"/>
      <c r="CM439" s="25" t="n"/>
      <c r="CN439" s="25" t="n"/>
      <c r="CO439" s="25" t="n"/>
      <c r="CP439" s="25" t="n"/>
      <c r="CQ439" s="25" t="n"/>
      <c r="CR439" s="25" t="n"/>
      <c r="CS439" s="25" t="n"/>
      <c r="CT439" s="25" t="n"/>
      <c r="CU439" s="25" t="n"/>
      <c r="CV439" s="25" t="n"/>
      <c r="CW439" s="25" t="n"/>
      <c r="CX439" s="25" t="n"/>
      <c r="CY439" s="25" t="n"/>
      <c r="DC439" s="26" t="n"/>
      <c r="DD439" s="26" t="n"/>
      <c r="DE439" s="26" t="n"/>
      <c r="DF439" s="26" t="n"/>
      <c r="DG439" s="26" t="n"/>
      <c r="DH439" s="27" t="n"/>
      <c r="DJ439" s="211" t="inlineStr">
        <is>
          <t>订单表中未找到</t>
        </is>
      </c>
      <c r="DK439" t="inlineStr">
        <is>
          <t>—</t>
        </is>
      </c>
      <c r="DL439" t="inlineStr">
        <is>
          <t>—</t>
        </is>
      </c>
    </row>
    <row r="440" ht="15.75" customHeight="1" s="187">
      <c r="A440" s="84" t="n">
        <v>45975</v>
      </c>
      <c r="B440" s="226" t="inlineStr">
        <is>
          <t>未发货</t>
        </is>
      </c>
      <c r="C440" s="86" t="inlineStr">
        <is>
          <t>4882198356154069633</t>
        </is>
      </c>
      <c r="D440" s="110" t="inlineStr">
        <is>
          <t>小米</t>
        </is>
      </c>
      <c r="E440" s="87" t="n"/>
      <c r="F440" s="87" t="n"/>
      <c r="G440" s="207" t="inlineStr">
        <is>
          <t>砂白色1.6米岩板餐桌</t>
        </is>
      </c>
      <c r="H440" s="207" t="inlineStr">
        <is>
          <t>榉木餐桌</t>
        </is>
      </c>
      <c r="I440" s="218" t="inlineStr">
        <is>
          <t>160cm*85cm</t>
        </is>
      </c>
      <c r="J440" s="87" t="inlineStr">
        <is>
          <t>已结算</t>
        </is>
      </c>
      <c r="K440" s="87" t="inlineStr">
        <is>
          <t>江西</t>
        </is>
      </c>
      <c r="L440" s="207">
        <f>SUM(M440:AO440)</f>
        <v/>
      </c>
      <c r="M440" s="207">
        <f>1350</f>
        <v/>
      </c>
      <c r="N440" s="207" t="n"/>
      <c r="O440" s="207" t="n"/>
      <c r="P440" s="207" t="n"/>
      <c r="Q440" s="207" t="n"/>
      <c r="R440" s="207" t="n">
        <v>220</v>
      </c>
      <c r="S440" s="207" t="n"/>
      <c r="T440" s="207" t="n"/>
      <c r="U440" s="207" t="n"/>
      <c r="V440" s="207" t="n"/>
      <c r="W440" s="207" t="n"/>
      <c r="X440" s="207" t="n"/>
      <c r="Y440" s="207" t="n"/>
      <c r="Z440" s="207" t="n"/>
      <c r="AA440" s="207" t="n"/>
      <c r="AB440" s="207" t="n"/>
      <c r="AC440" s="207" t="n"/>
      <c r="AD440" s="207" t="n">
        <v>2.5</v>
      </c>
      <c r="AE440" s="207" t="n"/>
      <c r="AF440" s="207" t="n"/>
      <c r="AG440" s="207" t="n"/>
      <c r="AH440" s="207" t="n"/>
      <c r="AI440" s="207" t="n"/>
      <c r="AJ440" s="207" t="n"/>
      <c r="AK440" s="207" t="n"/>
      <c r="AL440" s="207" t="n"/>
      <c r="AM440" s="207" t="n">
        <v>190</v>
      </c>
      <c r="AN440" s="207" t="n"/>
      <c r="AO440" s="207" t="n"/>
      <c r="AP440" s="121" t="n">
        <v>148</v>
      </c>
      <c r="AQ440" s="233" t="n">
        <v>0</v>
      </c>
      <c r="AR440" s="121" t="n">
        <v>65</v>
      </c>
      <c r="AS440" s="207" t="n">
        <v>0</v>
      </c>
      <c r="AT440" s="207" t="n">
        <v>0</v>
      </c>
      <c r="AU440" s="207" t="n">
        <v>0</v>
      </c>
      <c r="AV440" s="207" t="n">
        <v>0</v>
      </c>
      <c r="AW440" s="207" t="n">
        <v>0</v>
      </c>
      <c r="AX440" s="208" t="n">
        <v>1</v>
      </c>
      <c r="AY440" s="209">
        <f>L440*AX440+AP440+AQ440+AR440+AV440+AW440+AS440+AT440+AU440</f>
        <v/>
      </c>
      <c r="AZ440" s="207" t="n">
        <v>2688.41</v>
      </c>
      <c r="BA440" s="207" t="n">
        <v>0</v>
      </c>
      <c r="BB440" s="207">
        <f>AZ440*0.006</f>
        <v/>
      </c>
      <c r="BC440" s="209">
        <f>AZ440+BA440-BB440</f>
        <v/>
      </c>
      <c r="BD440" s="207" t="n">
        <v>0</v>
      </c>
      <c r="BE440" s="207" t="n">
        <v>0</v>
      </c>
      <c r="BF440" s="209">
        <f>BD440+BE440</f>
        <v/>
      </c>
      <c r="BG440" s="209">
        <f>BC440-AY440+BF440</f>
        <v/>
      </c>
      <c r="BH440" s="207" t="inlineStr">
        <is>
          <t>小米</t>
        </is>
      </c>
      <c r="BI440" s="207" t="inlineStr">
        <is>
          <t>山西省 晋城市 城区 钟家庄街道德源绿洲14号楼1301</t>
        </is>
      </c>
      <c r="BJ440" s="207" t="inlineStr">
        <is>
          <t>18400814414-7943</t>
        </is>
      </c>
      <c r="BK440" s="86" t="n"/>
      <c r="BL440" s="210" t="n"/>
      <c r="BM440" s="93" t="n"/>
      <c r="BN440" s="94" t="n"/>
      <c r="BO440" s="93" t="n"/>
      <c r="BP440" s="86" t="n"/>
      <c r="BQ440" s="96" t="n"/>
      <c r="BR440" s="96" t="n"/>
      <c r="BS440" s="97" t="n"/>
      <c r="BT440" s="96" t="n"/>
      <c r="BU440" s="97" t="n"/>
      <c r="BV440" s="96" t="n"/>
      <c r="BW440" s="97" t="n"/>
      <c r="BX440" s="97" t="n"/>
      <c r="BY440" s="97" t="n"/>
      <c r="BZ440" s="97" t="n"/>
      <c r="CH440" s="2" t="n"/>
      <c r="CI440" s="14" t="n"/>
      <c r="CJ440" s="25" t="n"/>
      <c r="CK440" s="25" t="n"/>
      <c r="CL440" s="25" t="n"/>
      <c r="CM440" s="25" t="n"/>
      <c r="CN440" s="25" t="n"/>
      <c r="CO440" s="25" t="n"/>
      <c r="CP440" s="25" t="n"/>
      <c r="CQ440" s="25" t="n"/>
      <c r="CR440" s="25" t="n"/>
      <c r="CS440" s="25" t="n"/>
      <c r="CT440" s="25" t="n"/>
      <c r="CU440" s="25" t="n"/>
      <c r="CV440" s="25" t="n"/>
      <c r="CW440" s="25" t="n"/>
      <c r="CX440" s="25" t="n"/>
      <c r="CY440" s="25" t="n"/>
      <c r="DC440" s="26" t="n"/>
      <c r="DD440" s="26" t="n"/>
      <c r="DE440" s="26" t="n"/>
      <c r="DF440" s="26" t="n"/>
      <c r="DG440" s="26" t="n"/>
      <c r="DH440" s="27" t="n"/>
      <c r="DJ440" s="211" t="inlineStr">
        <is>
          <t>订单表中未找到</t>
        </is>
      </c>
      <c r="DK440" t="inlineStr">
        <is>
          <t>—</t>
        </is>
      </c>
      <c r="DL440" t="inlineStr">
        <is>
          <t>—</t>
        </is>
      </c>
    </row>
    <row r="441" ht="15.75" customHeight="1" s="187">
      <c r="A441" s="84" t="n">
        <v>45975</v>
      </c>
      <c r="B441" s="206" t="inlineStr">
        <is>
          <t>已收货</t>
        </is>
      </c>
      <c r="C441" s="86" t="inlineStr">
        <is>
          <t>3063759674666207296</t>
        </is>
      </c>
      <c r="D441" s="110" t="inlineStr">
        <is>
          <t>舟舟</t>
        </is>
      </c>
      <c r="E441" s="87" t="n"/>
      <c r="F441" s="87" t="n"/>
      <c r="G441" s="207" t="inlineStr">
        <is>
          <t>升降桌：樱桃木，1.3带高台版</t>
        </is>
      </c>
      <c r="H441" s="130" t="inlineStr">
        <is>
          <t>升降桌-2024款</t>
        </is>
      </c>
      <c r="I441" s="89" t="n">
        <v>1300</v>
      </c>
      <c r="J441" s="87" t="n"/>
      <c r="K441" s="87" t="inlineStr">
        <is>
          <t>江西</t>
        </is>
      </c>
      <c r="L441" s="207">
        <f>SUM(M441:AO441)</f>
        <v/>
      </c>
      <c r="M441" s="207" t="n">
        <v>1700</v>
      </c>
      <c r="N441" s="207" t="n">
        <v>88.11</v>
      </c>
      <c r="O441" s="207" t="n">
        <v>63</v>
      </c>
      <c r="P441" s="207" t="n">
        <v>80</v>
      </c>
      <c r="Q441" s="207" t="n"/>
      <c r="R441" s="207" t="n">
        <v>160</v>
      </c>
      <c r="S441" s="207" t="n"/>
      <c r="T441" s="207" t="n"/>
      <c r="U441" s="207" t="n"/>
      <c r="V441" s="207" t="n"/>
      <c r="W441" s="207" t="n"/>
      <c r="X441" s="207" t="n"/>
      <c r="Y441" s="207" t="n"/>
      <c r="Z441" s="207" t="n"/>
      <c r="AA441" s="207" t="n"/>
      <c r="AB441" s="207" t="n"/>
      <c r="AC441" s="207" t="n"/>
      <c r="AD441" s="207" t="n"/>
      <c r="AE441" s="207" t="n"/>
      <c r="AF441" s="207" t="n"/>
      <c r="AG441" s="207" t="n"/>
      <c r="AH441" s="207">
        <f>63+89</f>
        <v/>
      </c>
      <c r="AI441" s="207" t="n"/>
      <c r="AJ441" s="207" t="n"/>
      <c r="AK441" s="207" t="n"/>
      <c r="AL441" s="207" t="n"/>
      <c r="AM441" s="207" t="n">
        <v>120</v>
      </c>
      <c r="AN441" s="207" t="n"/>
      <c r="AO441" s="207" t="n"/>
      <c r="AP441" s="121" t="n">
        <v>230</v>
      </c>
      <c r="AQ441" s="121" t="n">
        <v>30</v>
      </c>
      <c r="AR441" s="121" t="n">
        <v>150</v>
      </c>
      <c r="AS441" s="207" t="n">
        <v>0</v>
      </c>
      <c r="AT441" s="207" t="n">
        <v>0</v>
      </c>
      <c r="AU441" s="207" t="n">
        <v>0</v>
      </c>
      <c r="AV441" s="207" t="n">
        <v>0</v>
      </c>
      <c r="AW441" s="207" t="n">
        <v>0</v>
      </c>
      <c r="AX441" s="208" t="n">
        <v>1</v>
      </c>
      <c r="AY441" s="209">
        <f>L441*AX441+AP441+AQ441+AR441+AV441+AW441+AS441+AT441+AU441</f>
        <v/>
      </c>
      <c r="AZ441" s="207" t="n">
        <v>3417.19</v>
      </c>
      <c r="BA441" s="207" t="n">
        <v>0</v>
      </c>
      <c r="BB441" s="207">
        <f>AZ441*0.006</f>
        <v/>
      </c>
      <c r="BC441" s="209">
        <f>AZ441+BA441-BB441</f>
        <v/>
      </c>
      <c r="BD441" s="207" t="n">
        <v>0</v>
      </c>
      <c r="BE441" s="207" t="n">
        <v>0</v>
      </c>
      <c r="BF441" s="209">
        <f>BD441+BE441</f>
        <v/>
      </c>
      <c r="BG441" s="209">
        <f>BC441-AY441+BF441</f>
        <v/>
      </c>
      <c r="BH441" s="207" t="inlineStr">
        <is>
          <t>舟舟</t>
        </is>
      </c>
      <c r="BI441" s="207" t="inlineStr">
        <is>
          <t>上海 上海市 长宁区 新华路街道法华镇路751弄西镇小区18号楼601室(000000)</t>
        </is>
      </c>
      <c r="BJ441" s="207" t="inlineStr">
        <is>
          <t>18466658942-6583</t>
        </is>
      </c>
      <c r="BK441" s="86" t="n"/>
      <c r="BL441" s="210" t="n"/>
      <c r="BM441" s="93" t="n"/>
      <c r="BN441" s="94" t="n"/>
      <c r="BO441" s="93" t="n"/>
      <c r="BP441" s="86" t="n"/>
      <c r="BQ441" s="96" t="n"/>
      <c r="BR441" s="96" t="n"/>
      <c r="BS441" s="97" t="n"/>
      <c r="BT441" s="96" t="n"/>
      <c r="BU441" s="97" t="n"/>
      <c r="BV441" s="96" t="n"/>
      <c r="BW441" s="97" t="n"/>
      <c r="BX441" s="97" t="n"/>
      <c r="BY441" s="97" t="n"/>
      <c r="BZ441" s="97" t="n"/>
      <c r="CH441" s="2" t="n"/>
      <c r="CI441" s="14" t="n"/>
      <c r="CJ441" s="25" t="n"/>
      <c r="CK441" s="25" t="n"/>
      <c r="CL441" s="25" t="n"/>
      <c r="CM441" s="25" t="n"/>
      <c r="CN441" s="25" t="n"/>
      <c r="CO441" s="25" t="n"/>
      <c r="CP441" s="25" t="n"/>
      <c r="CQ441" s="25" t="n"/>
      <c r="CR441" s="25" t="n"/>
      <c r="CS441" s="25" t="n"/>
      <c r="CT441" s="25" t="n"/>
      <c r="CU441" s="25" t="n"/>
      <c r="CV441" s="25" t="n"/>
      <c r="CW441" s="25" t="n"/>
      <c r="CX441" s="25" t="n"/>
      <c r="CY441" s="25" t="n"/>
      <c r="DC441" s="26" t="n"/>
      <c r="DD441" s="26" t="n"/>
      <c r="DE441" s="26" t="n"/>
      <c r="DF441" s="26" t="n"/>
      <c r="DG441" s="26" t="n"/>
      <c r="DH441" s="27" t="n"/>
      <c r="DJ441" s="211" t="inlineStr">
        <is>
          <t>订单表中未找到</t>
        </is>
      </c>
      <c r="DK441" t="inlineStr">
        <is>
          <t>—</t>
        </is>
      </c>
      <c r="DL441" t="inlineStr">
        <is>
          <t>—</t>
        </is>
      </c>
    </row>
    <row r="442" ht="15.75" customHeight="1" s="187">
      <c r="A442" s="84" t="n">
        <v>45975</v>
      </c>
      <c r="B442" s="206" t="inlineStr">
        <is>
          <t>已收货</t>
        </is>
      </c>
      <c r="C442" s="86" t="inlineStr">
        <is>
          <t>4882138815862109119</t>
        </is>
      </c>
      <c r="D442" s="86" t="inlineStr">
        <is>
          <t>吴女士</t>
        </is>
      </c>
      <c r="E442" s="87" t="n"/>
      <c r="F442" s="87" t="n"/>
      <c r="G442" s="207" t="inlineStr">
        <is>
          <t>双层式透气下柜-榉木</t>
        </is>
      </c>
      <c r="H442" s="220" t="inlineStr">
        <is>
          <t>鞋柜</t>
        </is>
      </c>
      <c r="I442" s="89" t="n"/>
      <c r="J442" s="87" t="inlineStr">
        <is>
          <t>已结算</t>
        </is>
      </c>
      <c r="K442" s="87" t="inlineStr">
        <is>
          <t>江西</t>
        </is>
      </c>
      <c r="L442" s="207">
        <f>SUM(M442:AO442)</f>
        <v/>
      </c>
      <c r="M442" s="207">
        <f>1800</f>
        <v/>
      </c>
      <c r="N442" s="207" t="n"/>
      <c r="O442" s="207" t="n"/>
      <c r="P442" s="207" t="n"/>
      <c r="Q442" s="207" t="n"/>
      <c r="R442" s="207" t="n">
        <v>200</v>
      </c>
      <c r="S442" s="207" t="n"/>
      <c r="T442" s="207" t="n"/>
      <c r="U442" s="207" t="n"/>
      <c r="V442" s="207" t="n"/>
      <c r="W442" s="207" t="n"/>
      <c r="X442" s="207" t="n">
        <v>20</v>
      </c>
      <c r="Y442" s="207" t="n"/>
      <c r="Z442" s="207" t="n"/>
      <c r="AA442" s="207" t="n"/>
      <c r="AB442" s="207" t="n"/>
      <c r="AC442" s="207" t="n"/>
      <c r="AD442" s="207" t="n"/>
      <c r="AE442" s="207" t="n"/>
      <c r="AF442" s="207" t="n"/>
      <c r="AG442" s="207" t="n"/>
      <c r="AH442" s="207" t="n"/>
      <c r="AI442" s="207" t="n"/>
      <c r="AJ442" s="207" t="n"/>
      <c r="AK442" s="207" t="n"/>
      <c r="AL442" s="207" t="n"/>
      <c r="AM442" s="207" t="n">
        <v>120</v>
      </c>
      <c r="AN442" s="207" t="n"/>
      <c r="AO442" s="207" t="n"/>
      <c r="AP442" s="207">
        <f>123-AQ442</f>
        <v/>
      </c>
      <c r="AQ442" s="207" t="n">
        <v>6</v>
      </c>
      <c r="AR442" s="207" t="n">
        <v>50</v>
      </c>
      <c r="AS442" s="207" t="n">
        <v>0</v>
      </c>
      <c r="AT442" s="207" t="n">
        <v>0</v>
      </c>
      <c r="AU442" s="207" t="n">
        <v>0</v>
      </c>
      <c r="AV442" s="207" t="n">
        <v>0</v>
      </c>
      <c r="AW442" s="207" t="n">
        <v>0</v>
      </c>
      <c r="AX442" s="208" t="n">
        <v>1</v>
      </c>
      <c r="AY442" s="209">
        <f>L442*AX442+AP442+AQ442+AR442+AV442+AW442+AS442+AT442+AU442</f>
        <v/>
      </c>
      <c r="AZ442" s="207" t="n">
        <v>2488.16</v>
      </c>
      <c r="BA442" s="207" t="n">
        <v>0</v>
      </c>
      <c r="BB442" s="207">
        <f>AZ442*0.006</f>
        <v/>
      </c>
      <c r="BC442" s="209">
        <f>AZ442+BA442-BB442</f>
        <v/>
      </c>
      <c r="BD442" s="207" t="n">
        <v>0</v>
      </c>
      <c r="BE442" s="207" t="n">
        <v>0</v>
      </c>
      <c r="BF442" s="209">
        <f>BD442+BE442</f>
        <v/>
      </c>
      <c r="BG442" s="209">
        <f>BC442-AY442+BF442</f>
        <v/>
      </c>
      <c r="BH442" s="207" t="inlineStr">
        <is>
          <t>吴女士</t>
        </is>
      </c>
      <c r="BI442" s="207" t="inlineStr">
        <is>
          <t>江苏省 南通市 崇川区 城东街道东升花园北区26号楼203室</t>
        </is>
      </c>
      <c r="BJ442" s="207" t="inlineStr">
        <is>
          <t>18468507982-3383</t>
        </is>
      </c>
      <c r="BK442" s="86" t="n"/>
      <c r="BL442" s="210" t="n"/>
      <c r="BM442" s="93" t="n"/>
      <c r="BN442" s="94" t="n"/>
      <c r="BO442" s="93" t="n"/>
      <c r="BP442" s="86" t="n"/>
      <c r="BQ442" s="96" t="n"/>
      <c r="BR442" s="96" t="n"/>
      <c r="BS442" s="97" t="n"/>
      <c r="BT442" s="96" t="n"/>
      <c r="BU442" s="97" t="n"/>
      <c r="BV442" s="96" t="n"/>
      <c r="BW442" s="97" t="n"/>
      <c r="BX442" s="97" t="n"/>
      <c r="BY442" s="97" t="n"/>
      <c r="BZ442" s="97" t="n"/>
      <c r="CH442" s="2" t="n"/>
      <c r="CI442" s="14" t="n"/>
      <c r="CJ442" s="25" t="n"/>
      <c r="CK442" s="25" t="n"/>
      <c r="CL442" s="25" t="n"/>
      <c r="CM442" s="25" t="n"/>
      <c r="CN442" s="25" t="n"/>
      <c r="CO442" s="25" t="n"/>
      <c r="CP442" s="25" t="n"/>
      <c r="CQ442" s="25" t="n"/>
      <c r="CR442" s="25" t="n"/>
      <c r="CS442" s="25" t="n"/>
      <c r="CT442" s="25" t="n"/>
      <c r="CU442" s="25" t="n"/>
      <c r="CV442" s="25" t="n"/>
      <c r="CW442" s="25" t="n"/>
      <c r="CX442" s="25" t="n"/>
      <c r="CY442" s="25" t="n"/>
      <c r="DC442" s="26" t="n"/>
      <c r="DD442" s="26" t="n"/>
      <c r="DE442" s="26" t="n"/>
      <c r="DF442" s="26" t="n"/>
      <c r="DG442" s="26" t="n"/>
      <c r="DH442" s="27" t="n"/>
      <c r="DJ442" s="211" t="inlineStr">
        <is>
          <t>订单表中未找到</t>
        </is>
      </c>
      <c r="DK442" t="inlineStr">
        <is>
          <t>—</t>
        </is>
      </c>
      <c r="DL442" t="inlineStr">
        <is>
          <t>—</t>
        </is>
      </c>
    </row>
    <row r="443" ht="15.75" customHeight="1" s="187">
      <c r="A443" s="84" t="n">
        <v>45975</v>
      </c>
      <c r="B443" s="206" t="inlineStr">
        <is>
          <t>已收货</t>
        </is>
      </c>
      <c r="C443" s="86" t="inlineStr">
        <is>
          <t>4882152207004291024</t>
        </is>
      </c>
      <c r="D443" s="86" t="inlineStr">
        <is>
          <t>梦梦</t>
        </is>
      </c>
      <c r="E443" s="87" t="n"/>
      <c r="F443" s="87" t="n"/>
      <c r="G443" s="207" t="inlineStr">
        <is>
          <t>砂白色1.6米岩板餐桌</t>
        </is>
      </c>
      <c r="H443" s="207" t="inlineStr">
        <is>
          <t>榉木餐桌</t>
        </is>
      </c>
      <c r="I443" s="218" t="inlineStr">
        <is>
          <t>160cm*85cm</t>
        </is>
      </c>
      <c r="J443" s="87" t="inlineStr">
        <is>
          <t>已结算</t>
        </is>
      </c>
      <c r="K443" s="87" t="inlineStr">
        <is>
          <t>江西</t>
        </is>
      </c>
      <c r="L443" s="207">
        <f>SUM(M443:AO443)</f>
        <v/>
      </c>
      <c r="M443" s="207">
        <f>1350</f>
        <v/>
      </c>
      <c r="N443" s="207" t="n"/>
      <c r="O443" s="207" t="n"/>
      <c r="P443" s="207" t="n"/>
      <c r="Q443" s="207" t="n"/>
      <c r="R443" s="207" t="n">
        <v>240</v>
      </c>
      <c r="S443" s="207" t="n"/>
      <c r="T443" s="207" t="n"/>
      <c r="U443" s="207" t="n"/>
      <c r="V443" s="207" t="n"/>
      <c r="W443" s="207" t="n"/>
      <c r="X443" s="207" t="n"/>
      <c r="Y443" s="207" t="n"/>
      <c r="Z443" s="207" t="n"/>
      <c r="AA443" s="207" t="n"/>
      <c r="AB443" s="207" t="n"/>
      <c r="AC443" s="207" t="n"/>
      <c r="AD443" s="207" t="n">
        <v>2.5</v>
      </c>
      <c r="AE443" s="207" t="n"/>
      <c r="AF443" s="207" t="n"/>
      <c r="AG443" s="207" t="n"/>
      <c r="AH443" s="207" t="n"/>
      <c r="AI443" s="207" t="n"/>
      <c r="AJ443" s="207" t="n"/>
      <c r="AK443" s="207" t="n"/>
      <c r="AL443" s="207" t="n"/>
      <c r="AM443" s="207" t="n">
        <v>190</v>
      </c>
      <c r="AN443" s="207" t="n"/>
      <c r="AO443" s="207" t="n"/>
      <c r="AP443" s="207">
        <f>157-AQ443</f>
        <v/>
      </c>
      <c r="AQ443" s="207" t="n">
        <v>30</v>
      </c>
      <c r="AR443" s="207" t="n">
        <v>69</v>
      </c>
      <c r="AS443" s="207" t="n">
        <v>0</v>
      </c>
      <c r="AT443" s="207" t="n">
        <v>0</v>
      </c>
      <c r="AU443" s="207" t="n">
        <v>0</v>
      </c>
      <c r="AV443" s="207" t="n">
        <v>0</v>
      </c>
      <c r="AW443" s="207" t="n">
        <v>0</v>
      </c>
      <c r="AX443" s="208" t="n">
        <v>1</v>
      </c>
      <c r="AY443" s="209">
        <f>L443*AX443+AP443+AQ443+AR443+AV443+AW443+AS443+AT443+AU443</f>
        <v/>
      </c>
      <c r="AZ443" s="207" t="n">
        <v>2693.41</v>
      </c>
      <c r="BA443" s="207" t="n">
        <v>0</v>
      </c>
      <c r="BB443" s="207">
        <f>AZ443*0.006</f>
        <v/>
      </c>
      <c r="BC443" s="209">
        <f>AZ443+BA443-BB443</f>
        <v/>
      </c>
      <c r="BD443" s="207" t="n">
        <v>0</v>
      </c>
      <c r="BE443" s="207" t="n">
        <v>0</v>
      </c>
      <c r="BF443" s="209">
        <f>BD443+BE443</f>
        <v/>
      </c>
      <c r="BG443" s="209">
        <f>BC443-AY443+BF443</f>
        <v/>
      </c>
      <c r="BH443" s="207" t="inlineStr">
        <is>
          <t>梦梦</t>
        </is>
      </c>
      <c r="BI443" s="207" t="inlineStr">
        <is>
          <t>山东省 青岛市 城阳区 城阳街道万科魅力之城10号楼10-1-802</t>
        </is>
      </c>
      <c r="BJ443" s="207" t="inlineStr">
        <is>
          <t>18448247967-7315</t>
        </is>
      </c>
      <c r="BK443" s="86" t="n"/>
      <c r="BL443" s="210" t="n"/>
      <c r="BM443" s="93" t="n"/>
      <c r="BN443" s="94" t="n"/>
      <c r="BO443" s="93" t="n"/>
      <c r="BP443" s="86" t="n"/>
      <c r="BQ443" s="96" t="n"/>
      <c r="BR443" s="96" t="n"/>
      <c r="BS443" s="97" t="n"/>
      <c r="BT443" s="96" t="n"/>
      <c r="BU443" s="97" t="n"/>
      <c r="BV443" s="96" t="n"/>
      <c r="BW443" s="97" t="n"/>
      <c r="BX443" s="97" t="n"/>
      <c r="BY443" s="97" t="n"/>
      <c r="BZ443" s="97" t="n"/>
      <c r="CH443" s="2" t="n"/>
      <c r="CI443" s="14" t="n"/>
      <c r="CJ443" s="25" t="n"/>
      <c r="CK443" s="25" t="n"/>
      <c r="CL443" s="25" t="n"/>
      <c r="CM443" s="25" t="n"/>
      <c r="CN443" s="25" t="n"/>
      <c r="CO443" s="25" t="n"/>
      <c r="CP443" s="25" t="n"/>
      <c r="CQ443" s="25" t="n"/>
      <c r="CR443" s="25" t="n"/>
      <c r="CS443" s="25" t="n"/>
      <c r="CT443" s="25" t="n"/>
      <c r="CU443" s="25" t="n"/>
      <c r="CV443" s="25" t="n"/>
      <c r="CW443" s="25" t="n"/>
      <c r="CX443" s="25" t="n"/>
      <c r="CY443" s="25" t="n"/>
      <c r="DC443" s="26" t="n"/>
      <c r="DD443" s="26" t="n"/>
      <c r="DE443" s="26" t="n"/>
      <c r="DF443" s="26" t="n"/>
      <c r="DG443" s="26" t="n"/>
      <c r="DH443" s="27" t="n"/>
      <c r="DJ443" s="211" t="inlineStr">
        <is>
          <t>订单表中未找到</t>
        </is>
      </c>
      <c r="DK443" t="inlineStr">
        <is>
          <t>—</t>
        </is>
      </c>
      <c r="DL443" t="inlineStr">
        <is>
          <t>—</t>
        </is>
      </c>
    </row>
    <row r="444" ht="15.75" customHeight="1" s="187">
      <c r="A444" s="84" t="n">
        <v>45975</v>
      </c>
      <c r="B444" s="206" t="inlineStr">
        <is>
          <t>已收货</t>
        </is>
      </c>
      <c r="C444" s="86" t="inlineStr">
        <is>
          <t>3064157977962140768</t>
        </is>
      </c>
      <c r="D444" s="86" t="inlineStr">
        <is>
          <t>豆豆</t>
        </is>
      </c>
      <c r="E444" s="87" t="n"/>
      <c r="F444" s="87" t="n"/>
      <c r="G444" s="207" t="inlineStr">
        <is>
          <t>砂白色1.6米岩板餐桌，定制</t>
        </is>
      </c>
      <c r="H444" s="207" t="inlineStr">
        <is>
          <t>榉木餐桌</t>
        </is>
      </c>
      <c r="I444" s="218" t="inlineStr">
        <is>
          <t>160cm*80cm</t>
        </is>
      </c>
      <c r="J444" s="87" t="inlineStr">
        <is>
          <t>已结算</t>
        </is>
      </c>
      <c r="K444" s="86" t="inlineStr">
        <is>
          <t>庄毅</t>
        </is>
      </c>
      <c r="L444" s="207">
        <f>SUM(M444:AO444)</f>
        <v/>
      </c>
      <c r="M444" s="207">
        <f>1530</f>
        <v/>
      </c>
      <c r="N444" s="207" t="n"/>
      <c r="O444" s="207" t="n"/>
      <c r="P444" s="207" t="n"/>
      <c r="Q444" s="207" t="n"/>
      <c r="R444" s="207">
        <f>180*1.6*0.8</f>
        <v/>
      </c>
      <c r="S444" s="207" t="n"/>
      <c r="T444" s="207" t="n"/>
      <c r="U444" s="207" t="n"/>
      <c r="V444" s="207" t="n"/>
      <c r="W444" s="207" t="n"/>
      <c r="X444" s="207" t="n"/>
      <c r="Y444" s="207" t="n"/>
      <c r="Z444" s="207" t="n"/>
      <c r="AA444" s="207" t="n"/>
      <c r="AB444" s="207" t="n"/>
      <c r="AC444" s="207" t="n"/>
      <c r="AD444" s="207" t="n">
        <v>2.5</v>
      </c>
      <c r="AE444" s="207" t="n"/>
      <c r="AF444" s="207" t="n"/>
      <c r="AG444" s="207" t="n"/>
      <c r="AH444" s="207" t="n"/>
      <c r="AI444" s="207" t="n"/>
      <c r="AJ444" s="207" t="n"/>
      <c r="AK444" s="207" t="n"/>
      <c r="AL444" s="207" t="n"/>
      <c r="AM444" s="207" t="n"/>
      <c r="AN444" s="207" t="n"/>
      <c r="AO444" s="207" t="n"/>
      <c r="AP444" s="207" t="n">
        <v>149</v>
      </c>
      <c r="AQ444" s="207" t="n">
        <v>0</v>
      </c>
      <c r="AR444" s="207" t="n">
        <v>88</v>
      </c>
      <c r="AS444" s="207" t="n">
        <v>0</v>
      </c>
      <c r="AT444" s="207" t="n">
        <v>0</v>
      </c>
      <c r="AU444" s="207" t="n">
        <v>0</v>
      </c>
      <c r="AV444" s="207" t="n">
        <v>0</v>
      </c>
      <c r="AW444" s="207" t="n">
        <v>0</v>
      </c>
      <c r="AX444" s="208" t="n">
        <v>1</v>
      </c>
      <c r="AY444" s="209">
        <f>L444*AX444+AP444+AQ444+AR444+AV444+AW444+AS444+AT444+AU444</f>
        <v/>
      </c>
      <c r="AZ444" s="207" t="n">
        <v>2693.41</v>
      </c>
      <c r="BA444" s="207" t="n">
        <v>0</v>
      </c>
      <c r="BB444" s="207">
        <f>AZ444*0.006</f>
        <v/>
      </c>
      <c r="BC444" s="209">
        <f>AZ444+BA444-BB444</f>
        <v/>
      </c>
      <c r="BD444" s="207" t="n">
        <v>0</v>
      </c>
      <c r="BE444" s="207" t="n">
        <v>0</v>
      </c>
      <c r="BF444" s="209">
        <f>BD444+BE444</f>
        <v/>
      </c>
      <c r="BG444" s="209">
        <f>BC444-AY444+BF444</f>
        <v/>
      </c>
      <c r="BH444" s="207" t="inlineStr">
        <is>
          <t>豆豆</t>
        </is>
      </c>
      <c r="BI444" s="207" t="inlineStr">
        <is>
          <t>浙江省 台州市 临海市 大洋街道 未来公馆3号楼1803</t>
        </is>
      </c>
      <c r="BJ444" s="207" t="inlineStr">
        <is>
          <t>15786478138-9764</t>
        </is>
      </c>
      <c r="BK444" s="86" t="n"/>
      <c r="BL444" s="210" t="n"/>
      <c r="BM444" s="93" t="n"/>
      <c r="BN444" s="94" t="n"/>
      <c r="BO444" s="93" t="n"/>
      <c r="BP444" s="86" t="n"/>
      <c r="BQ444" s="96" t="n"/>
      <c r="BR444" s="96" t="n"/>
      <c r="BS444" s="97" t="n"/>
      <c r="BT444" s="96" t="n"/>
      <c r="BU444" s="97" t="n"/>
      <c r="BV444" s="96" t="n"/>
      <c r="BW444" s="97" t="n"/>
      <c r="BX444" s="97" t="n"/>
      <c r="BY444" s="97" t="n"/>
      <c r="BZ444" s="97" t="n"/>
      <c r="CH444" s="2" t="n"/>
      <c r="CI444" s="14" t="n"/>
      <c r="CJ444" s="25" t="n"/>
      <c r="CK444" s="25" t="n"/>
      <c r="CL444" s="25" t="n"/>
      <c r="CM444" s="25" t="n"/>
      <c r="CN444" s="25" t="n"/>
      <c r="CO444" s="25" t="n"/>
      <c r="CP444" s="25" t="n"/>
      <c r="CQ444" s="25" t="n"/>
      <c r="CR444" s="25" t="n"/>
      <c r="CS444" s="25" t="n"/>
      <c r="CT444" s="25" t="n"/>
      <c r="CU444" s="25" t="n"/>
      <c r="CV444" s="25" t="n"/>
      <c r="CW444" s="25" t="n"/>
      <c r="CX444" s="25" t="n"/>
      <c r="CY444" s="25" t="n"/>
      <c r="DC444" s="26" t="n"/>
      <c r="DD444" s="26" t="n"/>
      <c r="DE444" s="26" t="n"/>
      <c r="DF444" s="26" t="n"/>
      <c r="DG444" s="26" t="n"/>
      <c r="DH444" s="27" t="n"/>
      <c r="DJ444" s="211" t="inlineStr">
        <is>
          <t>订单表中未找到</t>
        </is>
      </c>
      <c r="DK444" t="inlineStr">
        <is>
          <t>—</t>
        </is>
      </c>
      <c r="DL444" t="inlineStr">
        <is>
          <t>—</t>
        </is>
      </c>
    </row>
    <row r="445" ht="15.75" customHeight="1" s="187">
      <c r="A445" s="84" t="n">
        <v>45975</v>
      </c>
      <c r="B445" s="206" t="inlineStr">
        <is>
          <t>已收货</t>
        </is>
      </c>
      <c r="C445" s="86" t="inlineStr">
        <is>
          <t>4882565268143375432</t>
        </is>
      </c>
      <c r="D445" s="86" t="inlineStr">
        <is>
          <t>蔡天</t>
        </is>
      </c>
      <c r="E445" s="87" t="n"/>
      <c r="F445" s="87" t="n"/>
      <c r="G445" s="207" t="inlineStr">
        <is>
          <t>砂白色1.8米岩板餐桌</t>
        </is>
      </c>
      <c r="H445" s="207" t="inlineStr">
        <is>
          <t>榉木餐桌</t>
        </is>
      </c>
      <c r="I445" s="89" t="inlineStr">
        <is>
          <t>180cm*85cm</t>
        </is>
      </c>
      <c r="J445" s="87" t="inlineStr">
        <is>
          <t>已结算</t>
        </is>
      </c>
      <c r="K445" s="87" t="inlineStr">
        <is>
          <t>江西</t>
        </is>
      </c>
      <c r="L445" s="207">
        <f>SUM(M445:AO445)</f>
        <v/>
      </c>
      <c r="M445" s="207">
        <f>1400</f>
        <v/>
      </c>
      <c r="N445" s="207" t="n"/>
      <c r="O445" s="207" t="n"/>
      <c r="P445" s="207" t="n"/>
      <c r="Q445" s="207" t="n"/>
      <c r="R445" s="207" t="n">
        <v>240</v>
      </c>
      <c r="S445" s="207" t="n"/>
      <c r="T445" s="207" t="n"/>
      <c r="U445" s="207" t="n"/>
      <c r="V445" s="207" t="n"/>
      <c r="W445" s="207" t="n"/>
      <c r="X445" s="207" t="n"/>
      <c r="Y445" s="207" t="n"/>
      <c r="Z445" s="207" t="n"/>
      <c r="AA445" s="207" t="n"/>
      <c r="AB445" s="207" t="n"/>
      <c r="AC445" s="207" t="n"/>
      <c r="AD445" s="207" t="n">
        <v>2.5</v>
      </c>
      <c r="AE445" s="207" t="n"/>
      <c r="AF445" s="207" t="n"/>
      <c r="AG445" s="207" t="n"/>
      <c r="AH445" s="207" t="n"/>
      <c r="AI445" s="207" t="n"/>
      <c r="AJ445" s="207" t="n"/>
      <c r="AK445" s="207" t="n"/>
      <c r="AL445" s="207" t="n"/>
      <c r="AM445" s="207" t="n">
        <v>180</v>
      </c>
      <c r="AN445" s="207" t="n"/>
      <c r="AO445" s="207" t="n"/>
      <c r="AP445" s="207">
        <f>203-AQ445</f>
        <v/>
      </c>
      <c r="AQ445" s="207" t="n">
        <v>35</v>
      </c>
      <c r="AR445" s="207" t="n">
        <v>60</v>
      </c>
      <c r="AS445" s="207" t="n">
        <v>0</v>
      </c>
      <c r="AT445" s="207" t="n">
        <v>0</v>
      </c>
      <c r="AU445" s="207" t="n">
        <v>0</v>
      </c>
      <c r="AV445" s="207" t="n">
        <v>0</v>
      </c>
      <c r="AW445" s="207" t="n">
        <v>0</v>
      </c>
      <c r="AX445" s="208" t="n">
        <v>1</v>
      </c>
      <c r="AY445" s="209">
        <f>L445*AX445+AP445+AQ445+AR445+AV445+AW445+AS445+AT445+AU445</f>
        <v/>
      </c>
      <c r="AZ445" s="207" t="n">
        <v>2794.6</v>
      </c>
      <c r="BA445" s="207" t="n">
        <v>0</v>
      </c>
      <c r="BB445" s="207">
        <f>AZ445*0.006</f>
        <v/>
      </c>
      <c r="BC445" s="209">
        <f>AZ445+BA445-BB445</f>
        <v/>
      </c>
      <c r="BD445" s="207" t="n">
        <v>0</v>
      </c>
      <c r="BE445" s="207" t="n">
        <v>0</v>
      </c>
      <c r="BF445" s="209">
        <f>BD445+BE445</f>
        <v/>
      </c>
      <c r="BG445" s="209">
        <f>BC445-AY445+BF445</f>
        <v/>
      </c>
      <c r="BH445" s="207" t="inlineStr">
        <is>
          <t>蔡天</t>
        </is>
      </c>
      <c r="BI445" s="207" t="inlineStr">
        <is>
          <t>四川省 成都市 成华区 万年场街道双成二路158号华润悦玺4栋一单元1902</t>
        </is>
      </c>
      <c r="BJ445" s="207" t="inlineStr">
        <is>
          <t>13162925454-1593</t>
        </is>
      </c>
      <c r="BK445" s="86" t="n"/>
      <c r="BL445" s="210" t="n"/>
      <c r="BM445" s="93" t="n"/>
      <c r="BN445" s="94" t="n"/>
      <c r="BO445" s="93" t="n"/>
      <c r="BP445" s="86" t="n"/>
      <c r="BQ445" s="96" t="n"/>
      <c r="BR445" s="96" t="n"/>
      <c r="BS445" s="97" t="n"/>
      <c r="BT445" s="96" t="n"/>
      <c r="BU445" s="97" t="n"/>
      <c r="BV445" s="96" t="n"/>
      <c r="BW445" s="97" t="n"/>
      <c r="BX445" s="97" t="n"/>
      <c r="BY445" s="97" t="n"/>
      <c r="BZ445" s="97" t="n"/>
      <c r="CH445" s="2" t="n"/>
      <c r="CI445" s="14" t="n"/>
      <c r="CJ445" s="25" t="n"/>
      <c r="CK445" s="25" t="n"/>
      <c r="CL445" s="25" t="n"/>
      <c r="CM445" s="25" t="n"/>
      <c r="CN445" s="25" t="n"/>
      <c r="CO445" s="25" t="n"/>
      <c r="CP445" s="25" t="n"/>
      <c r="CQ445" s="25" t="n"/>
      <c r="CR445" s="25" t="n"/>
      <c r="CS445" s="25" t="n"/>
      <c r="CT445" s="25" t="n"/>
      <c r="CU445" s="25" t="n"/>
      <c r="CV445" s="25" t="n"/>
      <c r="CW445" s="25" t="n"/>
      <c r="CX445" s="25" t="n"/>
      <c r="CY445" s="25" t="n"/>
      <c r="DC445" s="26" t="n"/>
      <c r="DD445" s="26" t="n"/>
      <c r="DE445" s="26" t="n"/>
      <c r="DF445" s="26" t="n"/>
      <c r="DG445" s="26" t="n"/>
      <c r="DH445" s="27" t="n"/>
      <c r="DJ445" s="211" t="inlineStr">
        <is>
          <t>订单表中未找到</t>
        </is>
      </c>
      <c r="DK445" t="inlineStr">
        <is>
          <t>—</t>
        </is>
      </c>
      <c r="DL445" t="inlineStr">
        <is>
          <t>—</t>
        </is>
      </c>
    </row>
    <row r="446" ht="15.75" customHeight="1" s="187">
      <c r="A446" s="84" t="n">
        <v>45977</v>
      </c>
      <c r="B446" s="206" t="inlineStr">
        <is>
          <t>已收货</t>
        </is>
      </c>
      <c r="C446" s="86" t="inlineStr">
        <is>
          <t>3066562309660861358</t>
        </is>
      </c>
      <c r="D446" s="86" t="inlineStr">
        <is>
          <t>李星迪</t>
        </is>
      </c>
      <c r="E446" s="87" t="n"/>
      <c r="F446" s="87" t="n"/>
      <c r="G446" s="207" t="inlineStr">
        <is>
          <t>样块</t>
        </is>
      </c>
      <c r="H446" s="207" t="inlineStr">
        <is>
          <t>样块</t>
        </is>
      </c>
      <c r="I446" s="89" t="n"/>
      <c r="J446" s="87" t="inlineStr">
        <is>
          <t>已结算</t>
        </is>
      </c>
      <c r="K446" s="87" t="inlineStr">
        <is>
          <t>杭州</t>
        </is>
      </c>
      <c r="L446" s="207">
        <f>SUM(M446:AO446)</f>
        <v/>
      </c>
      <c r="M446" s="207" t="n">
        <v>5</v>
      </c>
      <c r="N446" s="207" t="n"/>
      <c r="O446" s="207" t="n"/>
      <c r="P446" s="207" t="n"/>
      <c r="Q446" s="207" t="n"/>
      <c r="R446" s="207" t="n"/>
      <c r="S446" s="207" t="n"/>
      <c r="T446" s="207" t="n"/>
      <c r="U446" s="207" t="n"/>
      <c r="V446" s="207" t="n"/>
      <c r="W446" s="207" t="n"/>
      <c r="X446" s="207" t="n"/>
      <c r="Y446" s="207" t="n"/>
      <c r="Z446" s="207" t="n"/>
      <c r="AA446" s="207" t="n"/>
      <c r="AB446" s="207" t="n"/>
      <c r="AC446" s="207" t="n"/>
      <c r="AD446" s="207" t="n"/>
      <c r="AE446" s="207" t="n"/>
      <c r="AF446" s="207" t="n"/>
      <c r="AG446" s="207" t="n"/>
      <c r="AH446" s="207" t="n"/>
      <c r="AI446" s="207" t="n"/>
      <c r="AJ446" s="207" t="n"/>
      <c r="AK446" s="207" t="n"/>
      <c r="AL446" s="207" t="n"/>
      <c r="AM446" s="207" t="n">
        <v>2</v>
      </c>
      <c r="AN446" s="207" t="n"/>
      <c r="AO446" s="207" t="n"/>
      <c r="AP446" s="207" t="n">
        <v>5</v>
      </c>
      <c r="AQ446" s="207" t="n">
        <v>0</v>
      </c>
      <c r="AR446" s="207" t="n">
        <v>0</v>
      </c>
      <c r="AS446" s="207" t="n">
        <v>0</v>
      </c>
      <c r="AT446" s="207" t="n">
        <v>0</v>
      </c>
      <c r="AU446" s="207" t="n">
        <v>0</v>
      </c>
      <c r="AV446" s="207" t="n">
        <v>0</v>
      </c>
      <c r="AW446" s="207" t="n">
        <v>0</v>
      </c>
      <c r="AX446" s="208" t="n">
        <v>1</v>
      </c>
      <c r="AY446" s="209">
        <f>L446*AX446+AP446+AQ446+AR446+AV446+AW446+AS446+AT446+AU446</f>
        <v/>
      </c>
      <c r="AZ446" s="207" t="n">
        <v>25</v>
      </c>
      <c r="BA446" s="207" t="n">
        <v>0</v>
      </c>
      <c r="BB446" s="207">
        <f>AZ446*0.006</f>
        <v/>
      </c>
      <c r="BC446" s="209">
        <f>AZ446+BA446-BB446</f>
        <v/>
      </c>
      <c r="BD446" s="207" t="n">
        <v>0</v>
      </c>
      <c r="BE446" s="207" t="n">
        <v>0</v>
      </c>
      <c r="BF446" s="209">
        <f>BD446+BE446</f>
        <v/>
      </c>
      <c r="BG446" s="209">
        <f>BC446-AY446+BF446</f>
        <v/>
      </c>
      <c r="BH446" s="86" t="inlineStr">
        <is>
          <t>李星迪</t>
        </is>
      </c>
      <c r="BI446" s="86" t="inlineStr">
        <is>
          <t>四川省 成都市 青羊区 草市街街道东城拐街17号院1号楼3楼3号</t>
        </is>
      </c>
      <c r="BJ446" s="86" t="inlineStr">
        <is>
          <t>13183805954-4165</t>
        </is>
      </c>
      <c r="BK446" s="86" t="n"/>
      <c r="BL446" s="210" t="n"/>
      <c r="BM446" s="93" t="n"/>
      <c r="BN446" s="94" t="n"/>
      <c r="BO446" s="93" t="n"/>
      <c r="BP446" s="86" t="n"/>
      <c r="BQ446" s="96" t="n"/>
      <c r="BR446" s="96" t="n"/>
      <c r="BS446" s="97" t="n"/>
      <c r="BT446" s="96" t="n"/>
      <c r="BU446" s="97" t="n"/>
      <c r="BV446" s="96" t="n"/>
      <c r="BW446" s="97" t="n"/>
      <c r="BX446" s="97" t="n"/>
      <c r="BY446" s="97" t="n"/>
      <c r="BZ446" s="97" t="n"/>
      <c r="CH446" s="2" t="n"/>
      <c r="CI446" s="14" t="n"/>
      <c r="CJ446" s="25" t="n"/>
      <c r="CK446" s="25" t="n"/>
      <c r="CL446" s="25" t="n"/>
      <c r="CM446" s="25" t="n"/>
      <c r="CN446" s="25" t="n"/>
      <c r="CO446" s="25" t="n"/>
      <c r="CP446" s="25" t="n"/>
      <c r="CQ446" s="25" t="n"/>
      <c r="CR446" s="25" t="n"/>
      <c r="CS446" s="25" t="n"/>
      <c r="CT446" s="25" t="n"/>
      <c r="CU446" s="25" t="n"/>
      <c r="CV446" s="25" t="n"/>
      <c r="CW446" s="25" t="n"/>
      <c r="CX446" s="25" t="n"/>
      <c r="CY446" s="25" t="n"/>
      <c r="DC446" s="26" t="n"/>
      <c r="DD446" s="26" t="n"/>
      <c r="DE446" s="26" t="n"/>
      <c r="DF446" s="26" t="n"/>
      <c r="DG446" s="26" t="n"/>
      <c r="DH446" s="27" t="n"/>
      <c r="DJ446" s="211" t="inlineStr">
        <is>
          <t>订单表中未找到</t>
        </is>
      </c>
      <c r="DK446" t="inlineStr">
        <is>
          <t>—</t>
        </is>
      </c>
      <c r="DL446" t="inlineStr">
        <is>
          <t>—</t>
        </is>
      </c>
    </row>
    <row r="447" ht="15.75" customHeight="1" s="187">
      <c r="A447" s="84" t="n">
        <v>45977</v>
      </c>
      <c r="B447" s="206" t="inlineStr">
        <is>
          <t>已收货</t>
        </is>
      </c>
      <c r="C447" s="86" t="inlineStr">
        <is>
          <t>3067763271725079777</t>
        </is>
      </c>
      <c r="D447" s="86" t="inlineStr">
        <is>
          <t>次仁卓嘎</t>
        </is>
      </c>
      <c r="E447" s="87" t="n"/>
      <c r="F447" s="87" t="n"/>
      <c r="G447" s="207" t="inlineStr">
        <is>
          <t>补差价</t>
        </is>
      </c>
      <c r="H447" s="207" t="n"/>
      <c r="I447" s="89" t="n"/>
      <c r="J447" s="87" t="inlineStr">
        <is>
          <t>已结算</t>
        </is>
      </c>
      <c r="K447" s="87" t="inlineStr">
        <is>
          <t>江西</t>
        </is>
      </c>
      <c r="L447" s="234" t="n">
        <v>0</v>
      </c>
      <c r="M447" s="207" t="n">
        <v>0</v>
      </c>
      <c r="N447" s="207" t="n"/>
      <c r="O447" s="207" t="n"/>
      <c r="P447" s="207" t="n"/>
      <c r="Q447" s="207" t="n"/>
      <c r="R447" s="207" t="n"/>
      <c r="S447" s="207" t="n"/>
      <c r="T447" s="207" t="n"/>
      <c r="U447" s="207" t="n"/>
      <c r="V447" s="207" t="n"/>
      <c r="W447" s="207" t="n"/>
      <c r="X447" s="207" t="n"/>
      <c r="Y447" s="207" t="n"/>
      <c r="Z447" s="207" t="n"/>
      <c r="AA447" s="207" t="n"/>
      <c r="AB447" s="207" t="n"/>
      <c r="AC447" s="207" t="n"/>
      <c r="AD447" s="207" t="n"/>
      <c r="AE447" s="207" t="n"/>
      <c r="AF447" s="207" t="n"/>
      <c r="AG447" s="207" t="n"/>
      <c r="AH447" s="207" t="n"/>
      <c r="AI447" s="207" t="n"/>
      <c r="AJ447" s="207" t="n"/>
      <c r="AK447" s="207" t="n"/>
      <c r="AL447" s="207" t="n"/>
      <c r="AM447" s="207" t="n">
        <v>0</v>
      </c>
      <c r="AN447" s="207" t="n">
        <v>0</v>
      </c>
      <c r="AO447" s="207" t="n">
        <v>0</v>
      </c>
      <c r="AP447" s="207" t="n">
        <v>0</v>
      </c>
      <c r="AQ447" s="207" t="n">
        <v>0</v>
      </c>
      <c r="AR447" s="207" t="n">
        <v>0</v>
      </c>
      <c r="AS447" s="207" t="n">
        <v>0</v>
      </c>
      <c r="AT447" s="207" t="n">
        <v>0</v>
      </c>
      <c r="AU447" s="207" t="n">
        <v>0</v>
      </c>
      <c r="AV447" s="207" t="n">
        <v>0</v>
      </c>
      <c r="AW447" s="207" t="n">
        <v>0</v>
      </c>
      <c r="AX447" s="208" t="n">
        <v>1</v>
      </c>
      <c r="AY447" s="209">
        <f>L447*AX447+AP447+AQ447+AR447+AV447+AW447+AS447+AT447+AU447</f>
        <v/>
      </c>
      <c r="AZ447" s="207" t="n">
        <v>255</v>
      </c>
      <c r="BA447" s="207" t="n">
        <v>0</v>
      </c>
      <c r="BB447" s="207">
        <f>AZ447*0.006</f>
        <v/>
      </c>
      <c r="BC447" s="209">
        <f>AZ447+BA447-BB447</f>
        <v/>
      </c>
      <c r="BD447" s="207" t="n">
        <v>0</v>
      </c>
      <c r="BE447" s="207" t="n">
        <v>0</v>
      </c>
      <c r="BF447" s="209">
        <f>BD447+BE447</f>
        <v/>
      </c>
      <c r="BG447" s="209">
        <f>BC447-AY447+BF447</f>
        <v/>
      </c>
      <c r="BH447" s="86" t="inlineStr">
        <is>
          <t>次仁卓嘎</t>
        </is>
      </c>
      <c r="BI447" s="86" t="inlineStr">
        <is>
          <t>青海省 西宁市 城北区 二十里铺镇绿地·国际花都1期 7 号楼 1 单元 29 楼 1292 室</t>
        </is>
      </c>
      <c r="BJ447" s="86" t="inlineStr">
        <is>
          <t>15780133120-5802</t>
        </is>
      </c>
      <c r="BK447" s="86" t="n"/>
      <c r="BL447" s="210" t="n"/>
      <c r="BM447" s="93" t="n"/>
      <c r="BN447" s="94" t="n"/>
      <c r="BO447" s="93" t="n"/>
      <c r="BP447" s="86" t="n"/>
      <c r="BQ447" s="96" t="n"/>
      <c r="BR447" s="96" t="n"/>
      <c r="BS447" s="97" t="n"/>
      <c r="BT447" s="96" t="n"/>
      <c r="BU447" s="97" t="n"/>
      <c r="BV447" s="96" t="n"/>
      <c r="BW447" s="97" t="n"/>
      <c r="BX447" s="97" t="n"/>
      <c r="BY447" s="97" t="n"/>
      <c r="BZ447" s="97" t="n"/>
      <c r="CH447" s="2" t="n"/>
      <c r="CI447" s="14" t="n"/>
      <c r="CJ447" s="25" t="n"/>
      <c r="CK447" s="25" t="n"/>
      <c r="CL447" s="25" t="n"/>
      <c r="CM447" s="25" t="n"/>
      <c r="CN447" s="25" t="n"/>
      <c r="CO447" s="25" t="n"/>
      <c r="CP447" s="25" t="n"/>
      <c r="CQ447" s="25" t="n"/>
      <c r="CR447" s="25" t="n"/>
      <c r="CS447" s="25" t="n"/>
      <c r="CT447" s="25" t="n"/>
      <c r="CU447" s="25" t="n"/>
      <c r="CV447" s="25" t="n"/>
      <c r="CW447" s="25" t="n"/>
      <c r="CX447" s="25" t="n"/>
      <c r="CY447" s="25" t="n"/>
      <c r="DC447" s="26" t="n"/>
      <c r="DD447" s="26" t="n"/>
      <c r="DE447" s="26" t="n"/>
      <c r="DF447" s="26" t="n"/>
      <c r="DG447" s="26" t="n"/>
      <c r="DH447" s="27" t="n"/>
      <c r="DJ447" s="211" t="inlineStr">
        <is>
          <t>订单表中未找到</t>
        </is>
      </c>
      <c r="DK447" t="inlineStr">
        <is>
          <t>—</t>
        </is>
      </c>
      <c r="DL447" t="inlineStr">
        <is>
          <t>—</t>
        </is>
      </c>
    </row>
    <row r="448" ht="15.75" customHeight="1" s="187">
      <c r="A448" s="84" t="n">
        <v>45978</v>
      </c>
      <c r="B448" s="206" t="inlineStr">
        <is>
          <t>已收货</t>
        </is>
      </c>
      <c r="C448" s="86" t="inlineStr">
        <is>
          <t>3069341040913750195</t>
        </is>
      </c>
      <c r="D448" s="110" t="inlineStr">
        <is>
          <t>何女士</t>
        </is>
      </c>
      <c r="E448" s="87" t="n"/>
      <c r="F448" s="87" t="n"/>
      <c r="G448" s="207" t="inlineStr">
        <is>
          <t>样块</t>
        </is>
      </c>
      <c r="H448" s="207" t="inlineStr">
        <is>
          <t>样块</t>
        </is>
      </c>
      <c r="I448" s="89" t="n"/>
      <c r="J448" s="87" t="inlineStr">
        <is>
          <t>已结算</t>
        </is>
      </c>
      <c r="K448" s="87" t="inlineStr">
        <is>
          <t>杭州</t>
        </is>
      </c>
      <c r="L448" s="207">
        <f>SUM(M448:AO448)</f>
        <v/>
      </c>
      <c r="M448" s="207" t="n">
        <v>5</v>
      </c>
      <c r="N448" s="207" t="n"/>
      <c r="O448" s="207" t="n"/>
      <c r="P448" s="207" t="n"/>
      <c r="Q448" s="207" t="n"/>
      <c r="R448" s="207" t="n"/>
      <c r="S448" s="207" t="n"/>
      <c r="T448" s="207" t="n"/>
      <c r="U448" s="207" t="n"/>
      <c r="V448" s="207" t="n"/>
      <c r="W448" s="207" t="n"/>
      <c r="X448" s="207" t="n"/>
      <c r="Y448" s="207" t="n"/>
      <c r="Z448" s="207" t="n"/>
      <c r="AA448" s="207" t="n"/>
      <c r="AB448" s="207" t="n"/>
      <c r="AC448" s="207" t="n"/>
      <c r="AD448" s="207" t="n"/>
      <c r="AE448" s="207" t="n"/>
      <c r="AF448" s="207" t="n"/>
      <c r="AG448" s="207" t="n"/>
      <c r="AH448" s="207" t="n"/>
      <c r="AI448" s="207" t="n"/>
      <c r="AJ448" s="207" t="n"/>
      <c r="AK448" s="207" t="n"/>
      <c r="AL448" s="207" t="n"/>
      <c r="AM448" s="207" t="n">
        <v>2</v>
      </c>
      <c r="AN448" s="207" t="n"/>
      <c r="AO448" s="207" t="n"/>
      <c r="AP448" s="207" t="n">
        <v>5</v>
      </c>
      <c r="AQ448" s="207" t="n">
        <v>0</v>
      </c>
      <c r="AR448" s="207" t="n">
        <v>0</v>
      </c>
      <c r="AS448" s="207" t="n">
        <v>0</v>
      </c>
      <c r="AT448" s="207" t="n">
        <v>0</v>
      </c>
      <c r="AU448" s="207" t="n">
        <v>0</v>
      </c>
      <c r="AV448" s="207" t="n">
        <v>0</v>
      </c>
      <c r="AW448" s="207" t="n">
        <v>0</v>
      </c>
      <c r="AX448" s="208" t="n">
        <v>1</v>
      </c>
      <c r="AY448" s="209">
        <f>L448*AX448+AP448+AQ448+AR448+AV448+AW448+AS448+AT448+AU448</f>
        <v/>
      </c>
      <c r="AZ448" s="207" t="n">
        <v>22</v>
      </c>
      <c r="BA448" s="207" t="n">
        <v>0</v>
      </c>
      <c r="BB448" s="207">
        <f>AZ448*0.006</f>
        <v/>
      </c>
      <c r="BC448" s="209">
        <f>AZ448+BA448-BB448</f>
        <v/>
      </c>
      <c r="BD448" s="207" t="n">
        <v>0</v>
      </c>
      <c r="BE448" s="207" t="n">
        <v>0</v>
      </c>
      <c r="BF448" s="209">
        <f>BD448+BE448</f>
        <v/>
      </c>
      <c r="BG448" s="209">
        <f>BC448-AY448+BF448</f>
        <v/>
      </c>
      <c r="BH448" s="86" t="inlineStr">
        <is>
          <t>何女士</t>
        </is>
      </c>
      <c r="BI448" s="86" t="inlineStr">
        <is>
          <t>江西省 九江市 浔阳区 人民路街道 名湖广场</t>
        </is>
      </c>
      <c r="BJ448" s="86" t="inlineStr">
        <is>
          <t>18465608319-6752</t>
        </is>
      </c>
      <c r="BK448" s="86" t="n"/>
      <c r="BL448" s="210" t="n"/>
      <c r="BM448" s="93" t="n"/>
      <c r="BN448" s="94" t="n"/>
      <c r="BO448" s="93" t="n"/>
      <c r="BP448" s="86" t="n"/>
      <c r="BQ448" s="96" t="n"/>
      <c r="BR448" s="96" t="n"/>
      <c r="BS448" s="97" t="n"/>
      <c r="BT448" s="96" t="n"/>
      <c r="BU448" s="97" t="n"/>
      <c r="BV448" s="96" t="n"/>
      <c r="BW448" s="97" t="n"/>
      <c r="BX448" s="97" t="n"/>
      <c r="BY448" s="97" t="n"/>
      <c r="BZ448" s="97" t="n"/>
      <c r="CH448" s="2" t="n"/>
      <c r="CI448" s="14" t="n"/>
      <c r="CJ448" s="25" t="n"/>
      <c r="CK448" s="25" t="n"/>
      <c r="CL448" s="25" t="n"/>
      <c r="CM448" s="25" t="n"/>
      <c r="CN448" s="25" t="n"/>
      <c r="CO448" s="25" t="n"/>
      <c r="CP448" s="25" t="n"/>
      <c r="CQ448" s="25" t="n"/>
      <c r="CR448" s="25" t="n"/>
      <c r="CS448" s="25" t="n"/>
      <c r="CT448" s="25" t="n"/>
      <c r="CU448" s="25" t="n"/>
      <c r="CV448" s="25" t="n"/>
      <c r="CW448" s="25" t="n"/>
      <c r="CX448" s="25" t="n"/>
      <c r="CY448" s="25" t="n"/>
      <c r="DC448" s="26" t="n"/>
      <c r="DD448" s="26" t="n"/>
      <c r="DE448" s="26" t="n"/>
      <c r="DF448" s="26" t="n"/>
      <c r="DG448" s="26" t="n"/>
      <c r="DH448" s="27" t="n"/>
      <c r="DJ448" s="211" t="inlineStr">
        <is>
          <t>订单表中未找到</t>
        </is>
      </c>
      <c r="DK448" t="inlineStr">
        <is>
          <t>—</t>
        </is>
      </c>
      <c r="DL448" t="inlineStr">
        <is>
          <t>—</t>
        </is>
      </c>
    </row>
    <row r="449" ht="15.75" customHeight="1" s="187">
      <c r="A449" s="84" t="n">
        <v>45979</v>
      </c>
      <c r="B449" s="206" t="inlineStr">
        <is>
          <t>已收货</t>
        </is>
      </c>
      <c r="C449" s="86" t="inlineStr">
        <is>
          <t>3071517747432185996</t>
        </is>
      </c>
      <c r="D449" s="110" t="inlineStr">
        <is>
          <t>谭先生</t>
        </is>
      </c>
      <c r="E449" s="87" t="n"/>
      <c r="F449" s="87" t="n"/>
      <c r="G449" s="207" t="inlineStr">
        <is>
          <t>样块</t>
        </is>
      </c>
      <c r="H449" s="207" t="inlineStr">
        <is>
          <t>样块</t>
        </is>
      </c>
      <c r="I449" s="89" t="n"/>
      <c r="J449" s="87" t="inlineStr">
        <is>
          <t>已结算</t>
        </is>
      </c>
      <c r="K449" s="87" t="inlineStr">
        <is>
          <t>杭州</t>
        </is>
      </c>
      <c r="L449" s="207">
        <f>SUM(M449:AO449)</f>
        <v/>
      </c>
      <c r="M449" s="207" t="n">
        <v>5</v>
      </c>
      <c r="N449" s="207" t="n"/>
      <c r="O449" s="207" t="n"/>
      <c r="P449" s="207" t="n"/>
      <c r="Q449" s="207" t="n"/>
      <c r="R449" s="207" t="n"/>
      <c r="S449" s="207" t="n"/>
      <c r="T449" s="207" t="n"/>
      <c r="U449" s="207" t="n"/>
      <c r="V449" s="207" t="n"/>
      <c r="W449" s="207" t="n"/>
      <c r="X449" s="207" t="n"/>
      <c r="Y449" s="207" t="n"/>
      <c r="Z449" s="207" t="n"/>
      <c r="AA449" s="207" t="n"/>
      <c r="AB449" s="207" t="n"/>
      <c r="AC449" s="207" t="n"/>
      <c r="AD449" s="207" t="n"/>
      <c r="AE449" s="207" t="n"/>
      <c r="AF449" s="207" t="n"/>
      <c r="AG449" s="207" t="n"/>
      <c r="AH449" s="207" t="n"/>
      <c r="AI449" s="207" t="n"/>
      <c r="AJ449" s="207" t="n"/>
      <c r="AK449" s="207" t="n"/>
      <c r="AL449" s="207" t="n"/>
      <c r="AM449" s="207" t="n">
        <v>2</v>
      </c>
      <c r="AN449" s="207" t="n"/>
      <c r="AO449" s="207" t="n"/>
      <c r="AP449" s="207" t="n">
        <v>5</v>
      </c>
      <c r="AQ449" s="207" t="n">
        <v>0</v>
      </c>
      <c r="AR449" s="207" t="n">
        <v>0</v>
      </c>
      <c r="AS449" s="207" t="n">
        <v>0</v>
      </c>
      <c r="AT449" s="207" t="n">
        <v>0</v>
      </c>
      <c r="AU449" s="207" t="n">
        <v>0</v>
      </c>
      <c r="AV449" s="207" t="n">
        <v>0</v>
      </c>
      <c r="AW449" s="207" t="n">
        <v>0</v>
      </c>
      <c r="AX449" s="208" t="n">
        <v>1</v>
      </c>
      <c r="AY449" s="209">
        <f>L449*AX449+AP449+AQ449+AR449+AV449+AW449+AS449+AT449+AU449</f>
        <v/>
      </c>
      <c r="AZ449" s="207" t="n">
        <v>22</v>
      </c>
      <c r="BA449" s="207" t="n">
        <v>0</v>
      </c>
      <c r="BB449" s="207">
        <f>AZ449*0.006</f>
        <v/>
      </c>
      <c r="BC449" s="209">
        <f>AZ449+BA449-BB449</f>
        <v/>
      </c>
      <c r="BD449" s="207" t="n">
        <v>0</v>
      </c>
      <c r="BE449" s="207" t="n">
        <v>0</v>
      </c>
      <c r="BF449" s="209">
        <f>BD449+BE449</f>
        <v/>
      </c>
      <c r="BG449" s="209">
        <f>BC449-AY449+BF449</f>
        <v/>
      </c>
      <c r="BH449" s="86" t="inlineStr">
        <is>
          <t>谭先生</t>
        </is>
      </c>
      <c r="BI449" s="86" t="inlineStr">
        <is>
          <t>广东省 深圳市 龙岗区 横岗街道横岗镇四联隆盛花园8栋901室</t>
        </is>
      </c>
      <c r="BJ449" s="86" t="inlineStr">
        <is>
          <t>15794947411-4532</t>
        </is>
      </c>
      <c r="BK449" s="86" t="n"/>
      <c r="BL449" s="210" t="n"/>
      <c r="BM449" s="93" t="n"/>
      <c r="BN449" s="94" t="n"/>
      <c r="BO449" s="93" t="n"/>
      <c r="BP449" s="86" t="n"/>
      <c r="BQ449" s="96" t="n"/>
      <c r="BR449" s="96" t="n"/>
      <c r="BS449" s="97" t="n"/>
      <c r="BT449" s="96" t="n"/>
      <c r="BU449" s="97" t="n"/>
      <c r="BV449" s="96" t="n"/>
      <c r="BW449" s="97" t="n"/>
      <c r="BX449" s="97" t="n"/>
      <c r="BY449" s="97" t="n"/>
      <c r="BZ449" s="97" t="n"/>
      <c r="CH449" s="2" t="n"/>
      <c r="CI449" s="14" t="n"/>
      <c r="CJ449" s="25" t="n"/>
      <c r="CK449" s="25" t="n"/>
      <c r="CL449" s="25" t="n"/>
      <c r="CM449" s="25" t="n"/>
      <c r="CN449" s="25" t="n"/>
      <c r="CO449" s="25" t="n"/>
      <c r="CP449" s="25" t="n"/>
      <c r="CQ449" s="25" t="n"/>
      <c r="CR449" s="25" t="n"/>
      <c r="CS449" s="25" t="n"/>
      <c r="CT449" s="25" t="n"/>
      <c r="CU449" s="25" t="n"/>
      <c r="CV449" s="25" t="n"/>
      <c r="CW449" s="25" t="n"/>
      <c r="CX449" s="25" t="n"/>
      <c r="CY449" s="25" t="n"/>
      <c r="DC449" s="26" t="n"/>
      <c r="DD449" s="26" t="n"/>
      <c r="DE449" s="26" t="n"/>
      <c r="DF449" s="26" t="n"/>
      <c r="DG449" s="26" t="n"/>
      <c r="DH449" s="27" t="n"/>
      <c r="DJ449" s="211" t="inlineStr">
        <is>
          <t>订单表中未找到</t>
        </is>
      </c>
      <c r="DK449" t="inlineStr">
        <is>
          <t>—</t>
        </is>
      </c>
      <c r="DL449" t="inlineStr">
        <is>
          <t>—</t>
        </is>
      </c>
    </row>
    <row r="450" ht="15.75" customHeight="1" s="187">
      <c r="A450" s="84" t="n">
        <v>45980</v>
      </c>
      <c r="B450" s="206" t="inlineStr">
        <is>
          <t>已收货</t>
        </is>
      </c>
      <c r="C450" s="86" t="inlineStr">
        <is>
          <t>4891892079892930109</t>
        </is>
      </c>
      <c r="D450" s="86" t="inlineStr">
        <is>
          <t>杨坤鹏转余栋</t>
        </is>
      </c>
      <c r="E450" s="87" t="n"/>
      <c r="F450" s="87" t="n"/>
      <c r="G450" s="207" t="inlineStr">
        <is>
          <t>插座</t>
        </is>
      </c>
      <c r="H450" s="207" t="inlineStr">
        <is>
          <t>配件</t>
        </is>
      </c>
      <c r="I450" s="89" t="n"/>
      <c r="J450" s="87" t="n"/>
      <c r="K450" s="86" t="inlineStr">
        <is>
          <t>其他</t>
        </is>
      </c>
      <c r="L450" s="234" t="n">
        <v>55</v>
      </c>
      <c r="M450" s="207" t="n">
        <v>55</v>
      </c>
      <c r="N450" s="207" t="n"/>
      <c r="O450" s="207" t="n"/>
      <c r="P450" s="207" t="n"/>
      <c r="Q450" s="207" t="n"/>
      <c r="R450" s="207" t="n"/>
      <c r="S450" s="207" t="n"/>
      <c r="T450" s="207" t="n"/>
      <c r="U450" s="207" t="n"/>
      <c r="V450" s="207" t="n"/>
      <c r="W450" s="207" t="n"/>
      <c r="X450" s="207" t="n"/>
      <c r="Y450" s="207" t="n"/>
      <c r="Z450" s="207" t="n"/>
      <c r="AA450" s="207" t="n"/>
      <c r="AB450" s="207" t="n"/>
      <c r="AC450" s="207" t="n"/>
      <c r="AD450" s="207" t="n"/>
      <c r="AE450" s="207" t="n"/>
      <c r="AF450" s="207" t="n"/>
      <c r="AG450" s="207" t="n"/>
      <c r="AH450" s="207" t="n"/>
      <c r="AI450" s="207" t="n"/>
      <c r="AJ450" s="207" t="n"/>
      <c r="AK450" s="207" t="n"/>
      <c r="AL450" s="207" t="n"/>
      <c r="AM450" s="207" t="n"/>
      <c r="AN450" s="207" t="n"/>
      <c r="AO450" s="207" t="n"/>
      <c r="AP450" s="207" t="n">
        <v>8</v>
      </c>
      <c r="AQ450" s="207" t="n">
        <v>0</v>
      </c>
      <c r="AR450" s="207" t="n">
        <v>0</v>
      </c>
      <c r="AS450" s="207" t="n">
        <v>0</v>
      </c>
      <c r="AT450" s="207" t="n">
        <v>0</v>
      </c>
      <c r="AU450" s="207" t="n">
        <v>0</v>
      </c>
      <c r="AV450" s="207" t="n">
        <v>0</v>
      </c>
      <c r="AW450" s="207" t="n">
        <v>0</v>
      </c>
      <c r="AX450" s="208" t="n">
        <v>1</v>
      </c>
      <c r="AY450" s="209">
        <f>L450*AX450+AP450+AQ450+AR450+AV450+AW450+AS450+AT450+AU450</f>
        <v/>
      </c>
      <c r="AZ450" s="207" t="n">
        <v>100</v>
      </c>
      <c r="BA450" s="207" t="n">
        <v>0</v>
      </c>
      <c r="BB450" s="207">
        <f>AZ450*0.006</f>
        <v/>
      </c>
      <c r="BC450" s="209">
        <f>AZ450+BA450-BB450</f>
        <v/>
      </c>
      <c r="BD450" s="207" t="n">
        <v>0</v>
      </c>
      <c r="BE450" s="207" t="n">
        <v>0</v>
      </c>
      <c r="BF450" s="209">
        <f>BD450+BE450</f>
        <v/>
      </c>
      <c r="BG450" s="209">
        <f>BC450-AY450+BF450</f>
        <v/>
      </c>
      <c r="BH450" s="86" t="inlineStr">
        <is>
          <t>杨坤鹏转余栋</t>
        </is>
      </c>
      <c r="BI450" s="86" t="inlineStr">
        <is>
          <t>广东省 广州市 白云区 江高镇夏花三路498号部队路A14仓 （YD502-SIN）</t>
        </is>
      </c>
      <c r="BJ450" s="86" t="inlineStr">
        <is>
          <t>14749678969-1705</t>
        </is>
      </c>
      <c r="BK450" s="86" t="n"/>
      <c r="BL450" s="210" t="n"/>
      <c r="BM450" s="93" t="n"/>
      <c r="BN450" s="94" t="n"/>
      <c r="BO450" s="93" t="n"/>
      <c r="BP450" s="86" t="n"/>
      <c r="BQ450" s="96" t="n"/>
      <c r="BR450" s="96" t="n"/>
      <c r="BS450" s="97" t="n"/>
      <c r="BT450" s="96" t="n"/>
      <c r="BU450" s="97" t="n"/>
      <c r="BV450" s="96" t="n"/>
      <c r="BW450" s="97" t="n"/>
      <c r="BX450" s="97" t="n"/>
      <c r="BY450" s="97" t="n"/>
      <c r="BZ450" s="97" t="n"/>
      <c r="CH450" s="2" t="n"/>
      <c r="CI450" s="14" t="n"/>
      <c r="CJ450" s="25" t="n"/>
      <c r="CK450" s="25" t="n"/>
      <c r="CL450" s="25" t="n"/>
      <c r="CM450" s="25" t="n"/>
      <c r="CN450" s="25" t="n"/>
      <c r="CO450" s="25" t="n"/>
      <c r="CP450" s="25" t="n"/>
      <c r="CQ450" s="25" t="n"/>
      <c r="CR450" s="25" t="n"/>
      <c r="CS450" s="25" t="n"/>
      <c r="CT450" s="25" t="n"/>
      <c r="CU450" s="25" t="n"/>
      <c r="CV450" s="25" t="n"/>
      <c r="CW450" s="25" t="n"/>
      <c r="CX450" s="25" t="n"/>
      <c r="CY450" s="25" t="n"/>
      <c r="DC450" s="26" t="n"/>
      <c r="DD450" s="26" t="n"/>
      <c r="DE450" s="26" t="n"/>
      <c r="DF450" s="26" t="n"/>
      <c r="DG450" s="26" t="n"/>
      <c r="DH450" s="27" t="n"/>
      <c r="DJ450" s="211" t="inlineStr">
        <is>
          <t>订单表中未找到</t>
        </is>
      </c>
      <c r="DK450" t="inlineStr">
        <is>
          <t>—</t>
        </is>
      </c>
      <c r="DL450" t="inlineStr">
        <is>
          <t>—</t>
        </is>
      </c>
    </row>
    <row r="451" ht="15.75" customHeight="1" s="187">
      <c r="A451" s="84" t="n">
        <v>45980</v>
      </c>
      <c r="B451" s="206" t="inlineStr">
        <is>
          <t>已收货</t>
        </is>
      </c>
      <c r="C451" s="86" t="inlineStr">
        <is>
          <t>3073448892608208482</t>
        </is>
      </c>
      <c r="D451" s="110" t="inlineStr">
        <is>
          <t>尚彦希</t>
        </is>
      </c>
      <c r="E451" s="87" t="n"/>
      <c r="F451" s="87" t="n"/>
      <c r="G451" s="87" t="inlineStr">
        <is>
          <t>砂白色1.2米岩板餐桌，定制</t>
        </is>
      </c>
      <c r="H451" s="207" t="inlineStr">
        <is>
          <t>榉木餐桌</t>
        </is>
      </c>
      <c r="I451" s="89" t="inlineStr">
        <is>
          <t>120cm*80cm</t>
        </is>
      </c>
      <c r="J451" s="87" t="inlineStr">
        <is>
          <t>已结算</t>
        </is>
      </c>
      <c r="K451" s="86" t="inlineStr">
        <is>
          <t>江西</t>
        </is>
      </c>
      <c r="L451" s="207">
        <f>SUM(M451:AO451)</f>
        <v/>
      </c>
      <c r="M451" s="207">
        <f>1260</f>
        <v/>
      </c>
      <c r="N451" s="207" t="n"/>
      <c r="O451" s="207" t="n"/>
      <c r="P451" s="207" t="n"/>
      <c r="Q451" s="207" t="n"/>
      <c r="R451" s="207" t="n">
        <v>220</v>
      </c>
      <c r="S451" s="207" t="n"/>
      <c r="T451" s="207" t="n"/>
      <c r="U451" s="207" t="n"/>
      <c r="V451" s="207" t="n"/>
      <c r="W451" s="207" t="n"/>
      <c r="X451" s="207" t="n"/>
      <c r="Y451" s="207" t="n"/>
      <c r="Z451" s="207" t="n"/>
      <c r="AA451" s="207" t="n"/>
      <c r="AB451" s="207" t="n"/>
      <c r="AC451" s="207" t="n"/>
      <c r="AD451" s="207" t="n">
        <v>2.5</v>
      </c>
      <c r="AE451" s="207" t="n"/>
      <c r="AF451" s="207" t="n"/>
      <c r="AG451" s="207" t="n"/>
      <c r="AH451" s="207" t="n"/>
      <c r="AI451" s="207" t="n"/>
      <c r="AJ451" s="207" t="n"/>
      <c r="AK451" s="207" t="n"/>
      <c r="AL451" s="207" t="n"/>
      <c r="AM451" s="207" t="n">
        <v>170</v>
      </c>
      <c r="AN451" s="207" t="n"/>
      <c r="AO451" s="207" t="n"/>
      <c r="AP451" s="207">
        <f>135-AQ451</f>
        <v/>
      </c>
      <c r="AQ451" s="207" t="n">
        <v>30</v>
      </c>
      <c r="AR451" s="207" t="n">
        <v>72</v>
      </c>
      <c r="AS451" s="207" t="n">
        <v>0</v>
      </c>
      <c r="AT451" s="207" t="n">
        <v>0</v>
      </c>
      <c r="AU451" s="207" t="n">
        <v>0</v>
      </c>
      <c r="AV451" s="207" t="n">
        <v>0</v>
      </c>
      <c r="AW451" s="207" t="n">
        <v>0</v>
      </c>
      <c r="AX451" s="208" t="n">
        <v>1</v>
      </c>
      <c r="AY451" s="209">
        <f>L451*AX451+AP451+AQ451+AR451+AV451+AW451+AS451+AT451+AU451</f>
        <v/>
      </c>
      <c r="AZ451" s="207" t="n">
        <v>2536.44</v>
      </c>
      <c r="BA451" s="207" t="n">
        <v>0</v>
      </c>
      <c r="BB451" s="207">
        <f>AZ451*0.006</f>
        <v/>
      </c>
      <c r="BC451" s="209">
        <f>AZ451+BA451-BB451</f>
        <v/>
      </c>
      <c r="BD451" s="207" t="n">
        <v>0</v>
      </c>
      <c r="BE451" s="207" t="n">
        <v>0</v>
      </c>
      <c r="BF451" s="209">
        <f>BD451+BE451</f>
        <v/>
      </c>
      <c r="BG451" s="209">
        <f>BC451-AY451+BF451</f>
        <v/>
      </c>
      <c r="BH451" s="86" t="inlineStr">
        <is>
          <t>尚彦希</t>
        </is>
      </c>
      <c r="BI451" s="86" t="inlineStr">
        <is>
          <t>广东省 广州市 花都区 新华街道云山大道88号2栋1801</t>
        </is>
      </c>
      <c r="BJ451" s="86" t="inlineStr">
        <is>
          <t>14749674195-8518</t>
        </is>
      </c>
      <c r="BK451" s="86" t="n"/>
      <c r="BL451" s="210" t="n"/>
      <c r="BM451" s="93" t="n"/>
      <c r="BN451" s="94" t="n"/>
      <c r="BO451" s="93" t="n"/>
      <c r="BP451" s="86" t="n"/>
      <c r="BQ451" s="96" t="n"/>
      <c r="BR451" s="96" t="n"/>
      <c r="BS451" s="97" t="n"/>
      <c r="BT451" s="96" t="n"/>
      <c r="BU451" s="97" t="n"/>
      <c r="BV451" s="96" t="n"/>
      <c r="BW451" s="97" t="n"/>
      <c r="BX451" s="97" t="n"/>
      <c r="BY451" s="97" t="n"/>
      <c r="BZ451" s="97" t="n"/>
      <c r="CH451" s="2" t="n"/>
      <c r="CI451" s="14" t="n"/>
      <c r="CJ451" s="25" t="n"/>
      <c r="CK451" s="25" t="n"/>
      <c r="CL451" s="25" t="n"/>
      <c r="CM451" s="25" t="n"/>
      <c r="CN451" s="25" t="n"/>
      <c r="CO451" s="25" t="n"/>
      <c r="CP451" s="25" t="n"/>
      <c r="CQ451" s="25" t="n"/>
      <c r="CR451" s="25" t="n"/>
      <c r="CS451" s="25" t="n"/>
      <c r="CT451" s="25" t="n"/>
      <c r="CU451" s="25" t="n"/>
      <c r="CV451" s="25" t="n"/>
      <c r="CW451" s="25" t="n"/>
      <c r="CX451" s="25" t="n"/>
      <c r="CY451" s="25" t="n"/>
      <c r="DC451" s="26" t="n"/>
      <c r="DD451" s="26" t="n"/>
      <c r="DE451" s="26" t="n"/>
      <c r="DF451" s="26" t="n"/>
      <c r="DG451" s="26" t="n"/>
      <c r="DH451" s="27" t="n"/>
      <c r="DJ451" s="211" t="inlineStr">
        <is>
          <t>订单表中未找到</t>
        </is>
      </c>
      <c r="DK451" t="inlineStr">
        <is>
          <t>—</t>
        </is>
      </c>
      <c r="DL451" t="inlineStr">
        <is>
          <t>—</t>
        </is>
      </c>
    </row>
    <row r="452" ht="15.75" customHeight="1" s="187">
      <c r="A452" s="84" t="n">
        <v>45981</v>
      </c>
      <c r="B452" s="206" t="inlineStr">
        <is>
          <t>已收货</t>
        </is>
      </c>
      <c r="C452" s="86" t="inlineStr">
        <is>
          <t>3072972507984745954</t>
        </is>
      </c>
      <c r="D452" s="110" t="inlineStr">
        <is>
          <t>王小姐</t>
        </is>
      </c>
      <c r="E452" s="87" t="n"/>
      <c r="F452" s="87" t="n"/>
      <c r="G452" s="207" t="inlineStr">
        <is>
          <t>窄柜-下柜洞石背板-0.8米-定制</t>
        </is>
      </c>
      <c r="H452" s="207" t="inlineStr">
        <is>
          <t>樱桃木窄柜</t>
        </is>
      </c>
      <c r="I452" s="89" t="n">
        <v>800</v>
      </c>
      <c r="J452" s="87" t="inlineStr">
        <is>
          <t>已结算</t>
        </is>
      </c>
      <c r="K452" s="86" t="inlineStr">
        <is>
          <t>江西</t>
        </is>
      </c>
      <c r="L452" s="207">
        <f>SUM(M452:AO452)</f>
        <v/>
      </c>
      <c r="M452" s="207">
        <f>2030</f>
        <v/>
      </c>
      <c r="N452" s="207" t="n"/>
      <c r="O452" s="207" t="n"/>
      <c r="P452" s="207" t="n"/>
      <c r="Q452" s="207" t="n"/>
      <c r="R452" s="207" t="n">
        <v>200</v>
      </c>
      <c r="S452" s="207" t="n"/>
      <c r="T452" s="207" t="n"/>
      <c r="U452" s="207" t="n"/>
      <c r="V452" s="207" t="n"/>
      <c r="W452" s="207" t="n"/>
      <c r="X452" s="207">
        <f>22*4</f>
        <v/>
      </c>
      <c r="Y452" s="207" t="n"/>
      <c r="Z452" s="207" t="n"/>
      <c r="AA452" s="207" t="n"/>
      <c r="AB452" s="207" t="n"/>
      <c r="AC452" s="207" t="n"/>
      <c r="AD452" s="207" t="n"/>
      <c r="AE452" s="207" t="n"/>
      <c r="AF452" s="207" t="n"/>
      <c r="AG452" s="207" t="n"/>
      <c r="AH452" s="207" t="n"/>
      <c r="AI452" s="207" t="n"/>
      <c r="AJ452" s="207" t="n"/>
      <c r="AK452" s="207" t="n"/>
      <c r="AL452" s="207" t="n"/>
      <c r="AM452" s="207" t="n">
        <v>130</v>
      </c>
      <c r="AN452" s="207" t="n"/>
      <c r="AO452" s="207" t="n"/>
      <c r="AP452" s="207">
        <f>134-AQ452</f>
        <v/>
      </c>
      <c r="AQ452" s="207" t="n">
        <v>35</v>
      </c>
      <c r="AR452" s="207" t="n">
        <v>0</v>
      </c>
      <c r="AS452" s="207" t="n">
        <v>0</v>
      </c>
      <c r="AT452" s="207" t="n">
        <v>0</v>
      </c>
      <c r="AU452" s="207" t="n">
        <v>0</v>
      </c>
      <c r="AV452" s="207" t="n">
        <v>0</v>
      </c>
      <c r="AW452" s="207" t="n">
        <v>0</v>
      </c>
      <c r="AX452" s="208" t="n">
        <v>1</v>
      </c>
      <c r="AY452" s="209">
        <f>L452*AX452+AP452+AQ452+AR452+AV452+AW452+AS452+AT452+AU452</f>
        <v/>
      </c>
      <c r="AZ452" s="207" t="n">
        <v>3925</v>
      </c>
      <c r="BA452" s="207" t="n">
        <v>0</v>
      </c>
      <c r="BB452" s="207">
        <f>AZ452*0.006</f>
        <v/>
      </c>
      <c r="BC452" s="209">
        <f>AZ452+BA452-BB452</f>
        <v/>
      </c>
      <c r="BD452" s="207" t="n">
        <v>0</v>
      </c>
      <c r="BE452" s="207" t="n">
        <v>0</v>
      </c>
      <c r="BF452" s="209">
        <f>BD452+BE452</f>
        <v/>
      </c>
      <c r="BG452" s="209">
        <f>BC452-AY452+BF452</f>
        <v/>
      </c>
      <c r="BH452" s="86" t="inlineStr">
        <is>
          <t>王小姐</t>
        </is>
      </c>
      <c r="BI452" s="86" t="inlineStr">
        <is>
          <t>浙江省 舟山市 定海区 千岛街道东北角港航国际大厦B座29楼浙江正邦船务有限公司</t>
        </is>
      </c>
      <c r="BJ452" s="86" t="inlineStr">
        <is>
          <t>18413289441-8654</t>
        </is>
      </c>
      <c r="BK452" s="86" t="n"/>
      <c r="BL452" s="210" t="n"/>
      <c r="BM452" s="93" t="n"/>
      <c r="BN452" s="94" t="n"/>
      <c r="BO452" s="93" t="n"/>
      <c r="BP452" s="86" t="n"/>
      <c r="BQ452" s="96" t="n"/>
      <c r="BR452" s="96" t="n"/>
      <c r="BS452" s="97" t="n"/>
      <c r="BT452" s="96" t="n"/>
      <c r="BU452" s="97" t="n"/>
      <c r="BV452" s="96" t="n"/>
      <c r="BW452" s="97" t="n"/>
      <c r="BX452" s="97" t="n"/>
      <c r="BY452" s="97" t="n"/>
      <c r="BZ452" s="97" t="n"/>
      <c r="CH452" s="2" t="n"/>
      <c r="CI452" s="14" t="n"/>
      <c r="CJ452" s="25" t="n"/>
      <c r="CK452" s="25" t="n"/>
      <c r="CL452" s="25" t="n"/>
      <c r="CM452" s="25" t="n"/>
      <c r="CN452" s="25" t="n"/>
      <c r="CO452" s="25" t="n"/>
      <c r="CP452" s="25" t="n"/>
      <c r="CQ452" s="25" t="n"/>
      <c r="CR452" s="25" t="n"/>
      <c r="CS452" s="25" t="n"/>
      <c r="CT452" s="25" t="n"/>
      <c r="CU452" s="25" t="n"/>
      <c r="CV452" s="25" t="n"/>
      <c r="CW452" s="25" t="n"/>
      <c r="CX452" s="25" t="n"/>
      <c r="CY452" s="25" t="n"/>
      <c r="DC452" s="26" t="n"/>
      <c r="DD452" s="26" t="n"/>
      <c r="DE452" s="26" t="n"/>
      <c r="DF452" s="26" t="n"/>
      <c r="DG452" s="26" t="n"/>
      <c r="DH452" s="27" t="n"/>
      <c r="DJ452" s="211" t="inlineStr">
        <is>
          <t>订单表中未找到</t>
        </is>
      </c>
      <c r="DK452" t="inlineStr">
        <is>
          <t>—</t>
        </is>
      </c>
      <c r="DL452" t="inlineStr">
        <is>
          <t>—</t>
        </is>
      </c>
    </row>
    <row r="453" ht="15.75" customHeight="1" s="187">
      <c r="A453" s="84" t="n">
        <v>45983</v>
      </c>
      <c r="B453" s="206" t="inlineStr">
        <is>
          <t>已收货</t>
        </is>
      </c>
      <c r="C453" s="86" t="inlineStr">
        <is>
          <t>3079908265091349078</t>
        </is>
      </c>
      <c r="D453" s="86" t="inlineStr">
        <is>
          <t>菜鸟新加坡仓SGACNFB</t>
        </is>
      </c>
      <c r="E453" s="87" t="n"/>
      <c r="F453" s="87" t="n"/>
      <c r="G453" s="207" t="inlineStr">
        <is>
          <t>200*85樱桃木岩板餐桌</t>
        </is>
      </c>
      <c r="H453" s="207" t="inlineStr">
        <is>
          <t>樱桃木米黄洞石岩板餐桌</t>
        </is>
      </c>
      <c r="I453" s="89" t="n"/>
      <c r="J453" s="87" t="inlineStr">
        <is>
          <t>已结算</t>
        </is>
      </c>
      <c r="K453" s="86" t="inlineStr">
        <is>
          <t>江西</t>
        </is>
      </c>
      <c r="L453" s="235">
        <f>1400+2.5+660+200</f>
        <v/>
      </c>
      <c r="M453" s="207">
        <f>1400</f>
        <v/>
      </c>
      <c r="N453" s="207" t="n">
        <v>2.5</v>
      </c>
      <c r="O453" s="207" t="n">
        <v>660</v>
      </c>
      <c r="P453" s="207" t="n">
        <v>200</v>
      </c>
      <c r="Q453" s="207" t="n"/>
      <c r="R453" s="207" t="n"/>
      <c r="S453" s="207" t="n"/>
      <c r="T453" s="207" t="n"/>
      <c r="U453" s="207" t="n"/>
      <c r="V453" s="207" t="n"/>
      <c r="W453" s="207" t="n"/>
      <c r="X453" s="207" t="n"/>
      <c r="Y453" s="207" t="n"/>
      <c r="Z453" s="207" t="n"/>
      <c r="AA453" s="207" t="n"/>
      <c r="AB453" s="207" t="n"/>
      <c r="AC453" s="207" t="n"/>
      <c r="AD453" s="207" t="n"/>
      <c r="AE453" s="207" t="n"/>
      <c r="AF453" s="207" t="n"/>
      <c r="AG453" s="207" t="n"/>
      <c r="AH453" s="207" t="n"/>
      <c r="AI453" s="207" t="n"/>
      <c r="AJ453" s="207" t="n"/>
      <c r="AK453" s="207" t="n"/>
      <c r="AL453" s="207" t="n"/>
      <c r="AM453" s="207" t="n">
        <v>200</v>
      </c>
      <c r="AN453" s="207" t="n"/>
      <c r="AO453" s="207" t="n"/>
      <c r="AP453" s="207">
        <f>129-AQ453</f>
        <v/>
      </c>
      <c r="AQ453" s="207" t="n">
        <v>30</v>
      </c>
      <c r="AR453" s="207" t="n">
        <v>0</v>
      </c>
      <c r="AS453" s="207" t="n">
        <v>0</v>
      </c>
      <c r="AT453" s="207" t="n">
        <v>0</v>
      </c>
      <c r="AU453" s="207" t="n">
        <v>0</v>
      </c>
      <c r="AV453" s="207" t="n">
        <v>0</v>
      </c>
      <c r="AW453" s="207" t="n">
        <v>0</v>
      </c>
      <c r="AX453" s="208" t="n">
        <v>1</v>
      </c>
      <c r="AY453" s="209">
        <f>L453*AX453+AP453+AQ453+AR453+AV453+AW453+AS453+AT453+AU453</f>
        <v/>
      </c>
      <c r="AZ453" s="207" t="n">
        <v>2479.8</v>
      </c>
      <c r="BA453" s="207" t="n">
        <v>0</v>
      </c>
      <c r="BB453" s="207">
        <f>AZ453*0.006</f>
        <v/>
      </c>
      <c r="BC453" s="209">
        <f>AZ453+BA453-BB453</f>
        <v/>
      </c>
      <c r="BD453" s="207" t="n">
        <v>0</v>
      </c>
      <c r="BE453" s="207" t="n">
        <v>0</v>
      </c>
      <c r="BF453" s="209">
        <f>BD453+BE453</f>
        <v/>
      </c>
      <c r="BG453" s="209">
        <f>BC453-AY453+BF453</f>
        <v/>
      </c>
      <c r="BH453" s="207" t="inlineStr">
        <is>
          <t>菜鸟新加坡仓SGACNFB</t>
        </is>
      </c>
      <c r="BI453" s="207" t="inlineStr">
        <is>
          <t>广东省 东莞市  沙田镇进港南路SGACNFB菜鸟定制仓1栋2楼B区新加坡APP</t>
        </is>
      </c>
      <c r="BJ453" s="207" t="n">
        <v>15015421002</v>
      </c>
      <c r="BK453" s="86" t="n"/>
      <c r="BL453" s="210" t="n"/>
      <c r="BM453" s="93" t="n"/>
      <c r="BN453" s="94" t="n"/>
      <c r="BO453" s="93" t="n"/>
      <c r="BP453" s="86" t="n"/>
      <c r="BQ453" s="96" t="n"/>
      <c r="BR453" s="96" t="n"/>
      <c r="BS453" s="97" t="n"/>
      <c r="BT453" s="96" t="n"/>
      <c r="BU453" s="97" t="n"/>
      <c r="BV453" s="96" t="n"/>
      <c r="BW453" s="97" t="n"/>
      <c r="BX453" s="97" t="n"/>
      <c r="BY453" s="97" t="n"/>
      <c r="BZ453" s="97" t="n"/>
      <c r="CH453" s="2" t="n"/>
      <c r="CI453" s="14" t="n"/>
      <c r="CJ453" s="25" t="n"/>
      <c r="CK453" s="25" t="n"/>
      <c r="CL453" s="25" t="n"/>
      <c r="CM453" s="25" t="n"/>
      <c r="CN453" s="25" t="n"/>
      <c r="CO453" s="25" t="n"/>
      <c r="CP453" s="25" t="n"/>
      <c r="CQ453" s="25" t="n"/>
      <c r="CR453" s="25" t="n"/>
      <c r="CS453" s="25" t="n"/>
      <c r="CT453" s="25" t="n"/>
      <c r="CU453" s="25" t="n"/>
      <c r="CV453" s="25" t="n"/>
      <c r="CW453" s="25" t="n"/>
      <c r="CX453" s="25" t="n"/>
      <c r="CY453" s="25" t="n"/>
      <c r="DC453" s="26" t="n"/>
      <c r="DD453" s="26" t="n"/>
      <c r="DE453" s="26" t="n"/>
      <c r="DF453" s="26" t="n"/>
      <c r="DG453" s="26" t="n"/>
      <c r="DH453" s="27" t="n"/>
      <c r="DJ453" s="211" t="inlineStr">
        <is>
          <t>订单表中未找到</t>
        </is>
      </c>
      <c r="DK453" t="inlineStr">
        <is>
          <t>—</t>
        </is>
      </c>
      <c r="DL453" t="inlineStr">
        <is>
          <t>—</t>
        </is>
      </c>
    </row>
    <row r="454" ht="15.75" customHeight="1" s="187">
      <c r="A454" s="84" t="n">
        <v>45984</v>
      </c>
      <c r="B454" s="206" t="inlineStr">
        <is>
          <t>已收货</t>
        </is>
      </c>
      <c r="C454" s="86" t="inlineStr">
        <is>
          <t>3080384079017473898</t>
        </is>
      </c>
      <c r="D454" s="110" t="inlineStr">
        <is>
          <t>Tommy</t>
        </is>
      </c>
      <c r="E454" s="87" t="n"/>
      <c r="F454" s="87" t="n"/>
      <c r="G454" s="207" t="inlineStr">
        <is>
          <t>样块*2</t>
        </is>
      </c>
      <c r="H454" s="207" t="inlineStr">
        <is>
          <t>样块</t>
        </is>
      </c>
      <c r="I454" s="89" t="n"/>
      <c r="J454" s="87" t="inlineStr">
        <is>
          <t>已结算</t>
        </is>
      </c>
      <c r="K454" s="87" t="inlineStr">
        <is>
          <t>杭州</t>
        </is>
      </c>
      <c r="L454" s="207">
        <f>SUM(M454:AO454)</f>
        <v/>
      </c>
      <c r="M454" s="207" t="n">
        <v>10</v>
      </c>
      <c r="N454" s="207" t="n"/>
      <c r="O454" s="207" t="n"/>
      <c r="P454" s="207" t="n"/>
      <c r="Q454" s="207" t="n"/>
      <c r="R454" s="207" t="n"/>
      <c r="S454" s="207" t="n"/>
      <c r="T454" s="207" t="n"/>
      <c r="U454" s="207" t="n"/>
      <c r="V454" s="207" t="n"/>
      <c r="W454" s="207" t="n"/>
      <c r="X454" s="207" t="n"/>
      <c r="Y454" s="207" t="n"/>
      <c r="Z454" s="207" t="n"/>
      <c r="AA454" s="207" t="n"/>
      <c r="AB454" s="207" t="n"/>
      <c r="AC454" s="207" t="n"/>
      <c r="AD454" s="207" t="n"/>
      <c r="AE454" s="207" t="n"/>
      <c r="AF454" s="207" t="n"/>
      <c r="AG454" s="207" t="n"/>
      <c r="AH454" s="207" t="n"/>
      <c r="AI454" s="207" t="n"/>
      <c r="AJ454" s="207" t="n"/>
      <c r="AK454" s="207" t="n"/>
      <c r="AL454" s="207" t="n"/>
      <c r="AM454" s="207" t="n">
        <v>2</v>
      </c>
      <c r="AN454" s="207" t="n"/>
      <c r="AO454" s="207" t="n"/>
      <c r="AP454" s="207" t="n">
        <v>5</v>
      </c>
      <c r="AQ454" s="207" t="n">
        <v>0</v>
      </c>
      <c r="AR454" s="207" t="n">
        <v>0</v>
      </c>
      <c r="AS454" s="207" t="n">
        <v>0</v>
      </c>
      <c r="AT454" s="207" t="n">
        <v>0</v>
      </c>
      <c r="AU454" s="207" t="n">
        <v>0</v>
      </c>
      <c r="AV454" s="207" t="n">
        <v>0</v>
      </c>
      <c r="AW454" s="207" t="n">
        <v>0</v>
      </c>
      <c r="AX454" s="208" t="n">
        <v>1</v>
      </c>
      <c r="AY454" s="209">
        <f>L454*AX454+AP454+AQ454+AR454+AV454+AW454+AS454+AT454+AU454</f>
        <v/>
      </c>
      <c r="AZ454" s="207" t="n">
        <v>50</v>
      </c>
      <c r="BA454" s="207" t="n">
        <v>0</v>
      </c>
      <c r="BB454" s="207">
        <f>AZ454*0.006</f>
        <v/>
      </c>
      <c r="BC454" s="209">
        <f>AZ454+BA454-BB454</f>
        <v/>
      </c>
      <c r="BD454" s="207" t="n">
        <v>0</v>
      </c>
      <c r="BE454" s="207" t="n">
        <v>0</v>
      </c>
      <c r="BF454" s="209">
        <f>BD454+BE454</f>
        <v/>
      </c>
      <c r="BG454" s="209">
        <f>BC454-AY454+BF454</f>
        <v/>
      </c>
      <c r="BH454" s="86" t="inlineStr">
        <is>
          <t>Tommy</t>
        </is>
      </c>
      <c r="BI454" s="86" t="inlineStr">
        <is>
          <t>上海 上海市 杨浦区 大桥街道眉州路668弄馨运公寓10号楼1201室</t>
        </is>
      </c>
      <c r="BJ454" s="86" t="inlineStr">
        <is>
          <t>13162834334-4929</t>
        </is>
      </c>
      <c r="BK454" s="86" t="n"/>
      <c r="BL454" s="210" t="n"/>
      <c r="BM454" s="93" t="n"/>
      <c r="BN454" s="94" t="n"/>
      <c r="BO454" s="93" t="n"/>
      <c r="BP454" s="86" t="n"/>
      <c r="BQ454" s="96" t="n"/>
      <c r="BR454" s="96" t="n"/>
      <c r="BS454" s="97" t="n"/>
      <c r="BT454" s="96" t="n"/>
      <c r="BU454" s="97" t="n"/>
      <c r="BV454" s="96" t="n"/>
      <c r="BW454" s="97" t="n"/>
      <c r="BX454" s="97" t="n"/>
      <c r="BY454" s="97" t="n"/>
      <c r="BZ454" s="97" t="n"/>
      <c r="CH454" s="2" t="n"/>
      <c r="CI454" s="14" t="n"/>
      <c r="CJ454" s="25" t="n"/>
      <c r="CK454" s="25" t="n"/>
      <c r="CL454" s="25" t="n"/>
      <c r="CM454" s="25" t="n"/>
      <c r="CN454" s="25" t="n"/>
      <c r="CO454" s="25" t="n"/>
      <c r="CP454" s="25" t="n"/>
      <c r="CQ454" s="25" t="n"/>
      <c r="CR454" s="25" t="n"/>
      <c r="CS454" s="25" t="n"/>
      <c r="CT454" s="25" t="n"/>
      <c r="CU454" s="25" t="n"/>
      <c r="CV454" s="25" t="n"/>
      <c r="CW454" s="25" t="n"/>
      <c r="CX454" s="25" t="n"/>
      <c r="CY454" s="25" t="n"/>
      <c r="DC454" s="26" t="n"/>
      <c r="DD454" s="26" t="n"/>
      <c r="DE454" s="26" t="n"/>
      <c r="DF454" s="26" t="n"/>
      <c r="DG454" s="26" t="n"/>
      <c r="DH454" s="27" t="n"/>
      <c r="DJ454" s="211" t="inlineStr">
        <is>
          <t>订单表中未找到</t>
        </is>
      </c>
      <c r="DK454" t="inlineStr">
        <is>
          <t>—</t>
        </is>
      </c>
      <c r="DL454" t="inlineStr">
        <is>
          <t>—</t>
        </is>
      </c>
    </row>
    <row r="455" ht="15.75" customHeight="1" s="187">
      <c r="A455" s="84" t="n">
        <v>45984</v>
      </c>
      <c r="B455" s="206" t="inlineStr">
        <is>
          <t>已收货</t>
        </is>
      </c>
      <c r="C455" s="86" t="inlineStr">
        <is>
          <t>4901273641321987728</t>
        </is>
      </c>
      <c r="D455" s="110" t="inlineStr">
        <is>
          <t>萧小伍</t>
        </is>
      </c>
      <c r="E455" s="87" t="n"/>
      <c r="F455" s="87" t="n"/>
      <c r="G455" s="207" t="inlineStr">
        <is>
          <t>样块</t>
        </is>
      </c>
      <c r="H455" s="207" t="inlineStr">
        <is>
          <t>样块</t>
        </is>
      </c>
      <c r="I455" s="89" t="n"/>
      <c r="J455" s="87" t="inlineStr">
        <is>
          <t>已结算</t>
        </is>
      </c>
      <c r="K455" s="87" t="inlineStr">
        <is>
          <t>杭州</t>
        </is>
      </c>
      <c r="L455" s="207">
        <f>SUM(M455:AO455)</f>
        <v/>
      </c>
      <c r="M455" s="207" t="n">
        <v>5</v>
      </c>
      <c r="N455" s="207" t="n"/>
      <c r="O455" s="207" t="n"/>
      <c r="P455" s="207" t="n"/>
      <c r="Q455" s="207" t="n"/>
      <c r="R455" s="207" t="n"/>
      <c r="S455" s="207" t="n"/>
      <c r="T455" s="207" t="n"/>
      <c r="U455" s="207" t="n"/>
      <c r="V455" s="207" t="n"/>
      <c r="W455" s="207" t="n"/>
      <c r="X455" s="207" t="n"/>
      <c r="Y455" s="207" t="n"/>
      <c r="Z455" s="207" t="n"/>
      <c r="AA455" s="207" t="n"/>
      <c r="AB455" s="207" t="n"/>
      <c r="AC455" s="207" t="n"/>
      <c r="AD455" s="207" t="n"/>
      <c r="AE455" s="207" t="n"/>
      <c r="AF455" s="207" t="n"/>
      <c r="AG455" s="207" t="n"/>
      <c r="AH455" s="207" t="n"/>
      <c r="AI455" s="207" t="n"/>
      <c r="AJ455" s="207" t="n"/>
      <c r="AK455" s="207" t="n"/>
      <c r="AL455" s="207" t="n"/>
      <c r="AM455" s="207" t="n">
        <v>2</v>
      </c>
      <c r="AN455" s="207" t="n"/>
      <c r="AO455" s="207" t="n"/>
      <c r="AP455" s="207" t="n">
        <v>5</v>
      </c>
      <c r="AQ455" s="207" t="n">
        <v>0</v>
      </c>
      <c r="AR455" s="207" t="n">
        <v>0</v>
      </c>
      <c r="AS455" s="207" t="n">
        <v>0</v>
      </c>
      <c r="AT455" s="207" t="n">
        <v>0</v>
      </c>
      <c r="AU455" s="207" t="n">
        <v>0</v>
      </c>
      <c r="AV455" s="207" t="n">
        <v>0</v>
      </c>
      <c r="AW455" s="207" t="n">
        <v>0</v>
      </c>
      <c r="AX455" s="208" t="n">
        <v>1</v>
      </c>
      <c r="AY455" s="209">
        <f>L455*AX455+AP455+AQ455+AR455+AV455+AW455+AS455+AT455+AU455</f>
        <v/>
      </c>
      <c r="AZ455" s="207" t="n">
        <v>20</v>
      </c>
      <c r="BA455" s="207" t="n">
        <v>0</v>
      </c>
      <c r="BB455" s="207">
        <f>AZ455*0.006</f>
        <v/>
      </c>
      <c r="BC455" s="209">
        <f>AZ455+BA455-BB455</f>
        <v/>
      </c>
      <c r="BD455" s="207" t="n">
        <v>0</v>
      </c>
      <c r="BE455" s="207" t="n">
        <v>0</v>
      </c>
      <c r="BF455" s="209">
        <f>BD455+BE455</f>
        <v/>
      </c>
      <c r="BG455" s="209">
        <f>BC455-AY455+BF455</f>
        <v/>
      </c>
      <c r="BH455" s="86" t="inlineStr">
        <is>
          <t>萧小伍</t>
        </is>
      </c>
      <c r="BI455" s="86" t="inlineStr">
        <is>
          <t>浙江省 杭州市 拱墅区 长庆街道拱墅区长庆街道体育场路178号浙报传媒大厦浙江日报社</t>
        </is>
      </c>
      <c r="BJ455" s="86" t="inlineStr">
        <is>
          <t>18413289392-6996</t>
        </is>
      </c>
      <c r="BK455" s="86" t="n"/>
      <c r="BL455" s="210" t="n"/>
      <c r="BM455" s="93" t="n"/>
      <c r="BN455" s="94" t="n"/>
      <c r="BO455" s="93" t="n"/>
      <c r="BP455" s="86" t="n"/>
      <c r="BQ455" s="96" t="n"/>
      <c r="BR455" s="96" t="n"/>
      <c r="BS455" s="97" t="n"/>
      <c r="BT455" s="96" t="n"/>
      <c r="BU455" s="97" t="n"/>
      <c r="BV455" s="96" t="n"/>
      <c r="BW455" s="97" t="n"/>
      <c r="BX455" s="97" t="n"/>
      <c r="BY455" s="97" t="n"/>
      <c r="BZ455" s="97" t="n"/>
      <c r="CH455" s="2" t="n"/>
      <c r="CI455" s="14" t="n"/>
      <c r="CJ455" s="25" t="n"/>
      <c r="CK455" s="25" t="n"/>
      <c r="CL455" s="25" t="n"/>
      <c r="CM455" s="25" t="n"/>
      <c r="CN455" s="25" t="n"/>
      <c r="CO455" s="25" t="n"/>
      <c r="CP455" s="25" t="n"/>
      <c r="CQ455" s="25" t="n"/>
      <c r="CR455" s="25" t="n"/>
      <c r="CS455" s="25" t="n"/>
      <c r="CT455" s="25" t="n"/>
      <c r="CU455" s="25" t="n"/>
      <c r="CV455" s="25" t="n"/>
      <c r="CW455" s="25" t="n"/>
      <c r="CX455" s="25" t="n"/>
      <c r="CY455" s="25" t="n"/>
      <c r="DC455" s="26" t="n"/>
      <c r="DD455" s="26" t="n"/>
      <c r="DE455" s="26" t="n"/>
      <c r="DF455" s="26" t="n"/>
      <c r="DG455" s="26" t="n"/>
      <c r="DH455" s="27" t="n"/>
      <c r="DJ455" s="211" t="inlineStr">
        <is>
          <t>订单表中未找到</t>
        </is>
      </c>
      <c r="DK455" t="inlineStr">
        <is>
          <t>—</t>
        </is>
      </c>
      <c r="DL455" t="inlineStr">
        <is>
          <t>—</t>
        </is>
      </c>
    </row>
    <row r="456" ht="15.75" customHeight="1" s="187">
      <c r="A456" s="84" t="n">
        <v>45984</v>
      </c>
      <c r="B456" s="206" t="inlineStr">
        <is>
          <t>已收货</t>
        </is>
      </c>
      <c r="C456" s="86" t="inlineStr">
        <is>
          <t>4901278969642424447</t>
        </is>
      </c>
      <c r="D456" s="110" t="inlineStr">
        <is>
          <t>高艺玲</t>
        </is>
      </c>
      <c r="E456" s="87" t="n"/>
      <c r="F456" s="87" t="n"/>
      <c r="G456" s="207" t="inlineStr">
        <is>
          <t>插座</t>
        </is>
      </c>
      <c r="H456" s="207" t="inlineStr">
        <is>
          <t>配件</t>
        </is>
      </c>
      <c r="I456" s="89" t="n"/>
      <c r="J456" s="87" t="n"/>
      <c r="K456" s="86" t="inlineStr">
        <is>
          <t>其他</t>
        </is>
      </c>
      <c r="L456" s="216" t="n">
        <v>55</v>
      </c>
      <c r="M456" s="207" t="n">
        <v>55</v>
      </c>
      <c r="N456" s="207" t="n"/>
      <c r="O456" s="207" t="n"/>
      <c r="P456" s="207" t="n"/>
      <c r="Q456" s="207" t="n"/>
      <c r="R456" s="207" t="n"/>
      <c r="S456" s="207" t="n"/>
      <c r="T456" s="207" t="n"/>
      <c r="U456" s="207" t="n"/>
      <c r="V456" s="207" t="n"/>
      <c r="W456" s="207" t="n"/>
      <c r="X456" s="207" t="n"/>
      <c r="Y456" s="207" t="n"/>
      <c r="Z456" s="207" t="n"/>
      <c r="AA456" s="207" t="n"/>
      <c r="AB456" s="207" t="n"/>
      <c r="AC456" s="207" t="n"/>
      <c r="AD456" s="207" t="n"/>
      <c r="AE456" s="207" t="n"/>
      <c r="AF456" s="207" t="n"/>
      <c r="AG456" s="207" t="n"/>
      <c r="AH456" s="207" t="n"/>
      <c r="AI456" s="207" t="n"/>
      <c r="AJ456" s="207" t="n"/>
      <c r="AK456" s="207" t="n"/>
      <c r="AL456" s="207" t="n"/>
      <c r="AM456" s="207" t="n"/>
      <c r="AN456" s="207" t="n"/>
      <c r="AO456" s="207" t="n"/>
      <c r="AP456" s="207" t="n">
        <v>8</v>
      </c>
      <c r="AQ456" s="207" t="n">
        <v>0</v>
      </c>
      <c r="AR456" s="207" t="n">
        <v>0</v>
      </c>
      <c r="AS456" s="207" t="n">
        <v>0</v>
      </c>
      <c r="AT456" s="207" t="n">
        <v>0</v>
      </c>
      <c r="AU456" s="207" t="n">
        <v>0</v>
      </c>
      <c r="AV456" s="207" t="n">
        <v>0</v>
      </c>
      <c r="AW456" s="207" t="n">
        <v>0</v>
      </c>
      <c r="AX456" s="208" t="n">
        <v>1</v>
      </c>
      <c r="AY456" s="209">
        <f>L456*AX456+AP456+AQ456+AR456+AV456+AW456+AS456+AT456+AU456</f>
        <v/>
      </c>
      <c r="AZ456" s="207" t="n">
        <v>100</v>
      </c>
      <c r="BA456" s="207" t="n">
        <v>0</v>
      </c>
      <c r="BB456" s="207">
        <f>AZ456*0.006</f>
        <v/>
      </c>
      <c r="BC456" s="209">
        <f>AZ456+BA456-BB456</f>
        <v/>
      </c>
      <c r="BD456" s="207" t="n">
        <v>0</v>
      </c>
      <c r="BE456" s="207" t="n">
        <v>0</v>
      </c>
      <c r="BF456" s="209">
        <f>BD456+BE456</f>
        <v/>
      </c>
      <c r="BG456" s="209">
        <f>BC456-AY456+BF456</f>
        <v/>
      </c>
      <c r="BH456" s="86" t="inlineStr">
        <is>
          <t>高艺玲</t>
        </is>
      </c>
      <c r="BI456" s="86" t="inlineStr">
        <is>
          <t>云南省 昆明市 西山区 永昌街道金地九樾1-105</t>
        </is>
      </c>
      <c r="BJ456" s="86" t="inlineStr">
        <is>
          <t>13124814575-9217</t>
        </is>
      </c>
      <c r="BK456" s="86" t="n"/>
      <c r="BL456" s="210" t="n"/>
      <c r="BM456" s="93" t="n"/>
      <c r="BN456" s="94" t="n"/>
      <c r="BO456" s="93" t="n"/>
      <c r="BP456" s="86" t="n"/>
      <c r="BQ456" s="96" t="n"/>
      <c r="BR456" s="96" t="n"/>
      <c r="BS456" s="97" t="n"/>
      <c r="BT456" s="96" t="n"/>
      <c r="BU456" s="97" t="n"/>
      <c r="BV456" s="96" t="n"/>
      <c r="BW456" s="97" t="n"/>
      <c r="BX456" s="97" t="n"/>
      <c r="BY456" s="97" t="n"/>
      <c r="BZ456" s="97" t="n"/>
      <c r="CH456" s="2" t="n"/>
      <c r="CI456" s="14" t="n"/>
      <c r="CJ456" s="25" t="n"/>
      <c r="CK456" s="25" t="n"/>
      <c r="CL456" s="25" t="n"/>
      <c r="CM456" s="25" t="n"/>
      <c r="CN456" s="25" t="n"/>
      <c r="CO456" s="25" t="n"/>
      <c r="CP456" s="25" t="n"/>
      <c r="CQ456" s="25" t="n"/>
      <c r="CR456" s="25" t="n"/>
      <c r="CS456" s="25" t="n"/>
      <c r="CT456" s="25" t="n"/>
      <c r="CU456" s="25" t="n"/>
      <c r="CV456" s="25" t="n"/>
      <c r="CW456" s="25" t="n"/>
      <c r="CX456" s="25" t="n"/>
      <c r="CY456" s="25" t="n"/>
      <c r="DC456" s="26" t="n"/>
      <c r="DD456" s="26" t="n"/>
      <c r="DE456" s="26" t="n"/>
      <c r="DF456" s="26" t="n"/>
      <c r="DG456" s="26" t="n"/>
      <c r="DH456" s="27" t="n"/>
      <c r="DJ456" s="211" t="inlineStr">
        <is>
          <t>订单表中未找到</t>
        </is>
      </c>
      <c r="DK456" t="inlineStr">
        <is>
          <t>—</t>
        </is>
      </c>
      <c r="DL456" t="inlineStr">
        <is>
          <t>—</t>
        </is>
      </c>
    </row>
    <row r="457" ht="15.75" customHeight="1" s="187">
      <c r="A457" s="84" t="n">
        <v>45986</v>
      </c>
      <c r="B457" s="206" t="inlineStr">
        <is>
          <t>已收货</t>
        </is>
      </c>
      <c r="C457" s="86" t="inlineStr">
        <is>
          <t>3085052376502040593</t>
        </is>
      </c>
      <c r="D457" s="110" t="inlineStr">
        <is>
          <t>沈先生</t>
        </is>
      </c>
      <c r="E457" s="87" t="n"/>
      <c r="F457" s="87" t="n"/>
      <c r="G457" s="207" t="inlineStr">
        <is>
          <t>样块*2</t>
        </is>
      </c>
      <c r="H457" s="207" t="inlineStr">
        <is>
          <t>样块</t>
        </is>
      </c>
      <c r="I457" s="89" t="n"/>
      <c r="J457" s="87" t="inlineStr">
        <is>
          <t>已结算</t>
        </is>
      </c>
      <c r="K457" s="87" t="inlineStr">
        <is>
          <t>杭州</t>
        </is>
      </c>
      <c r="L457" s="207">
        <f>SUM(M457:AO457)</f>
        <v/>
      </c>
      <c r="M457" s="207" t="n">
        <v>10</v>
      </c>
      <c r="N457" s="207" t="n"/>
      <c r="O457" s="207" t="n"/>
      <c r="P457" s="207" t="n"/>
      <c r="Q457" s="207" t="n"/>
      <c r="R457" s="207" t="n"/>
      <c r="S457" s="207" t="n"/>
      <c r="T457" s="207" t="n"/>
      <c r="U457" s="207" t="n"/>
      <c r="V457" s="207" t="n"/>
      <c r="W457" s="207" t="n"/>
      <c r="X457" s="207" t="n"/>
      <c r="Y457" s="207" t="n"/>
      <c r="Z457" s="207" t="n"/>
      <c r="AA457" s="207" t="n"/>
      <c r="AB457" s="207" t="n"/>
      <c r="AC457" s="207" t="n"/>
      <c r="AD457" s="207" t="n"/>
      <c r="AE457" s="207" t="n"/>
      <c r="AF457" s="207" t="n"/>
      <c r="AG457" s="207" t="n"/>
      <c r="AH457" s="207" t="n"/>
      <c r="AI457" s="207" t="n"/>
      <c r="AJ457" s="207" t="n"/>
      <c r="AK457" s="207" t="n"/>
      <c r="AL457" s="207" t="n"/>
      <c r="AM457" s="207" t="n">
        <v>2</v>
      </c>
      <c r="AN457" s="207" t="n"/>
      <c r="AO457" s="207" t="n"/>
      <c r="AP457" s="207" t="n">
        <v>5</v>
      </c>
      <c r="AQ457" s="207" t="n">
        <v>0</v>
      </c>
      <c r="AR457" s="207" t="n">
        <v>0</v>
      </c>
      <c r="AS457" s="207" t="n">
        <v>0</v>
      </c>
      <c r="AT457" s="207" t="n">
        <v>0</v>
      </c>
      <c r="AU457" s="207" t="n">
        <v>0</v>
      </c>
      <c r="AV457" s="207" t="n">
        <v>0</v>
      </c>
      <c r="AW457" s="207" t="n">
        <v>0</v>
      </c>
      <c r="AX457" s="208" t="n">
        <v>1</v>
      </c>
      <c r="AY457" s="209">
        <f>L457*AX457+AP457+AQ457+AR457+AV457+AW457+AS457+AT457+AU457</f>
        <v/>
      </c>
      <c r="AZ457" s="207" t="n">
        <v>44</v>
      </c>
      <c r="BA457" s="207" t="n">
        <v>0</v>
      </c>
      <c r="BB457" s="207">
        <f>AZ457*0.006</f>
        <v/>
      </c>
      <c r="BC457" s="209">
        <f>AZ457+BA457-BB457</f>
        <v/>
      </c>
      <c r="BD457" s="207" t="n">
        <v>0</v>
      </c>
      <c r="BE457" s="207" t="n">
        <v>0</v>
      </c>
      <c r="BF457" s="209">
        <f>BD457+BE457</f>
        <v/>
      </c>
      <c r="BG457" s="209">
        <f>BC457-AY457+BF457</f>
        <v/>
      </c>
      <c r="BH457" s="86" t="inlineStr">
        <is>
          <t>沈先生</t>
        </is>
      </c>
      <c r="BI457" s="86" t="inlineStr">
        <is>
          <t>上海 上海市 静安区 大宁路街道宁和小区70号楼</t>
        </is>
      </c>
      <c r="BJ457" s="86" t="inlineStr">
        <is>
          <t>18466707287-4268</t>
        </is>
      </c>
      <c r="BK457" s="86" t="n"/>
      <c r="BL457" s="210" t="n"/>
      <c r="BM457" s="93" t="n"/>
      <c r="BN457" s="94" t="n"/>
      <c r="BO457" s="93" t="n"/>
      <c r="BP457" s="86" t="n"/>
      <c r="BQ457" s="96" t="n"/>
      <c r="BR457" s="96" t="n"/>
      <c r="BS457" s="97" t="n"/>
      <c r="BT457" s="96" t="n"/>
      <c r="BU457" s="97" t="n"/>
      <c r="BV457" s="96" t="n"/>
      <c r="BW457" s="97" t="n"/>
      <c r="BX457" s="97" t="n"/>
      <c r="BY457" s="97" t="n"/>
      <c r="BZ457" s="97" t="n"/>
      <c r="CH457" s="2" t="n"/>
      <c r="CI457" s="14" t="n"/>
      <c r="CJ457" s="25" t="n"/>
      <c r="CK457" s="25" t="n"/>
      <c r="CL457" s="25" t="n"/>
      <c r="CM457" s="25" t="n"/>
      <c r="CN457" s="25" t="n"/>
      <c r="CO457" s="25" t="n"/>
      <c r="CP457" s="25" t="n"/>
      <c r="CQ457" s="25" t="n"/>
      <c r="CR457" s="25" t="n"/>
      <c r="CS457" s="25" t="n"/>
      <c r="CT457" s="25" t="n"/>
      <c r="CU457" s="25" t="n"/>
      <c r="CV457" s="25" t="n"/>
      <c r="CW457" s="25" t="n"/>
      <c r="CX457" s="25" t="n"/>
      <c r="CY457" s="25" t="n"/>
      <c r="DC457" s="26" t="n"/>
      <c r="DD457" s="26" t="n"/>
      <c r="DE457" s="26" t="n"/>
      <c r="DF457" s="26" t="n"/>
      <c r="DG457" s="26" t="n"/>
      <c r="DH457" s="27" t="n"/>
      <c r="DJ457" s="211" t="inlineStr">
        <is>
          <t>订单表中未找到</t>
        </is>
      </c>
      <c r="DK457" t="inlineStr">
        <is>
          <t>—</t>
        </is>
      </c>
      <c r="DL457" t="inlineStr">
        <is>
          <t>—</t>
        </is>
      </c>
    </row>
    <row r="458" ht="15.75" customHeight="1" s="187">
      <c r="A458" s="84" t="n">
        <v>45987</v>
      </c>
      <c r="B458" s="206" t="inlineStr">
        <is>
          <t>已收货</t>
        </is>
      </c>
      <c r="C458" s="86" t="inlineStr">
        <is>
          <t>3086531906650777990</t>
        </is>
      </c>
      <c r="D458" s="110" t="inlineStr">
        <is>
          <t>cmcc</t>
        </is>
      </c>
      <c r="E458" s="87" t="n"/>
      <c r="F458" s="87" t="n"/>
      <c r="G458" s="207" t="inlineStr">
        <is>
          <t>样块</t>
        </is>
      </c>
      <c r="H458" s="207" t="inlineStr">
        <is>
          <t>样块</t>
        </is>
      </c>
      <c r="I458" s="89" t="n"/>
      <c r="J458" s="87" t="inlineStr">
        <is>
          <t>已结算</t>
        </is>
      </c>
      <c r="K458" s="87" t="inlineStr">
        <is>
          <t>杭州</t>
        </is>
      </c>
      <c r="L458" s="207">
        <f>SUM(M458:AO458)</f>
        <v/>
      </c>
      <c r="M458" s="207" t="n">
        <v>5</v>
      </c>
      <c r="N458" s="207" t="n"/>
      <c r="O458" s="207" t="n"/>
      <c r="P458" s="207" t="n"/>
      <c r="Q458" s="207" t="n"/>
      <c r="R458" s="207" t="n"/>
      <c r="S458" s="207" t="n"/>
      <c r="T458" s="207" t="n"/>
      <c r="U458" s="207" t="n"/>
      <c r="V458" s="207" t="n"/>
      <c r="W458" s="207" t="n"/>
      <c r="X458" s="207" t="n"/>
      <c r="Y458" s="207" t="n"/>
      <c r="Z458" s="207" t="n"/>
      <c r="AA458" s="207" t="n"/>
      <c r="AB458" s="207" t="n"/>
      <c r="AC458" s="207" t="n"/>
      <c r="AD458" s="207" t="n"/>
      <c r="AE458" s="207" t="n"/>
      <c r="AF458" s="207" t="n"/>
      <c r="AG458" s="207" t="n"/>
      <c r="AH458" s="207" t="n"/>
      <c r="AI458" s="207" t="n"/>
      <c r="AJ458" s="207" t="n"/>
      <c r="AK458" s="207" t="n"/>
      <c r="AL458" s="207" t="n"/>
      <c r="AM458" s="207" t="n">
        <v>2</v>
      </c>
      <c r="AN458" s="207" t="n"/>
      <c r="AO458" s="207" t="n"/>
      <c r="AP458" s="207" t="n">
        <v>5</v>
      </c>
      <c r="AQ458" s="207" t="n">
        <v>0</v>
      </c>
      <c r="AR458" s="207" t="n">
        <v>0</v>
      </c>
      <c r="AS458" s="207" t="n">
        <v>0</v>
      </c>
      <c r="AT458" s="207" t="n">
        <v>0</v>
      </c>
      <c r="AU458" s="207" t="n">
        <v>0</v>
      </c>
      <c r="AV458" s="207" t="n">
        <v>0</v>
      </c>
      <c r="AW458" s="207" t="n">
        <v>0</v>
      </c>
      <c r="AX458" s="208" t="n">
        <v>1</v>
      </c>
      <c r="AY458" s="209">
        <f>L458*AX458+AP458+AQ458+AR458+AV458+AW458+AS458+AT458+AU458</f>
        <v/>
      </c>
      <c r="AZ458" s="207" t="n">
        <v>17</v>
      </c>
      <c r="BA458" s="207" t="n">
        <v>0</v>
      </c>
      <c r="BB458" s="207">
        <f>AZ458*0.006</f>
        <v/>
      </c>
      <c r="BC458" s="209">
        <f>AZ458+BA458-BB458</f>
        <v/>
      </c>
      <c r="BD458" s="207" t="n">
        <v>0</v>
      </c>
      <c r="BE458" s="207" t="n">
        <v>0</v>
      </c>
      <c r="BF458" s="209">
        <f>BD458+BE458</f>
        <v/>
      </c>
      <c r="BG458" s="209">
        <f>BC458-AY458+BF458</f>
        <v/>
      </c>
      <c r="BH458" s="86" t="inlineStr">
        <is>
          <t>cmcc</t>
        </is>
      </c>
      <c r="BI458" s="86" t="inlineStr">
        <is>
          <t>浙江省 丽水市 莲都区 万象街道江南景苑10-1201</t>
        </is>
      </c>
      <c r="BJ458" s="86" t="inlineStr">
        <is>
          <t>18413289402-5278</t>
        </is>
      </c>
      <c r="BK458" s="86" t="n"/>
      <c r="BL458" s="210" t="n"/>
      <c r="BM458" s="93" t="n"/>
      <c r="BN458" s="94" t="n"/>
      <c r="BO458" s="93" t="n"/>
      <c r="BP458" s="86" t="n"/>
      <c r="BQ458" s="96" t="n"/>
      <c r="BR458" s="96" t="n"/>
      <c r="BS458" s="97" t="n"/>
      <c r="BT458" s="96" t="n"/>
      <c r="BU458" s="97" t="n"/>
      <c r="BV458" s="96" t="n"/>
      <c r="BW458" s="97" t="n"/>
      <c r="BX458" s="97" t="n"/>
      <c r="BY458" s="97" t="n"/>
      <c r="BZ458" s="97" t="n"/>
      <c r="CH458" s="2" t="n"/>
      <c r="CI458" s="14" t="n"/>
      <c r="CJ458" s="25" t="n"/>
      <c r="CK458" s="25" t="n"/>
      <c r="CL458" s="25" t="n"/>
      <c r="CM458" s="25" t="n"/>
      <c r="CN458" s="25" t="n"/>
      <c r="CO458" s="25" t="n"/>
      <c r="CP458" s="25" t="n"/>
      <c r="CQ458" s="25" t="n"/>
      <c r="CR458" s="25" t="n"/>
      <c r="CS458" s="25" t="n"/>
      <c r="CT458" s="25" t="n"/>
      <c r="CU458" s="25" t="n"/>
      <c r="CV458" s="25" t="n"/>
      <c r="CW458" s="25" t="n"/>
      <c r="CX458" s="25" t="n"/>
      <c r="CY458" s="25" t="n"/>
      <c r="DC458" s="26" t="n"/>
      <c r="DD458" s="26" t="n"/>
      <c r="DE458" s="26" t="n"/>
      <c r="DF458" s="26" t="n"/>
      <c r="DG458" s="26" t="n"/>
      <c r="DH458" s="27" t="n"/>
      <c r="DJ458" s="211" t="inlineStr">
        <is>
          <t>订单表中未找到</t>
        </is>
      </c>
      <c r="DK458" t="inlineStr">
        <is>
          <t>—</t>
        </is>
      </c>
      <c r="DL458" t="inlineStr">
        <is>
          <t>—</t>
        </is>
      </c>
    </row>
    <row r="459" ht="15.75" customHeight="1" s="187">
      <c r="A459" s="84" t="n">
        <v>45989</v>
      </c>
      <c r="B459" s="206" t="inlineStr">
        <is>
          <t>已收货</t>
        </is>
      </c>
      <c r="C459" s="86" t="inlineStr">
        <is>
          <t>4909704156748536725</t>
        </is>
      </c>
      <c r="D459" s="110" t="inlineStr">
        <is>
          <t>黄冬花</t>
        </is>
      </c>
      <c r="E459" s="87" t="n"/>
      <c r="F459" s="87" t="n"/>
      <c r="G459" s="207" t="inlineStr">
        <is>
          <t>样块</t>
        </is>
      </c>
      <c r="H459" s="207" t="inlineStr">
        <is>
          <t>样块</t>
        </is>
      </c>
      <c r="I459" s="89" t="n"/>
      <c r="J459" s="87" t="inlineStr">
        <is>
          <t>已结算</t>
        </is>
      </c>
      <c r="K459" s="87" t="inlineStr">
        <is>
          <t>杭州</t>
        </is>
      </c>
      <c r="L459" s="207">
        <f>SUM(M459:AO459)</f>
        <v/>
      </c>
      <c r="M459" s="207" t="n">
        <v>5</v>
      </c>
      <c r="N459" s="207" t="n"/>
      <c r="O459" s="207" t="n"/>
      <c r="P459" s="207" t="n"/>
      <c r="Q459" s="207" t="n"/>
      <c r="R459" s="207" t="n"/>
      <c r="S459" s="207" t="n"/>
      <c r="T459" s="207" t="n"/>
      <c r="U459" s="207" t="n"/>
      <c r="V459" s="207" t="n"/>
      <c r="W459" s="207" t="n"/>
      <c r="X459" s="207" t="n"/>
      <c r="Y459" s="207" t="n"/>
      <c r="Z459" s="207" t="n"/>
      <c r="AA459" s="207" t="n"/>
      <c r="AB459" s="207" t="n"/>
      <c r="AC459" s="207" t="n"/>
      <c r="AD459" s="207" t="n"/>
      <c r="AE459" s="207" t="n"/>
      <c r="AF459" s="207" t="n"/>
      <c r="AG459" s="207" t="n"/>
      <c r="AH459" s="207" t="n"/>
      <c r="AI459" s="207" t="n"/>
      <c r="AJ459" s="207" t="n"/>
      <c r="AK459" s="207" t="n"/>
      <c r="AL459" s="207" t="n"/>
      <c r="AM459" s="207" t="n">
        <v>2</v>
      </c>
      <c r="AN459" s="207" t="n"/>
      <c r="AO459" s="207" t="n"/>
      <c r="AP459" s="207" t="n">
        <v>5</v>
      </c>
      <c r="AQ459" s="207" t="n">
        <v>0</v>
      </c>
      <c r="AR459" s="207" t="n">
        <v>0</v>
      </c>
      <c r="AS459" s="207" t="n">
        <v>0</v>
      </c>
      <c r="AT459" s="207" t="n">
        <v>0</v>
      </c>
      <c r="AU459" s="207" t="n">
        <v>0</v>
      </c>
      <c r="AV459" s="207" t="n">
        <v>0</v>
      </c>
      <c r="AW459" s="207" t="n">
        <v>0</v>
      </c>
      <c r="AX459" s="208" t="n">
        <v>1</v>
      </c>
      <c r="AY459" s="209">
        <f>L459*AX459+AP459+AQ459+AR459+AV459+AW459+AS459+AT459+AU459</f>
        <v/>
      </c>
      <c r="AZ459" s="207" t="n">
        <v>22</v>
      </c>
      <c r="BA459" s="207" t="n">
        <v>0</v>
      </c>
      <c r="BB459" s="207">
        <f>AZ459*0.006</f>
        <v/>
      </c>
      <c r="BC459" s="209">
        <f>AZ459+BA459-BB459</f>
        <v/>
      </c>
      <c r="BD459" s="207" t="n">
        <v>0</v>
      </c>
      <c r="BE459" s="207" t="n">
        <v>0</v>
      </c>
      <c r="BF459" s="209">
        <f>BD459+BE459</f>
        <v/>
      </c>
      <c r="BG459" s="209">
        <f>BC459-AY459+BF459</f>
        <v/>
      </c>
      <c r="BH459" s="86" t="inlineStr">
        <is>
          <t>黄冬花</t>
        </is>
      </c>
      <c r="BI459" s="86" t="inlineStr">
        <is>
          <t>广东省 东莞市  莞城街道西隅大西路23号小物日记店</t>
        </is>
      </c>
      <c r="BJ459" s="86" t="inlineStr">
        <is>
          <t>18814331329-4575</t>
        </is>
      </c>
      <c r="BK459" s="86" t="n"/>
      <c r="BL459" s="210" t="n"/>
      <c r="BM459" s="93" t="n"/>
      <c r="BN459" s="94" t="n"/>
      <c r="BO459" s="93" t="n"/>
      <c r="BP459" s="86" t="n"/>
      <c r="BQ459" s="96" t="n"/>
      <c r="BR459" s="96" t="n"/>
      <c r="BS459" s="97" t="n"/>
      <c r="BT459" s="96" t="n"/>
      <c r="BU459" s="97" t="n"/>
      <c r="BV459" s="96" t="n"/>
      <c r="BW459" s="97" t="n"/>
      <c r="BX459" s="97" t="n"/>
      <c r="BY459" s="97" t="n"/>
      <c r="BZ459" s="97" t="n"/>
      <c r="CH459" s="2" t="n"/>
      <c r="CI459" s="14" t="n"/>
      <c r="CJ459" s="25" t="n"/>
      <c r="CK459" s="25" t="n"/>
      <c r="CL459" s="25" t="n"/>
      <c r="CM459" s="25" t="n"/>
      <c r="CN459" s="25" t="n"/>
      <c r="CO459" s="25" t="n"/>
      <c r="CP459" s="25" t="n"/>
      <c r="CQ459" s="25" t="n"/>
      <c r="CR459" s="25" t="n"/>
      <c r="CS459" s="25" t="n"/>
      <c r="CT459" s="25" t="n"/>
      <c r="CU459" s="25" t="n"/>
      <c r="CV459" s="25" t="n"/>
      <c r="CW459" s="25" t="n"/>
      <c r="CX459" s="25" t="n"/>
      <c r="CY459" s="25" t="n"/>
      <c r="DC459" s="26" t="n"/>
      <c r="DD459" s="26" t="n"/>
      <c r="DE459" s="26" t="n"/>
      <c r="DF459" s="26" t="n"/>
      <c r="DG459" s="26" t="n"/>
      <c r="DH459" s="27" t="n"/>
      <c r="DJ459" s="211" t="inlineStr">
        <is>
          <t>订单表中未找到</t>
        </is>
      </c>
      <c r="DK459" t="inlineStr">
        <is>
          <t>—</t>
        </is>
      </c>
      <c r="DL459" t="inlineStr">
        <is>
          <t>—</t>
        </is>
      </c>
    </row>
    <row r="460" ht="15.75" customHeight="1" s="187">
      <c r="A460" s="84" t="n">
        <v>45989</v>
      </c>
      <c r="B460" s="206" t="inlineStr">
        <is>
          <t>已收货</t>
        </is>
      </c>
      <c r="C460" s="86" t="inlineStr">
        <is>
          <t>3090117938820214473</t>
        </is>
      </c>
      <c r="D460" s="110" t="inlineStr">
        <is>
          <t>庄</t>
        </is>
      </c>
      <c r="E460" s="87" t="n"/>
      <c r="F460" s="87" t="n"/>
      <c r="G460" s="207" t="inlineStr">
        <is>
          <t>样块*3</t>
        </is>
      </c>
      <c r="H460" s="207" t="inlineStr">
        <is>
          <t>样块</t>
        </is>
      </c>
      <c r="I460" s="89" t="n"/>
      <c r="J460" s="87" t="inlineStr">
        <is>
          <t>已结算</t>
        </is>
      </c>
      <c r="K460" s="87" t="inlineStr">
        <is>
          <t>杭州</t>
        </is>
      </c>
      <c r="L460" s="207">
        <f>SUM(M460:AO460)</f>
        <v/>
      </c>
      <c r="M460" s="207" t="n">
        <v>15</v>
      </c>
      <c r="N460" s="207" t="n"/>
      <c r="O460" s="207" t="n"/>
      <c r="P460" s="207" t="n"/>
      <c r="Q460" s="207" t="n"/>
      <c r="R460" s="207" t="n"/>
      <c r="S460" s="207" t="n"/>
      <c r="T460" s="207" t="n"/>
      <c r="U460" s="207" t="n"/>
      <c r="V460" s="207" t="n"/>
      <c r="W460" s="207" t="n"/>
      <c r="X460" s="207" t="n"/>
      <c r="Y460" s="207" t="n"/>
      <c r="Z460" s="207" t="n"/>
      <c r="AA460" s="207" t="n"/>
      <c r="AB460" s="207" t="n"/>
      <c r="AC460" s="207" t="n"/>
      <c r="AD460" s="207" t="n"/>
      <c r="AE460" s="207" t="n"/>
      <c r="AF460" s="207" t="n"/>
      <c r="AG460" s="207" t="n"/>
      <c r="AH460" s="207" t="n"/>
      <c r="AI460" s="207" t="n"/>
      <c r="AJ460" s="207" t="n"/>
      <c r="AK460" s="207" t="n"/>
      <c r="AL460" s="207" t="n"/>
      <c r="AM460" s="207" t="n">
        <v>2</v>
      </c>
      <c r="AN460" s="207" t="n"/>
      <c r="AO460" s="207" t="n"/>
      <c r="AP460" s="207" t="n">
        <v>5</v>
      </c>
      <c r="AQ460" s="207" t="n">
        <v>0</v>
      </c>
      <c r="AR460" s="207" t="n">
        <v>0</v>
      </c>
      <c r="AS460" s="207" t="n">
        <v>0</v>
      </c>
      <c r="AT460" s="207" t="n">
        <v>0</v>
      </c>
      <c r="AU460" s="207" t="n">
        <v>0</v>
      </c>
      <c r="AV460" s="207" t="n">
        <v>0</v>
      </c>
      <c r="AW460" s="207" t="n">
        <v>0</v>
      </c>
      <c r="AX460" s="208" t="n">
        <v>1</v>
      </c>
      <c r="AY460" s="209">
        <f>L460*AX460+AP460+AQ460+AR460+AV460+AW460+AS460+AT460+AU460</f>
        <v/>
      </c>
      <c r="AZ460" s="207" t="n">
        <v>66</v>
      </c>
      <c r="BA460" s="207" t="n">
        <v>0</v>
      </c>
      <c r="BB460" s="207">
        <f>AZ460*0.006</f>
        <v/>
      </c>
      <c r="BC460" s="209">
        <f>AZ460+BA460-BB460</f>
        <v/>
      </c>
      <c r="BD460" s="207" t="n">
        <v>0</v>
      </c>
      <c r="BE460" s="207" t="n">
        <v>0</v>
      </c>
      <c r="BF460" s="209">
        <f>BD460+BE460</f>
        <v/>
      </c>
      <c r="BG460" s="209">
        <f>BC460-AY460+BF460</f>
        <v/>
      </c>
      <c r="BH460" s="86" t="inlineStr">
        <is>
          <t>庄</t>
        </is>
      </c>
      <c r="BI460" s="86" t="inlineStr">
        <is>
          <t>北京 北京市 丰台区 成寿寺街道北京天誉1号楼1单元2201</t>
        </is>
      </c>
      <c r="BJ460" s="86" t="inlineStr">
        <is>
          <t>18400716700-9195</t>
        </is>
      </c>
      <c r="BK460" s="86" t="n"/>
      <c r="BL460" s="210" t="n"/>
      <c r="BM460" s="93" t="n"/>
      <c r="BN460" s="94" t="n"/>
      <c r="BO460" s="93" t="n"/>
      <c r="BP460" s="86" t="n"/>
      <c r="BQ460" s="96" t="n"/>
      <c r="BR460" s="96" t="n"/>
      <c r="BS460" s="97" t="n"/>
      <c r="BT460" s="96" t="n"/>
      <c r="BU460" s="97" t="n"/>
      <c r="BV460" s="96" t="n"/>
      <c r="BW460" s="97" t="n"/>
      <c r="BX460" s="97" t="n"/>
      <c r="BY460" s="97" t="n"/>
      <c r="BZ460" s="97" t="n"/>
      <c r="CH460" s="2" t="n"/>
      <c r="CI460" s="14" t="n"/>
      <c r="CJ460" s="25" t="n"/>
      <c r="CK460" s="25" t="n"/>
      <c r="CL460" s="25" t="n"/>
      <c r="CM460" s="25" t="n"/>
      <c r="CN460" s="25" t="n"/>
      <c r="CO460" s="25" t="n"/>
      <c r="CP460" s="25" t="n"/>
      <c r="CQ460" s="25" t="n"/>
      <c r="CR460" s="25" t="n"/>
      <c r="CS460" s="25" t="n"/>
      <c r="CT460" s="25" t="n"/>
      <c r="CU460" s="25" t="n"/>
      <c r="CV460" s="25" t="n"/>
      <c r="CW460" s="25" t="n"/>
      <c r="CX460" s="25" t="n"/>
      <c r="CY460" s="25" t="n"/>
      <c r="DC460" s="26" t="n"/>
      <c r="DD460" s="26" t="n"/>
      <c r="DE460" s="26" t="n"/>
      <c r="DF460" s="26" t="n"/>
      <c r="DG460" s="26" t="n"/>
      <c r="DH460" s="27" t="n"/>
      <c r="DJ460" s="211" t="inlineStr">
        <is>
          <t>订单表中未找到</t>
        </is>
      </c>
      <c r="DK460" t="inlineStr">
        <is>
          <t>—</t>
        </is>
      </c>
      <c r="DL460" t="inlineStr">
        <is>
          <t>—</t>
        </is>
      </c>
    </row>
    <row r="461" ht="15.75" customHeight="1" s="187">
      <c r="A461" s="84" t="n">
        <v>45990</v>
      </c>
      <c r="B461" s="206" t="inlineStr">
        <is>
          <t>已收货</t>
        </is>
      </c>
      <c r="C461" s="86" t="inlineStr">
        <is>
          <t>3092848107311946383</t>
        </is>
      </c>
      <c r="D461" s="110" t="inlineStr">
        <is>
          <t>张颖</t>
        </is>
      </c>
      <c r="E461" s="87" t="n"/>
      <c r="F461" s="87" t="n"/>
      <c r="G461" s="207" t="inlineStr">
        <is>
          <t>样块</t>
        </is>
      </c>
      <c r="H461" s="207" t="inlineStr">
        <is>
          <t>样块</t>
        </is>
      </c>
      <c r="I461" s="89" t="n"/>
      <c r="J461" s="87" t="inlineStr">
        <is>
          <t>已结算</t>
        </is>
      </c>
      <c r="K461" s="87" t="inlineStr">
        <is>
          <t>杭州</t>
        </is>
      </c>
      <c r="L461" s="207">
        <f>SUM(M461:AO461)</f>
        <v/>
      </c>
      <c r="M461" s="207" t="n">
        <v>5</v>
      </c>
      <c r="N461" s="207" t="n"/>
      <c r="O461" s="207" t="n"/>
      <c r="P461" s="207" t="n"/>
      <c r="Q461" s="207" t="n"/>
      <c r="R461" s="207" t="n"/>
      <c r="S461" s="207" t="n"/>
      <c r="T461" s="207" t="n"/>
      <c r="U461" s="207" t="n"/>
      <c r="V461" s="207" t="n"/>
      <c r="W461" s="207" t="n"/>
      <c r="X461" s="207" t="n"/>
      <c r="Y461" s="207" t="n"/>
      <c r="Z461" s="207" t="n"/>
      <c r="AA461" s="207" t="n"/>
      <c r="AB461" s="207" t="n"/>
      <c r="AC461" s="207" t="n"/>
      <c r="AD461" s="207" t="n"/>
      <c r="AE461" s="207" t="n"/>
      <c r="AF461" s="207" t="n"/>
      <c r="AG461" s="207" t="n"/>
      <c r="AH461" s="207" t="n"/>
      <c r="AI461" s="207" t="n"/>
      <c r="AJ461" s="207" t="n"/>
      <c r="AK461" s="207" t="n"/>
      <c r="AL461" s="207" t="n"/>
      <c r="AM461" s="207" t="n">
        <v>2</v>
      </c>
      <c r="AN461" s="207" t="n"/>
      <c r="AO461" s="207" t="n"/>
      <c r="AP461" s="207" t="n">
        <v>5</v>
      </c>
      <c r="AQ461" s="207" t="n">
        <v>0</v>
      </c>
      <c r="AR461" s="207" t="n">
        <v>0</v>
      </c>
      <c r="AS461" s="207" t="n">
        <v>0</v>
      </c>
      <c r="AT461" s="207" t="n">
        <v>0</v>
      </c>
      <c r="AU461" s="207" t="n">
        <v>0</v>
      </c>
      <c r="AV461" s="207" t="n">
        <v>0</v>
      </c>
      <c r="AW461" s="207" t="n">
        <v>0</v>
      </c>
      <c r="AX461" s="208" t="n">
        <v>1</v>
      </c>
      <c r="AY461" s="209">
        <f>L461*AX461+AP461+AQ461+AR461+AV461+AW461+AS461+AT461+AU461</f>
        <v/>
      </c>
      <c r="AZ461" s="207" t="n">
        <v>22</v>
      </c>
      <c r="BA461" s="207" t="n">
        <v>0</v>
      </c>
      <c r="BB461" s="207">
        <f>AZ461*0.006</f>
        <v/>
      </c>
      <c r="BC461" s="209">
        <f>AZ461+BA461-BB461</f>
        <v/>
      </c>
      <c r="BD461" s="207" t="n">
        <v>0</v>
      </c>
      <c r="BE461" s="207" t="n">
        <v>0</v>
      </c>
      <c r="BF461" s="209">
        <f>BD461+BE461</f>
        <v/>
      </c>
      <c r="BG461" s="209">
        <f>BC461-AY461+BF461</f>
        <v/>
      </c>
      <c r="BH461" s="86" t="inlineStr">
        <is>
          <t>张颖</t>
        </is>
      </c>
      <c r="BI461" s="86" t="inlineStr">
        <is>
          <t>北京 北京市 东城区 崇文门外街道国瑞北路国瑞城中区2号楼2单元1602</t>
        </is>
      </c>
      <c r="BJ461" s="86" t="inlineStr">
        <is>
          <t>17810331201-4291</t>
        </is>
      </c>
      <c r="BK461" s="86" t="n"/>
      <c r="BL461" s="210" t="n"/>
      <c r="BM461" s="93" t="n"/>
      <c r="BN461" s="94" t="n"/>
      <c r="BO461" s="93" t="n"/>
      <c r="BP461" s="86" t="n"/>
      <c r="BQ461" s="96" t="n"/>
      <c r="BR461" s="96" t="n"/>
      <c r="BS461" s="97" t="n"/>
      <c r="BT461" s="96" t="n"/>
      <c r="BU461" s="97" t="n"/>
      <c r="BV461" s="96" t="n"/>
      <c r="BW461" s="97" t="n"/>
      <c r="BX461" s="97" t="n"/>
      <c r="BY461" s="97" t="n"/>
      <c r="BZ461" s="97" t="n"/>
      <c r="CH461" s="2" t="n"/>
      <c r="CI461" s="14" t="n"/>
      <c r="CJ461" s="25" t="n"/>
      <c r="CK461" s="25" t="n"/>
      <c r="CL461" s="25" t="n"/>
      <c r="CM461" s="25" t="n"/>
      <c r="CN461" s="25" t="n"/>
      <c r="CO461" s="25" t="n"/>
      <c r="CP461" s="25" t="n"/>
      <c r="CQ461" s="25" t="n"/>
      <c r="CR461" s="25" t="n"/>
      <c r="CS461" s="25" t="n"/>
      <c r="CT461" s="25" t="n"/>
      <c r="CU461" s="25" t="n"/>
      <c r="CV461" s="25" t="n"/>
      <c r="CW461" s="25" t="n"/>
      <c r="CX461" s="25" t="n"/>
      <c r="CY461" s="25" t="n"/>
      <c r="DC461" s="26" t="n"/>
      <c r="DD461" s="26" t="n"/>
      <c r="DE461" s="26" t="n"/>
      <c r="DF461" s="26" t="n"/>
      <c r="DG461" s="26" t="n"/>
      <c r="DH461" s="27" t="n"/>
      <c r="DJ461" s="211" t="inlineStr">
        <is>
          <t>订单表中未找到</t>
        </is>
      </c>
      <c r="DK461" t="inlineStr">
        <is>
          <t>—</t>
        </is>
      </c>
      <c r="DL461" t="inlineStr">
        <is>
          <t>—</t>
        </is>
      </c>
    </row>
    <row r="462" ht="15.75" customHeight="1" s="187">
      <c r="A462" s="84" t="n">
        <v>45991</v>
      </c>
      <c r="B462" s="206" t="inlineStr">
        <is>
          <t>已收货</t>
        </is>
      </c>
      <c r="C462" s="86" t="inlineStr">
        <is>
          <t>3093596364937409865</t>
        </is>
      </c>
      <c r="D462" s="86" t="inlineStr">
        <is>
          <t>刘小婷</t>
        </is>
      </c>
      <c r="E462" s="87" t="n"/>
      <c r="F462" s="87" t="n"/>
      <c r="G462" s="207" t="inlineStr">
        <is>
          <t>样块</t>
        </is>
      </c>
      <c r="H462" s="207" t="inlineStr">
        <is>
          <t>样块</t>
        </is>
      </c>
      <c r="I462" s="89" t="n"/>
      <c r="J462" s="87" t="inlineStr">
        <is>
          <t>已结算</t>
        </is>
      </c>
      <c r="K462" s="87" t="inlineStr">
        <is>
          <t>杭州</t>
        </is>
      </c>
      <c r="L462" s="207">
        <f>SUM(M462:AO462)</f>
        <v/>
      </c>
      <c r="M462" s="207" t="n">
        <v>5</v>
      </c>
      <c r="N462" s="207" t="n"/>
      <c r="O462" s="207" t="n"/>
      <c r="P462" s="207" t="n"/>
      <c r="Q462" s="207" t="n"/>
      <c r="R462" s="207" t="n"/>
      <c r="S462" s="207" t="n"/>
      <c r="T462" s="207" t="n"/>
      <c r="U462" s="207" t="n"/>
      <c r="V462" s="207" t="n"/>
      <c r="W462" s="207" t="n"/>
      <c r="X462" s="207" t="n"/>
      <c r="Y462" s="207" t="n"/>
      <c r="Z462" s="207" t="n"/>
      <c r="AA462" s="207" t="n"/>
      <c r="AB462" s="207" t="n"/>
      <c r="AC462" s="207" t="n"/>
      <c r="AD462" s="207" t="n"/>
      <c r="AE462" s="207" t="n"/>
      <c r="AF462" s="207" t="n"/>
      <c r="AG462" s="207" t="n"/>
      <c r="AH462" s="207" t="n"/>
      <c r="AI462" s="207" t="n"/>
      <c r="AJ462" s="207" t="n"/>
      <c r="AK462" s="207" t="n"/>
      <c r="AL462" s="207" t="n"/>
      <c r="AM462" s="207" t="n">
        <v>2</v>
      </c>
      <c r="AN462" s="207" t="n"/>
      <c r="AO462" s="207" t="n"/>
      <c r="AP462" s="207" t="n">
        <v>5</v>
      </c>
      <c r="AQ462" s="207" t="n">
        <v>0</v>
      </c>
      <c r="AR462" s="207" t="n">
        <v>0</v>
      </c>
      <c r="AS462" s="207" t="n">
        <v>0</v>
      </c>
      <c r="AT462" s="207" t="n">
        <v>0</v>
      </c>
      <c r="AU462" s="207" t="n">
        <v>0</v>
      </c>
      <c r="AV462" s="207" t="n">
        <v>0</v>
      </c>
      <c r="AW462" s="207" t="n">
        <v>0</v>
      </c>
      <c r="AX462" s="208" t="n">
        <v>1</v>
      </c>
      <c r="AY462" s="209">
        <f>L462*AX462+AP462+AQ462+AR462+AV462+AW462+AS462+AT462+AU462</f>
        <v/>
      </c>
      <c r="AZ462" s="207" t="n">
        <v>22</v>
      </c>
      <c r="BA462" s="207" t="n">
        <v>0</v>
      </c>
      <c r="BB462" s="207">
        <f>AZ462*0.006</f>
        <v/>
      </c>
      <c r="BC462" s="209">
        <f>AZ462+BA462-BB462</f>
        <v/>
      </c>
      <c r="BD462" s="207" t="n">
        <v>0</v>
      </c>
      <c r="BE462" s="207" t="n">
        <v>0</v>
      </c>
      <c r="BF462" s="209">
        <f>BD462+BE462</f>
        <v/>
      </c>
      <c r="BG462" s="209">
        <f>BC462-AY462+BF462</f>
        <v/>
      </c>
      <c r="BH462" s="86" t="inlineStr">
        <is>
          <t>刘小婷</t>
        </is>
      </c>
      <c r="BI462" s="86" t="inlineStr">
        <is>
          <t>浙江省 湖州市 安吉县 昌硕街道双溪口村258号</t>
        </is>
      </c>
      <c r="BJ462" s="86" t="inlineStr">
        <is>
          <t>15785487857-8739</t>
        </is>
      </c>
      <c r="BK462" s="86" t="n"/>
      <c r="BL462" s="210" t="n"/>
      <c r="BM462" s="93" t="n"/>
      <c r="BN462" s="94" t="n"/>
      <c r="BO462" s="93" t="n"/>
      <c r="BP462" s="86" t="n"/>
      <c r="BQ462" s="96" t="n"/>
      <c r="BR462" s="96" t="n"/>
      <c r="BS462" s="97" t="n"/>
      <c r="BT462" s="96" t="n"/>
      <c r="BU462" s="97" t="n"/>
      <c r="BV462" s="96" t="n"/>
      <c r="BW462" s="97" t="n"/>
      <c r="BX462" s="97" t="n"/>
      <c r="BY462" s="97" t="n"/>
      <c r="BZ462" s="97" t="n"/>
      <c r="CH462" s="2" t="n"/>
      <c r="CI462" s="14" t="n"/>
      <c r="CJ462" s="25" t="n"/>
      <c r="CK462" s="25" t="n"/>
      <c r="CL462" s="25" t="n"/>
      <c r="CM462" s="25" t="n"/>
      <c r="CN462" s="25" t="n"/>
      <c r="CO462" s="25" t="n"/>
      <c r="CP462" s="25" t="n"/>
      <c r="CQ462" s="25" t="n"/>
      <c r="CR462" s="25" t="n"/>
      <c r="CS462" s="25" t="n"/>
      <c r="CT462" s="25" t="n"/>
      <c r="CU462" s="25" t="n"/>
      <c r="CV462" s="25" t="n"/>
      <c r="CW462" s="25" t="n"/>
      <c r="CX462" s="25" t="n"/>
      <c r="CY462" s="25" t="n"/>
      <c r="DC462" s="26" t="n"/>
      <c r="DD462" s="26" t="n"/>
      <c r="DE462" s="26" t="n"/>
      <c r="DF462" s="26" t="n"/>
      <c r="DG462" s="26" t="n"/>
      <c r="DH462" s="27" t="n"/>
      <c r="DJ462" s="211" t="inlineStr">
        <is>
          <t>订单表中未找到</t>
        </is>
      </c>
      <c r="DK462" t="inlineStr">
        <is>
          <t>—</t>
        </is>
      </c>
      <c r="DL462" t="inlineStr">
        <is>
          <t>—</t>
        </is>
      </c>
    </row>
    <row r="463" ht="15.75" customHeight="1" s="187">
      <c r="A463" s="84" t="n">
        <v>45991</v>
      </c>
      <c r="B463" s="206" t="inlineStr">
        <is>
          <t>已收货</t>
        </is>
      </c>
      <c r="C463" s="86" t="inlineStr">
        <is>
          <t>4914242029745081504</t>
        </is>
      </c>
      <c r="D463" s="86" t="inlineStr">
        <is>
          <t>黄懿歆</t>
        </is>
      </c>
      <c r="E463" s="87" t="n"/>
      <c r="F463" s="87" t="n"/>
      <c r="G463" s="87" t="inlineStr">
        <is>
          <t>插座*2</t>
        </is>
      </c>
      <c r="H463" s="207" t="inlineStr">
        <is>
          <t>配件</t>
        </is>
      </c>
      <c r="I463" s="89" t="n"/>
      <c r="J463" s="87" t="inlineStr">
        <is>
          <t>已结算</t>
        </is>
      </c>
      <c r="K463" s="86" t="inlineStr">
        <is>
          <t>其他</t>
        </is>
      </c>
      <c r="L463" s="216">
        <f>55*2</f>
        <v/>
      </c>
      <c r="M463" s="207">
        <f>55*2</f>
        <v/>
      </c>
      <c r="N463" s="207" t="n"/>
      <c r="O463" s="207" t="n"/>
      <c r="P463" s="207" t="n"/>
      <c r="Q463" s="207" t="n"/>
      <c r="R463" s="207" t="n"/>
      <c r="S463" s="207" t="n"/>
      <c r="T463" s="207" t="n"/>
      <c r="U463" s="207" t="n"/>
      <c r="V463" s="207" t="n"/>
      <c r="W463" s="207" t="n"/>
      <c r="X463" s="207" t="n"/>
      <c r="Y463" s="207" t="n"/>
      <c r="Z463" s="207" t="n"/>
      <c r="AA463" s="207" t="n"/>
      <c r="AB463" s="207" t="n"/>
      <c r="AC463" s="207" t="n"/>
      <c r="AD463" s="207" t="n"/>
      <c r="AE463" s="207" t="n"/>
      <c r="AF463" s="207" t="n"/>
      <c r="AG463" s="207" t="n"/>
      <c r="AH463" s="207" t="n"/>
      <c r="AI463" s="207" t="n"/>
      <c r="AJ463" s="207" t="n"/>
      <c r="AK463" s="207" t="n"/>
      <c r="AL463" s="207" t="n"/>
      <c r="AM463" s="207" t="n"/>
      <c r="AN463" s="207" t="n"/>
      <c r="AO463" s="207" t="n"/>
      <c r="AP463" s="207" t="n">
        <v>8</v>
      </c>
      <c r="AQ463" s="207" t="n">
        <v>0</v>
      </c>
      <c r="AR463" s="207" t="n">
        <v>0</v>
      </c>
      <c r="AS463" s="207" t="n">
        <v>0</v>
      </c>
      <c r="AT463" s="207" t="n">
        <v>0</v>
      </c>
      <c r="AU463" s="207" t="n">
        <v>0</v>
      </c>
      <c r="AV463" s="207" t="n">
        <v>0</v>
      </c>
      <c r="AW463" s="207" t="n">
        <v>0</v>
      </c>
      <c r="AX463" s="208" t="n">
        <v>1</v>
      </c>
      <c r="AY463" s="209">
        <f>L463*AX463+AP463+AQ463+AR463+AV463+AW463+AS463+AT463+AU463</f>
        <v/>
      </c>
      <c r="AZ463" s="207" t="n">
        <v>200</v>
      </c>
      <c r="BA463" s="207" t="n">
        <v>0</v>
      </c>
      <c r="BB463" s="207">
        <f>AZ463*0.006</f>
        <v/>
      </c>
      <c r="BC463" s="209">
        <f>AZ463+BA463-BB463</f>
        <v/>
      </c>
      <c r="BD463" s="207" t="n">
        <v>0</v>
      </c>
      <c r="BE463" s="207" t="n">
        <v>0</v>
      </c>
      <c r="BF463" s="209">
        <f>BD463+BE463</f>
        <v/>
      </c>
      <c r="BG463" s="209">
        <f>BC463-AY463+BF463</f>
        <v/>
      </c>
      <c r="BH463" s="86" t="inlineStr">
        <is>
          <t>黄懿歆</t>
        </is>
      </c>
      <c r="BI463" s="86" t="inlineStr">
        <is>
          <t>贵州省 贵阳市 花溪区 溪北街道中铁·阅花溪A组团12栋17楼2号</t>
        </is>
      </c>
      <c r="BJ463" s="86" t="inlineStr">
        <is>
          <t>18400314186-5233</t>
        </is>
      </c>
      <c r="BK463" s="86" t="n"/>
      <c r="BL463" s="210" t="n"/>
      <c r="BM463" s="93" t="n"/>
      <c r="BN463" s="94" t="n"/>
      <c r="BO463" s="93" t="n"/>
      <c r="BP463" s="86" t="n"/>
      <c r="BQ463" s="96" t="n"/>
      <c r="BR463" s="96" t="n"/>
      <c r="BS463" s="97" t="n"/>
      <c r="BT463" s="96" t="n"/>
      <c r="BU463" s="97" t="n"/>
      <c r="BV463" s="96" t="n"/>
      <c r="BW463" s="97" t="n"/>
      <c r="BX463" s="97" t="n"/>
      <c r="BY463" s="97" t="n"/>
      <c r="BZ463" s="97" t="n"/>
      <c r="CH463" s="2" t="n"/>
      <c r="CI463" s="14" t="n"/>
      <c r="CJ463" s="25" t="n"/>
      <c r="CK463" s="25" t="n"/>
      <c r="CL463" s="25" t="n"/>
      <c r="CM463" s="25" t="n"/>
      <c r="CN463" s="25" t="n"/>
      <c r="CO463" s="25" t="n"/>
      <c r="CP463" s="25" t="n"/>
      <c r="CQ463" s="25" t="n"/>
      <c r="CR463" s="25" t="n"/>
      <c r="CS463" s="25" t="n"/>
      <c r="CT463" s="25" t="n"/>
      <c r="CU463" s="25" t="n"/>
      <c r="CV463" s="25" t="n"/>
      <c r="CW463" s="25" t="n"/>
      <c r="CX463" s="25" t="n"/>
      <c r="CY463" s="25" t="n"/>
      <c r="DC463" s="26" t="n"/>
      <c r="DD463" s="26" t="n"/>
      <c r="DE463" s="26" t="n"/>
      <c r="DF463" s="26" t="n"/>
      <c r="DG463" s="26" t="n"/>
      <c r="DH463" s="27" t="n"/>
      <c r="DJ463" s="211" t="inlineStr">
        <is>
          <t>订单表中未找到</t>
        </is>
      </c>
      <c r="DK463" t="inlineStr">
        <is>
          <t>—</t>
        </is>
      </c>
      <c r="DL463" t="inlineStr">
        <is>
          <t>—</t>
        </is>
      </c>
    </row>
    <row r="464" ht="15.75" customHeight="1" s="187">
      <c r="A464" s="84" t="n">
        <v>45991</v>
      </c>
      <c r="B464" s="206" t="inlineStr">
        <is>
          <t>已收货</t>
        </is>
      </c>
      <c r="C464" s="86" t="inlineStr">
        <is>
          <t>3093811215968071672</t>
        </is>
      </c>
      <c r="D464" s="86" t="inlineStr">
        <is>
          <t>王</t>
        </is>
      </c>
      <c r="E464" s="87" t="n"/>
      <c r="F464" s="87" t="n"/>
      <c r="G464" s="87" t="inlineStr">
        <is>
          <t>补差价</t>
        </is>
      </c>
      <c r="H464" s="207" t="n"/>
      <c r="I464" s="89" t="n"/>
      <c r="J464" s="87" t="inlineStr">
        <is>
          <t>已结算</t>
        </is>
      </c>
      <c r="K464" s="86" t="inlineStr">
        <is>
          <t>庄毅</t>
        </is>
      </c>
      <c r="L464" s="216" t="n">
        <v>0</v>
      </c>
      <c r="M464" s="207" t="n">
        <v>0</v>
      </c>
      <c r="N464" s="207" t="n"/>
      <c r="O464" s="207" t="n"/>
      <c r="P464" s="207" t="n"/>
      <c r="Q464" s="207" t="n"/>
      <c r="R464" s="207" t="n"/>
      <c r="S464" s="207" t="n"/>
      <c r="T464" s="207" t="n"/>
      <c r="U464" s="207" t="n"/>
      <c r="V464" s="207" t="n"/>
      <c r="W464" s="207" t="n"/>
      <c r="X464" s="207" t="n"/>
      <c r="Y464" s="207" t="n"/>
      <c r="Z464" s="207" t="n"/>
      <c r="AA464" s="207" t="n"/>
      <c r="AB464" s="207" t="n"/>
      <c r="AC464" s="207" t="n"/>
      <c r="AD464" s="207" t="n"/>
      <c r="AE464" s="207" t="n"/>
      <c r="AF464" s="207" t="n"/>
      <c r="AG464" s="207" t="n"/>
      <c r="AH464" s="207" t="n"/>
      <c r="AI464" s="207" t="n"/>
      <c r="AJ464" s="207" t="n"/>
      <c r="AK464" s="207" t="n"/>
      <c r="AL464" s="207" t="n"/>
      <c r="AM464" s="207" t="n"/>
      <c r="AN464" s="207" t="n"/>
      <c r="AO464" s="207" t="n"/>
      <c r="AP464" s="207" t="n">
        <v>0</v>
      </c>
      <c r="AQ464" s="207" t="n">
        <v>0</v>
      </c>
      <c r="AR464" s="207" t="n">
        <v>0</v>
      </c>
      <c r="AS464" s="207" t="n">
        <v>0</v>
      </c>
      <c r="AT464" s="207" t="n">
        <v>0</v>
      </c>
      <c r="AU464" s="207" t="n">
        <v>0</v>
      </c>
      <c r="AV464" s="207" t="n">
        <v>0</v>
      </c>
      <c r="AW464" s="207" t="n">
        <v>0</v>
      </c>
      <c r="AX464" s="208" t="n">
        <v>1</v>
      </c>
      <c r="AY464" s="209">
        <f>L464*AX464+AP464+AQ464+AR464+AV464+AW464+AS464+AT464+AU464</f>
        <v/>
      </c>
      <c r="AZ464" s="207" t="n">
        <v>750</v>
      </c>
      <c r="BA464" s="207" t="n">
        <v>0</v>
      </c>
      <c r="BB464" s="207">
        <f>AZ464*0.006</f>
        <v/>
      </c>
      <c r="BC464" s="209">
        <f>AZ464+BA464-BB464</f>
        <v/>
      </c>
      <c r="BD464" s="207" t="n">
        <v>0</v>
      </c>
      <c r="BE464" s="207" t="n">
        <v>0</v>
      </c>
      <c r="BF464" s="209">
        <f>BD464+BE464</f>
        <v/>
      </c>
      <c r="BG464" s="209">
        <f>BC464-AY464+BF464</f>
        <v/>
      </c>
      <c r="BH464" s="86" t="inlineStr">
        <is>
          <t>王</t>
        </is>
      </c>
      <c r="BI464" s="86" t="inlineStr">
        <is>
          <t>安徽省 亳州市 谯城区 亳州市经济技术开发区建投铂悦府20栋二单元902</t>
        </is>
      </c>
      <c r="BJ464" s="86" t="inlineStr">
        <is>
          <t>18430738956-7666</t>
        </is>
      </c>
      <c r="BK464" s="86" t="n"/>
      <c r="BL464" s="210" t="n"/>
      <c r="BM464" s="93" t="n"/>
      <c r="BN464" s="94" t="n"/>
      <c r="BO464" s="93" t="n"/>
      <c r="BP464" s="86" t="n"/>
      <c r="BQ464" s="96" t="n"/>
      <c r="BR464" s="96" t="n"/>
      <c r="BS464" s="97" t="n"/>
      <c r="BT464" s="96" t="n"/>
      <c r="BU464" s="97" t="n"/>
      <c r="BV464" s="96" t="n"/>
      <c r="BW464" s="97" t="n"/>
      <c r="BX464" s="97" t="n"/>
      <c r="BY464" s="97" t="n"/>
      <c r="BZ464" s="97" t="n"/>
      <c r="CH464" s="2" t="n"/>
      <c r="CI464" s="14" t="n"/>
      <c r="CJ464" s="25" t="n"/>
      <c r="CK464" s="25" t="n"/>
      <c r="CL464" s="25" t="n"/>
      <c r="CM464" s="25" t="n"/>
      <c r="CN464" s="25" t="n"/>
      <c r="CO464" s="25" t="n"/>
      <c r="CP464" s="25" t="n"/>
      <c r="CQ464" s="25" t="n"/>
      <c r="CR464" s="25" t="n"/>
      <c r="CS464" s="25" t="n"/>
      <c r="CT464" s="25" t="n"/>
      <c r="CU464" s="25" t="n"/>
      <c r="CV464" s="25" t="n"/>
      <c r="CW464" s="25" t="n"/>
      <c r="CX464" s="25" t="n"/>
      <c r="CY464" s="25" t="n"/>
      <c r="DC464" s="26" t="n"/>
      <c r="DD464" s="26" t="n"/>
      <c r="DE464" s="26" t="n"/>
      <c r="DF464" s="26" t="n"/>
      <c r="DG464" s="26" t="n"/>
      <c r="DH464" s="27" t="n"/>
      <c r="DJ464" s="211" t="inlineStr">
        <is>
          <t>订单表中未找到</t>
        </is>
      </c>
      <c r="DK464" t="inlineStr">
        <is>
          <t>—</t>
        </is>
      </c>
      <c r="DL464" t="inlineStr">
        <is>
          <t>—</t>
        </is>
      </c>
    </row>
    <row r="465" ht="15.75" customHeight="1" s="187">
      <c r="A465" s="84" t="n">
        <v>45991</v>
      </c>
      <c r="B465" s="206" t="inlineStr">
        <is>
          <t>已收货</t>
        </is>
      </c>
      <c r="C465" s="86" t="inlineStr">
        <is>
          <t>3094748186825510397</t>
        </is>
      </c>
      <c r="D465" s="86" t="inlineStr">
        <is>
          <t>文子</t>
        </is>
      </c>
      <c r="E465" s="87" t="n"/>
      <c r="F465" s="87" t="n"/>
      <c r="G465" s="207" t="inlineStr">
        <is>
          <t>样块</t>
        </is>
      </c>
      <c r="H465" s="207" t="inlineStr">
        <is>
          <t>样块</t>
        </is>
      </c>
      <c r="I465" s="89" t="n"/>
      <c r="J465" s="87" t="inlineStr">
        <is>
          <t>已结算</t>
        </is>
      </c>
      <c r="K465" s="87" t="inlineStr">
        <is>
          <t>杭州</t>
        </is>
      </c>
      <c r="L465" s="207">
        <f>SUM(M465:AO465)</f>
        <v/>
      </c>
      <c r="M465" s="207" t="n">
        <v>5</v>
      </c>
      <c r="N465" s="207" t="n"/>
      <c r="O465" s="207" t="n"/>
      <c r="P465" s="207" t="n"/>
      <c r="Q465" s="207" t="n"/>
      <c r="R465" s="207" t="n"/>
      <c r="S465" s="207" t="n"/>
      <c r="T465" s="207" t="n"/>
      <c r="U465" s="207" t="n"/>
      <c r="V465" s="207" t="n"/>
      <c r="W465" s="207" t="n"/>
      <c r="X465" s="207" t="n"/>
      <c r="Y465" s="207" t="n"/>
      <c r="Z465" s="207" t="n"/>
      <c r="AA465" s="207" t="n"/>
      <c r="AB465" s="207" t="n"/>
      <c r="AC465" s="207" t="n"/>
      <c r="AD465" s="207" t="n"/>
      <c r="AE465" s="207" t="n"/>
      <c r="AF465" s="207" t="n"/>
      <c r="AG465" s="207" t="n"/>
      <c r="AH465" s="207" t="n"/>
      <c r="AI465" s="207" t="n"/>
      <c r="AJ465" s="207" t="n"/>
      <c r="AK465" s="207" t="n"/>
      <c r="AL465" s="207" t="n"/>
      <c r="AM465" s="207" t="n">
        <v>2</v>
      </c>
      <c r="AN465" s="207" t="n"/>
      <c r="AO465" s="207" t="n"/>
      <c r="AP465" s="207" t="n">
        <v>5</v>
      </c>
      <c r="AQ465" s="207" t="n">
        <v>0</v>
      </c>
      <c r="AR465" s="207" t="n">
        <v>0</v>
      </c>
      <c r="AS465" s="207" t="n">
        <v>0</v>
      </c>
      <c r="AT465" s="207" t="n">
        <v>0</v>
      </c>
      <c r="AU465" s="207" t="n">
        <v>0</v>
      </c>
      <c r="AV465" s="207" t="n">
        <v>0</v>
      </c>
      <c r="AW465" s="207" t="n">
        <v>0</v>
      </c>
      <c r="AX465" s="208" t="n">
        <v>1</v>
      </c>
      <c r="AY465" s="209">
        <f>L465*AX465+AP465+AQ465+AR465+AV465+AW465+AS465+AT465+AU465</f>
        <v/>
      </c>
      <c r="AZ465" s="207" t="n">
        <v>22</v>
      </c>
      <c r="BA465" s="207" t="n">
        <v>0</v>
      </c>
      <c r="BB465" s="207">
        <f>AZ465*0.006</f>
        <v/>
      </c>
      <c r="BC465" s="209">
        <f>AZ465+BA465-BB465</f>
        <v/>
      </c>
      <c r="BD465" s="207" t="n">
        <v>0</v>
      </c>
      <c r="BE465" s="207" t="n">
        <v>0</v>
      </c>
      <c r="BF465" s="209">
        <f>BD465+BE465</f>
        <v/>
      </c>
      <c r="BG465" s="209">
        <f>BC465-AY465+BF465</f>
        <v/>
      </c>
      <c r="BH465" s="86" t="inlineStr">
        <is>
          <t>文子</t>
        </is>
      </c>
      <c r="BI465" s="86" t="inlineStr">
        <is>
          <t>福建省 漳州市 龙文区 步文街道龙江北路中梁远洋星海天宸3栋2601</t>
        </is>
      </c>
      <c r="BJ465" s="86" t="inlineStr">
        <is>
          <t>17895965949-9669</t>
        </is>
      </c>
      <c r="BK465" s="86" t="n"/>
      <c r="BL465" s="210" t="n"/>
      <c r="BM465" s="93" t="n"/>
      <c r="BN465" s="94" t="n"/>
      <c r="BO465" s="93" t="n"/>
      <c r="BP465" s="86" t="n"/>
      <c r="BQ465" s="96" t="n"/>
      <c r="BR465" s="96" t="n"/>
      <c r="BS465" s="97" t="n"/>
      <c r="BT465" s="96" t="n"/>
      <c r="BU465" s="97" t="n"/>
      <c r="BV465" s="96" t="n"/>
      <c r="BW465" s="97" t="n"/>
      <c r="BX465" s="97" t="n"/>
      <c r="BY465" s="97" t="n"/>
      <c r="BZ465" s="97" t="n"/>
      <c r="CH465" s="2" t="n"/>
      <c r="CI465" s="14" t="n"/>
      <c r="CJ465" s="25" t="n"/>
      <c r="CK465" s="25" t="n"/>
      <c r="CL465" s="25" t="n"/>
      <c r="CM465" s="25" t="n"/>
      <c r="CN465" s="25" t="n"/>
      <c r="CO465" s="25" t="n"/>
      <c r="CP465" s="25" t="n"/>
      <c r="CQ465" s="25" t="n"/>
      <c r="CR465" s="25" t="n"/>
      <c r="CS465" s="25" t="n"/>
      <c r="CT465" s="25" t="n"/>
      <c r="CU465" s="25" t="n"/>
      <c r="CV465" s="25" t="n"/>
      <c r="CW465" s="25" t="n"/>
      <c r="CX465" s="25" t="n"/>
      <c r="CY465" s="25" t="n"/>
      <c r="DC465" s="26" t="n"/>
      <c r="DD465" s="26" t="n"/>
      <c r="DE465" s="26" t="n"/>
      <c r="DF465" s="26" t="n"/>
      <c r="DG465" s="26" t="n"/>
      <c r="DH465" s="27" t="n"/>
      <c r="DJ465" s="211" t="inlineStr">
        <is>
          <t>订单表中未找到</t>
        </is>
      </c>
      <c r="DK465" t="inlineStr">
        <is>
          <t>—</t>
        </is>
      </c>
      <c r="DL465" t="inlineStr">
        <is>
          <t>—</t>
        </is>
      </c>
    </row>
    <row r="466" ht="15.75" customHeight="1" s="187">
      <c r="A466" s="84" t="n">
        <v>45993</v>
      </c>
      <c r="B466" s="206" t="inlineStr">
        <is>
          <t>已收货</t>
        </is>
      </c>
      <c r="C466" s="86" t="inlineStr">
        <is>
          <t>4918528765919893645</t>
        </is>
      </c>
      <c r="D466" s="86" t="inlineStr">
        <is>
          <t>张梅西</t>
        </is>
      </c>
      <c r="E466" s="87" t="n"/>
      <c r="F466" s="87" t="n"/>
      <c r="G466" s="207" t="inlineStr">
        <is>
          <t>样块*2</t>
        </is>
      </c>
      <c r="H466" s="207" t="inlineStr">
        <is>
          <t>样块</t>
        </is>
      </c>
      <c r="I466" s="89" t="n"/>
      <c r="J466" s="87" t="inlineStr">
        <is>
          <t>已结算</t>
        </is>
      </c>
      <c r="K466" s="87" t="inlineStr">
        <is>
          <t>杭州</t>
        </is>
      </c>
      <c r="L466" s="207">
        <f>SUM(M466:AO466)</f>
        <v/>
      </c>
      <c r="M466" s="207" t="n">
        <v>10</v>
      </c>
      <c r="N466" s="207" t="n"/>
      <c r="O466" s="207" t="n"/>
      <c r="P466" s="207" t="n"/>
      <c r="Q466" s="207" t="n"/>
      <c r="R466" s="207" t="n"/>
      <c r="S466" s="207" t="n"/>
      <c r="T466" s="207" t="n"/>
      <c r="U466" s="207" t="n"/>
      <c r="V466" s="207" t="n"/>
      <c r="W466" s="207" t="n"/>
      <c r="X466" s="207" t="n"/>
      <c r="Y466" s="207" t="n"/>
      <c r="Z466" s="207" t="n"/>
      <c r="AA466" s="207" t="n"/>
      <c r="AB466" s="207" t="n"/>
      <c r="AC466" s="207" t="n"/>
      <c r="AD466" s="207" t="n"/>
      <c r="AE466" s="207" t="n"/>
      <c r="AF466" s="207" t="n"/>
      <c r="AG466" s="207" t="n"/>
      <c r="AH466" s="207" t="n"/>
      <c r="AI466" s="207" t="n"/>
      <c r="AJ466" s="207" t="n"/>
      <c r="AK466" s="207" t="n"/>
      <c r="AL466" s="207" t="n"/>
      <c r="AM466" s="207" t="n">
        <v>2</v>
      </c>
      <c r="AN466" s="207" t="n"/>
      <c r="AO466" s="207" t="n"/>
      <c r="AP466" s="207" t="n">
        <v>10</v>
      </c>
      <c r="AQ466" s="207" t="n">
        <v>0</v>
      </c>
      <c r="AR466" s="207" t="n">
        <v>0</v>
      </c>
      <c r="AS466" s="207" t="n">
        <v>0</v>
      </c>
      <c r="AT466" s="207" t="n">
        <v>0</v>
      </c>
      <c r="AU466" s="207" t="n">
        <v>0</v>
      </c>
      <c r="AV466" s="207" t="n">
        <v>0</v>
      </c>
      <c r="AW466" s="207" t="n">
        <v>0</v>
      </c>
      <c r="AX466" s="208" t="n">
        <v>1</v>
      </c>
      <c r="AY466" s="209">
        <f>L466*AX466+AP466+AQ466+AR466+AV466+AW466+AS466+AT466+AU466</f>
        <v/>
      </c>
      <c r="AZ466" s="207" t="n">
        <v>25</v>
      </c>
      <c r="BA466" s="207" t="n">
        <v>0</v>
      </c>
      <c r="BB466" s="207">
        <f>AZ466*0.006</f>
        <v/>
      </c>
      <c r="BC466" s="209">
        <f>AZ466+BA466-BB466</f>
        <v/>
      </c>
      <c r="BD466" s="207" t="n">
        <v>0</v>
      </c>
      <c r="BE466" s="207" t="n">
        <v>0</v>
      </c>
      <c r="BF466" s="209">
        <f>BD466+BE466</f>
        <v/>
      </c>
      <c r="BG466" s="209">
        <f>BC466-AY466+BF466</f>
        <v/>
      </c>
      <c r="BH466" s="86" t="inlineStr">
        <is>
          <t>张梅西</t>
        </is>
      </c>
      <c r="BI466" s="86" t="inlineStr">
        <is>
          <t>北京 北京市 海淀区 西北旺镇栖海澐颂7号楼1单元1102</t>
        </is>
      </c>
      <c r="BJ466" s="86" t="inlineStr">
        <is>
          <t>18400807481-8525</t>
        </is>
      </c>
      <c r="BK466" s="86" t="n"/>
      <c r="BL466" s="210" t="n"/>
      <c r="BM466" s="93" t="n"/>
      <c r="BN466" s="94" t="n"/>
      <c r="BO466" s="93" t="n"/>
      <c r="BP466" s="86" t="n"/>
      <c r="BQ466" s="96" t="n"/>
      <c r="BR466" s="96" t="n"/>
      <c r="BS466" s="97" t="n"/>
      <c r="BT466" s="96" t="n"/>
      <c r="BU466" s="97" t="n"/>
      <c r="BV466" s="96" t="n"/>
      <c r="BW466" s="97" t="n"/>
      <c r="BX466" s="97" t="n"/>
      <c r="BY466" s="97" t="n"/>
      <c r="BZ466" s="97" t="n"/>
      <c r="CH466" s="2" t="n"/>
      <c r="CI466" s="14" t="n"/>
      <c r="CJ466" s="25" t="n"/>
      <c r="CK466" s="25" t="n"/>
      <c r="CL466" s="25" t="n"/>
      <c r="CM466" s="25" t="n"/>
      <c r="CN466" s="25" t="n"/>
      <c r="CO466" s="25" t="n"/>
      <c r="CP466" s="25" t="n"/>
      <c r="CQ466" s="25" t="n"/>
      <c r="CR466" s="25" t="n"/>
      <c r="CS466" s="25" t="n"/>
      <c r="CT466" s="25" t="n"/>
      <c r="CU466" s="25" t="n"/>
      <c r="CV466" s="25" t="n"/>
      <c r="CW466" s="25" t="n"/>
      <c r="CX466" s="25" t="n"/>
      <c r="CY466" s="25" t="n"/>
      <c r="DC466" s="26" t="n"/>
      <c r="DD466" s="26" t="n"/>
      <c r="DE466" s="26" t="n"/>
      <c r="DF466" s="26" t="n"/>
      <c r="DG466" s="26" t="n"/>
      <c r="DH466" s="27" t="n"/>
      <c r="DJ466" s="211" t="inlineStr">
        <is>
          <t>订单表中未找到</t>
        </is>
      </c>
      <c r="DK466" t="inlineStr">
        <is>
          <t>—</t>
        </is>
      </c>
      <c r="DL466" t="inlineStr">
        <is>
          <t>—</t>
        </is>
      </c>
    </row>
    <row r="467" ht="15.75" customHeight="1" s="187">
      <c r="A467" s="84" t="n">
        <v>45999</v>
      </c>
      <c r="B467" s="206" t="inlineStr">
        <is>
          <t>已收货</t>
        </is>
      </c>
      <c r="C467" s="86" t="inlineStr">
        <is>
          <t>3108940680843940965</t>
        </is>
      </c>
      <c r="D467" s="86" t="inlineStr">
        <is>
          <t>孟女士</t>
        </is>
      </c>
      <c r="E467" s="87" t="inlineStr">
        <is>
          <t>单独给师傅免钉胶费用20元</t>
        </is>
      </c>
      <c r="F467" s="87" t="n"/>
      <c r="G467" s="87" t="inlineStr">
        <is>
          <t>砂白色2.0米岩板餐桌</t>
        </is>
      </c>
      <c r="H467" s="207" t="inlineStr">
        <is>
          <t>榉木餐桌</t>
        </is>
      </c>
      <c r="I467" s="89" t="inlineStr">
        <is>
          <t>200cm*85cm</t>
        </is>
      </c>
      <c r="J467" s="87" t="inlineStr">
        <is>
          <t>已结算</t>
        </is>
      </c>
      <c r="K467" s="86" t="inlineStr">
        <is>
          <t>江西</t>
        </is>
      </c>
      <c r="L467" s="207">
        <f>SUM(M467:AO467)</f>
        <v/>
      </c>
      <c r="M467" s="207">
        <f>1450</f>
        <v/>
      </c>
      <c r="N467" s="207" t="n"/>
      <c r="O467" s="207" t="n"/>
      <c r="P467" s="207" t="n"/>
      <c r="Q467" s="207" t="n"/>
      <c r="R467" s="207" t="n">
        <v>290</v>
      </c>
      <c r="S467" s="207" t="n"/>
      <c r="T467" s="207" t="n"/>
      <c r="U467" s="207" t="n"/>
      <c r="V467" s="207" t="n"/>
      <c r="W467" s="207" t="n"/>
      <c r="X467" s="207" t="n"/>
      <c r="Y467" s="207" t="n"/>
      <c r="Z467" s="207" t="n"/>
      <c r="AA467" s="207" t="n"/>
      <c r="AB467" s="207" t="n"/>
      <c r="AC467" s="207" t="n"/>
      <c r="AD467" s="207" t="n">
        <v>2.5</v>
      </c>
      <c r="AE467" s="207" t="n"/>
      <c r="AF467" s="207" t="n"/>
      <c r="AG467" s="207" t="n"/>
      <c r="AH467" s="207" t="n"/>
      <c r="AI467" s="207" t="n"/>
      <c r="AJ467" s="207" t="n"/>
      <c r="AK467" s="207" t="n"/>
      <c r="AL467" s="207" t="n"/>
      <c r="AM467" s="207" t="n">
        <v>210</v>
      </c>
      <c r="AN467" s="207" t="n"/>
      <c r="AO467" s="207" t="n"/>
      <c r="AP467" s="207">
        <f>263-AQ467</f>
        <v/>
      </c>
      <c r="AQ467" s="207" t="n">
        <v>35</v>
      </c>
      <c r="AR467" s="207" t="n">
        <v>79</v>
      </c>
      <c r="AS467" s="207" t="n">
        <v>0</v>
      </c>
      <c r="AT467" s="207" t="n">
        <v>0</v>
      </c>
      <c r="AU467" s="207" t="n">
        <v>0</v>
      </c>
      <c r="AV467" s="207" t="n">
        <v>20</v>
      </c>
      <c r="AW467" s="207" t="n">
        <v>0</v>
      </c>
      <c r="AX467" s="208" t="n">
        <v>1</v>
      </c>
      <c r="AY467" s="209">
        <f>L467*AX467+AP467+AQ467+AR467+AV467+AW467+AS467+AT467+AU467</f>
        <v/>
      </c>
      <c r="AZ467" s="207" t="n">
        <v>3120.52</v>
      </c>
      <c r="BA467" s="207" t="n">
        <v>0</v>
      </c>
      <c r="BB467" s="207">
        <f>AZ467*0.006</f>
        <v/>
      </c>
      <c r="BC467" s="209">
        <f>AZ467+BA467-BB467</f>
        <v/>
      </c>
      <c r="BD467" s="207" t="n">
        <v>0</v>
      </c>
      <c r="BE467" s="207" t="n">
        <v>0</v>
      </c>
      <c r="BF467" s="209">
        <f>BD467+BE467</f>
        <v/>
      </c>
      <c r="BG467" s="209">
        <f>BC467-AY467+BF467</f>
        <v/>
      </c>
      <c r="BH467" s="86" t="inlineStr">
        <is>
          <t>孟女士</t>
        </is>
      </c>
      <c r="BI467" s="86" t="inlineStr">
        <is>
          <t>重庆 重庆市 沙坪坝区 土主街道龙湖熙上二组团5栋2单元501</t>
        </is>
      </c>
      <c r="BJ467" s="86" t="inlineStr">
        <is>
          <t>14727238559-4604</t>
        </is>
      </c>
      <c r="BK467" s="86" t="n"/>
      <c r="BL467" s="210" t="n"/>
      <c r="BM467" s="93" t="n"/>
      <c r="BN467" s="94" t="n"/>
      <c r="BO467" s="93" t="n"/>
      <c r="BP467" s="86" t="n"/>
      <c r="BQ467" s="96" t="n"/>
      <c r="BR467" s="96" t="n"/>
      <c r="BS467" s="97" t="n"/>
      <c r="BT467" s="96" t="n"/>
      <c r="BU467" s="97" t="n"/>
      <c r="BV467" s="96" t="n"/>
      <c r="BW467" s="97" t="n"/>
      <c r="BX467" s="97" t="n"/>
      <c r="BY467" s="97" t="n"/>
      <c r="BZ467" s="97" t="n"/>
      <c r="CH467" s="2" t="n"/>
      <c r="CI467" s="14" t="n"/>
      <c r="CJ467" s="25" t="n"/>
      <c r="CK467" s="25" t="n"/>
      <c r="CL467" s="25" t="n"/>
      <c r="CM467" s="25" t="n"/>
      <c r="CN467" s="25" t="n"/>
      <c r="CO467" s="25" t="n"/>
      <c r="CP467" s="25" t="n"/>
      <c r="CQ467" s="25" t="n"/>
      <c r="CR467" s="25" t="n"/>
      <c r="CS467" s="25" t="n"/>
      <c r="CT467" s="25" t="n"/>
      <c r="CU467" s="25" t="n"/>
      <c r="CV467" s="25" t="n"/>
      <c r="CW467" s="25" t="n"/>
      <c r="CX467" s="25" t="n"/>
      <c r="CY467" s="25" t="n"/>
      <c r="DC467" s="26" t="n"/>
      <c r="DD467" s="26" t="n"/>
      <c r="DE467" s="26" t="n"/>
      <c r="DF467" s="26" t="n"/>
      <c r="DG467" s="26" t="n"/>
      <c r="DH467" s="27" t="n"/>
      <c r="DJ467" s="211" t="inlineStr">
        <is>
          <t>订单表中未找到</t>
        </is>
      </c>
      <c r="DK467" t="inlineStr">
        <is>
          <t>—</t>
        </is>
      </c>
      <c r="DL467" t="inlineStr">
        <is>
          <t>—</t>
        </is>
      </c>
    </row>
    <row r="468" ht="15.75" customHeight="1" s="187">
      <c r="A468" s="84" t="n">
        <v>45999</v>
      </c>
      <c r="B468" s="206" t="inlineStr">
        <is>
          <t>已收货</t>
        </is>
      </c>
      <c r="C468" s="86" t="inlineStr">
        <is>
          <t>4930686182984355515</t>
        </is>
      </c>
      <c r="D468" s="86" t="inlineStr">
        <is>
          <t>甜妹子</t>
        </is>
      </c>
      <c r="E468" s="87" t="n"/>
      <c r="F468" s="87" t="n"/>
      <c r="G468" s="207" t="inlineStr">
        <is>
          <t>窄柜-整柜洞石背板-1.0米</t>
        </is>
      </c>
      <c r="H468" s="207" t="inlineStr">
        <is>
          <t>樱桃木窄柜</t>
        </is>
      </c>
      <c r="I468" s="89" t="n">
        <v>1000</v>
      </c>
      <c r="J468" s="87" t="inlineStr">
        <is>
          <t>已结算</t>
        </is>
      </c>
      <c r="K468" s="86" t="inlineStr">
        <is>
          <t>江西</t>
        </is>
      </c>
      <c r="L468" s="207">
        <f>3300+115+190+1.16+3.37+1.1+1.03+76/2+5+359.08+52+3+170+54</f>
        <v/>
      </c>
      <c r="M468" s="207">
        <f>3300</f>
        <v/>
      </c>
      <c r="N468" s="207">
        <f>0.958*260+2*55</f>
        <v/>
      </c>
      <c r="O468" s="207" t="n">
        <v>120</v>
      </c>
      <c r="P468" s="207" t="n"/>
      <c r="Q468" s="207">
        <f>19*2</f>
        <v/>
      </c>
      <c r="R468" s="207" t="n">
        <v>190</v>
      </c>
      <c r="S468" s="207" t="n">
        <v>54</v>
      </c>
      <c r="T468" s="207" t="n">
        <v>52</v>
      </c>
      <c r="U468" s="207" t="n"/>
      <c r="V468" s="207" t="n">
        <v>5</v>
      </c>
      <c r="W468" s="207" t="n"/>
      <c r="X468" s="207" t="n"/>
      <c r="Y468" s="207" t="n"/>
      <c r="Z468" s="207" t="n"/>
      <c r="AA468" s="207" t="n">
        <v>2</v>
      </c>
      <c r="AB468" s="207" t="n">
        <v>1.1</v>
      </c>
      <c r="AC468" s="207" t="n">
        <v>3.5</v>
      </c>
      <c r="AD468" s="207" t="n"/>
      <c r="AE468" s="207" t="n"/>
      <c r="AF468" s="207" t="n"/>
      <c r="AG468" s="207" t="n"/>
      <c r="AH468" s="207" t="n"/>
      <c r="AI468" s="207" t="n"/>
      <c r="AJ468" s="207" t="n"/>
      <c r="AK468" s="207" t="n"/>
      <c r="AL468" s="207" t="n"/>
      <c r="AM468" s="207" t="n">
        <v>170</v>
      </c>
      <c r="AN468" s="207" t="n"/>
      <c r="AO468" s="207" t="n"/>
      <c r="AP468" s="207">
        <f>290-AQ468</f>
        <v/>
      </c>
      <c r="AQ468" s="207" t="n">
        <v>63</v>
      </c>
      <c r="AR468" s="207" t="n">
        <v>79</v>
      </c>
      <c r="AS468" s="207" t="n">
        <v>0</v>
      </c>
      <c r="AT468" s="207" t="n">
        <v>0</v>
      </c>
      <c r="AU468" s="207" t="n">
        <v>0</v>
      </c>
      <c r="AV468" s="207" t="n">
        <v>0</v>
      </c>
      <c r="AW468" s="207" t="n">
        <v>120</v>
      </c>
      <c r="AX468" s="208" t="n">
        <v>1</v>
      </c>
      <c r="AY468" s="209">
        <f>L468*AX468+AP468+AQ468+AR468+AV468+AW468+AS468+AT468+AU468</f>
        <v/>
      </c>
      <c r="AZ468" s="207" t="n">
        <v>5280.7</v>
      </c>
      <c r="BA468" s="207" t="n">
        <v>0</v>
      </c>
      <c r="BB468" s="207">
        <f>AZ468*0.006</f>
        <v/>
      </c>
      <c r="BC468" s="209">
        <f>AZ468+BA468-BB468</f>
        <v/>
      </c>
      <c r="BD468" s="207" t="n">
        <v>0</v>
      </c>
      <c r="BE468" s="207" t="n">
        <v>0</v>
      </c>
      <c r="BF468" s="209">
        <f>BD468+BE468</f>
        <v/>
      </c>
      <c r="BG468" s="209">
        <f>BC468-AY468+BF468</f>
        <v/>
      </c>
      <c r="BH468" s="86" t="inlineStr">
        <is>
          <t>甜妹子</t>
        </is>
      </c>
      <c r="BI468" s="86" t="inlineStr">
        <is>
          <t>广东省 深圳市 宝安区 西乡街道碧湾雅园A栋1103</t>
        </is>
      </c>
      <c r="BJ468" s="86" t="inlineStr">
        <is>
          <t>15794981017-1621</t>
        </is>
      </c>
      <c r="BK468" s="86" t="n"/>
      <c r="BL468" s="210" t="n"/>
      <c r="BM468" s="93" t="n"/>
      <c r="BN468" s="94" t="n"/>
      <c r="BO468" s="93" t="n"/>
      <c r="BP468" s="86" t="n"/>
      <c r="BQ468" s="96" t="n"/>
      <c r="BR468" s="96" t="n"/>
      <c r="BS468" s="97" t="n"/>
      <c r="BT468" s="96" t="n"/>
      <c r="BU468" s="97" t="n"/>
      <c r="BV468" s="96" t="n"/>
      <c r="BW468" s="97" t="n"/>
      <c r="BX468" s="97" t="n"/>
      <c r="BY468" s="97" t="n"/>
      <c r="BZ468" s="97" t="n"/>
      <c r="CH468" s="2" t="n"/>
      <c r="CI468" s="14" t="n"/>
      <c r="CJ468" s="25" t="n"/>
      <c r="CK468" s="25" t="n"/>
      <c r="CL468" s="25" t="n"/>
      <c r="CM468" s="25" t="n"/>
      <c r="CN468" s="25" t="n"/>
      <c r="CO468" s="25" t="n"/>
      <c r="CP468" s="25" t="n"/>
      <c r="CQ468" s="25" t="n"/>
      <c r="CR468" s="25" t="n"/>
      <c r="CS468" s="25" t="n"/>
      <c r="CT468" s="25" t="n"/>
      <c r="CU468" s="25" t="n"/>
      <c r="CV468" s="25" t="n"/>
      <c r="CW468" s="25" t="n"/>
      <c r="CX468" s="25" t="n"/>
      <c r="CY468" s="25" t="n"/>
      <c r="DC468" s="26" t="n"/>
      <c r="DD468" s="26" t="n"/>
      <c r="DE468" s="26" t="n"/>
      <c r="DF468" s="26" t="n"/>
      <c r="DG468" s="26" t="n"/>
      <c r="DH468" s="27" t="n"/>
      <c r="DJ468" s="211" t="inlineStr">
        <is>
          <t>订单表中未找到</t>
        </is>
      </c>
      <c r="DK468" t="inlineStr">
        <is>
          <t>—</t>
        </is>
      </c>
      <c r="DL468" t="inlineStr">
        <is>
          <t>—</t>
        </is>
      </c>
    </row>
    <row r="469" ht="15.75" customHeight="1" s="187">
      <c r="A469" s="84" t="n">
        <v>45999</v>
      </c>
      <c r="B469" s="206" t="inlineStr">
        <is>
          <t>已收货</t>
        </is>
      </c>
      <c r="C469" s="86" t="inlineStr">
        <is>
          <t>4931373384906685131</t>
        </is>
      </c>
      <c r="D469" s="86" t="inlineStr">
        <is>
          <t>李明</t>
        </is>
      </c>
      <c r="E469" s="87" t="n"/>
      <c r="F469" s="87" t="n"/>
      <c r="G469" s="87" t="inlineStr">
        <is>
          <t>砂白色1.4米岩板餐桌</t>
        </is>
      </c>
      <c r="H469" s="207" t="inlineStr">
        <is>
          <t>榉木餐桌</t>
        </is>
      </c>
      <c r="I469" s="89" t="inlineStr">
        <is>
          <t>140cm*85cm</t>
        </is>
      </c>
      <c r="J469" s="87" t="inlineStr">
        <is>
          <t>已结算</t>
        </is>
      </c>
      <c r="K469" s="86" t="inlineStr">
        <is>
          <t>江西</t>
        </is>
      </c>
      <c r="L469" s="207">
        <f>SUM(M469:AO469)</f>
        <v/>
      </c>
      <c r="M469" s="207" t="n">
        <v>1300</v>
      </c>
      <c r="N469" s="207" t="n"/>
      <c r="O469" s="207" t="n"/>
      <c r="P469" s="207" t="n"/>
      <c r="Q469" s="207" t="n"/>
      <c r="R469" s="207" t="n">
        <v>220</v>
      </c>
      <c r="S469" s="207" t="n"/>
      <c r="T469" s="207" t="n"/>
      <c r="U469" s="207" t="n"/>
      <c r="V469" s="207" t="n"/>
      <c r="W469" s="207" t="n"/>
      <c r="X469" s="207" t="n"/>
      <c r="Y469" s="207" t="n"/>
      <c r="Z469" s="207" t="n"/>
      <c r="AA469" s="207" t="n"/>
      <c r="AB469" s="207" t="n"/>
      <c r="AC469" s="207" t="n"/>
      <c r="AD469" s="207" t="n">
        <v>2.5</v>
      </c>
      <c r="AE469" s="207" t="n"/>
      <c r="AF469" s="207" t="n"/>
      <c r="AG469" s="207" t="n"/>
      <c r="AH469" s="207" t="n"/>
      <c r="AI469" s="207" t="n"/>
      <c r="AJ469" s="207" t="n"/>
      <c r="AK469" s="207" t="n"/>
      <c r="AL469" s="207" t="n"/>
      <c r="AM469" s="207" t="n">
        <v>180</v>
      </c>
      <c r="AN469" s="207" t="n"/>
      <c r="AO469" s="207" t="n"/>
      <c r="AP469" s="207" t="n">
        <v>96</v>
      </c>
      <c r="AQ469" s="207" t="n">
        <v>0</v>
      </c>
      <c r="AR469" s="207" t="n">
        <v>0</v>
      </c>
      <c r="AS469" s="207" t="n">
        <v>0</v>
      </c>
      <c r="AT469" s="207" t="n">
        <v>0</v>
      </c>
      <c r="AU469" s="207" t="n">
        <v>0</v>
      </c>
      <c r="AV469" s="207" t="n">
        <v>0</v>
      </c>
      <c r="AW469" s="207" t="n">
        <v>0</v>
      </c>
      <c r="AX469" s="208" t="n">
        <v>1</v>
      </c>
      <c r="AY469" s="209">
        <f>L469*AX469+AP469+AQ469+AR469+AV469+AW469+AS469+AT469+AU469</f>
        <v/>
      </c>
      <c r="AZ469" s="207" t="n">
        <v>2764.36</v>
      </c>
      <c r="BA469" s="207" t="n">
        <v>0</v>
      </c>
      <c r="BB469" s="207">
        <f>AZ469*0.006</f>
        <v/>
      </c>
      <c r="BC469" s="209">
        <f>AZ469+BA469-BB469</f>
        <v/>
      </c>
      <c r="BD469" s="207" t="n">
        <v>0</v>
      </c>
      <c r="BE469" s="207" t="n">
        <v>0</v>
      </c>
      <c r="BF469" s="209">
        <f>BD469+BE469</f>
        <v/>
      </c>
      <c r="BG469" s="209">
        <f>BC469-AY469+BF469</f>
        <v/>
      </c>
      <c r="BH469" s="86" t="inlineStr">
        <is>
          <t>李明</t>
        </is>
      </c>
      <c r="BI469" s="86" t="inlineStr">
        <is>
          <t>广东省 广州市 白云区 太和镇广州市白云区太和镇大沥村大沥庙前路3号转(817620） 邮编：510550</t>
        </is>
      </c>
      <c r="BJ469" s="86" t="inlineStr">
        <is>
          <t>13242330593-4538</t>
        </is>
      </c>
      <c r="BK469" s="86" t="n"/>
      <c r="BL469" s="210" t="n"/>
      <c r="BM469" s="93" t="n"/>
      <c r="BN469" s="94" t="n"/>
      <c r="BO469" s="93" t="n"/>
      <c r="BP469" s="86" t="n"/>
      <c r="BQ469" s="96" t="n"/>
      <c r="BR469" s="96" t="n"/>
      <c r="BS469" s="97" t="n"/>
      <c r="BT469" s="96" t="n"/>
      <c r="BU469" s="97" t="n"/>
      <c r="BV469" s="96" t="n"/>
      <c r="BW469" s="97" t="n"/>
      <c r="BX469" s="97" t="n"/>
      <c r="BY469" s="97" t="n"/>
      <c r="BZ469" s="97" t="n"/>
      <c r="CH469" s="2" t="n"/>
      <c r="CI469" s="14" t="n"/>
      <c r="CJ469" s="25" t="n"/>
      <c r="CK469" s="25" t="n"/>
      <c r="CL469" s="25" t="n"/>
      <c r="CM469" s="25" t="n"/>
      <c r="CN469" s="25" t="n"/>
      <c r="CO469" s="25" t="n"/>
      <c r="CP469" s="25" t="n"/>
      <c r="CQ469" s="25" t="n"/>
      <c r="CR469" s="25" t="n"/>
      <c r="CS469" s="25" t="n"/>
      <c r="CT469" s="25" t="n"/>
      <c r="CU469" s="25" t="n"/>
      <c r="CV469" s="25" t="n"/>
      <c r="CW469" s="25" t="n"/>
      <c r="CX469" s="25" t="n"/>
      <c r="CY469" s="25" t="n"/>
      <c r="DC469" s="26" t="n"/>
      <c r="DD469" s="26" t="n"/>
      <c r="DE469" s="26" t="n"/>
      <c r="DF469" s="26" t="n"/>
      <c r="DG469" s="26" t="n"/>
      <c r="DH469" s="27" t="n"/>
      <c r="DJ469" s="211" t="inlineStr">
        <is>
          <t>订单表中未找到</t>
        </is>
      </c>
      <c r="DK469" t="inlineStr">
        <is>
          <t>—</t>
        </is>
      </c>
      <c r="DL469" t="inlineStr">
        <is>
          <t>—</t>
        </is>
      </c>
    </row>
    <row r="470" ht="15.75" customHeight="1" s="187">
      <c r="A470" s="84" t="n">
        <v>45999</v>
      </c>
      <c r="B470" s="226" t="inlineStr">
        <is>
          <t>未发货</t>
        </is>
      </c>
      <c r="C470" s="86" t="inlineStr">
        <is>
          <t>4931308621633047840</t>
        </is>
      </c>
      <c r="D470" s="110" t="inlineStr">
        <is>
          <t>种璐瑶</t>
        </is>
      </c>
      <c r="E470" s="87" t="n"/>
      <c r="F470" s="87" t="n"/>
      <c r="G470" s="207" t="inlineStr">
        <is>
          <t>2.1洞石柜</t>
        </is>
      </c>
      <c r="H470" s="207" t="inlineStr">
        <is>
          <t>洞石餐边柜</t>
        </is>
      </c>
      <c r="I470" s="89" t="n">
        <v>2100</v>
      </c>
      <c r="J470" s="87" t="n"/>
      <c r="K470" s="86" t="inlineStr">
        <is>
          <t>江西</t>
        </is>
      </c>
      <c r="L470" s="121">
        <f>6300+690+52*2+2040/6/1.5+10+92+20+14+22*7+755.08+470+98</f>
        <v/>
      </c>
      <c r="M470" s="207" t="n">
        <v>5700</v>
      </c>
      <c r="N470" s="207" t="n">
        <v>690</v>
      </c>
      <c r="O470" s="207" t="inlineStr">
        <is>
          <t>52*2</t>
        </is>
      </c>
      <c r="P470" s="207" t="inlineStr">
        <is>
          <t>2040/6/1.5</t>
        </is>
      </c>
      <c r="Q470" s="207" t="n"/>
      <c r="R470" s="207" t="n">
        <v>10</v>
      </c>
      <c r="S470" s="207" t="n">
        <v>92</v>
      </c>
      <c r="T470" s="207" t="n">
        <v>20</v>
      </c>
      <c r="U470" s="207" t="n"/>
      <c r="V470" s="207" t="n"/>
      <c r="W470" s="207" t="n">
        <v>14</v>
      </c>
      <c r="X470" s="207">
        <f>22*7</f>
        <v/>
      </c>
      <c r="Y470" s="207" t="n">
        <v>755.08</v>
      </c>
      <c r="Z470" s="207" t="n"/>
      <c r="AA470" s="207" t="n"/>
      <c r="AB470" s="207" t="n"/>
      <c r="AC470" s="207" t="n"/>
      <c r="AD470" s="207" t="n">
        <v>98</v>
      </c>
      <c r="AE470" s="207" t="n">
        <v>470</v>
      </c>
      <c r="AF470" s="207" t="n"/>
      <c r="AG470" s="207" t="n"/>
      <c r="AH470" s="207" t="n"/>
      <c r="AI470" s="207" t="n"/>
      <c r="AJ470" s="207" t="n"/>
      <c r="AK470" s="207" t="n"/>
      <c r="AL470" s="207" t="n"/>
      <c r="AM470" s="207" t="n">
        <v>470</v>
      </c>
      <c r="AN470" s="207" t="n"/>
      <c r="AO470" s="207" t="n"/>
      <c r="AP470" s="121" t="n">
        <v>695</v>
      </c>
      <c r="AQ470" s="121" t="n">
        <v>119</v>
      </c>
      <c r="AR470" s="121" t="n">
        <v>200</v>
      </c>
      <c r="AS470" s="207" t="n">
        <v>0</v>
      </c>
      <c r="AT470" s="207" t="n">
        <v>0</v>
      </c>
      <c r="AU470" s="207" t="n">
        <v>0</v>
      </c>
      <c r="AV470" s="207" t="n">
        <v>0</v>
      </c>
      <c r="AW470" s="207" t="n">
        <v>0</v>
      </c>
      <c r="AX470" s="208" t="n">
        <v>1</v>
      </c>
      <c r="AY470" s="209">
        <f>L470*AX470+AP470+AQ470+AR470+AV470+AW470+AS470+AT470+AU470</f>
        <v/>
      </c>
      <c r="AZ470" s="207" t="n">
        <v>11045.56</v>
      </c>
      <c r="BA470" s="207" t="n">
        <v>0</v>
      </c>
      <c r="BB470" s="207">
        <f>AZ470*0.006</f>
        <v/>
      </c>
      <c r="BC470" s="209">
        <f>AZ470+BA470-BB470</f>
        <v/>
      </c>
      <c r="BD470" s="207" t="n">
        <v>0</v>
      </c>
      <c r="BE470" s="207" t="n">
        <v>0</v>
      </c>
      <c r="BF470" s="209">
        <f>BD470+BE470</f>
        <v/>
      </c>
      <c r="BG470" s="209">
        <f>BC470-AY470+BF470</f>
        <v/>
      </c>
      <c r="BH470" s="86" t="inlineStr">
        <is>
          <t>种璐瑶</t>
        </is>
      </c>
      <c r="BI470" s="86" t="inlineStr">
        <is>
          <t>浙江省 杭州市 余杭区 仓前街道龙湖交控西站杭与城2幢602</t>
        </is>
      </c>
      <c r="BJ470" s="86" t="inlineStr">
        <is>
          <t>18413253110-5190</t>
        </is>
      </c>
      <c r="BK470" s="86" t="n"/>
      <c r="BL470" s="210" t="n"/>
      <c r="BM470" s="93" t="n"/>
      <c r="BN470" s="94" t="n"/>
      <c r="BO470" s="93" t="n"/>
      <c r="BP470" s="86" t="n"/>
      <c r="BQ470" s="96" t="n"/>
      <c r="BR470" s="96" t="n"/>
      <c r="BS470" s="97" t="n"/>
      <c r="BT470" s="96" t="n"/>
      <c r="BU470" s="97" t="n"/>
      <c r="BV470" s="96" t="n"/>
      <c r="BW470" s="97" t="n"/>
      <c r="BX470" s="97" t="n"/>
      <c r="BY470" s="97" t="n"/>
      <c r="BZ470" s="97" t="n"/>
      <c r="CH470" s="2" t="n"/>
      <c r="CI470" s="14" t="n"/>
      <c r="CJ470" s="25" t="n"/>
      <c r="CK470" s="25" t="n"/>
      <c r="CL470" s="25" t="n"/>
      <c r="CM470" s="25" t="n"/>
      <c r="CN470" s="25" t="n"/>
      <c r="CO470" s="25" t="n"/>
      <c r="CP470" s="25" t="n"/>
      <c r="CQ470" s="25" t="n"/>
      <c r="CR470" s="25" t="n"/>
      <c r="CS470" s="25" t="n"/>
      <c r="CT470" s="25" t="n"/>
      <c r="CU470" s="25" t="n"/>
      <c r="CV470" s="25" t="n"/>
      <c r="CW470" s="25" t="n"/>
      <c r="CX470" s="25" t="n"/>
      <c r="CY470" s="25" t="n"/>
      <c r="DC470" s="26" t="n"/>
      <c r="DD470" s="26" t="n"/>
      <c r="DE470" s="26" t="n"/>
      <c r="DF470" s="26" t="n"/>
      <c r="DG470" s="26" t="n"/>
      <c r="DH470" s="27" t="n"/>
      <c r="DJ470" s="211" t="inlineStr">
        <is>
          <t>订单表中未找到</t>
        </is>
      </c>
      <c r="DK470" t="inlineStr">
        <is>
          <t>—</t>
        </is>
      </c>
      <c r="DL470" t="inlineStr">
        <is>
          <t>—</t>
        </is>
      </c>
    </row>
    <row r="471" ht="15.75" customHeight="1" s="187">
      <c r="A471" s="84" t="n">
        <v>45999</v>
      </c>
      <c r="B471" s="206" t="inlineStr">
        <is>
          <t>已收货</t>
        </is>
      </c>
      <c r="C471" s="86" t="inlineStr">
        <is>
          <t>3109989973532579758</t>
        </is>
      </c>
      <c r="D471" s="110" t="inlineStr">
        <is>
          <t>朱叶峰</t>
        </is>
      </c>
      <c r="E471" s="87" t="n"/>
      <c r="F471" s="87" t="n"/>
      <c r="G471" s="87" t="inlineStr">
        <is>
          <t>1.2米榉木餐边柜</t>
        </is>
      </c>
      <c r="H471" s="207" t="inlineStr">
        <is>
          <t>榉木餐边柜</t>
        </is>
      </c>
      <c r="I471" s="89" t="n">
        <v>1200</v>
      </c>
      <c r="J471" s="87" t="inlineStr">
        <is>
          <t>已结算</t>
        </is>
      </c>
      <c r="K471" s="86" t="inlineStr">
        <is>
          <t>江西</t>
        </is>
      </c>
      <c r="L471" s="207">
        <f>3500+718+22*6+52+10+200+280+380+84</f>
        <v/>
      </c>
      <c r="M471" s="207">
        <f>3500</f>
        <v/>
      </c>
      <c r="N471" s="207" t="n">
        <v>718</v>
      </c>
      <c r="O471" s="207" t="inlineStr">
        <is>
          <t>22*6</t>
        </is>
      </c>
      <c r="P471" s="207" t="n">
        <v>52</v>
      </c>
      <c r="Q471" s="207" t="n"/>
      <c r="R471" s="207" t="n">
        <v>10</v>
      </c>
      <c r="S471" s="207" t="n">
        <v>200</v>
      </c>
      <c r="T471" s="207" t="n">
        <v>280</v>
      </c>
      <c r="U471" s="207" t="n"/>
      <c r="V471" s="207" t="n"/>
      <c r="W471" s="207" t="n">
        <v>380</v>
      </c>
      <c r="X471" s="207" t="n">
        <v>84</v>
      </c>
      <c r="Y471" s="207" t="n"/>
      <c r="Z471" s="207" t="n"/>
      <c r="AA471" s="207" t="n"/>
      <c r="AB471" s="207" t="n"/>
      <c r="AC471" s="207" t="n"/>
      <c r="AD471" s="207" t="n"/>
      <c r="AE471" s="207" t="n"/>
      <c r="AF471" s="207" t="n"/>
      <c r="AG471" s="207" t="n"/>
      <c r="AH471" s="207" t="n"/>
      <c r="AI471" s="207" t="n"/>
      <c r="AJ471" s="207" t="n"/>
      <c r="AK471" s="207" t="n"/>
      <c r="AL471" s="207" t="n"/>
      <c r="AM471" s="207" t="n">
        <v>380</v>
      </c>
      <c r="AN471" s="207" t="n"/>
      <c r="AO471" s="207" t="n"/>
      <c r="AP471" s="207" t="n">
        <v>242</v>
      </c>
      <c r="AQ471" s="207" t="n">
        <v>0</v>
      </c>
      <c r="AR471" s="207" t="n">
        <v>109</v>
      </c>
      <c r="AS471" s="207" t="n">
        <v>0</v>
      </c>
      <c r="AT471" s="207" t="n">
        <v>0</v>
      </c>
      <c r="AU471" s="207" t="n">
        <v>0</v>
      </c>
      <c r="AV471" s="207" t="n">
        <v>0</v>
      </c>
      <c r="AW471" s="207" t="n">
        <v>0</v>
      </c>
      <c r="AX471" s="208" t="n">
        <v>1</v>
      </c>
      <c r="AY471" s="209">
        <f>L471*AX471+AP471+AQ471+AR471+AV471+AW471+AS471+AT471+AU471</f>
        <v/>
      </c>
      <c r="AZ471" s="207" t="n">
        <v>6332.62</v>
      </c>
      <c r="BA471" s="207" t="n">
        <v>0</v>
      </c>
      <c r="BB471" s="207">
        <f>AZ471*0.006</f>
        <v/>
      </c>
      <c r="BC471" s="209">
        <f>AZ471+BA471-BB471</f>
        <v/>
      </c>
      <c r="BD471" s="207" t="n">
        <v>0</v>
      </c>
      <c r="BE471" s="207" t="n">
        <v>0</v>
      </c>
      <c r="BF471" s="209">
        <f>BD471+BE471</f>
        <v/>
      </c>
      <c r="BG471" s="209">
        <f>BC471-AY471+BF471</f>
        <v/>
      </c>
      <c r="BH471" s="86" t="inlineStr">
        <is>
          <t>朱叶峰</t>
        </is>
      </c>
      <c r="BI471" s="86" t="inlineStr">
        <is>
          <t>广东省 广州市 海珠区 昌岗街道 昌岗东路271号之一 403 房</t>
        </is>
      </c>
      <c r="BJ471" s="86" t="inlineStr">
        <is>
          <t>18466125923-1548</t>
        </is>
      </c>
      <c r="BK471" s="86" t="n"/>
      <c r="BL471" s="210" t="n"/>
      <c r="BM471" s="93" t="n"/>
      <c r="BN471" s="94" t="n"/>
      <c r="BO471" s="93" t="n"/>
      <c r="BP471" s="86" t="n"/>
      <c r="BQ471" s="96" t="n"/>
      <c r="BR471" s="96" t="n"/>
      <c r="BS471" s="97" t="n"/>
      <c r="BT471" s="96" t="n"/>
      <c r="BU471" s="97" t="n"/>
      <c r="BV471" s="96" t="n"/>
      <c r="BW471" s="97" t="n"/>
      <c r="BX471" s="97" t="n"/>
      <c r="BY471" s="97" t="n"/>
      <c r="BZ471" s="97" t="n"/>
      <c r="CH471" s="2" t="n"/>
      <c r="CI471" s="14" t="n"/>
      <c r="CJ471" s="25" t="n"/>
      <c r="CK471" s="25" t="n"/>
      <c r="CL471" s="25" t="n"/>
      <c r="CM471" s="25" t="n"/>
      <c r="CN471" s="25" t="n"/>
      <c r="CO471" s="25" t="n"/>
      <c r="CP471" s="25" t="n"/>
      <c r="CQ471" s="25" t="n"/>
      <c r="CR471" s="25" t="n"/>
      <c r="CS471" s="25" t="n"/>
      <c r="CT471" s="25" t="n"/>
      <c r="CU471" s="25" t="n"/>
      <c r="CV471" s="25" t="n"/>
      <c r="CW471" s="25" t="n"/>
      <c r="CX471" s="25" t="n"/>
      <c r="CY471" s="25" t="n"/>
      <c r="DC471" s="26" t="n"/>
      <c r="DD471" s="26" t="n"/>
      <c r="DE471" s="26" t="n"/>
      <c r="DF471" s="26" t="n"/>
      <c r="DG471" s="26" t="n"/>
      <c r="DH471" s="27" t="n"/>
      <c r="DJ471" s="211" t="inlineStr">
        <is>
          <t>订单表中未找到</t>
        </is>
      </c>
      <c r="DK471" t="inlineStr">
        <is>
          <t>—</t>
        </is>
      </c>
      <c r="DL471" t="inlineStr">
        <is>
          <t>—</t>
        </is>
      </c>
    </row>
    <row r="472" ht="15.75" customHeight="1" s="187">
      <c r="A472" s="84" t="n">
        <v>45999</v>
      </c>
      <c r="B472" s="206" t="inlineStr">
        <is>
          <t>已收货</t>
        </is>
      </c>
      <c r="C472" s="86" t="inlineStr">
        <is>
          <t>3110497500918285752</t>
        </is>
      </c>
      <c r="D472" s="110" t="inlineStr">
        <is>
          <t>王朝</t>
        </is>
      </c>
      <c r="E472" s="87" t="n"/>
      <c r="F472" s="87" t="n"/>
      <c r="G472" s="207" t="inlineStr">
        <is>
          <t>曜黑柜-整柜-1.8米</t>
        </is>
      </c>
      <c r="H472" s="207" t="inlineStr">
        <is>
          <t>曜黑餐边柜</t>
        </is>
      </c>
      <c r="I472" s="89" t="n">
        <v>1800</v>
      </c>
      <c r="J472" s="87" t="inlineStr">
        <is>
          <t>已结算</t>
        </is>
      </c>
      <c r="K472" s="86" t="inlineStr">
        <is>
          <t>江西</t>
        </is>
      </c>
      <c r="L472" s="207">
        <f>SUBTOTAL(9,M472:AO472)</f>
        <v/>
      </c>
      <c r="M472" s="207">
        <f>8800</f>
        <v/>
      </c>
      <c r="N472" s="207" t="n">
        <v>577</v>
      </c>
      <c r="O472" s="207">
        <f>2550/6/1.5</f>
        <v/>
      </c>
      <c r="P472" s="207" t="n"/>
      <c r="Q472" s="207" t="n"/>
      <c r="R472" s="207" t="n">
        <v>240</v>
      </c>
      <c r="S472" s="207" t="n">
        <v>101.375</v>
      </c>
      <c r="T472" s="207">
        <f>18*2</f>
        <v/>
      </c>
      <c r="U472" s="207" t="n">
        <v>60</v>
      </c>
      <c r="V472" s="207" t="n"/>
      <c r="W472" s="207" t="n">
        <v>12</v>
      </c>
      <c r="X472" s="207">
        <f>22*3</f>
        <v/>
      </c>
      <c r="Y472" s="207" t="n">
        <v>46</v>
      </c>
      <c r="Z472" s="207" t="n"/>
      <c r="AA472" s="207" t="n">
        <v>6</v>
      </c>
      <c r="AB472" s="207" t="n">
        <v>1.2</v>
      </c>
      <c r="AC472" s="207" t="n">
        <v>2.5</v>
      </c>
      <c r="AD472" s="207" t="n"/>
      <c r="AE472" s="207" t="n"/>
      <c r="AF472" s="207" t="n"/>
      <c r="AG472" s="207" t="n"/>
      <c r="AH472" s="207" t="n"/>
      <c r="AI472" s="207" t="n"/>
      <c r="AJ472" s="207" t="n"/>
      <c r="AK472" s="207" t="n"/>
      <c r="AL472" s="207" t="n"/>
      <c r="AM472" s="207" t="n">
        <v>190</v>
      </c>
      <c r="AN472" s="207" t="n"/>
      <c r="AO472" s="207" t="n"/>
      <c r="AP472" s="207" t="n">
        <v>310</v>
      </c>
      <c r="AQ472" s="207" t="n">
        <v>0</v>
      </c>
      <c r="AR472" s="207" t="n">
        <v>500</v>
      </c>
      <c r="AS472" s="207" t="n">
        <v>0</v>
      </c>
      <c r="AT472" s="207" t="n">
        <v>0</v>
      </c>
      <c r="AU472" s="207" t="n">
        <v>0</v>
      </c>
      <c r="AV472" s="207" t="n">
        <v>0</v>
      </c>
      <c r="AW472" s="207" t="n">
        <v>0</v>
      </c>
      <c r="AX472" s="208" t="n">
        <v>1</v>
      </c>
      <c r="AY472" s="209">
        <f>L472*AX472+AP472+AQ472+AR472+AV472+AW472+AS472+AT472+AU472</f>
        <v/>
      </c>
      <c r="AZ472" s="207" t="n">
        <v>15108.57</v>
      </c>
      <c r="BA472" s="207" t="n">
        <v>0</v>
      </c>
      <c r="BB472" s="207">
        <f>AZ472*0.006</f>
        <v/>
      </c>
      <c r="BC472" s="209">
        <f>AZ472+BA472-BB472</f>
        <v/>
      </c>
      <c r="BD472" s="207" t="n">
        <v>0</v>
      </c>
      <c r="BE472" s="207" t="n">
        <v>0</v>
      </c>
      <c r="BF472" s="209">
        <f>BD472+BE472</f>
        <v/>
      </c>
      <c r="BG472" s="209">
        <f>BC472-AY472+BF472</f>
        <v/>
      </c>
      <c r="BH472" s="86" t="inlineStr">
        <is>
          <t>王朝</t>
        </is>
      </c>
      <c r="BI472" s="86" t="inlineStr">
        <is>
          <t>上海 上海市 嘉定区 马陆镇越秀保利嘉悦云上北地块35栋19号2102室</t>
        </is>
      </c>
      <c r="BJ472" s="86" t="inlineStr">
        <is>
          <t>18466819837-9905</t>
        </is>
      </c>
      <c r="BK472" s="86" t="n"/>
      <c r="BL472" s="210" t="n"/>
      <c r="BM472" s="93" t="n"/>
      <c r="BN472" s="94" t="n"/>
      <c r="BO472" s="93" t="n"/>
      <c r="BP472" s="86" t="n"/>
      <c r="BQ472" s="96" t="n"/>
      <c r="BR472" s="96" t="n"/>
      <c r="BS472" s="97" t="n"/>
      <c r="BT472" s="96" t="n"/>
      <c r="BU472" s="97" t="n"/>
      <c r="BV472" s="96" t="n"/>
      <c r="BW472" s="97" t="n"/>
      <c r="BX472" s="97" t="n"/>
      <c r="BY472" s="97" t="n"/>
      <c r="BZ472" s="97" t="n"/>
      <c r="CH472" s="2" t="n"/>
      <c r="CI472" s="14" t="n"/>
      <c r="CJ472" s="25" t="n"/>
      <c r="CK472" s="25" t="n"/>
      <c r="CL472" s="25" t="n"/>
      <c r="CM472" s="25" t="n"/>
      <c r="CN472" s="25" t="n"/>
      <c r="CO472" s="25" t="n"/>
      <c r="CP472" s="25" t="n"/>
      <c r="CQ472" s="25" t="n"/>
      <c r="CR472" s="25" t="n"/>
      <c r="CS472" s="25" t="n"/>
      <c r="CT472" s="25" t="n"/>
      <c r="CU472" s="25" t="n"/>
      <c r="CV472" s="25" t="n"/>
      <c r="CW472" s="25" t="n"/>
      <c r="CX472" s="25" t="n"/>
      <c r="CY472" s="25" t="n"/>
      <c r="DC472" s="26" t="n"/>
      <c r="DD472" s="26" t="n"/>
      <c r="DE472" s="26" t="n"/>
      <c r="DF472" s="26" t="n"/>
      <c r="DG472" s="26" t="n"/>
      <c r="DH472" s="27" t="n"/>
      <c r="DJ472" s="211" t="inlineStr">
        <is>
          <t>订单表中未找到</t>
        </is>
      </c>
      <c r="DK472" t="inlineStr">
        <is>
          <t>—</t>
        </is>
      </c>
      <c r="DL472" t="inlineStr">
        <is>
          <t>—</t>
        </is>
      </c>
    </row>
    <row r="473" ht="15.75" customHeight="1" s="187">
      <c r="A473" s="99" t="n">
        <v>45999</v>
      </c>
      <c r="B473" s="100" t="inlineStr">
        <is>
          <t>退货</t>
        </is>
      </c>
      <c r="C473" s="101" t="inlineStr">
        <is>
          <t>3108761511707887474</t>
        </is>
      </c>
      <c r="D473" s="100" t="inlineStr">
        <is>
          <t>拍拍红屁屁</t>
        </is>
      </c>
      <c r="E473" s="100" t="n"/>
      <c r="F473" s="100" t="n"/>
      <c r="G473" s="100" t="inlineStr">
        <is>
          <t>砂白色1.6米岩板餐桌</t>
        </is>
      </c>
      <c r="H473" s="100" t="inlineStr">
        <is>
          <t>榉木餐桌</t>
        </is>
      </c>
      <c r="I473" s="102" t="inlineStr">
        <is>
          <t>160cm*85cm</t>
        </is>
      </c>
      <c r="J473" s="100" t="inlineStr">
        <is>
          <t>已结算</t>
        </is>
      </c>
      <c r="K473" s="100" t="inlineStr">
        <is>
          <t>江西</t>
        </is>
      </c>
      <c r="L473" s="212">
        <f>SUM(M473:AO473)</f>
        <v/>
      </c>
      <c r="M473" s="207" t="n">
        <v>0</v>
      </c>
      <c r="N473" s="207" t="n"/>
      <c r="O473" s="207" t="n"/>
      <c r="P473" s="207" t="n"/>
      <c r="Q473" s="207" t="n"/>
      <c r="R473" s="207" t="n"/>
      <c r="S473" s="207" t="n"/>
      <c r="T473" s="207" t="n"/>
      <c r="U473" s="207" t="n"/>
      <c r="V473" s="207" t="n"/>
      <c r="W473" s="207" t="n"/>
      <c r="X473" s="207" t="n"/>
      <c r="Y473" s="207" t="n"/>
      <c r="Z473" s="207" t="n"/>
      <c r="AA473" s="207" t="n"/>
      <c r="AB473" s="207" t="n"/>
      <c r="AC473" s="207" t="n"/>
      <c r="AD473" s="207" t="n"/>
      <c r="AE473" s="207" t="n"/>
      <c r="AF473" s="207" t="n"/>
      <c r="AG473" s="207" t="n"/>
      <c r="AH473" s="207" t="n"/>
      <c r="AI473" s="207" t="n"/>
      <c r="AJ473" s="207" t="n"/>
      <c r="AK473" s="207" t="n"/>
      <c r="AL473" s="207" t="n"/>
      <c r="AM473" s="207" t="n">
        <v>190</v>
      </c>
      <c r="AN473" s="207" t="n"/>
      <c r="AO473" s="207" t="n"/>
      <c r="AP473" s="213">
        <f>170+123-AQ473</f>
        <v/>
      </c>
      <c r="AQ473" s="213" t="n">
        <v>30</v>
      </c>
      <c r="AR473" s="213" t="n">
        <v>60</v>
      </c>
      <c r="AS473" s="213" t="n">
        <v>0</v>
      </c>
      <c r="AT473" s="213" t="n">
        <v>0</v>
      </c>
      <c r="AU473" s="213" t="n">
        <v>170</v>
      </c>
      <c r="AV473" s="213" t="n">
        <v>0</v>
      </c>
      <c r="AW473" s="213" t="n">
        <v>0</v>
      </c>
      <c r="AX473" s="214" t="n">
        <v>1</v>
      </c>
      <c r="AY473" s="213">
        <f>L473*AX473+AP473+AQ473+AR473+AV473+AW473+AS473+AT473+AU473</f>
        <v/>
      </c>
      <c r="AZ473" s="213" t="n">
        <v>0</v>
      </c>
      <c r="BA473" s="213" t="n">
        <v>0</v>
      </c>
      <c r="BB473" s="213">
        <f>AZ473*0.006</f>
        <v/>
      </c>
      <c r="BC473" s="213">
        <f>AZ473+BA473-BB473</f>
        <v/>
      </c>
      <c r="BD473" s="213" t="n">
        <v>0</v>
      </c>
      <c r="BE473" s="213" t="n">
        <v>0</v>
      </c>
      <c r="BF473" s="213">
        <f>BD473+BE473</f>
        <v/>
      </c>
      <c r="BG473" s="213">
        <f>BC473-AY473+BF473</f>
        <v/>
      </c>
      <c r="BH473" s="100" t="inlineStr">
        <is>
          <t>拍拍红屁屁</t>
        </is>
      </c>
      <c r="BI473" s="100" t="inlineStr">
        <is>
          <t>江苏省 镇江市 句容市 华阳街道北部新城东区29栋1603（拒收韵达快递）</t>
        </is>
      </c>
      <c r="BJ473" s="100" t="inlineStr">
        <is>
          <t>15784301412-1726</t>
        </is>
      </c>
      <c r="BK473" s="101" t="n"/>
      <c r="BL473" s="215" t="n"/>
      <c r="BM473" s="107" t="n"/>
      <c r="BN473" s="108" t="n"/>
      <c r="BO473" s="107" t="n"/>
      <c r="BP473" s="101" t="n"/>
      <c r="BQ473" s="109" t="n"/>
      <c r="BR473" s="109" t="n"/>
      <c r="BS473" s="100" t="n"/>
      <c r="BT473" s="109" t="n"/>
      <c r="BU473" s="100" t="n"/>
      <c r="BV473" s="109" t="n"/>
      <c r="BW473" s="100" t="n"/>
      <c r="BX473" s="100" t="n"/>
      <c r="BY473" s="100" t="n"/>
      <c r="BZ473" s="100" t="n"/>
      <c r="CA473" s="98" t="n"/>
      <c r="CH473" s="2" t="n"/>
      <c r="CI473" s="14" t="n"/>
      <c r="CY473" s="25" t="n"/>
      <c r="DA473" s="25" t="n"/>
      <c r="DC473" s="26" t="n"/>
      <c r="DD473" s="26" t="n"/>
      <c r="DE473" s="26" t="n"/>
      <c r="DF473" s="26" t="n"/>
      <c r="DG473" s="26" t="n"/>
      <c r="DH473" s="27" t="n"/>
      <c r="DJ473" s="211" t="inlineStr">
        <is>
          <t>订单表中未找到</t>
        </is>
      </c>
      <c r="DK473" t="inlineStr">
        <is>
          <t>—</t>
        </is>
      </c>
      <c r="DL473" t="inlineStr">
        <is>
          <t>—</t>
        </is>
      </c>
    </row>
    <row r="474" ht="15.75" customHeight="1" s="187">
      <c r="A474" s="84" t="n">
        <v>46000</v>
      </c>
      <c r="B474" s="206" t="inlineStr">
        <is>
          <t>已收货</t>
        </is>
      </c>
      <c r="C474" s="86" t="inlineStr">
        <is>
          <t>3110785250216569668</t>
        </is>
      </c>
      <c r="D474" s="110" t="inlineStr">
        <is>
          <t>施施</t>
        </is>
      </c>
      <c r="E474" s="87" t="inlineStr">
        <is>
          <t>1米洞石窄柜</t>
        </is>
      </c>
      <c r="F474" s="130" t="n"/>
      <c r="G474" s="207" t="inlineStr">
        <is>
          <t>窄柜-整柜洞石背板-1.0米</t>
        </is>
      </c>
      <c r="H474" s="207" t="inlineStr">
        <is>
          <t>樱桃木窄柜</t>
        </is>
      </c>
      <c r="I474" s="89" t="n">
        <v>1000</v>
      </c>
      <c r="J474" s="87" t="n"/>
      <c r="K474" s="86" t="inlineStr">
        <is>
          <t>江西</t>
        </is>
      </c>
      <c r="L474" s="207">
        <f>3300+115+190+1.16+3.37+1.1+1.03+76/2+5+359.08+52+3+170+54</f>
        <v/>
      </c>
      <c r="M474" s="207">
        <f>3300</f>
        <v/>
      </c>
      <c r="N474" s="207">
        <f>0.958*260+2*55</f>
        <v/>
      </c>
      <c r="O474" s="207" t="n">
        <v>120</v>
      </c>
      <c r="P474" s="207" t="n"/>
      <c r="Q474" s="207">
        <f>19*2</f>
        <v/>
      </c>
      <c r="R474" s="207" t="n">
        <v>190</v>
      </c>
      <c r="S474" s="207" t="n">
        <v>54</v>
      </c>
      <c r="T474" s="207" t="n">
        <v>52</v>
      </c>
      <c r="U474" s="207" t="n"/>
      <c r="V474" s="207" t="n">
        <v>5</v>
      </c>
      <c r="W474" s="207" t="n"/>
      <c r="X474" s="207" t="n"/>
      <c r="Y474" s="207" t="n"/>
      <c r="Z474" s="207" t="n"/>
      <c r="AA474" s="207" t="n">
        <v>2</v>
      </c>
      <c r="AB474" s="207" t="n">
        <v>1.1</v>
      </c>
      <c r="AC474" s="207" t="n">
        <v>3.5</v>
      </c>
      <c r="AD474" s="207" t="n"/>
      <c r="AE474" s="207" t="n"/>
      <c r="AF474" s="207" t="n"/>
      <c r="AG474" s="207" t="n"/>
      <c r="AH474" s="207" t="n"/>
      <c r="AI474" s="207" t="n"/>
      <c r="AJ474" s="207" t="n"/>
      <c r="AK474" s="207" t="n"/>
      <c r="AL474" s="207" t="n"/>
      <c r="AM474" s="207" t="n">
        <v>170</v>
      </c>
      <c r="AN474" s="207" t="n"/>
      <c r="AO474" s="207" t="n"/>
      <c r="AP474" s="207">
        <f>269-AQ474</f>
        <v/>
      </c>
      <c r="AQ474" s="207" t="n">
        <v>64</v>
      </c>
      <c r="AR474" s="207" t="n">
        <v>98</v>
      </c>
      <c r="AS474" s="207" t="n">
        <v>0</v>
      </c>
      <c r="AT474" s="207" t="n">
        <v>0</v>
      </c>
      <c r="AU474" s="207" t="n">
        <v>0</v>
      </c>
      <c r="AV474" s="207" t="n">
        <v>0</v>
      </c>
      <c r="AW474" s="207" t="n">
        <v>0</v>
      </c>
      <c r="AX474" s="208" t="n">
        <v>1</v>
      </c>
      <c r="AY474" s="209">
        <f>L474*AX474+AP474+AQ474+AR474+AV474+AW474+AS474+AT474+AU474</f>
        <v/>
      </c>
      <c r="AZ474" s="207" t="n">
        <v>5280.7</v>
      </c>
      <c r="BA474" s="207" t="n">
        <v>0</v>
      </c>
      <c r="BB474" s="207">
        <f>AZ474*0.006</f>
        <v/>
      </c>
      <c r="BC474" s="209">
        <f>AZ474+BA474-BB474</f>
        <v/>
      </c>
      <c r="BD474" s="207" t="n">
        <v>0</v>
      </c>
      <c r="BE474" s="207" t="n">
        <v>0</v>
      </c>
      <c r="BF474" s="209">
        <f>BD474+BE474</f>
        <v/>
      </c>
      <c r="BG474" s="209">
        <f>BC474-AY474+BF474</f>
        <v/>
      </c>
      <c r="BH474" s="86" t="inlineStr">
        <is>
          <t>施施</t>
        </is>
      </c>
      <c r="BI474" s="86" t="inlineStr">
        <is>
          <t>上海 上海市 浦东新区 三林镇江高路105弄前滩江悦名庭2号1101室</t>
        </is>
      </c>
      <c r="BJ474" s="86" t="inlineStr">
        <is>
          <t>18466659712-1846</t>
        </is>
      </c>
      <c r="BK474" s="86" t="n"/>
      <c r="BL474" s="210" t="n"/>
      <c r="BM474" s="93" t="n"/>
      <c r="BN474" s="94" t="n"/>
      <c r="BO474" s="93" t="n"/>
      <c r="BP474" s="86" t="n"/>
      <c r="BQ474" s="96" t="n"/>
      <c r="BR474" s="96" t="n"/>
      <c r="BS474" s="97" t="n"/>
      <c r="BT474" s="96" t="n"/>
      <c r="BU474" s="97" t="n"/>
      <c r="BV474" s="96" t="n"/>
      <c r="BW474" s="97" t="n"/>
      <c r="BX474" s="97" t="n"/>
      <c r="BY474" s="97" t="n"/>
      <c r="BZ474" s="97" t="n"/>
      <c r="CH474" s="2" t="n"/>
      <c r="CI474" s="14" t="n"/>
      <c r="CJ474" s="25" t="n"/>
      <c r="CK474" s="25" t="n"/>
      <c r="CL474" s="25" t="n"/>
      <c r="CM474" s="25" t="n"/>
      <c r="CN474" s="25" t="n"/>
      <c r="CO474" s="25" t="n"/>
      <c r="CP474" s="25" t="n"/>
      <c r="CQ474" s="25" t="n"/>
      <c r="CR474" s="25" t="n"/>
      <c r="CS474" s="25" t="n"/>
      <c r="CT474" s="25" t="n"/>
      <c r="CU474" s="25" t="n"/>
      <c r="CV474" s="25" t="n"/>
      <c r="CW474" s="25" t="n"/>
      <c r="CX474" s="25" t="n"/>
      <c r="CY474" s="25" t="n"/>
      <c r="DC474" s="26" t="n"/>
      <c r="DD474" s="26" t="n"/>
      <c r="DE474" s="26" t="n"/>
      <c r="DF474" s="26" t="n"/>
      <c r="DG474" s="26" t="n"/>
      <c r="DH474" s="27" t="n"/>
      <c r="DJ474" s="211" t="inlineStr">
        <is>
          <t>订单表中未找到</t>
        </is>
      </c>
      <c r="DK474" t="inlineStr">
        <is>
          <t>—</t>
        </is>
      </c>
      <c r="DL474" t="inlineStr">
        <is>
          <t>—</t>
        </is>
      </c>
    </row>
    <row r="475" ht="15.75" customHeight="1" s="187">
      <c r="A475" s="84" t="n">
        <v>46000</v>
      </c>
      <c r="B475" s="206" t="inlineStr">
        <is>
          <t>已收货</t>
        </is>
      </c>
      <c r="C475" s="86" t="inlineStr">
        <is>
          <t>3111874430079426188</t>
        </is>
      </c>
      <c r="D475" s="86" t="inlineStr">
        <is>
          <t>大快头ID二五二零</t>
        </is>
      </c>
      <c r="E475" s="87" t="n"/>
      <c r="F475" s="87" t="n"/>
      <c r="G475" s="87" t="inlineStr">
        <is>
          <t>1.8洞石柜</t>
        </is>
      </c>
      <c r="H475" s="207" t="inlineStr">
        <is>
          <t>洞石餐边柜</t>
        </is>
      </c>
      <c r="I475" s="89" t="n">
        <v>1800</v>
      </c>
      <c r="J475" s="87" t="inlineStr">
        <is>
          <t>已结算</t>
        </is>
      </c>
      <c r="K475" s="86" t="inlineStr">
        <is>
          <t>江西</t>
        </is>
      </c>
      <c r="L475" s="207">
        <f>6100+580+80+567.08+2040/6/1.5+380+14+10+22*9+52*2+22+126+480</f>
        <v/>
      </c>
      <c r="M475" s="207">
        <f>6100</f>
        <v/>
      </c>
      <c r="N475" s="207" t="n">
        <v>580</v>
      </c>
      <c r="O475" s="207" t="n">
        <v>80</v>
      </c>
      <c r="P475" s="207" t="n">
        <v>567.08</v>
      </c>
      <c r="Q475" s="207" t="n"/>
      <c r="R475" s="207" t="inlineStr">
        <is>
          <t>2040/6/1.5</t>
        </is>
      </c>
      <c r="S475" s="207" t="n">
        <v>380</v>
      </c>
      <c r="T475" s="207" t="n">
        <v>14</v>
      </c>
      <c r="U475" s="207" t="n"/>
      <c r="V475" s="207" t="n"/>
      <c r="W475" s="207" t="n">
        <v>10</v>
      </c>
      <c r="X475" s="207">
        <f>22*9</f>
        <v/>
      </c>
      <c r="Y475" s="207" t="inlineStr">
        <is>
          <t>52*2</t>
        </is>
      </c>
      <c r="Z475" s="207" t="n"/>
      <c r="AA475" s="207" t="n"/>
      <c r="AB475" s="207" t="n"/>
      <c r="AC475" s="207" t="n"/>
      <c r="AD475" s="207" t="n">
        <v>126</v>
      </c>
      <c r="AE475" s="207" t="n">
        <v>22</v>
      </c>
      <c r="AF475" s="207" t="n">
        <v>480</v>
      </c>
      <c r="AG475" s="207" t="n"/>
      <c r="AH475" s="207" t="n"/>
      <c r="AI475" s="207" t="n"/>
      <c r="AJ475" s="207" t="n"/>
      <c r="AK475" s="207" t="n"/>
      <c r="AL475" s="207" t="n"/>
      <c r="AM475" s="207" t="n">
        <v>480</v>
      </c>
      <c r="AN475" s="207" t="n"/>
      <c r="AO475" s="207" t="n"/>
      <c r="AP475" s="207" t="n">
        <v>144</v>
      </c>
      <c r="AQ475" s="121" t="n">
        <v>100</v>
      </c>
      <c r="AR475" s="121" t="n">
        <v>150</v>
      </c>
      <c r="AS475" s="207" t="n">
        <v>0</v>
      </c>
      <c r="AT475" s="207" t="n">
        <v>0</v>
      </c>
      <c r="AU475" s="207" t="n">
        <v>0</v>
      </c>
      <c r="AV475" s="207" t="n">
        <v>0</v>
      </c>
      <c r="AW475" s="207" t="n">
        <v>0</v>
      </c>
      <c r="AX475" s="208" t="n">
        <v>1</v>
      </c>
      <c r="AY475" s="209">
        <f>L475*AX475+AP475+AQ475+AR475+AV475+AW475+AS475+AT475+AU475</f>
        <v/>
      </c>
      <c r="AZ475" s="207" t="n">
        <v>10854.52</v>
      </c>
      <c r="BA475" s="207" t="n">
        <v>0</v>
      </c>
      <c r="BB475" s="207">
        <f>AZ475*0.006</f>
        <v/>
      </c>
      <c r="BC475" s="209">
        <f>AZ475+BA475-BB475</f>
        <v/>
      </c>
      <c r="BD475" s="207" t="n">
        <v>0</v>
      </c>
      <c r="BE475" s="207" t="n">
        <v>0</v>
      </c>
      <c r="BF475" s="209">
        <f>BD475+BE475</f>
        <v/>
      </c>
      <c r="BG475" s="209">
        <f>BC475-AY475+BF475</f>
        <v/>
      </c>
      <c r="BH475" s="86" t="inlineStr">
        <is>
          <t>大快头ID二五二零</t>
        </is>
      </c>
      <c r="BI475" s="86" t="inlineStr">
        <is>
          <t>广东省东莞市长安镇莞长路95号一辉大厦隔壁大快头集运ID二五二零区</t>
        </is>
      </c>
      <c r="BJ475" s="86" t="inlineStr">
        <is>
          <t>大19902476417</t>
        </is>
      </c>
      <c r="BK475" s="86" t="n"/>
      <c r="BL475" s="210" t="n"/>
      <c r="BM475" s="93" t="n"/>
      <c r="BN475" s="94" t="n"/>
      <c r="BO475" s="93" t="n"/>
      <c r="BP475" s="86" t="n"/>
      <c r="BQ475" s="96" t="n"/>
      <c r="BR475" s="96" t="n"/>
      <c r="BS475" s="97" t="n"/>
      <c r="BT475" s="96" t="n"/>
      <c r="BU475" s="97" t="n"/>
      <c r="BV475" s="96" t="n"/>
      <c r="BW475" s="97" t="n"/>
      <c r="BX475" s="97" t="n"/>
      <c r="BY475" s="97" t="n"/>
      <c r="BZ475" s="97" t="n"/>
      <c r="CH475" s="2" t="n"/>
      <c r="CI475" s="14" t="n"/>
      <c r="CJ475" s="25" t="n"/>
      <c r="CK475" s="25" t="n"/>
      <c r="CL475" s="25" t="n"/>
      <c r="CM475" s="25" t="n"/>
      <c r="CN475" s="25" t="n"/>
      <c r="CO475" s="25" t="n"/>
      <c r="CP475" s="25" t="n"/>
      <c r="CQ475" s="25" t="n"/>
      <c r="CR475" s="25" t="n"/>
      <c r="CS475" s="25" t="n"/>
      <c r="CT475" s="25" t="n"/>
      <c r="CU475" s="25" t="n"/>
      <c r="CV475" s="25" t="n"/>
      <c r="CW475" s="25" t="n"/>
      <c r="CX475" s="25" t="n"/>
      <c r="CY475" s="25" t="n"/>
      <c r="DC475" s="26" t="n"/>
      <c r="DD475" s="26" t="n"/>
      <c r="DE475" s="26" t="n"/>
      <c r="DF475" s="26" t="n"/>
      <c r="DG475" s="26" t="n"/>
      <c r="DH475" s="27" t="n"/>
      <c r="DJ475" s="211" t="inlineStr">
        <is>
          <t>订单表中未找到</t>
        </is>
      </c>
      <c r="DK475" t="inlineStr">
        <is>
          <t>—</t>
        </is>
      </c>
      <c r="DL475" t="inlineStr">
        <is>
          <t>—</t>
        </is>
      </c>
    </row>
    <row r="476" ht="15.75" customHeight="1" s="187">
      <c r="A476" s="84" t="n">
        <v>46000</v>
      </c>
      <c r="B476" s="206" t="inlineStr">
        <is>
          <t>已收货</t>
        </is>
      </c>
      <c r="C476" s="86" t="inlineStr">
        <is>
          <t>3111972351242426188</t>
        </is>
      </c>
      <c r="D476" s="86" t="inlineStr">
        <is>
          <t>大快头ID二五二零</t>
        </is>
      </c>
      <c r="E476" s="87" t="n"/>
      <c r="F476" s="87" t="n"/>
      <c r="G476" s="207" t="inlineStr">
        <is>
          <t>补差价</t>
        </is>
      </c>
      <c r="H476" s="207" t="inlineStr">
        <is>
          <t>洞石餐边柜</t>
        </is>
      </c>
      <c r="I476" s="89" t="n"/>
      <c r="J476" s="87" t="inlineStr">
        <is>
          <t>已结算</t>
        </is>
      </c>
      <c r="K476" s="86" t="inlineStr">
        <is>
          <t>江西</t>
        </is>
      </c>
      <c r="L476" s="207" t="n">
        <v>0</v>
      </c>
      <c r="M476" s="207" t="n">
        <v>0</v>
      </c>
      <c r="N476" s="207" t="n"/>
      <c r="O476" s="207" t="n"/>
      <c r="P476" s="207" t="n"/>
      <c r="Q476" s="207" t="n"/>
      <c r="R476" s="207" t="n"/>
      <c r="S476" s="207" t="n"/>
      <c r="T476" s="207" t="n"/>
      <c r="U476" s="207" t="n"/>
      <c r="V476" s="207" t="n"/>
      <c r="W476" s="207" t="n"/>
      <c r="X476" s="207" t="n"/>
      <c r="Y476" s="207" t="n"/>
      <c r="Z476" s="207" t="n"/>
      <c r="AA476" s="207" t="n"/>
      <c r="AB476" s="207" t="n"/>
      <c r="AC476" s="207" t="n"/>
      <c r="AD476" s="207" t="n"/>
      <c r="AE476" s="207" t="n"/>
      <c r="AF476" s="207" t="n"/>
      <c r="AG476" s="207" t="n"/>
      <c r="AH476" s="207" t="n"/>
      <c r="AI476" s="207" t="n"/>
      <c r="AJ476" s="207" t="n"/>
      <c r="AK476" s="207" t="n"/>
      <c r="AL476" s="207" t="n"/>
      <c r="AM476" s="207" t="n"/>
      <c r="AN476" s="207" t="n"/>
      <c r="AO476" s="207" t="n"/>
      <c r="AP476" s="207" t="n">
        <v>0</v>
      </c>
      <c r="AQ476" s="207" t="n">
        <v>0</v>
      </c>
      <c r="AR476" s="207" t="n">
        <v>0</v>
      </c>
      <c r="AS476" s="207" t="n">
        <v>0</v>
      </c>
      <c r="AT476" s="207" t="n">
        <v>0</v>
      </c>
      <c r="AU476" s="207" t="n">
        <v>0</v>
      </c>
      <c r="AV476" s="207" t="n">
        <v>0</v>
      </c>
      <c r="AW476" s="207" t="n">
        <v>0</v>
      </c>
      <c r="AX476" s="208" t="n">
        <v>1</v>
      </c>
      <c r="AY476" s="209">
        <f>L476*AX476+AP476+AQ476+AR476+AV476+AW476+AS476+AT476+AU476</f>
        <v/>
      </c>
      <c r="AZ476" s="207" t="n">
        <v>455</v>
      </c>
      <c r="BA476" s="207" t="n">
        <v>0</v>
      </c>
      <c r="BB476" s="207">
        <f>AZ476*0.006</f>
        <v/>
      </c>
      <c r="BC476" s="209">
        <f>AZ476+BA476-BB476</f>
        <v/>
      </c>
      <c r="BD476" s="207" t="n">
        <v>0</v>
      </c>
      <c r="BE476" s="207" t="n">
        <v>0</v>
      </c>
      <c r="BF476" s="209">
        <f>BD476+BE476</f>
        <v/>
      </c>
      <c r="BG476" s="209">
        <f>BC476-AY476+BF476</f>
        <v/>
      </c>
      <c r="BH476" s="86" t="inlineStr">
        <is>
          <t>大快头ID二五二零</t>
        </is>
      </c>
      <c r="BI476" s="86" t="inlineStr">
        <is>
          <t>广东省东莞市长安镇莞长路95号一辉大厦隔壁大快头集运ID二五二零区</t>
        </is>
      </c>
      <c r="BJ476" s="86" t="inlineStr">
        <is>
          <t>大19902476417</t>
        </is>
      </c>
      <c r="BK476" s="86" t="n"/>
      <c r="BL476" s="210" t="n"/>
      <c r="BM476" s="93" t="n"/>
      <c r="BN476" s="94" t="n"/>
      <c r="BO476" s="93" t="n"/>
      <c r="BP476" s="86" t="n"/>
      <c r="BQ476" s="96" t="n"/>
      <c r="BR476" s="96" t="n"/>
      <c r="BS476" s="97" t="n"/>
      <c r="BT476" s="96" t="n"/>
      <c r="BU476" s="97" t="n"/>
      <c r="BV476" s="96" t="n"/>
      <c r="BW476" s="97" t="n"/>
      <c r="BX476" s="97" t="n"/>
      <c r="BY476" s="97" t="n"/>
      <c r="BZ476" s="97" t="n"/>
      <c r="CH476" s="2" t="n"/>
      <c r="CI476" s="14" t="n"/>
      <c r="CJ476" s="25" t="n"/>
      <c r="CK476" s="25" t="n"/>
      <c r="CL476" s="25" t="n"/>
      <c r="CM476" s="25" t="n"/>
      <c r="CN476" s="25" t="n"/>
      <c r="CO476" s="25" t="n"/>
      <c r="CP476" s="25" t="n"/>
      <c r="CQ476" s="25" t="n"/>
      <c r="CR476" s="25" t="n"/>
      <c r="CS476" s="25" t="n"/>
      <c r="CT476" s="25" t="n"/>
      <c r="CU476" s="25" t="n"/>
      <c r="CV476" s="25" t="n"/>
      <c r="CW476" s="25" t="n"/>
      <c r="CX476" s="25" t="n"/>
      <c r="CY476" s="25" t="n"/>
      <c r="DC476" s="26" t="n"/>
      <c r="DD476" s="26" t="n"/>
      <c r="DE476" s="26" t="n"/>
      <c r="DF476" s="26" t="n"/>
      <c r="DG476" s="26" t="n"/>
      <c r="DH476" s="27" t="n"/>
      <c r="DJ476" s="211" t="inlineStr">
        <is>
          <t>订单表中未找到</t>
        </is>
      </c>
      <c r="DK476" t="inlineStr">
        <is>
          <t>—</t>
        </is>
      </c>
      <c r="DL476" t="inlineStr">
        <is>
          <t>—</t>
        </is>
      </c>
    </row>
    <row r="477" ht="15.75" customHeight="1" s="187">
      <c r="A477" s="84" t="n">
        <v>46001</v>
      </c>
      <c r="B477" s="206" t="inlineStr">
        <is>
          <t>已收货</t>
        </is>
      </c>
      <c r="C477" s="86" t="inlineStr">
        <is>
          <t>4936271943100042707</t>
        </is>
      </c>
      <c r="D477" s="86" t="inlineStr">
        <is>
          <t>王先生</t>
        </is>
      </c>
      <c r="E477" s="87" t="n"/>
      <c r="F477" s="87" t="n"/>
      <c r="G477" s="87" t="inlineStr">
        <is>
          <t>1.8洞石柜</t>
        </is>
      </c>
      <c r="H477" s="207" t="inlineStr">
        <is>
          <t>洞石餐边柜</t>
        </is>
      </c>
      <c r="I477" s="89" t="n">
        <v>1800</v>
      </c>
      <c r="J477" s="87" t="inlineStr">
        <is>
          <t>已结算</t>
        </is>
      </c>
      <c r="K477" s="86" t="inlineStr">
        <is>
          <t>江西</t>
        </is>
      </c>
      <c r="L477" s="207">
        <f>6080+580+80+567.08+2040/6/1.5+380+14+10+22*9+52*2+74</f>
        <v/>
      </c>
      <c r="M477" s="207">
        <f>6080</f>
        <v/>
      </c>
      <c r="N477" s="207" t="n">
        <v>580</v>
      </c>
      <c r="O477" s="207" t="n">
        <v>80</v>
      </c>
      <c r="P477" s="207" t="n">
        <v>567.08</v>
      </c>
      <c r="Q477" s="207" t="n"/>
      <c r="R477" s="207" t="inlineStr">
        <is>
          <t>2040/6/1.5</t>
        </is>
      </c>
      <c r="S477" s="207" t="n">
        <v>380</v>
      </c>
      <c r="T477" s="207" t="n">
        <v>14</v>
      </c>
      <c r="U477" s="207" t="n"/>
      <c r="V477" s="207" t="n"/>
      <c r="W477" s="207" t="n">
        <v>10</v>
      </c>
      <c r="X477" s="207">
        <f>22*9</f>
        <v/>
      </c>
      <c r="Y477" s="207" t="inlineStr">
        <is>
          <t>52*2</t>
        </is>
      </c>
      <c r="Z477" s="207" t="n"/>
      <c r="AA477" s="207" t="n"/>
      <c r="AB477" s="207" t="n"/>
      <c r="AC477" s="207" t="n"/>
      <c r="AD477" s="207" t="n"/>
      <c r="AE477" s="207" t="n">
        <v>74</v>
      </c>
      <c r="AF477" s="207" t="n"/>
      <c r="AG477" s="207" t="n"/>
      <c r="AH477" s="207" t="n"/>
      <c r="AI477" s="207" t="n"/>
      <c r="AJ477" s="207" t="n"/>
      <c r="AK477" s="207" t="n"/>
      <c r="AL477" s="207" t="n"/>
      <c r="AM477" s="207" t="n">
        <v>380</v>
      </c>
      <c r="AN477" s="207" t="n"/>
      <c r="AO477" s="207" t="n"/>
      <c r="AP477" s="207">
        <f>504-AQ477</f>
        <v/>
      </c>
      <c r="AQ477" s="207" t="n">
        <v>112</v>
      </c>
      <c r="AR477" s="207" t="n">
        <v>205</v>
      </c>
      <c r="AS477" s="207" t="n">
        <v>0</v>
      </c>
      <c r="AT477" s="207" t="n">
        <v>0</v>
      </c>
      <c r="AU477" s="207" t="n">
        <v>0</v>
      </c>
      <c r="AV477" s="207" t="n">
        <v>0</v>
      </c>
      <c r="AW477" s="207" t="n">
        <v>0</v>
      </c>
      <c r="AX477" s="208" t="n">
        <v>1</v>
      </c>
      <c r="AY477" s="209">
        <f>L477*AX477+AP477+AQ477+AR477+AV477+AW477+AS477+AT477+AU477</f>
        <v/>
      </c>
      <c r="AZ477" s="207" t="n">
        <v>10464.28</v>
      </c>
      <c r="BA477" s="207" t="n">
        <v>0</v>
      </c>
      <c r="BB477" s="207">
        <f>AZ477*0.006</f>
        <v/>
      </c>
      <c r="BC477" s="209">
        <f>AZ477+BA477-BB477</f>
        <v/>
      </c>
      <c r="BD477" s="207" t="n">
        <v>0</v>
      </c>
      <c r="BE477" s="207" t="n">
        <v>0</v>
      </c>
      <c r="BF477" s="209">
        <f>BD477+BE477</f>
        <v/>
      </c>
      <c r="BG477" s="209">
        <f>BC477-AY477+BF477</f>
        <v/>
      </c>
      <c r="BH477" s="86" t="inlineStr">
        <is>
          <t>王先生</t>
        </is>
      </c>
      <c r="BI477" s="86" t="inlineStr">
        <is>
          <t>广东省 佛山市 禅城区 张槎街道宁泰路8号大华紫樾府2栋1901</t>
        </is>
      </c>
      <c r="BJ477" s="86" t="inlineStr">
        <is>
          <t>18466323298-8523</t>
        </is>
      </c>
      <c r="BK477" s="86" t="n"/>
      <c r="BL477" s="210" t="n"/>
      <c r="BM477" s="93" t="n"/>
      <c r="BN477" s="94" t="n"/>
      <c r="BO477" s="93" t="n"/>
      <c r="BP477" s="86" t="n"/>
      <c r="BQ477" s="96" t="n"/>
      <c r="BR477" s="96" t="n"/>
      <c r="BS477" s="97" t="n"/>
      <c r="BT477" s="96" t="n"/>
      <c r="BU477" s="97" t="n"/>
      <c r="BV477" s="96" t="n"/>
      <c r="BW477" s="97" t="n"/>
      <c r="BX477" s="97" t="n"/>
      <c r="BY477" s="97" t="n"/>
      <c r="BZ477" s="97" t="n"/>
      <c r="CH477" s="2" t="n"/>
      <c r="CI477" s="14" t="n"/>
      <c r="CJ477" s="25" t="n"/>
      <c r="CK477" s="25" t="n"/>
      <c r="CL477" s="25" t="n"/>
      <c r="CM477" s="25" t="n"/>
      <c r="CN477" s="25" t="n"/>
      <c r="CO477" s="25" t="n"/>
      <c r="CP477" s="25" t="n"/>
      <c r="CQ477" s="25" t="n"/>
      <c r="CR477" s="25" t="n"/>
      <c r="CS477" s="25" t="n"/>
      <c r="CT477" s="25" t="n"/>
      <c r="CU477" s="25" t="n"/>
      <c r="CV477" s="25" t="n"/>
      <c r="CW477" s="25" t="n"/>
      <c r="CX477" s="25" t="n"/>
      <c r="CY477" s="25" t="n"/>
      <c r="DC477" s="26" t="n"/>
      <c r="DD477" s="26" t="n"/>
      <c r="DE477" s="26" t="n"/>
      <c r="DF477" s="26" t="n"/>
      <c r="DG477" s="26" t="n"/>
      <c r="DH477" s="27" t="n"/>
      <c r="DJ477" s="211" t="inlineStr">
        <is>
          <t>订单表中未找到</t>
        </is>
      </c>
      <c r="DK477" t="inlineStr">
        <is>
          <t>—</t>
        </is>
      </c>
      <c r="DL477" t="inlineStr">
        <is>
          <t>—</t>
        </is>
      </c>
    </row>
    <row r="478" ht="15.75" customHeight="1" s="187">
      <c r="A478" s="84" t="n">
        <v>46002</v>
      </c>
      <c r="B478" s="206" t="inlineStr">
        <is>
          <t>已收货</t>
        </is>
      </c>
      <c r="C478" s="86" t="inlineStr">
        <is>
          <t>4937277495658382945</t>
        </is>
      </c>
      <c r="D478" s="86" t="inlineStr">
        <is>
          <t>刘钊岐</t>
        </is>
      </c>
      <c r="E478" s="87" t="n"/>
      <c r="F478" s="87" t="n"/>
      <c r="G478" s="87" t="inlineStr">
        <is>
          <t>砂白色1.6米岩板餐桌</t>
        </is>
      </c>
      <c r="H478" s="207" t="inlineStr">
        <is>
          <t>榉木餐桌</t>
        </is>
      </c>
      <c r="I478" s="89" t="inlineStr">
        <is>
          <t>160cm*85cm</t>
        </is>
      </c>
      <c r="J478" s="87" t="inlineStr">
        <is>
          <t>已结算</t>
        </is>
      </c>
      <c r="K478" s="86" t="inlineStr">
        <is>
          <t>江西</t>
        </is>
      </c>
      <c r="L478" s="207">
        <f>SUM(M478:AO478)</f>
        <v/>
      </c>
      <c r="M478" s="207">
        <f>1350</f>
        <v/>
      </c>
      <c r="N478" s="207" t="n"/>
      <c r="O478" s="207" t="n"/>
      <c r="P478" s="207" t="n"/>
      <c r="Q478" s="207" t="n"/>
      <c r="R478" s="207" t="n">
        <v>240</v>
      </c>
      <c r="S478" s="207" t="n"/>
      <c r="T478" s="207" t="n"/>
      <c r="U478" s="207" t="n"/>
      <c r="V478" s="207" t="n"/>
      <c r="W478" s="207" t="n"/>
      <c r="X478" s="207" t="n"/>
      <c r="Y478" s="207" t="n"/>
      <c r="Z478" s="207" t="n"/>
      <c r="AA478" s="207" t="n"/>
      <c r="AB478" s="207" t="n"/>
      <c r="AC478" s="207" t="n"/>
      <c r="AD478" s="207" t="n">
        <v>2.5</v>
      </c>
      <c r="AE478" s="207" t="n"/>
      <c r="AF478" s="207" t="n"/>
      <c r="AG478" s="207" t="n"/>
      <c r="AH478" s="207" t="n"/>
      <c r="AI478" s="207" t="n"/>
      <c r="AJ478" s="207" t="n"/>
      <c r="AK478" s="207" t="n"/>
      <c r="AL478" s="207" t="n"/>
      <c r="AM478" s="207" t="n">
        <v>190</v>
      </c>
      <c r="AN478" s="207" t="n"/>
      <c r="AO478" s="207" t="n"/>
      <c r="AP478" s="207">
        <f>120-AQ478</f>
        <v/>
      </c>
      <c r="AQ478" s="207" t="n">
        <v>30</v>
      </c>
      <c r="AR478" s="207" t="n">
        <v>75</v>
      </c>
      <c r="AS478" s="207" t="n">
        <v>0</v>
      </c>
      <c r="AT478" s="207" t="n">
        <v>0</v>
      </c>
      <c r="AU478" s="207" t="n">
        <v>0</v>
      </c>
      <c r="AV478" s="207" t="n">
        <v>0</v>
      </c>
      <c r="AW478" s="207" t="n">
        <v>0</v>
      </c>
      <c r="AX478" s="208" t="n">
        <v>1</v>
      </c>
      <c r="AY478" s="209">
        <f>L478*AX478+AP478+AQ478+AR478+AV478+AW478+AS478+AT478+AU478</f>
        <v/>
      </c>
      <c r="AZ478" s="207" t="n">
        <v>2854.27</v>
      </c>
      <c r="BA478" s="207" t="n">
        <v>0</v>
      </c>
      <c r="BB478" s="207">
        <f>AZ478*0.006</f>
        <v/>
      </c>
      <c r="BC478" s="209">
        <f>AZ478+BA478-BB478</f>
        <v/>
      </c>
      <c r="BD478" s="207" t="n">
        <v>0</v>
      </c>
      <c r="BE478" s="207" t="n">
        <v>0</v>
      </c>
      <c r="BF478" s="209">
        <f>BD478+BE478</f>
        <v/>
      </c>
      <c r="BG478" s="209">
        <f>BC478-AY478+BF478</f>
        <v/>
      </c>
      <c r="BH478" s="86" t="inlineStr">
        <is>
          <t>刘钊岐</t>
        </is>
      </c>
      <c r="BI478" s="86" t="inlineStr">
        <is>
          <t>浙江省 杭州市 余杭区 良渚街道 才泊嘉院6号楼1806室</t>
        </is>
      </c>
      <c r="BJ478" s="86" t="inlineStr">
        <is>
          <t>18413250782-8216</t>
        </is>
      </c>
      <c r="BK478" s="86" t="n"/>
      <c r="BL478" s="210" t="n"/>
      <c r="BM478" s="93" t="n"/>
      <c r="BN478" s="94" t="n"/>
      <c r="BO478" s="93" t="n"/>
      <c r="BP478" s="86" t="n"/>
      <c r="BQ478" s="96" t="n"/>
      <c r="BR478" s="96" t="n"/>
      <c r="BS478" s="97" t="n"/>
      <c r="BT478" s="96" t="n"/>
      <c r="BU478" s="97" t="n"/>
      <c r="BV478" s="96" t="n"/>
      <c r="BW478" s="97" t="n"/>
      <c r="BX478" s="97" t="n"/>
      <c r="BY478" s="97" t="n"/>
      <c r="BZ478" s="97" t="n"/>
      <c r="CH478" s="2" t="n"/>
      <c r="CI478" s="14" t="n"/>
      <c r="CJ478" s="25" t="n"/>
      <c r="CK478" s="25" t="n"/>
      <c r="CL478" s="25" t="n"/>
      <c r="CM478" s="25" t="n"/>
      <c r="CN478" s="25" t="n"/>
      <c r="CO478" s="25" t="n"/>
      <c r="CP478" s="25" t="n"/>
      <c r="CQ478" s="25" t="n"/>
      <c r="CR478" s="25" t="n"/>
      <c r="CS478" s="25" t="n"/>
      <c r="CT478" s="25" t="n"/>
      <c r="CU478" s="25" t="n"/>
      <c r="CV478" s="25" t="n"/>
      <c r="CW478" s="25" t="n"/>
      <c r="CX478" s="25" t="n"/>
      <c r="CY478" s="25" t="n"/>
      <c r="DC478" s="26" t="n"/>
      <c r="DD478" s="26" t="n"/>
      <c r="DE478" s="26" t="n"/>
      <c r="DF478" s="26" t="n"/>
      <c r="DG478" s="26" t="n"/>
      <c r="DH478" s="27" t="n"/>
      <c r="DJ478" s="211" t="inlineStr">
        <is>
          <t>订单表中未找到</t>
        </is>
      </c>
      <c r="DK478" t="inlineStr">
        <is>
          <t>—</t>
        </is>
      </c>
      <c r="DL478" t="inlineStr">
        <is>
          <t>—</t>
        </is>
      </c>
    </row>
    <row r="479" ht="15.75" customHeight="1" s="187">
      <c r="A479" s="84" t="n">
        <v>46002</v>
      </c>
      <c r="B479" s="206" t="inlineStr">
        <is>
          <t>已收货</t>
        </is>
      </c>
      <c r="C479" s="86" t="inlineStr">
        <is>
          <t>4937702042084317940</t>
        </is>
      </c>
      <c r="D479" s="86" t="inlineStr">
        <is>
          <t>树杰</t>
        </is>
      </c>
      <c r="E479" s="87" t="n"/>
      <c r="F479" s="87" t="n"/>
      <c r="G479" s="87" t="inlineStr">
        <is>
          <t>追加岩板</t>
        </is>
      </c>
      <c r="H479" s="207" t="inlineStr">
        <is>
          <t>配件</t>
        </is>
      </c>
      <c r="I479" s="89" t="n"/>
      <c r="J479" s="87" t="n"/>
      <c r="K479" s="86" t="inlineStr">
        <is>
          <t>江西</t>
        </is>
      </c>
      <c r="L479" s="216" t="n">
        <v>0</v>
      </c>
      <c r="M479" s="207" t="n">
        <v>0</v>
      </c>
      <c r="N479" s="207" t="n"/>
      <c r="O479" s="207" t="n"/>
      <c r="P479" s="207" t="n"/>
      <c r="Q479" s="207" t="n"/>
      <c r="R479" s="207" t="n"/>
      <c r="S479" s="207" t="n"/>
      <c r="T479" s="207" t="n"/>
      <c r="U479" s="207" t="n"/>
      <c r="V479" s="207" t="n"/>
      <c r="W479" s="207" t="n"/>
      <c r="X479" s="207" t="n"/>
      <c r="Y479" s="207" t="n"/>
      <c r="Z479" s="207" t="n"/>
      <c r="AA479" s="207" t="n"/>
      <c r="AB479" s="207" t="n"/>
      <c r="AC479" s="207" t="n"/>
      <c r="AD479" s="207" t="n"/>
      <c r="AE479" s="207" t="n"/>
      <c r="AF479" s="207" t="n"/>
      <c r="AG479" s="207" t="n"/>
      <c r="AH479" s="207" t="n"/>
      <c r="AI479" s="207" t="n"/>
      <c r="AJ479" s="207" t="n"/>
      <c r="AK479" s="207" t="n"/>
      <c r="AL479" s="207" t="n"/>
      <c r="AM479" s="207" t="n"/>
      <c r="AN479" s="207" t="n"/>
      <c r="AO479" s="207" t="n"/>
      <c r="AP479" s="207" t="n">
        <v>0</v>
      </c>
      <c r="AQ479" s="207" t="n">
        <v>0</v>
      </c>
      <c r="AR479" s="207" t="n">
        <v>0</v>
      </c>
      <c r="AS479" s="207" t="n">
        <v>0</v>
      </c>
      <c r="AT479" s="207" t="n">
        <v>0</v>
      </c>
      <c r="AU479" s="207" t="n">
        <v>0</v>
      </c>
      <c r="AV479" s="207" t="n">
        <v>0</v>
      </c>
      <c r="AW479" s="207" t="n">
        <v>0</v>
      </c>
      <c r="AX479" s="208" t="n">
        <v>1</v>
      </c>
      <c r="AY479" s="209">
        <f>L479*AX479+AP479+AQ479+AR479+AV479+AW479+AS479+AT479+AU479</f>
        <v/>
      </c>
      <c r="AZ479" s="207" t="n">
        <v>533</v>
      </c>
      <c r="BA479" s="207" t="n">
        <v>0</v>
      </c>
      <c r="BB479" s="207">
        <f>AZ479*0.006</f>
        <v/>
      </c>
      <c r="BC479" s="209">
        <f>AZ479+BA479-BB479</f>
        <v/>
      </c>
      <c r="BD479" s="207" t="n">
        <v>0</v>
      </c>
      <c r="BE479" s="207" t="n">
        <v>0</v>
      </c>
      <c r="BF479" s="209">
        <f>BD479+BE479</f>
        <v/>
      </c>
      <c r="BG479" s="209">
        <f>BC479-AY479+BF479</f>
        <v/>
      </c>
      <c r="BH479" s="86" t="inlineStr">
        <is>
          <t>树杰</t>
        </is>
      </c>
      <c r="BI479" s="86" t="inlineStr">
        <is>
          <t>广东省 广州市 白云区 太和镇 龙归龙河西路西南五横路4号（波屯斯鞋业一楼）启顺国际物流QS5734-SYD</t>
        </is>
      </c>
      <c r="BJ479" s="86" t="inlineStr">
        <is>
          <t>14737697527-8190</t>
        </is>
      </c>
      <c r="BK479" s="86" t="n"/>
      <c r="BL479" s="210" t="n"/>
      <c r="BM479" s="93" t="n"/>
      <c r="BN479" s="94" t="n"/>
      <c r="BO479" s="93" t="n"/>
      <c r="BP479" s="86" t="n"/>
      <c r="BQ479" s="96" t="n"/>
      <c r="BR479" s="96" t="n"/>
      <c r="BS479" s="97" t="n"/>
      <c r="BT479" s="96" t="n"/>
      <c r="BU479" s="97" t="n"/>
      <c r="BV479" s="96" t="n"/>
      <c r="BW479" s="97" t="n"/>
      <c r="BX479" s="97" t="n"/>
      <c r="BY479" s="97" t="n"/>
      <c r="BZ479" s="97" t="n"/>
      <c r="CH479" s="2" t="n"/>
      <c r="CI479" s="14" t="n"/>
      <c r="CJ479" s="25" t="n"/>
      <c r="CK479" s="25" t="n"/>
      <c r="CL479" s="25" t="n"/>
      <c r="CM479" s="25" t="n"/>
      <c r="CN479" s="25" t="n"/>
      <c r="CO479" s="25" t="n"/>
      <c r="CP479" s="25" t="n"/>
      <c r="CQ479" s="25" t="n"/>
      <c r="CR479" s="25" t="n"/>
      <c r="CS479" s="25" t="n"/>
      <c r="CT479" s="25" t="n"/>
      <c r="CU479" s="25" t="n"/>
      <c r="CV479" s="25" t="n"/>
      <c r="CW479" s="25" t="n"/>
      <c r="CX479" s="25" t="n"/>
      <c r="CY479" s="25" t="n"/>
      <c r="DC479" s="26" t="n"/>
      <c r="DD479" s="26" t="n"/>
      <c r="DE479" s="26" t="n"/>
      <c r="DF479" s="26" t="n"/>
      <c r="DG479" s="26" t="n"/>
      <c r="DH479" s="27" t="n"/>
      <c r="DJ479" s="211" t="inlineStr">
        <is>
          <t>订单表中未找到</t>
        </is>
      </c>
      <c r="DK479" t="inlineStr">
        <is>
          <t>—</t>
        </is>
      </c>
      <c r="DL479" t="inlineStr">
        <is>
          <t>—</t>
        </is>
      </c>
    </row>
    <row r="480" ht="15.75" customHeight="1" s="187">
      <c r="A480" s="84" t="n">
        <v>46003</v>
      </c>
      <c r="B480" s="206" t="inlineStr">
        <is>
          <t>已收货</t>
        </is>
      </c>
      <c r="C480" s="86" t="inlineStr">
        <is>
          <t>4939678728056795307</t>
        </is>
      </c>
      <c r="D480" s="86" t="inlineStr">
        <is>
          <t>王博</t>
        </is>
      </c>
      <c r="E480" s="87" t="n"/>
      <c r="F480" s="87" t="n"/>
      <c r="G480" s="207" t="inlineStr">
        <is>
          <t>窄柜-整柜洞石背板-1.0米</t>
        </is>
      </c>
      <c r="H480" s="207" t="inlineStr">
        <is>
          <t>樱桃木窄柜</t>
        </is>
      </c>
      <c r="I480" s="89" t="n">
        <v>1000</v>
      </c>
      <c r="J480" s="87" t="inlineStr">
        <is>
          <t>已结算</t>
        </is>
      </c>
      <c r="K480" s="86" t="inlineStr">
        <is>
          <t>江西</t>
        </is>
      </c>
      <c r="L480" s="207">
        <f>3300+115+180+1.16+3.37+1.1+1.03+76/2+5+359.08+52+3+170</f>
        <v/>
      </c>
      <c r="M480" s="207">
        <f>3300</f>
        <v/>
      </c>
      <c r="N480" s="207">
        <f>0.958*260+2*55</f>
        <v/>
      </c>
      <c r="O480" s="207" t="n">
        <v>120</v>
      </c>
      <c r="P480" s="207" t="n"/>
      <c r="Q480" s="207">
        <f>19*2</f>
        <v/>
      </c>
      <c r="R480" s="207" t="n">
        <v>180</v>
      </c>
      <c r="S480" s="207" t="n">
        <v>54</v>
      </c>
      <c r="T480" s="207" t="n">
        <v>52</v>
      </c>
      <c r="U480" s="207" t="n"/>
      <c r="V480" s="207" t="n">
        <v>5</v>
      </c>
      <c r="W480" s="207" t="n"/>
      <c r="X480" s="207" t="n"/>
      <c r="Y480" s="207" t="n"/>
      <c r="Z480" s="207" t="n"/>
      <c r="AA480" s="207" t="n">
        <v>2</v>
      </c>
      <c r="AB480" s="207" t="n">
        <v>1.1</v>
      </c>
      <c r="AC480" s="207" t="n">
        <v>3.5</v>
      </c>
      <c r="AD480" s="207" t="n"/>
      <c r="AE480" s="207" t="n"/>
      <c r="AF480" s="207" t="n"/>
      <c r="AG480" s="207" t="n"/>
      <c r="AH480" s="207" t="n"/>
      <c r="AI480" s="207" t="n"/>
      <c r="AJ480" s="207" t="n"/>
      <c r="AK480" s="207" t="n"/>
      <c r="AL480" s="207" t="n"/>
      <c r="AM480" s="207" t="n">
        <v>170</v>
      </c>
      <c r="AN480" s="207" t="n"/>
      <c r="AO480" s="207" t="n"/>
      <c r="AP480" s="207">
        <f>362-AQ480</f>
        <v/>
      </c>
      <c r="AQ480" s="207" t="n">
        <v>58</v>
      </c>
      <c r="AR480" s="207" t="n">
        <v>111</v>
      </c>
      <c r="AS480" s="207" t="n">
        <v>0</v>
      </c>
      <c r="AT480" s="207" t="n">
        <v>0</v>
      </c>
      <c r="AU480" s="207" t="n">
        <v>0</v>
      </c>
      <c r="AV480" s="207" t="n">
        <v>0</v>
      </c>
      <c r="AW480" s="207" t="n">
        <v>0</v>
      </c>
      <c r="AX480" s="208" t="n">
        <v>1</v>
      </c>
      <c r="AY480" s="209">
        <f>L480*AX480+AP480+AQ480+AR480+AV480+AW480+AS480+AT480+AU480</f>
        <v/>
      </c>
      <c r="AZ480" s="207" t="n">
        <v>5285.7</v>
      </c>
      <c r="BA480" s="207" t="n">
        <v>0</v>
      </c>
      <c r="BB480" s="207">
        <f>AZ480*0.006</f>
        <v/>
      </c>
      <c r="BC480" s="209">
        <f>AZ480+BA480-BB480</f>
        <v/>
      </c>
      <c r="BD480" s="207" t="n">
        <v>0</v>
      </c>
      <c r="BE480" s="207" t="n">
        <v>0</v>
      </c>
      <c r="BF480" s="209">
        <f>BD480+BE480</f>
        <v/>
      </c>
      <c r="BG480" s="209">
        <f>BC480-AY480+BF480</f>
        <v/>
      </c>
      <c r="BH480" s="86" t="inlineStr">
        <is>
          <t>王博</t>
        </is>
      </c>
      <c r="BI480" s="86" t="inlineStr">
        <is>
          <t>北京 北京市 丰台区 王佐镇 山湖路6号院翡翠西湖二期5号楼2单元401</t>
        </is>
      </c>
      <c r="BJ480" s="86" t="inlineStr">
        <is>
          <t>18400824173-7010</t>
        </is>
      </c>
      <c r="BK480" s="86" t="n"/>
      <c r="BL480" s="210" t="n"/>
      <c r="BM480" s="93" t="n"/>
      <c r="BN480" s="94" t="n"/>
      <c r="BO480" s="93" t="n"/>
      <c r="BP480" s="86" t="n"/>
      <c r="BQ480" s="96" t="n"/>
      <c r="BR480" s="96" t="n"/>
      <c r="BS480" s="97" t="n"/>
      <c r="BT480" s="96" t="n"/>
      <c r="BU480" s="97" t="n"/>
      <c r="BV480" s="96" t="n"/>
      <c r="BW480" s="97" t="n"/>
      <c r="BX480" s="97" t="n"/>
      <c r="BY480" s="97" t="n"/>
      <c r="BZ480" s="97" t="n"/>
      <c r="CH480" s="2" t="n"/>
      <c r="CI480" s="14" t="n"/>
      <c r="CJ480" s="25" t="n"/>
      <c r="CK480" s="25" t="n"/>
      <c r="CL480" s="25" t="n"/>
      <c r="CM480" s="25" t="n"/>
      <c r="CN480" s="25" t="n"/>
      <c r="CO480" s="25" t="n"/>
      <c r="CP480" s="25" t="n"/>
      <c r="CQ480" s="25" t="n"/>
      <c r="CR480" s="25" t="n"/>
      <c r="CS480" s="25" t="n"/>
      <c r="CT480" s="25" t="n"/>
      <c r="CU480" s="25" t="n"/>
      <c r="CV480" s="25" t="n"/>
      <c r="CW480" s="25" t="n"/>
      <c r="CX480" s="25" t="n"/>
      <c r="CY480" s="25" t="n"/>
      <c r="DC480" s="26" t="n"/>
      <c r="DD480" s="26" t="n"/>
      <c r="DE480" s="26" t="n"/>
      <c r="DF480" s="26" t="n"/>
      <c r="DG480" s="26" t="n"/>
      <c r="DH480" s="27" t="n"/>
      <c r="DJ480" s="211" t="inlineStr">
        <is>
          <t>订单表中未找到</t>
        </is>
      </c>
      <c r="DK480" t="inlineStr">
        <is>
          <t>—</t>
        </is>
      </c>
      <c r="DL480" t="inlineStr">
        <is>
          <t>—</t>
        </is>
      </c>
    </row>
    <row r="481" ht="15.75" customHeight="1" s="187">
      <c r="A481" s="84" t="n">
        <v>46003</v>
      </c>
      <c r="B481" s="206" t="inlineStr">
        <is>
          <t>已收货</t>
        </is>
      </c>
      <c r="C481" s="86" t="inlineStr">
        <is>
          <t>4940160014231786804</t>
        </is>
      </c>
      <c r="D481" s="86" t="inlineStr">
        <is>
          <t>刘亮</t>
        </is>
      </c>
      <c r="E481" s="87" t="n"/>
      <c r="F481" s="87" t="n"/>
      <c r="G481" s="87" t="inlineStr">
        <is>
          <t>砂白色1.8米岩板餐桌</t>
        </is>
      </c>
      <c r="H481" s="207" t="inlineStr">
        <is>
          <t>榉木餐桌</t>
        </is>
      </c>
      <c r="I481" s="89" t="inlineStr">
        <is>
          <t>180cm*85cm</t>
        </is>
      </c>
      <c r="J481" s="87" t="inlineStr">
        <is>
          <t>已结算</t>
        </is>
      </c>
      <c r="K481" s="86" t="inlineStr">
        <is>
          <t>江西</t>
        </is>
      </c>
      <c r="L481" s="207">
        <f>SUM(M481:AO481)</f>
        <v/>
      </c>
      <c r="M481" s="207">
        <f>1400</f>
        <v/>
      </c>
      <c r="N481" s="207" t="n"/>
      <c r="O481" s="207" t="n"/>
      <c r="P481" s="207" t="n"/>
      <c r="Q481" s="207" t="n"/>
      <c r="R481" s="207" t="n">
        <v>240</v>
      </c>
      <c r="S481" s="207" t="n"/>
      <c r="T481" s="207" t="n"/>
      <c r="U481" s="207" t="n"/>
      <c r="V481" s="207" t="n"/>
      <c r="W481" s="207" t="n"/>
      <c r="X481" s="207" t="n"/>
      <c r="Y481" s="207" t="n"/>
      <c r="Z481" s="207" t="n"/>
      <c r="AA481" s="207" t="n"/>
      <c r="AB481" s="207" t="n"/>
      <c r="AC481" s="207" t="n"/>
      <c r="AD481" s="207" t="n">
        <v>2.5</v>
      </c>
      <c r="AE481" s="207" t="n"/>
      <c r="AF481" s="207" t="n"/>
      <c r="AG481" s="207" t="n"/>
      <c r="AH481" s="207" t="n"/>
      <c r="AI481" s="207" t="n"/>
      <c r="AJ481" s="207" t="n"/>
      <c r="AK481" s="207" t="n"/>
      <c r="AL481" s="207" t="n"/>
      <c r="AM481" s="207" t="n">
        <v>190</v>
      </c>
      <c r="AN481" s="207" t="n"/>
      <c r="AO481" s="207" t="n"/>
      <c r="AP481" s="207">
        <f>215-AQ481</f>
        <v/>
      </c>
      <c r="AQ481" s="207" t="n">
        <v>35</v>
      </c>
      <c r="AR481" s="207" t="n">
        <v>80</v>
      </c>
      <c r="AS481" s="207" t="n">
        <v>0</v>
      </c>
      <c r="AT481" s="207" t="n">
        <v>0</v>
      </c>
      <c r="AU481" s="207" t="n">
        <v>0</v>
      </c>
      <c r="AV481" s="207" t="n">
        <v>0</v>
      </c>
      <c r="AW481" s="207" t="n">
        <v>0</v>
      </c>
      <c r="AX481" s="208" t="n">
        <v>1</v>
      </c>
      <c r="AY481" s="209">
        <f>L481*AX481+AP481+AQ481+AR481+AV481+AW481+AS481+AT481+AU481</f>
        <v/>
      </c>
      <c r="AZ481" s="207" t="n">
        <v>3043.04</v>
      </c>
      <c r="BA481" s="207" t="n">
        <v>0</v>
      </c>
      <c r="BB481" s="207">
        <f>AZ481*0.006</f>
        <v/>
      </c>
      <c r="BC481" s="209">
        <f>AZ481+BA481-BB481</f>
        <v/>
      </c>
      <c r="BD481" s="207" t="n">
        <v>0</v>
      </c>
      <c r="BE481" s="207" t="n">
        <v>0</v>
      </c>
      <c r="BF481" s="209">
        <f>BD481+BE481</f>
        <v/>
      </c>
      <c r="BG481" s="209">
        <f>BC481-AY481+BF481</f>
        <v/>
      </c>
      <c r="BH481" s="86" t="inlineStr">
        <is>
          <t>刘亮</t>
        </is>
      </c>
      <c r="BI481" s="86" t="inlineStr">
        <is>
          <t>辽宁省 沈阳市 于洪区 造化街道 松山西路中铁丁香水岸44#322</t>
        </is>
      </c>
      <c r="BJ481" s="86" t="inlineStr">
        <is>
          <t>17896113734-7049</t>
        </is>
      </c>
      <c r="BK481" s="86" t="n"/>
      <c r="BL481" s="210" t="n"/>
      <c r="BM481" s="93" t="n"/>
      <c r="BN481" s="94" t="n"/>
      <c r="BO481" s="93" t="n"/>
      <c r="BP481" s="86" t="n"/>
      <c r="BQ481" s="96" t="n"/>
      <c r="BR481" s="96" t="n"/>
      <c r="BS481" s="97" t="n"/>
      <c r="BT481" s="96" t="n"/>
      <c r="BU481" s="97" t="n"/>
      <c r="BV481" s="96" t="n"/>
      <c r="BW481" s="97" t="n"/>
      <c r="BX481" s="97" t="n"/>
      <c r="BY481" s="97" t="n"/>
      <c r="BZ481" s="97" t="n"/>
      <c r="CH481" s="2" t="n"/>
      <c r="CI481" s="14" t="n"/>
      <c r="CJ481" s="25" t="n"/>
      <c r="CK481" s="25" t="n"/>
      <c r="CL481" s="25" t="n"/>
      <c r="CM481" s="25" t="n"/>
      <c r="CN481" s="25" t="n"/>
      <c r="CO481" s="25" t="n"/>
      <c r="CP481" s="25" t="n"/>
      <c r="CQ481" s="25" t="n"/>
      <c r="CR481" s="25" t="n"/>
      <c r="CS481" s="25" t="n"/>
      <c r="CT481" s="25" t="n"/>
      <c r="CU481" s="25" t="n"/>
      <c r="CV481" s="25" t="n"/>
      <c r="CW481" s="25" t="n"/>
      <c r="CX481" s="25" t="n"/>
      <c r="CY481" s="25" t="n"/>
      <c r="DC481" s="26" t="n"/>
      <c r="DD481" s="26" t="n"/>
      <c r="DE481" s="26" t="n"/>
      <c r="DF481" s="26" t="n"/>
      <c r="DG481" s="26" t="n"/>
      <c r="DH481" s="27" t="n"/>
      <c r="DJ481" s="211" t="inlineStr">
        <is>
          <t>订单表中未找到</t>
        </is>
      </c>
      <c r="DK481" t="inlineStr">
        <is>
          <t>—</t>
        </is>
      </c>
      <c r="DL481" t="inlineStr">
        <is>
          <t>—</t>
        </is>
      </c>
    </row>
    <row r="482" ht="15.75" customHeight="1" s="187">
      <c r="A482" s="84" t="n">
        <v>46003</v>
      </c>
      <c r="B482" s="206" t="inlineStr">
        <is>
          <t>已收货</t>
        </is>
      </c>
      <c r="C482" s="86" t="inlineStr">
        <is>
          <t>3118906129158184654</t>
        </is>
      </c>
      <c r="D482" s="86" t="inlineStr">
        <is>
          <t>智爱</t>
        </is>
      </c>
      <c r="E482" s="87" t="n"/>
      <c r="F482" s="87" t="n"/>
      <c r="G482" s="87" t="inlineStr">
        <is>
          <t>1.8洞石柜</t>
        </is>
      </c>
      <c r="H482" s="207" t="inlineStr">
        <is>
          <t>洞石餐边柜</t>
        </is>
      </c>
      <c r="I482" s="89" t="n">
        <v>1800</v>
      </c>
      <c r="J482" s="87" t="inlineStr">
        <is>
          <t>已结算</t>
        </is>
      </c>
      <c r="K482" s="86" t="inlineStr">
        <is>
          <t>江西</t>
        </is>
      </c>
      <c r="L482" s="207">
        <f>6080+580+80+567.08+2040/6/1.5+380+14+10+22*9+52*2+84</f>
        <v/>
      </c>
      <c r="M482" s="207">
        <f>6080</f>
        <v/>
      </c>
      <c r="N482" s="207" t="n">
        <v>580</v>
      </c>
      <c r="O482" s="207" t="n">
        <v>80</v>
      </c>
      <c r="P482" s="207" t="n">
        <v>567.08</v>
      </c>
      <c r="Q482" s="207" t="n"/>
      <c r="R482" s="207" t="inlineStr">
        <is>
          <t>2040/6/1.5</t>
        </is>
      </c>
      <c r="S482" s="207" t="n">
        <v>380</v>
      </c>
      <c r="T482" s="207" t="n">
        <v>14</v>
      </c>
      <c r="U482" s="207" t="n"/>
      <c r="V482" s="207" t="n"/>
      <c r="W482" s="207" t="n">
        <v>10</v>
      </c>
      <c r="X482" s="207">
        <f>22*9</f>
        <v/>
      </c>
      <c r="Y482" s="207" t="inlineStr">
        <is>
          <t>52*2</t>
        </is>
      </c>
      <c r="Z482" s="207" t="n"/>
      <c r="AA482" s="207" t="n"/>
      <c r="AB482" s="207" t="n"/>
      <c r="AC482" s="207" t="n"/>
      <c r="AD482" s="207" t="n"/>
      <c r="AE482" s="207" t="n">
        <v>84</v>
      </c>
      <c r="AF482" s="207" t="n"/>
      <c r="AG482" s="207" t="n"/>
      <c r="AH482" s="207" t="n"/>
      <c r="AI482" s="207" t="n"/>
      <c r="AJ482" s="207" t="n"/>
      <c r="AK482" s="207" t="n"/>
      <c r="AL482" s="207" t="n"/>
      <c r="AM482" s="207" t="n">
        <v>380</v>
      </c>
      <c r="AN482" s="207" t="n"/>
      <c r="AO482" s="207" t="n"/>
      <c r="AP482" s="207">
        <f>702-AQ482</f>
        <v/>
      </c>
      <c r="AQ482" s="207" t="n">
        <v>112</v>
      </c>
      <c r="AR482" s="207" t="n">
        <v>200</v>
      </c>
      <c r="AS482" s="207" t="n">
        <v>0</v>
      </c>
      <c r="AT482" s="207" t="n">
        <v>0</v>
      </c>
      <c r="AU482" s="207" t="n">
        <v>0</v>
      </c>
      <c r="AV482" s="207" t="n">
        <v>0</v>
      </c>
      <c r="AW482" s="207" t="n">
        <v>0</v>
      </c>
      <c r="AX482" s="208" t="n">
        <v>1</v>
      </c>
      <c r="AY482" s="209">
        <f>L482*AX482+AP482+AQ482+AR482+AV482+AW482+AS482+AT482+AU482</f>
        <v/>
      </c>
      <c r="AZ482" s="207" t="n">
        <v>10464.28</v>
      </c>
      <c r="BA482" s="207" t="n">
        <v>0</v>
      </c>
      <c r="BB482" s="207">
        <f>AZ482*0.006</f>
        <v/>
      </c>
      <c r="BC482" s="209">
        <f>AZ482+BA482-BB482</f>
        <v/>
      </c>
      <c r="BD482" s="207" t="n">
        <v>0</v>
      </c>
      <c r="BE482" s="207" t="n">
        <v>0</v>
      </c>
      <c r="BF482" s="209">
        <f>BD482+BE482</f>
        <v/>
      </c>
      <c r="BG482" s="209">
        <f>BC482-AY482+BF482</f>
        <v/>
      </c>
      <c r="BH482" s="86" t="inlineStr">
        <is>
          <t>智爱</t>
        </is>
      </c>
      <c r="BI482" s="86" t="inlineStr">
        <is>
          <t>北京 北京市 通州区 通运街道 M5运河1号3号楼1111</t>
        </is>
      </c>
      <c r="BJ482" s="86" t="inlineStr">
        <is>
          <t>86-15210340701</t>
        </is>
      </c>
      <c r="BK482" s="86" t="n"/>
      <c r="BL482" s="210" t="n"/>
      <c r="BM482" s="93" t="n"/>
      <c r="BN482" s="94" t="n"/>
      <c r="BO482" s="93" t="n"/>
      <c r="BP482" s="86" t="n"/>
      <c r="BQ482" s="96" t="n"/>
      <c r="BR482" s="96" t="n"/>
      <c r="BS482" s="97" t="n"/>
      <c r="BT482" s="96" t="n"/>
      <c r="BU482" s="97" t="n"/>
      <c r="BV482" s="96" t="n"/>
      <c r="BW482" s="97" t="n"/>
      <c r="BX482" s="97" t="n"/>
      <c r="BY482" s="97" t="n"/>
      <c r="BZ482" s="97" t="n"/>
      <c r="CH482" s="2" t="n"/>
      <c r="CI482" s="14" t="n"/>
      <c r="CJ482" s="25" t="n"/>
      <c r="CK482" s="25" t="n"/>
      <c r="CL482" s="25" t="n"/>
      <c r="CM482" s="25" t="n"/>
      <c r="CN482" s="25" t="n"/>
      <c r="CO482" s="25" t="n"/>
      <c r="CP482" s="25" t="n"/>
      <c r="CQ482" s="25" t="n"/>
      <c r="CR482" s="25" t="n"/>
      <c r="CS482" s="25" t="n"/>
      <c r="CT482" s="25" t="n"/>
      <c r="CU482" s="25" t="n"/>
      <c r="CV482" s="25" t="n"/>
      <c r="CW482" s="25" t="n"/>
      <c r="CX482" s="25" t="n"/>
      <c r="CY482" s="25" t="n"/>
      <c r="DC482" s="26" t="n"/>
      <c r="DD482" s="26" t="n"/>
      <c r="DE482" s="26" t="n"/>
      <c r="DF482" s="26" t="n"/>
      <c r="DG482" s="26" t="n"/>
      <c r="DH482" s="27" t="n"/>
      <c r="DJ482" s="211" t="inlineStr">
        <is>
          <t>订单表中未找到</t>
        </is>
      </c>
      <c r="DK482" t="inlineStr">
        <is>
          <t>—</t>
        </is>
      </c>
      <c r="DL482" t="inlineStr">
        <is>
          <t>—</t>
        </is>
      </c>
    </row>
    <row r="483" ht="15.75" customHeight="1" s="187">
      <c r="A483" s="84" t="n">
        <v>46003</v>
      </c>
      <c r="B483" s="206" t="inlineStr">
        <is>
          <t>已收货</t>
        </is>
      </c>
      <c r="C483" s="86" t="inlineStr">
        <is>
          <t>4940945821211022100</t>
        </is>
      </c>
      <c r="D483" s="86" t="inlineStr">
        <is>
          <t>郑先生</t>
        </is>
      </c>
      <c r="E483" s="87" t="n"/>
      <c r="F483" s="87" t="n"/>
      <c r="G483" s="87" t="inlineStr">
        <is>
          <t>砂白色1.8米岩板餐桌</t>
        </is>
      </c>
      <c r="H483" s="207" t="inlineStr">
        <is>
          <t>榉木餐桌</t>
        </is>
      </c>
      <c r="I483" s="89" t="inlineStr">
        <is>
          <t>180cm*85cm</t>
        </is>
      </c>
      <c r="J483" s="87" t="inlineStr">
        <is>
          <t>已结算</t>
        </is>
      </c>
      <c r="K483" s="86" t="inlineStr">
        <is>
          <t>江西</t>
        </is>
      </c>
      <c r="L483" s="207">
        <f>SUM(M483:AO483)</f>
        <v/>
      </c>
      <c r="M483" s="207">
        <f>1400</f>
        <v/>
      </c>
      <c r="N483" s="207" t="n"/>
      <c r="O483" s="207" t="n"/>
      <c r="P483" s="207" t="n"/>
      <c r="Q483" s="207" t="n"/>
      <c r="R483" s="207" t="n">
        <v>240</v>
      </c>
      <c r="S483" s="207" t="n"/>
      <c r="T483" s="207" t="n"/>
      <c r="U483" s="207" t="n"/>
      <c r="V483" s="207" t="n"/>
      <c r="W483" s="207" t="n"/>
      <c r="X483" s="207" t="n"/>
      <c r="Y483" s="207" t="n"/>
      <c r="Z483" s="207" t="n"/>
      <c r="AA483" s="207" t="n"/>
      <c r="AB483" s="207" t="n"/>
      <c r="AC483" s="207" t="n"/>
      <c r="AD483" s="207" t="n">
        <v>2.5</v>
      </c>
      <c r="AE483" s="207" t="n"/>
      <c r="AF483" s="207" t="n"/>
      <c r="AG483" s="207" t="n"/>
      <c r="AH483" s="207" t="n"/>
      <c r="AI483" s="207" t="n"/>
      <c r="AJ483" s="207" t="n"/>
      <c r="AK483" s="207" t="n"/>
      <c r="AL483" s="207" t="n"/>
      <c r="AM483" s="207">
        <f>190+70</f>
        <v/>
      </c>
      <c r="AN483" s="207" t="n"/>
      <c r="AO483" s="207" t="n"/>
      <c r="AP483" s="207" t="n">
        <v>173</v>
      </c>
      <c r="AQ483" s="207" t="n">
        <v>0</v>
      </c>
      <c r="AR483" s="207" t="n">
        <v>60</v>
      </c>
      <c r="AS483" s="207" t="n">
        <v>0</v>
      </c>
      <c r="AT483" s="207" t="n">
        <v>0</v>
      </c>
      <c r="AU483" s="207" t="n">
        <v>0</v>
      </c>
      <c r="AV483" s="207" t="n">
        <v>0</v>
      </c>
      <c r="AW483" s="207" t="n">
        <v>0</v>
      </c>
      <c r="AX483" s="208" t="n">
        <v>1</v>
      </c>
      <c r="AY483" s="209">
        <f>L483*AX483+AP483+AQ483+AR483+AV483+AW483+AS483+AT483+AU483</f>
        <v/>
      </c>
      <c r="AZ483" s="207" t="n">
        <v>2983.04</v>
      </c>
      <c r="BA483" s="207" t="n">
        <v>0</v>
      </c>
      <c r="BB483" s="207">
        <f>AZ483*0.006</f>
        <v/>
      </c>
      <c r="BC483" s="209">
        <f>AZ483+BA483-BB483</f>
        <v/>
      </c>
      <c r="BD483" s="207" t="n">
        <v>0</v>
      </c>
      <c r="BE483" s="207" t="n">
        <v>0</v>
      </c>
      <c r="BF483" s="209">
        <f>BD483+BE483</f>
        <v/>
      </c>
      <c r="BG483" s="209">
        <f>BC483-AY483+BF483</f>
        <v/>
      </c>
      <c r="BH483" s="86" t="inlineStr">
        <is>
          <t>郑先生</t>
        </is>
      </c>
      <c r="BI483" s="86" t="inlineStr">
        <is>
          <t>四川省 成都市 锦江区 沙河街道 万科城市花园彩域94栋C-101</t>
        </is>
      </c>
      <c r="BJ483" s="86" t="inlineStr">
        <is>
          <t>18418982494-7976</t>
        </is>
      </c>
      <c r="BK483" s="86" t="n"/>
      <c r="BL483" s="210" t="n"/>
      <c r="BM483" s="93" t="n"/>
      <c r="BN483" s="94" t="n"/>
      <c r="BO483" s="93" t="n"/>
      <c r="BP483" s="86" t="n"/>
      <c r="BQ483" s="96" t="n"/>
      <c r="BR483" s="96" t="n"/>
      <c r="BS483" s="97" t="n"/>
      <c r="BT483" s="96" t="n"/>
      <c r="BU483" s="97" t="n"/>
      <c r="BV483" s="96" t="n"/>
      <c r="BW483" s="97" t="n"/>
      <c r="BX483" s="97" t="n"/>
      <c r="BY483" s="97" t="n"/>
      <c r="BZ483" s="97" t="n"/>
      <c r="CH483" s="2" t="n"/>
      <c r="CI483" s="14" t="n"/>
      <c r="CJ483" s="25" t="n"/>
      <c r="CK483" s="25" t="n"/>
      <c r="CL483" s="25" t="n"/>
      <c r="CM483" s="25" t="n"/>
      <c r="CN483" s="25" t="n"/>
      <c r="CO483" s="25" t="n"/>
      <c r="CP483" s="25" t="n"/>
      <c r="CQ483" s="25" t="n"/>
      <c r="CR483" s="25" t="n"/>
      <c r="CS483" s="25" t="n"/>
      <c r="CT483" s="25" t="n"/>
      <c r="CU483" s="25" t="n"/>
      <c r="CV483" s="25" t="n"/>
      <c r="CW483" s="25" t="n"/>
      <c r="CX483" s="25" t="n"/>
      <c r="CY483" s="25" t="n"/>
      <c r="DC483" s="26" t="n"/>
      <c r="DD483" s="26" t="n"/>
      <c r="DE483" s="26" t="n"/>
      <c r="DF483" s="26" t="n"/>
      <c r="DG483" s="26" t="n"/>
      <c r="DH483" s="27" t="n"/>
      <c r="DJ483" s="211" t="inlineStr">
        <is>
          <t>订单表中未找到</t>
        </is>
      </c>
      <c r="DK483" t="inlineStr">
        <is>
          <t>—</t>
        </is>
      </c>
      <c r="DL483" t="inlineStr">
        <is>
          <t>—</t>
        </is>
      </c>
    </row>
    <row r="484" ht="15.75" customHeight="1" s="187">
      <c r="A484" s="84" t="n">
        <v>46004</v>
      </c>
      <c r="B484" s="206" t="inlineStr">
        <is>
          <t>已收货</t>
        </is>
      </c>
      <c r="C484" s="86" t="inlineStr">
        <is>
          <t>3119188153916165881</t>
        </is>
      </c>
      <c r="D484" s="86" t="inlineStr">
        <is>
          <t>胡克栋</t>
        </is>
      </c>
      <c r="E484" s="87" t="n"/>
      <c r="F484" s="87" t="n"/>
      <c r="G484" s="207" t="inlineStr">
        <is>
          <t>样块</t>
        </is>
      </c>
      <c r="H484" s="207" t="inlineStr">
        <is>
          <t>样块</t>
        </is>
      </c>
      <c r="I484" s="89" t="n"/>
      <c r="J484" s="87" t="inlineStr">
        <is>
          <t>已结算</t>
        </is>
      </c>
      <c r="K484" s="87" t="inlineStr">
        <is>
          <t>杭州</t>
        </is>
      </c>
      <c r="L484" s="207">
        <f>SUM(M484:AO484)</f>
        <v/>
      </c>
      <c r="M484" s="207" t="n">
        <v>5</v>
      </c>
      <c r="N484" s="207" t="n"/>
      <c r="O484" s="207" t="n"/>
      <c r="P484" s="207" t="n"/>
      <c r="Q484" s="207" t="n"/>
      <c r="R484" s="207" t="n"/>
      <c r="S484" s="207" t="n"/>
      <c r="T484" s="207" t="n"/>
      <c r="U484" s="207" t="n"/>
      <c r="V484" s="207" t="n"/>
      <c r="W484" s="207" t="n"/>
      <c r="X484" s="207" t="n"/>
      <c r="Y484" s="207" t="n"/>
      <c r="Z484" s="207" t="n"/>
      <c r="AA484" s="207" t="n"/>
      <c r="AB484" s="207" t="n"/>
      <c r="AC484" s="207" t="n"/>
      <c r="AD484" s="207" t="n"/>
      <c r="AE484" s="207" t="n"/>
      <c r="AF484" s="207" t="n"/>
      <c r="AG484" s="207" t="n"/>
      <c r="AH484" s="207" t="n"/>
      <c r="AI484" s="207" t="n"/>
      <c r="AJ484" s="207" t="n"/>
      <c r="AK484" s="207" t="n"/>
      <c r="AL484" s="207" t="n"/>
      <c r="AM484" s="207" t="n">
        <v>2</v>
      </c>
      <c r="AN484" s="207" t="n"/>
      <c r="AO484" s="207" t="n"/>
      <c r="AP484" s="207" t="n">
        <v>5</v>
      </c>
      <c r="AQ484" s="207" t="n">
        <v>0</v>
      </c>
      <c r="AR484" s="207" t="n">
        <v>0</v>
      </c>
      <c r="AS484" s="207" t="n">
        <v>0</v>
      </c>
      <c r="AT484" s="207" t="n">
        <v>0</v>
      </c>
      <c r="AU484" s="207" t="n">
        <v>0</v>
      </c>
      <c r="AV484" s="207" t="n">
        <v>0</v>
      </c>
      <c r="AW484" s="207" t="n">
        <v>0</v>
      </c>
      <c r="AX484" s="208" t="n">
        <v>1</v>
      </c>
      <c r="AY484" s="209">
        <f>L484*AX484+AP484+AQ484+AR484+AV484+AW484+AS484+AT484+AU484</f>
        <v/>
      </c>
      <c r="AZ484" s="207" t="n">
        <v>22</v>
      </c>
      <c r="BA484" s="207" t="n">
        <v>0</v>
      </c>
      <c r="BB484" s="207">
        <f>AZ484*0.006</f>
        <v/>
      </c>
      <c r="BC484" s="209">
        <f>AZ484+BA484-BB484</f>
        <v/>
      </c>
      <c r="BD484" s="207" t="n">
        <v>0</v>
      </c>
      <c r="BE484" s="207" t="n">
        <v>0</v>
      </c>
      <c r="BF484" s="209">
        <f>BD484+BE484</f>
        <v/>
      </c>
      <c r="BG484" s="209">
        <f>BC484-AY484+BF484</f>
        <v/>
      </c>
      <c r="BH484" s="86" t="inlineStr">
        <is>
          <t>胡克栋</t>
        </is>
      </c>
      <c r="BI484" s="86" t="inlineStr">
        <is>
          <t>甘肃省 兰州市 榆中县 和平镇牡丹路金科公寓16栋</t>
        </is>
      </c>
      <c r="BJ484" s="86" t="inlineStr">
        <is>
          <t>15619424060-1999</t>
        </is>
      </c>
      <c r="BK484" s="86" t="n"/>
      <c r="BL484" s="210" t="n"/>
      <c r="BM484" s="93" t="n"/>
      <c r="BN484" s="94" t="n"/>
      <c r="BO484" s="93" t="n"/>
      <c r="BP484" s="86" t="n"/>
      <c r="BQ484" s="96" t="n"/>
      <c r="BR484" s="96" t="n"/>
      <c r="BS484" s="97" t="n"/>
      <c r="BT484" s="96" t="n"/>
      <c r="BU484" s="97" t="n"/>
      <c r="BV484" s="96" t="n"/>
      <c r="BW484" s="97" t="n"/>
      <c r="BX484" s="97" t="n"/>
      <c r="BY484" s="97" t="n"/>
      <c r="BZ484" s="97" t="n"/>
      <c r="CH484" s="2" t="n"/>
      <c r="CI484" s="14" t="n"/>
      <c r="CJ484" s="25" t="n"/>
      <c r="CK484" s="25" t="n"/>
      <c r="CL484" s="25" t="n"/>
      <c r="CM484" s="25" t="n"/>
      <c r="CN484" s="25" t="n"/>
      <c r="CO484" s="25" t="n"/>
      <c r="CP484" s="25" t="n"/>
      <c r="CQ484" s="25" t="n"/>
      <c r="CR484" s="25" t="n"/>
      <c r="CS484" s="25" t="n"/>
      <c r="CT484" s="25" t="n"/>
      <c r="CU484" s="25" t="n"/>
      <c r="CV484" s="25" t="n"/>
      <c r="CW484" s="25" t="n"/>
      <c r="CX484" s="25" t="n"/>
      <c r="CY484" s="25" t="n"/>
      <c r="DC484" s="26" t="n"/>
      <c r="DD484" s="26" t="n"/>
      <c r="DE484" s="26" t="n"/>
      <c r="DF484" s="26" t="n"/>
      <c r="DG484" s="26" t="n"/>
      <c r="DH484" s="27" t="n"/>
      <c r="DJ484" s="211" t="inlineStr">
        <is>
          <t>订单表中未找到</t>
        </is>
      </c>
      <c r="DK484" t="inlineStr">
        <is>
          <t>—</t>
        </is>
      </c>
      <c r="DL484" t="inlineStr">
        <is>
          <t>—</t>
        </is>
      </c>
    </row>
    <row r="485" ht="15.75" customHeight="1" s="187">
      <c r="A485" s="84" t="n">
        <v>46004</v>
      </c>
      <c r="B485" s="206" t="inlineStr">
        <is>
          <t>已收货</t>
        </is>
      </c>
      <c r="C485" s="86" t="inlineStr">
        <is>
          <t>3120419893540777990</t>
        </is>
      </c>
      <c r="D485" s="86" t="inlineStr">
        <is>
          <t>王庆红</t>
        </is>
      </c>
      <c r="E485" s="87" t="n"/>
      <c r="F485" s="87" t="n"/>
      <c r="G485" s="87" t="inlineStr">
        <is>
          <t>榉木多巴胺凳子</t>
        </is>
      </c>
      <c r="H485" s="207" t="inlineStr">
        <is>
          <t>椅子</t>
        </is>
      </c>
      <c r="I485" s="89" t="n"/>
      <c r="J485" s="87" t="n"/>
      <c r="K485" s="86" t="inlineStr">
        <is>
          <t>江西</t>
        </is>
      </c>
      <c r="L485" s="234" t="n">
        <v>658</v>
      </c>
      <c r="M485" s="207" t="n">
        <v>658</v>
      </c>
      <c r="N485" s="207" t="n"/>
      <c r="O485" s="207" t="n"/>
      <c r="P485" s="207" t="n"/>
      <c r="Q485" s="207" t="n"/>
      <c r="R485" s="207" t="n"/>
      <c r="S485" s="207" t="n"/>
      <c r="T485" s="207" t="n"/>
      <c r="U485" s="207" t="n"/>
      <c r="V485" s="207" t="n"/>
      <c r="W485" s="207" t="n"/>
      <c r="X485" s="207" t="n"/>
      <c r="Y485" s="207" t="n"/>
      <c r="Z485" s="207" t="n"/>
      <c r="AA485" s="207" t="n"/>
      <c r="AB485" s="207" t="n"/>
      <c r="AC485" s="207" t="n"/>
      <c r="AD485" s="207" t="n"/>
      <c r="AE485" s="207" t="n"/>
      <c r="AF485" s="207" t="n"/>
      <c r="AG485" s="207" t="n"/>
      <c r="AH485" s="207" t="n"/>
      <c r="AI485" s="207" t="n"/>
      <c r="AJ485" s="207" t="n"/>
      <c r="AK485" s="207" t="n"/>
      <c r="AL485" s="207" t="n"/>
      <c r="AM485" s="207" t="n"/>
      <c r="AN485" s="207" t="n"/>
      <c r="AO485" s="207" t="n"/>
      <c r="AP485" s="207" t="n">
        <v>0</v>
      </c>
      <c r="AQ485" s="207" t="n">
        <v>0</v>
      </c>
      <c r="AR485" s="207" t="n">
        <v>0</v>
      </c>
      <c r="AS485" s="207" t="n">
        <v>0</v>
      </c>
      <c r="AT485" s="207" t="n">
        <v>0</v>
      </c>
      <c r="AU485" s="207" t="n">
        <v>0</v>
      </c>
      <c r="AV485" s="207" t="n">
        <v>0</v>
      </c>
      <c r="AW485" s="207" t="n">
        <v>0</v>
      </c>
      <c r="AX485" s="208" t="n">
        <v>1</v>
      </c>
      <c r="AY485" s="209">
        <f>L485*AX485+AP485+AQ485+AR485+AV485+AW485+AS485+AT485+AU485</f>
        <v/>
      </c>
      <c r="AZ485" s="207" t="n">
        <v>916.5</v>
      </c>
      <c r="BA485" s="207" t="n">
        <v>0</v>
      </c>
      <c r="BB485" s="207">
        <f>AZ485*0.006</f>
        <v/>
      </c>
      <c r="BC485" s="209">
        <f>AZ485+BA485-BB485</f>
        <v/>
      </c>
      <c r="BD485" s="207" t="n">
        <v>0</v>
      </c>
      <c r="BE485" s="207" t="n">
        <v>0</v>
      </c>
      <c r="BF485" s="209">
        <f>BD485+BE485</f>
        <v/>
      </c>
      <c r="BG485" s="209">
        <f>BC485-AY485+BF485</f>
        <v/>
      </c>
      <c r="BH485" s="86" t="inlineStr">
        <is>
          <t>王庆红</t>
        </is>
      </c>
      <c r="BI485" s="86" t="inlineStr">
        <is>
          <t>浙江省 丽水市 莲都区 南明山街道 江南路消防救援站</t>
        </is>
      </c>
      <c r="BJ485" s="86" t="inlineStr">
        <is>
          <t>18413272576-9886</t>
        </is>
      </c>
      <c r="BK485" s="86" t="n"/>
      <c r="BL485" s="210" t="n"/>
      <c r="BM485" s="93" t="n"/>
      <c r="BN485" s="94" t="n"/>
      <c r="BO485" s="93" t="n"/>
      <c r="BP485" s="86" t="n"/>
      <c r="BQ485" s="96" t="n"/>
      <c r="BR485" s="96" t="n"/>
      <c r="BS485" s="97" t="n"/>
      <c r="BT485" s="96" t="n"/>
      <c r="BU485" s="97" t="n"/>
      <c r="BV485" s="96" t="n"/>
      <c r="BW485" s="97" t="n"/>
      <c r="BX485" s="97" t="n"/>
      <c r="BY485" s="97" t="n"/>
      <c r="BZ485" s="97" t="n"/>
      <c r="CH485" s="2" t="n"/>
      <c r="CI485" s="14" t="n"/>
      <c r="CJ485" s="25" t="n"/>
      <c r="CK485" s="25" t="n"/>
      <c r="CL485" s="25" t="n"/>
      <c r="CM485" s="25" t="n"/>
      <c r="CN485" s="25" t="n"/>
      <c r="CO485" s="25" t="n"/>
      <c r="CP485" s="25" t="n"/>
      <c r="CQ485" s="25" t="n"/>
      <c r="CR485" s="25" t="n"/>
      <c r="CS485" s="25" t="n"/>
      <c r="CT485" s="25" t="n"/>
      <c r="CU485" s="25" t="n"/>
      <c r="CV485" s="25" t="n"/>
      <c r="CW485" s="25" t="n"/>
      <c r="CX485" s="25" t="n"/>
      <c r="CY485" s="25" t="n"/>
      <c r="DC485" s="26" t="n"/>
      <c r="DD485" s="26" t="n"/>
      <c r="DE485" s="26" t="n"/>
      <c r="DF485" s="26" t="n"/>
      <c r="DG485" s="26" t="n"/>
      <c r="DH485" s="27" t="n"/>
      <c r="DJ485" s="211" t="inlineStr">
        <is>
          <t>订单表中未找到</t>
        </is>
      </c>
      <c r="DK485" t="inlineStr">
        <is>
          <t>—</t>
        </is>
      </c>
      <c r="DL485" t="inlineStr">
        <is>
          <t>—</t>
        </is>
      </c>
    </row>
    <row r="486" ht="15.75" customHeight="1" s="187">
      <c r="A486" s="99" t="n">
        <v>46004</v>
      </c>
      <c r="B486" s="100" t="inlineStr">
        <is>
          <t>已退款</t>
        </is>
      </c>
      <c r="C486" s="101" t="inlineStr">
        <is>
          <t>3120884257095963388</t>
        </is>
      </c>
      <c r="D486" s="100" t="inlineStr">
        <is>
          <t>林俊</t>
        </is>
      </c>
      <c r="E486" s="100" t="n"/>
      <c r="F486" s="100" t="n"/>
      <c r="G486" s="100" t="inlineStr">
        <is>
          <t>样块</t>
        </is>
      </c>
      <c r="H486" s="100" t="inlineStr">
        <is>
          <t>样块</t>
        </is>
      </c>
      <c r="I486" s="102" t="n"/>
      <c r="J486" s="100" t="inlineStr">
        <is>
          <t>已结算</t>
        </is>
      </c>
      <c r="K486" s="100" t="inlineStr">
        <is>
          <t>江西</t>
        </is>
      </c>
      <c r="L486" s="213">
        <f>SUM(M486:AO486)</f>
        <v/>
      </c>
      <c r="M486" s="207" t="n">
        <v>5</v>
      </c>
      <c r="N486" s="207" t="n"/>
      <c r="O486" s="207" t="n"/>
      <c r="P486" s="207" t="n"/>
      <c r="Q486" s="207" t="n"/>
      <c r="R486" s="207" t="n"/>
      <c r="S486" s="207" t="n"/>
      <c r="T486" s="207" t="n"/>
      <c r="U486" s="207" t="n"/>
      <c r="V486" s="207" t="n"/>
      <c r="W486" s="207" t="n"/>
      <c r="X486" s="207" t="n"/>
      <c r="Y486" s="207" t="n"/>
      <c r="Z486" s="207" t="n"/>
      <c r="AA486" s="207" t="n"/>
      <c r="AB486" s="207" t="n"/>
      <c r="AC486" s="207" t="n"/>
      <c r="AD486" s="207" t="n"/>
      <c r="AE486" s="207" t="n"/>
      <c r="AF486" s="207" t="n"/>
      <c r="AG486" s="207" t="n"/>
      <c r="AH486" s="207" t="n"/>
      <c r="AI486" s="207" t="n"/>
      <c r="AJ486" s="207" t="n"/>
      <c r="AK486" s="207" t="n"/>
      <c r="AL486" s="207" t="n"/>
      <c r="AM486" s="207" t="n">
        <v>2</v>
      </c>
      <c r="AN486" s="207" t="n"/>
      <c r="AO486" s="207" t="n"/>
      <c r="AP486" s="213" t="n">
        <v>5</v>
      </c>
      <c r="AQ486" s="213" t="n">
        <v>0</v>
      </c>
      <c r="AR486" s="213" t="n">
        <v>0</v>
      </c>
      <c r="AS486" s="213" t="n">
        <v>0</v>
      </c>
      <c r="AT486" s="213" t="n">
        <v>0</v>
      </c>
      <c r="AU486" s="213" t="n">
        <v>0</v>
      </c>
      <c r="AV486" s="213" t="n">
        <v>0</v>
      </c>
      <c r="AW486" s="213" t="n">
        <v>0</v>
      </c>
      <c r="AX486" s="214" t="n">
        <v>1</v>
      </c>
      <c r="AY486" s="213">
        <f>L486*AX486+AP486+AQ486+AR486+AV486+AW486+AS486+AT486+AU486</f>
        <v/>
      </c>
      <c r="AZ486" s="213" t="n">
        <v>0</v>
      </c>
      <c r="BA486" s="213" t="n">
        <v>0</v>
      </c>
      <c r="BB486" s="213">
        <f>AZ486*0.006</f>
        <v/>
      </c>
      <c r="BC486" s="213">
        <f>AZ486+BA486-BB486</f>
        <v/>
      </c>
      <c r="BD486" s="213" t="n">
        <v>0</v>
      </c>
      <c r="BE486" s="213" t="n">
        <v>0</v>
      </c>
      <c r="BF486" s="213">
        <f>BD486+BE486</f>
        <v/>
      </c>
      <c r="BG486" s="213">
        <f>BC486-AY486+BF486</f>
        <v/>
      </c>
      <c r="BH486" s="100" t="inlineStr">
        <is>
          <t>林俊</t>
        </is>
      </c>
      <c r="BI486" s="100" t="inlineStr">
        <is>
          <t>福建省 福州市 仓山区 建新镇绿映路融侨悦江南8座1201</t>
        </is>
      </c>
      <c r="BJ486" s="100" t="inlineStr">
        <is>
          <t>18480124303-7588</t>
        </is>
      </c>
      <c r="BK486" s="101" t="n"/>
      <c r="BL486" s="215" t="n"/>
      <c r="BM486" s="107" t="n"/>
      <c r="BN486" s="108" t="n"/>
      <c r="BO486" s="107" t="n"/>
      <c r="BP486" s="101" t="n"/>
      <c r="BQ486" s="109" t="n"/>
      <c r="BR486" s="109" t="n"/>
      <c r="BS486" s="100" t="n"/>
      <c r="BT486" s="109" t="n"/>
      <c r="BU486" s="100" t="n"/>
      <c r="BV486" s="109" t="n"/>
      <c r="BW486" s="100" t="n"/>
      <c r="BX486" s="100" t="n"/>
      <c r="BY486" s="100" t="n"/>
      <c r="BZ486" s="100" t="n"/>
      <c r="CA486" s="98" t="n"/>
      <c r="CH486" s="2" t="n"/>
      <c r="CI486" s="14" t="n"/>
      <c r="CY486" s="25" t="n"/>
      <c r="DA486" s="25" t="n"/>
      <c r="DC486" s="26" t="n"/>
      <c r="DD486" s="26" t="n"/>
      <c r="DE486" s="26" t="n"/>
      <c r="DF486" s="26" t="n"/>
      <c r="DG486" s="26" t="n"/>
      <c r="DH486" s="27" t="n"/>
      <c r="DJ486" s="211" t="inlineStr">
        <is>
          <t>订单表中未找到</t>
        </is>
      </c>
      <c r="DK486" t="inlineStr">
        <is>
          <t>—</t>
        </is>
      </c>
      <c r="DL486" t="inlineStr">
        <is>
          <t>—</t>
        </is>
      </c>
    </row>
    <row r="487" ht="15.75" customHeight="1" s="187">
      <c r="A487" s="84" t="n">
        <v>46004</v>
      </c>
      <c r="B487" s="206" t="inlineStr">
        <is>
          <t>已收货</t>
        </is>
      </c>
      <c r="C487" s="86" t="inlineStr">
        <is>
          <t>4942839386408156045</t>
        </is>
      </c>
      <c r="D487" s="110" t="inlineStr">
        <is>
          <t>胡月月</t>
        </is>
      </c>
      <c r="E487" s="87" t="n"/>
      <c r="F487" s="87" t="n"/>
      <c r="G487" s="87" t="inlineStr">
        <is>
          <t>隔板</t>
        </is>
      </c>
      <c r="H487" s="207" t="inlineStr">
        <is>
          <t>配件</t>
        </is>
      </c>
      <c r="I487" s="89" t="n"/>
      <c r="J487" s="87" t="inlineStr">
        <is>
          <t>已结算</t>
        </is>
      </c>
      <c r="K487" s="86" t="inlineStr">
        <is>
          <t>江西</t>
        </is>
      </c>
      <c r="L487" s="207" t="n">
        <v>50</v>
      </c>
      <c r="M487" s="207" t="n">
        <v>50</v>
      </c>
      <c r="N487" s="207" t="n"/>
      <c r="O487" s="207" t="n"/>
      <c r="P487" s="207" t="n"/>
      <c r="Q487" s="207" t="n"/>
      <c r="R487" s="207" t="n"/>
      <c r="S487" s="207" t="n"/>
      <c r="T487" s="207" t="n"/>
      <c r="U487" s="207" t="n"/>
      <c r="V487" s="207" t="n"/>
      <c r="W487" s="207" t="n"/>
      <c r="X487" s="207" t="n"/>
      <c r="Y487" s="207" t="n"/>
      <c r="Z487" s="207" t="n"/>
      <c r="AA487" s="207" t="n"/>
      <c r="AB487" s="207" t="n"/>
      <c r="AC487" s="207" t="n"/>
      <c r="AD487" s="207" t="n"/>
      <c r="AE487" s="207" t="n"/>
      <c r="AF487" s="207" t="n"/>
      <c r="AG487" s="207" t="n"/>
      <c r="AH487" s="207" t="n"/>
      <c r="AI487" s="207" t="n"/>
      <c r="AJ487" s="207" t="n"/>
      <c r="AK487" s="207" t="n"/>
      <c r="AL487" s="207" t="n"/>
      <c r="AM487" s="207" t="n"/>
      <c r="AN487" s="207" t="n"/>
      <c r="AO487" s="207" t="n"/>
      <c r="AP487" s="207" t="n">
        <v>15</v>
      </c>
      <c r="AQ487" s="207" t="n">
        <v>0</v>
      </c>
      <c r="AR487" s="207" t="n">
        <v>0</v>
      </c>
      <c r="AS487" s="207" t="n">
        <v>0</v>
      </c>
      <c r="AT487" s="207" t="n">
        <v>0</v>
      </c>
      <c r="AU487" s="207" t="n">
        <v>0</v>
      </c>
      <c r="AV487" s="207" t="n">
        <v>0</v>
      </c>
      <c r="AW487" s="207" t="n">
        <v>0</v>
      </c>
      <c r="AX487" s="208" t="n">
        <v>1</v>
      </c>
      <c r="AY487" s="209">
        <f>L487*AX487+AP487+AQ487+AR487+AV487+AW487+AS487+AT487+AU487</f>
        <v/>
      </c>
      <c r="AZ487" s="207" t="n">
        <v>79</v>
      </c>
      <c r="BA487" s="207" t="n">
        <v>0</v>
      </c>
      <c r="BB487" s="207">
        <f>AZ487*0.006</f>
        <v/>
      </c>
      <c r="BC487" s="209">
        <f>AZ487+BA487-BB487</f>
        <v/>
      </c>
      <c r="BD487" s="207" t="n">
        <v>0</v>
      </c>
      <c r="BE487" s="207" t="n">
        <v>0</v>
      </c>
      <c r="BF487" s="209">
        <f>BD487+BE487</f>
        <v/>
      </c>
      <c r="BG487" s="209">
        <f>BC487-AY487+BF487</f>
        <v/>
      </c>
      <c r="BH487" s="86" t="inlineStr">
        <is>
          <t>胡月月</t>
        </is>
      </c>
      <c r="BI487" s="86" t="inlineStr">
        <is>
          <t>浙江省 台州市 椒江区 洪家街道 海城路荣安棠樾5幢1501 室</t>
        </is>
      </c>
      <c r="BJ487" s="86" t="inlineStr">
        <is>
          <t>15786493595-4166</t>
        </is>
      </c>
      <c r="BK487" s="86" t="n"/>
      <c r="BL487" s="210" t="n"/>
      <c r="BM487" s="93" t="n"/>
      <c r="BN487" s="94" t="n"/>
      <c r="BO487" s="93" t="n"/>
      <c r="BP487" s="86" t="n"/>
      <c r="BQ487" s="96" t="n"/>
      <c r="BR487" s="96" t="n"/>
      <c r="BS487" s="97" t="n"/>
      <c r="BT487" s="96" t="n"/>
      <c r="BU487" s="97" t="n"/>
      <c r="BV487" s="96" t="n"/>
      <c r="BW487" s="97" t="n"/>
      <c r="BX487" s="97" t="n"/>
      <c r="BY487" s="97" t="n"/>
      <c r="BZ487" s="97" t="n"/>
      <c r="CH487" s="2" t="n"/>
      <c r="CI487" s="14" t="n"/>
      <c r="CJ487" s="25" t="n"/>
      <c r="CK487" s="25" t="n"/>
      <c r="CL487" s="25" t="n"/>
      <c r="CM487" s="25" t="n"/>
      <c r="CN487" s="25" t="n"/>
      <c r="CO487" s="25" t="n"/>
      <c r="CP487" s="25" t="n"/>
      <c r="CQ487" s="25" t="n"/>
      <c r="CR487" s="25" t="n"/>
      <c r="CS487" s="25" t="n"/>
      <c r="CT487" s="25" t="n"/>
      <c r="CU487" s="25" t="n"/>
      <c r="CV487" s="25" t="n"/>
      <c r="CW487" s="25" t="n"/>
      <c r="CX487" s="25" t="n"/>
      <c r="CY487" s="25" t="n"/>
      <c r="DC487" s="26" t="n"/>
      <c r="DD487" s="26" t="n"/>
      <c r="DE487" s="26" t="n"/>
      <c r="DF487" s="26" t="n"/>
      <c r="DG487" s="26" t="n"/>
      <c r="DH487" s="27" t="n"/>
      <c r="DJ487" s="211" t="inlineStr">
        <is>
          <t>订单表中未找到</t>
        </is>
      </c>
      <c r="DK487" t="inlineStr">
        <is>
          <t>—</t>
        </is>
      </c>
      <c r="DL487" t="inlineStr">
        <is>
          <t>—</t>
        </is>
      </c>
    </row>
    <row r="488" ht="15.75" customHeight="1" s="187">
      <c r="A488" s="84" t="n">
        <v>46004</v>
      </c>
      <c r="B488" s="206" t="inlineStr">
        <is>
          <t>已收货</t>
        </is>
      </c>
      <c r="C488" s="86" t="inlineStr">
        <is>
          <t>4943411893833531537</t>
        </is>
      </c>
      <c r="D488" s="110" t="inlineStr">
        <is>
          <t>河马一</t>
        </is>
      </c>
      <c r="E488" s="87" t="n"/>
      <c r="F488" s="87" t="n"/>
      <c r="G488" s="87" t="inlineStr">
        <is>
          <t>砂白色1.6米岩板餐桌</t>
        </is>
      </c>
      <c r="H488" s="207" t="inlineStr">
        <is>
          <t>榉木餐桌</t>
        </is>
      </c>
      <c r="I488" s="89" t="inlineStr">
        <is>
          <t>160cm*85cm</t>
        </is>
      </c>
      <c r="J488" s="87" t="inlineStr">
        <is>
          <t>已结算</t>
        </is>
      </c>
      <c r="K488" s="86" t="inlineStr">
        <is>
          <t>江西</t>
        </is>
      </c>
      <c r="L488" s="207">
        <f>SUM(M488:AO488)</f>
        <v/>
      </c>
      <c r="M488" s="207">
        <f>1350</f>
        <v/>
      </c>
      <c r="N488" s="207" t="n"/>
      <c r="O488" s="207" t="n"/>
      <c r="P488" s="207" t="n"/>
      <c r="Q488" s="207" t="n"/>
      <c r="R488" s="207" t="n">
        <v>240</v>
      </c>
      <c r="S488" s="207" t="n"/>
      <c r="T488" s="207" t="n"/>
      <c r="U488" s="207" t="n"/>
      <c r="V488" s="207" t="n"/>
      <c r="W488" s="207" t="n"/>
      <c r="X488" s="207" t="n"/>
      <c r="Y488" s="207" t="n"/>
      <c r="Z488" s="207" t="n"/>
      <c r="AA488" s="207" t="n"/>
      <c r="AB488" s="207" t="n"/>
      <c r="AC488" s="207" t="n"/>
      <c r="AD488" s="207" t="n">
        <v>2.5</v>
      </c>
      <c r="AE488" s="207" t="n"/>
      <c r="AF488" s="207" t="n"/>
      <c r="AG488" s="207" t="n"/>
      <c r="AH488" s="207" t="n"/>
      <c r="AI488" s="207" t="n"/>
      <c r="AJ488" s="207" t="n"/>
      <c r="AK488" s="207" t="n"/>
      <c r="AL488" s="207" t="n"/>
      <c r="AM488" s="207" t="n">
        <v>190</v>
      </c>
      <c r="AN488" s="207" t="n"/>
      <c r="AO488" s="207" t="n"/>
      <c r="AP488" s="207">
        <f>132-AQ488</f>
        <v/>
      </c>
      <c r="AQ488" s="207" t="n">
        <v>30</v>
      </c>
      <c r="AR488" s="207" t="n">
        <v>0</v>
      </c>
      <c r="AS488" s="207" t="n">
        <v>0</v>
      </c>
      <c r="AT488" s="207" t="n">
        <v>0</v>
      </c>
      <c r="AU488" s="207" t="n">
        <v>0</v>
      </c>
      <c r="AV488" s="207" t="n">
        <v>0</v>
      </c>
      <c r="AW488" s="207" t="n">
        <v>0</v>
      </c>
      <c r="AX488" s="208" t="n">
        <v>1</v>
      </c>
      <c r="AY488" s="209">
        <f>L488*AX488+AP488+AQ488+AR488+AV488+AW488+AS488+AT488+AU488</f>
        <v/>
      </c>
      <c r="AZ488" s="207" t="n">
        <v>2854.27</v>
      </c>
      <c r="BA488" s="207" t="n">
        <v>0</v>
      </c>
      <c r="BB488" s="207">
        <f>AZ488*0.006</f>
        <v/>
      </c>
      <c r="BC488" s="209">
        <f>AZ488+BA488-BB488</f>
        <v/>
      </c>
      <c r="BD488" s="207" t="n">
        <v>0</v>
      </c>
      <c r="BE488" s="207" t="n">
        <v>0</v>
      </c>
      <c r="BF488" s="209">
        <f>BD488+BE488</f>
        <v/>
      </c>
      <c r="BG488" s="209">
        <f>BC488-AY488+BF488</f>
        <v/>
      </c>
      <c r="BH488" s="86" t="inlineStr">
        <is>
          <t>河马一</t>
        </is>
      </c>
      <c r="BI488" s="86" t="inlineStr">
        <is>
          <t>广东省 佛山市 禅城区 石湾镇街道汇银·奥林匹克花园 41 座 1402</t>
        </is>
      </c>
      <c r="BJ488" s="86" t="inlineStr">
        <is>
          <t>18466322302-9218</t>
        </is>
      </c>
      <c r="BK488" s="86" t="n"/>
      <c r="BL488" s="210" t="n"/>
      <c r="BM488" s="93" t="n"/>
      <c r="BN488" s="94" t="n"/>
      <c r="BO488" s="93" t="n"/>
      <c r="BP488" s="86" t="n"/>
      <c r="BQ488" s="96" t="n"/>
      <c r="BR488" s="96" t="n"/>
      <c r="BS488" s="97" t="n"/>
      <c r="BT488" s="96" t="n"/>
      <c r="BU488" s="97" t="n"/>
      <c r="BV488" s="96" t="n"/>
      <c r="BW488" s="97" t="n"/>
      <c r="BX488" s="97" t="n"/>
      <c r="BY488" s="97" t="n"/>
      <c r="BZ488" s="97" t="n"/>
      <c r="CH488" s="2" t="n"/>
      <c r="CI488" s="14" t="n"/>
      <c r="CJ488" s="25" t="n"/>
      <c r="CK488" s="25" t="n"/>
      <c r="CL488" s="25" t="n"/>
      <c r="CM488" s="25" t="n"/>
      <c r="CN488" s="25" t="n"/>
      <c r="CO488" s="25" t="n"/>
      <c r="CP488" s="25" t="n"/>
      <c r="CQ488" s="25" t="n"/>
      <c r="CR488" s="25" t="n"/>
      <c r="CS488" s="25" t="n"/>
      <c r="CT488" s="25" t="n"/>
      <c r="CU488" s="25" t="n"/>
      <c r="CV488" s="25" t="n"/>
      <c r="CW488" s="25" t="n"/>
      <c r="CX488" s="25" t="n"/>
      <c r="CY488" s="25" t="n"/>
      <c r="DC488" s="26" t="n"/>
      <c r="DD488" s="26" t="n"/>
      <c r="DE488" s="26" t="n"/>
      <c r="DF488" s="26" t="n"/>
      <c r="DG488" s="26" t="n"/>
      <c r="DH488" s="27" t="n"/>
      <c r="DJ488" s="211" t="inlineStr">
        <is>
          <t>订单表中未找到</t>
        </is>
      </c>
      <c r="DK488" t="inlineStr">
        <is>
          <t>—</t>
        </is>
      </c>
      <c r="DL488" t="inlineStr">
        <is>
          <t>—</t>
        </is>
      </c>
    </row>
    <row r="489" ht="15.75" customHeight="1" s="187">
      <c r="A489" s="84" t="n">
        <v>46005</v>
      </c>
      <c r="B489" s="206" t="inlineStr">
        <is>
          <t>已收货</t>
        </is>
      </c>
      <c r="C489" s="86" t="inlineStr">
        <is>
          <t>3121378502395763582</t>
        </is>
      </c>
      <c r="D489" s="110" t="inlineStr">
        <is>
          <t>晏先生</t>
        </is>
      </c>
      <c r="E489" s="87" t="n"/>
      <c r="F489" s="87" t="n"/>
      <c r="G489" s="87" t="inlineStr">
        <is>
          <t>砂白色1.8米岩板餐桌</t>
        </is>
      </c>
      <c r="H489" s="207" t="inlineStr">
        <is>
          <t>榉木餐桌</t>
        </is>
      </c>
      <c r="I489" s="89" t="inlineStr">
        <is>
          <t>180cm*85cm</t>
        </is>
      </c>
      <c r="J489" s="87" t="inlineStr">
        <is>
          <t>已结算</t>
        </is>
      </c>
      <c r="K489" s="86" t="inlineStr">
        <is>
          <t>江西</t>
        </is>
      </c>
      <c r="L489" s="207">
        <f>SUM(M489:AO489)</f>
        <v/>
      </c>
      <c r="M489" s="207">
        <f>1400</f>
        <v/>
      </c>
      <c r="N489" s="207" t="n"/>
      <c r="O489" s="207" t="n"/>
      <c r="P489" s="207" t="n"/>
      <c r="Q489" s="207" t="n"/>
      <c r="R489" s="207" t="n">
        <v>240</v>
      </c>
      <c r="S489" s="207" t="n"/>
      <c r="T489" s="207" t="n"/>
      <c r="U489" s="207" t="n"/>
      <c r="V489" s="207" t="n"/>
      <c r="W489" s="207" t="n"/>
      <c r="X489" s="207" t="n"/>
      <c r="Y489" s="207" t="n"/>
      <c r="Z489" s="207" t="n"/>
      <c r="AA489" s="207" t="n"/>
      <c r="AB489" s="207" t="n"/>
      <c r="AC489" s="207" t="n"/>
      <c r="AD489" s="207" t="n">
        <v>2.5</v>
      </c>
      <c r="AE489" s="207" t="n"/>
      <c r="AF489" s="207" t="n"/>
      <c r="AG489" s="207" t="n"/>
      <c r="AH489" s="207" t="n"/>
      <c r="AI489" s="207" t="n"/>
      <c r="AJ489" s="207" t="n"/>
      <c r="AK489" s="207" t="n"/>
      <c r="AL489" s="207" t="n"/>
      <c r="AM489" s="207" t="n">
        <v>210</v>
      </c>
      <c r="AN489" s="207" t="n"/>
      <c r="AO489" s="207" t="n"/>
      <c r="AP489" s="207">
        <f>142-AQ489</f>
        <v/>
      </c>
      <c r="AQ489" s="207" t="n">
        <v>35</v>
      </c>
      <c r="AR489" s="207" t="n">
        <v>79</v>
      </c>
      <c r="AS489" s="207" t="n">
        <v>0</v>
      </c>
      <c r="AT489" s="207" t="n">
        <v>0</v>
      </c>
      <c r="AU489" s="207" t="n">
        <v>0</v>
      </c>
      <c r="AV489" s="207" t="n">
        <v>0</v>
      </c>
      <c r="AW489" s="207" t="n">
        <v>0</v>
      </c>
      <c r="AX489" s="208" t="n">
        <v>1</v>
      </c>
      <c r="AY489" s="209">
        <f>L489*AX489+AP489+AQ489+AR489+AV489+AW489+AS489+AT489+AU489</f>
        <v/>
      </c>
      <c r="AZ489" s="207" t="n">
        <v>2983.04</v>
      </c>
      <c r="BA489" s="207" t="n">
        <v>0</v>
      </c>
      <c r="BB489" s="207">
        <f>AZ489*0.006</f>
        <v/>
      </c>
      <c r="BC489" s="209">
        <f>AZ489+BA489-BB489</f>
        <v/>
      </c>
      <c r="BD489" s="207" t="n">
        <v>0</v>
      </c>
      <c r="BE489" s="207" t="n">
        <v>0</v>
      </c>
      <c r="BF489" s="209">
        <f>BD489+BE489</f>
        <v/>
      </c>
      <c r="BG489" s="209">
        <f>BC489-AY489+BF489</f>
        <v/>
      </c>
      <c r="BH489" s="86" t="inlineStr">
        <is>
          <t>晏先生</t>
        </is>
      </c>
      <c r="BI489" s="86" t="inlineStr">
        <is>
          <t>广东省佛山市禅城区祖庙街道东建明德城翰府4座1704</t>
        </is>
      </c>
      <c r="BJ489" s="86" t="inlineStr">
        <is>
          <t>13528941041-2065</t>
        </is>
      </c>
      <c r="BK489" s="86" t="n"/>
      <c r="BL489" s="210" t="n"/>
      <c r="BM489" s="93" t="n"/>
      <c r="BN489" s="94" t="n"/>
      <c r="BO489" s="93" t="n"/>
      <c r="BP489" s="86" t="n"/>
      <c r="BQ489" s="96" t="n"/>
      <c r="BR489" s="96" t="n"/>
      <c r="BS489" s="97" t="n"/>
      <c r="BT489" s="96" t="n"/>
      <c r="BU489" s="97" t="n"/>
      <c r="BV489" s="96" t="n"/>
      <c r="BW489" s="97" t="n"/>
      <c r="BX489" s="97" t="n"/>
      <c r="BY489" s="97" t="n"/>
      <c r="BZ489" s="97" t="n"/>
      <c r="CH489" s="2" t="n"/>
      <c r="CI489" s="14" t="n"/>
      <c r="CJ489" s="25" t="n"/>
      <c r="CK489" s="25" t="n"/>
      <c r="CL489" s="25" t="n"/>
      <c r="CM489" s="25" t="n"/>
      <c r="CN489" s="25" t="n"/>
      <c r="CO489" s="25" t="n"/>
      <c r="CP489" s="25" t="n"/>
      <c r="CQ489" s="25" t="n"/>
      <c r="CR489" s="25" t="n"/>
      <c r="CS489" s="25" t="n"/>
      <c r="CT489" s="25" t="n"/>
      <c r="CU489" s="25" t="n"/>
      <c r="CV489" s="25" t="n"/>
      <c r="CW489" s="25" t="n"/>
      <c r="CX489" s="25" t="n"/>
      <c r="CY489" s="25" t="n"/>
      <c r="DC489" s="26" t="n"/>
      <c r="DD489" s="26" t="n"/>
      <c r="DE489" s="26" t="n"/>
      <c r="DF489" s="26" t="n"/>
      <c r="DG489" s="26" t="n"/>
      <c r="DH489" s="27" t="n"/>
      <c r="DJ489" s="211" t="inlineStr">
        <is>
          <t>订单表中未找到</t>
        </is>
      </c>
      <c r="DK489" t="inlineStr">
        <is>
          <t>—</t>
        </is>
      </c>
      <c r="DL489" t="inlineStr">
        <is>
          <t>—</t>
        </is>
      </c>
    </row>
    <row r="490" ht="15.75" customHeight="1" s="187">
      <c r="A490" s="84" t="n">
        <v>46005</v>
      </c>
      <c r="B490" s="206" t="inlineStr">
        <is>
          <t>已收货</t>
        </is>
      </c>
      <c r="C490" s="86" t="inlineStr">
        <is>
          <t>4945380807625846927</t>
        </is>
      </c>
      <c r="D490" s="110" t="inlineStr">
        <is>
          <t>火山</t>
        </is>
      </c>
      <c r="E490" s="87" t="n"/>
      <c r="F490" s="87" t="n"/>
      <c r="G490" s="87" t="inlineStr">
        <is>
          <t>定制1.45窄柜</t>
        </is>
      </c>
      <c r="H490" s="207" t="inlineStr">
        <is>
          <t>樱桃木窄柜</t>
        </is>
      </c>
      <c r="I490" s="89" t="n">
        <v>1450</v>
      </c>
      <c r="J490" s="87" t="inlineStr">
        <is>
          <t>已结算</t>
        </is>
      </c>
      <c r="K490" s="86" t="inlineStr">
        <is>
          <t>江西</t>
        </is>
      </c>
      <c r="L490" s="207">
        <f>4400+290+405+486+22*5+38+52*2+10+14</f>
        <v/>
      </c>
      <c r="M490" s="207">
        <f>4400</f>
        <v/>
      </c>
      <c r="N490" s="207" t="n">
        <v>290</v>
      </c>
      <c r="O490" s="207" t="n">
        <v>405</v>
      </c>
      <c r="P490" s="207" t="n">
        <v>486</v>
      </c>
      <c r="Q490" s="207" t="n"/>
      <c r="R490" s="207" t="inlineStr">
        <is>
          <t>22*5</t>
        </is>
      </c>
      <c r="S490" s="207" t="n">
        <v>38</v>
      </c>
      <c r="T490" s="207" t="inlineStr">
        <is>
          <t>52*2</t>
        </is>
      </c>
      <c r="U490" s="207" t="n"/>
      <c r="V490" s="207" t="n"/>
      <c r="W490" s="207" t="n">
        <v>10</v>
      </c>
      <c r="X490" s="207" t="n">
        <v>14</v>
      </c>
      <c r="Y490" s="207" t="n"/>
      <c r="Z490" s="207" t="n"/>
      <c r="AA490" s="207" t="n"/>
      <c r="AB490" s="207" t="n"/>
      <c r="AC490" s="207" t="n"/>
      <c r="AD490" s="207" t="n"/>
      <c r="AE490" s="207" t="n"/>
      <c r="AF490" s="207" t="n"/>
      <c r="AG490" s="207" t="n"/>
      <c r="AH490" s="207" t="n"/>
      <c r="AI490" s="207" t="n"/>
      <c r="AJ490" s="207" t="n"/>
      <c r="AK490" s="207" t="n"/>
      <c r="AL490" s="207" t="n"/>
      <c r="AM490" s="207" t="n">
        <v>405</v>
      </c>
      <c r="AN490" s="207" t="n"/>
      <c r="AO490" s="207" t="n"/>
      <c r="AP490" s="207">
        <f>385-AQ490</f>
        <v/>
      </c>
      <c r="AQ490" s="207" t="n">
        <v>86</v>
      </c>
      <c r="AR490" s="207" t="n">
        <v>80</v>
      </c>
      <c r="AS490" s="207" t="n">
        <v>0</v>
      </c>
      <c r="AT490" s="207" t="n">
        <v>0</v>
      </c>
      <c r="AU490" s="207" t="n">
        <v>0</v>
      </c>
      <c r="AV490" s="207" t="n">
        <v>0</v>
      </c>
      <c r="AW490" s="207" t="n">
        <v>0</v>
      </c>
      <c r="AX490" s="208" t="n">
        <v>1</v>
      </c>
      <c r="AY490" s="209">
        <f>L490*AX490+AP490+AQ490+AR490+AV490+AW490+AS490+AT490+AU490</f>
        <v/>
      </c>
      <c r="AZ490" s="207" t="n">
        <v>6775</v>
      </c>
      <c r="BA490" s="207" t="n">
        <v>0</v>
      </c>
      <c r="BB490" s="207">
        <f>AZ490*0.006</f>
        <v/>
      </c>
      <c r="BC490" s="209">
        <f>AZ490+BA490-BB490</f>
        <v/>
      </c>
      <c r="BD490" s="207" t="n">
        <v>0</v>
      </c>
      <c r="BE490" s="207" t="n">
        <v>0</v>
      </c>
      <c r="BF490" s="209">
        <f>BD490+BE490</f>
        <v/>
      </c>
      <c r="BG490" s="209">
        <f>BC490-AY490+BF490</f>
        <v/>
      </c>
      <c r="BH490" s="86" t="inlineStr">
        <is>
          <t>火山</t>
        </is>
      </c>
      <c r="BI490" s="86" t="inlineStr">
        <is>
          <t>广东省 广州市 番禺区 南村镇番禺区南村镇铂世湾f7 27</t>
        </is>
      </c>
      <c r="BJ490" s="86" t="inlineStr">
        <is>
          <t>13144403461-4566</t>
        </is>
      </c>
      <c r="BK490" s="86" t="n"/>
      <c r="BL490" s="210" t="n"/>
      <c r="BM490" s="93" t="n"/>
      <c r="BN490" s="94" t="n"/>
      <c r="BO490" s="93" t="n"/>
      <c r="BP490" s="86" t="n"/>
      <c r="BQ490" s="96" t="n"/>
      <c r="BR490" s="96" t="n"/>
      <c r="BS490" s="97" t="n"/>
      <c r="BT490" s="96" t="n"/>
      <c r="BU490" s="97" t="n"/>
      <c r="BV490" s="96" t="n"/>
      <c r="BW490" s="97" t="n"/>
      <c r="BX490" s="97" t="n"/>
      <c r="BY490" s="97" t="n"/>
      <c r="BZ490" s="97" t="n"/>
      <c r="CH490" s="2" t="n"/>
      <c r="CI490" s="14" t="n"/>
      <c r="CJ490" s="25" t="n"/>
      <c r="CK490" s="25" t="n"/>
      <c r="CL490" s="25" t="n"/>
      <c r="CM490" s="25" t="n"/>
      <c r="CN490" s="25" t="n"/>
      <c r="CO490" s="25" t="n"/>
      <c r="CP490" s="25" t="n"/>
      <c r="CQ490" s="25" t="n"/>
      <c r="CR490" s="25" t="n"/>
      <c r="CS490" s="25" t="n"/>
      <c r="CT490" s="25" t="n"/>
      <c r="CU490" s="25" t="n"/>
      <c r="CV490" s="25" t="n"/>
      <c r="CW490" s="25" t="n"/>
      <c r="CX490" s="25" t="n"/>
      <c r="CY490" s="25" t="n"/>
      <c r="DC490" s="26" t="n"/>
      <c r="DD490" s="26" t="n"/>
      <c r="DE490" s="26" t="n"/>
      <c r="DF490" s="26" t="n"/>
      <c r="DG490" s="26" t="n"/>
      <c r="DH490" s="27" t="n"/>
      <c r="DJ490" s="211" t="inlineStr">
        <is>
          <t>订单表中未找到</t>
        </is>
      </c>
      <c r="DK490" t="inlineStr">
        <is>
          <t>—</t>
        </is>
      </c>
      <c r="DL490" t="inlineStr">
        <is>
          <t>—</t>
        </is>
      </c>
    </row>
    <row r="491" ht="15.75" customHeight="1" s="187">
      <c r="A491" s="84" t="n">
        <v>46005</v>
      </c>
      <c r="B491" s="206" t="inlineStr">
        <is>
          <t>已收货</t>
        </is>
      </c>
      <c r="C491" s="86" t="inlineStr">
        <is>
          <t>3123388561504793765</t>
        </is>
      </c>
      <c r="D491" s="110" t="inlineStr">
        <is>
          <t>大宝</t>
        </is>
      </c>
      <c r="E491" s="87" t="n"/>
      <c r="F491" s="87" t="n"/>
      <c r="G491" s="87" t="inlineStr">
        <is>
          <t>砂白色2.0米岩板餐桌</t>
        </is>
      </c>
      <c r="H491" s="207" t="inlineStr">
        <is>
          <t>榉木餐桌</t>
        </is>
      </c>
      <c r="I491" s="89" t="inlineStr">
        <is>
          <t>200cm*85cm</t>
        </is>
      </c>
      <c r="J491" s="87" t="inlineStr">
        <is>
          <t>已结算</t>
        </is>
      </c>
      <c r="K491" s="86" t="inlineStr">
        <is>
          <t>庄毅</t>
        </is>
      </c>
      <c r="L491" s="207">
        <f>SUM(M491:AO491)</f>
        <v/>
      </c>
      <c r="M491" s="207">
        <f>1630</f>
        <v/>
      </c>
      <c r="N491" s="207" t="n"/>
      <c r="O491" s="207" t="n"/>
      <c r="P491" s="207" t="n"/>
      <c r="Q491" s="207" t="n"/>
      <c r="R491" s="207">
        <f>180*2*0.85</f>
        <v/>
      </c>
      <c r="S491" s="207" t="n"/>
      <c r="T491" s="207" t="n"/>
      <c r="U491" s="207" t="n"/>
      <c r="V491" s="207" t="n"/>
      <c r="W491" s="207" t="n"/>
      <c r="X491" s="207" t="n"/>
      <c r="Y491" s="207" t="n"/>
      <c r="Z491" s="207" t="n"/>
      <c r="AA491" s="207" t="n"/>
      <c r="AB491" s="207" t="n"/>
      <c r="AC491" s="207" t="n"/>
      <c r="AD491" s="207" t="n">
        <v>2.5</v>
      </c>
      <c r="AE491" s="207" t="n"/>
      <c r="AF491" s="207" t="n"/>
      <c r="AG491" s="207" t="n"/>
      <c r="AH491" s="207" t="n"/>
      <c r="AI491" s="207" t="n"/>
      <c r="AJ491" s="207" t="n"/>
      <c r="AK491" s="207" t="n"/>
      <c r="AL491" s="207" t="n"/>
      <c r="AM491" s="207" t="n"/>
      <c r="AN491" s="207" t="n"/>
      <c r="AO491" s="207" t="n"/>
      <c r="AP491" s="207" t="n">
        <v>278.5</v>
      </c>
      <c r="AQ491" s="207" t="n">
        <v>0</v>
      </c>
      <c r="AR491" s="207" t="n">
        <v>188</v>
      </c>
      <c r="AS491" s="207" t="n">
        <v>0</v>
      </c>
      <c r="AT491" s="207" t="n">
        <v>0</v>
      </c>
      <c r="AU491" s="207" t="n">
        <v>0</v>
      </c>
      <c r="AV491" s="207" t="n">
        <v>0</v>
      </c>
      <c r="AW491" s="207" t="n">
        <v>0</v>
      </c>
      <c r="AX491" s="208" t="n">
        <v>1</v>
      </c>
      <c r="AY491" s="209">
        <f>L491*AX491+AP491+AQ491+AR491+AV491+AW491+AS491+AT491+AU491</f>
        <v/>
      </c>
      <c r="AZ491" s="207" t="n">
        <v>3120.52</v>
      </c>
      <c r="BA491" s="207" t="n">
        <v>0</v>
      </c>
      <c r="BB491" s="207">
        <f>AZ491*0.006</f>
        <v/>
      </c>
      <c r="BC491" s="209">
        <f>AZ491+BA491-BB491</f>
        <v/>
      </c>
      <c r="BD491" s="207" t="n">
        <v>0</v>
      </c>
      <c r="BE491" s="207" t="n">
        <v>0</v>
      </c>
      <c r="BF491" s="209">
        <f>BD491+BE491</f>
        <v/>
      </c>
      <c r="BG491" s="209">
        <f>BC491-AY491+BF491</f>
        <v/>
      </c>
      <c r="BH491" s="86" t="inlineStr">
        <is>
          <t>大宝</t>
        </is>
      </c>
      <c r="BI491" s="86" t="inlineStr">
        <is>
          <t>四川省 成都市 武侯区 火车南站街道芳草地3栋5单元8-15</t>
        </is>
      </c>
      <c r="BJ491" s="86" t="inlineStr">
        <is>
          <t>17823176672-6914</t>
        </is>
      </c>
      <c r="BK491" s="86" t="n"/>
      <c r="BL491" s="210" t="n"/>
      <c r="BM491" s="93" t="n"/>
      <c r="BN491" s="94" t="n"/>
      <c r="BO491" s="93" t="n"/>
      <c r="BP491" s="86" t="n"/>
      <c r="BQ491" s="96" t="n"/>
      <c r="BR491" s="96" t="n"/>
      <c r="BS491" s="97" t="n"/>
      <c r="BT491" s="96" t="n"/>
      <c r="BU491" s="97" t="n"/>
      <c r="BV491" s="96" t="n"/>
      <c r="BW491" s="97" t="n"/>
      <c r="BX491" s="97" t="n"/>
      <c r="BY491" s="97" t="n"/>
      <c r="BZ491" s="97" t="n"/>
      <c r="CH491" s="2" t="n"/>
      <c r="CI491" s="14" t="n"/>
      <c r="CJ491" s="25" t="n"/>
      <c r="CK491" s="25" t="n"/>
      <c r="CL491" s="25" t="n"/>
      <c r="CM491" s="25" t="n"/>
      <c r="CN491" s="25" t="n"/>
      <c r="CO491" s="25" t="n"/>
      <c r="CP491" s="25" t="n"/>
      <c r="CQ491" s="25" t="n"/>
      <c r="CR491" s="25" t="n"/>
      <c r="CS491" s="25" t="n"/>
      <c r="CT491" s="25" t="n"/>
      <c r="CU491" s="25" t="n"/>
      <c r="CV491" s="25" t="n"/>
      <c r="CW491" s="25" t="n"/>
      <c r="CX491" s="25" t="n"/>
      <c r="CY491" s="25" t="n"/>
      <c r="DC491" s="26" t="n"/>
      <c r="DD491" s="26" t="n"/>
      <c r="DE491" s="26" t="n"/>
      <c r="DF491" s="26" t="n"/>
      <c r="DG491" s="26" t="n"/>
      <c r="DH491" s="27" t="n"/>
      <c r="DJ491" s="211" t="inlineStr">
        <is>
          <t>订单表中未找到</t>
        </is>
      </c>
      <c r="DK491" t="inlineStr">
        <is>
          <t>—</t>
        </is>
      </c>
      <c r="DL491" t="inlineStr">
        <is>
          <t>—</t>
        </is>
      </c>
    </row>
    <row r="492" ht="15.75" customHeight="1" s="187">
      <c r="A492" s="84" t="n">
        <v>46005</v>
      </c>
      <c r="B492" s="206" t="inlineStr">
        <is>
          <t>已收货</t>
        </is>
      </c>
      <c r="C492" s="86" t="inlineStr">
        <is>
          <t>3123401881550963388</t>
        </is>
      </c>
      <c r="D492" s="86" t="inlineStr">
        <is>
          <t>林俊</t>
        </is>
      </c>
      <c r="E492" s="87" t="n"/>
      <c r="F492" s="87" t="n"/>
      <c r="G492" s="87" t="inlineStr">
        <is>
          <t>砂白色1.4米岩板餐桌</t>
        </is>
      </c>
      <c r="H492" s="207" t="inlineStr">
        <is>
          <t>榉木餐桌</t>
        </is>
      </c>
      <c r="I492" s="89" t="inlineStr">
        <is>
          <t>140cm*85cm</t>
        </is>
      </c>
      <c r="J492" s="87" t="inlineStr">
        <is>
          <t>已结算</t>
        </is>
      </c>
      <c r="K492" s="86" t="inlineStr">
        <is>
          <t>江西</t>
        </is>
      </c>
      <c r="L492" s="207">
        <f>SUM(M492:AO492)</f>
        <v/>
      </c>
      <c r="M492" s="207">
        <f>1300</f>
        <v/>
      </c>
      <c r="N492" s="207" t="n"/>
      <c r="O492" s="207" t="n"/>
      <c r="P492" s="207" t="n"/>
      <c r="Q492" s="207" t="n"/>
      <c r="R492" s="207" t="n">
        <v>240</v>
      </c>
      <c r="S492" s="207" t="n"/>
      <c r="T492" s="207" t="n"/>
      <c r="U492" s="207" t="n"/>
      <c r="V492" s="207" t="n"/>
      <c r="W492" s="207" t="n"/>
      <c r="X492" s="207" t="n"/>
      <c r="Y492" s="207" t="n"/>
      <c r="Z492" s="207" t="n"/>
      <c r="AA492" s="207" t="n"/>
      <c r="AB492" s="207" t="n"/>
      <c r="AC492" s="207" t="n"/>
      <c r="AD492" s="207" t="n">
        <v>2.5</v>
      </c>
      <c r="AE492" s="207" t="n"/>
      <c r="AF492" s="207" t="n"/>
      <c r="AG492" s="207" t="n"/>
      <c r="AH492" s="207" t="n"/>
      <c r="AI492" s="207" t="n"/>
      <c r="AJ492" s="207" t="n"/>
      <c r="AK492" s="207" t="n"/>
      <c r="AL492" s="207" t="n"/>
      <c r="AM492" s="207" t="n">
        <v>180</v>
      </c>
      <c r="AN492" s="207" t="n"/>
      <c r="AO492" s="207" t="n"/>
      <c r="AP492" s="207">
        <f>139-AQ492</f>
        <v/>
      </c>
      <c r="AQ492" s="207" t="n">
        <v>30</v>
      </c>
      <c r="AR492" s="207" t="n">
        <v>69</v>
      </c>
      <c r="AS492" s="207" t="n">
        <v>0</v>
      </c>
      <c r="AT492" s="207" t="n">
        <v>0</v>
      </c>
      <c r="AU492" s="207" t="n">
        <v>0</v>
      </c>
      <c r="AV492" s="207" t="n">
        <v>0</v>
      </c>
      <c r="AW492" s="207" t="n">
        <v>0</v>
      </c>
      <c r="AX492" s="208" t="n">
        <v>1</v>
      </c>
      <c r="AY492" s="209">
        <f>L492*AX492+AP492+AQ492+AR492+AV492+AW492+AS492+AT492+AU492</f>
        <v/>
      </c>
      <c r="AZ492" s="207" t="n">
        <v>2759.36</v>
      </c>
      <c r="BA492" s="207" t="n">
        <v>0</v>
      </c>
      <c r="BB492" s="207">
        <f>AZ492*0.006</f>
        <v/>
      </c>
      <c r="BC492" s="209">
        <f>AZ492+BA492-BB492</f>
        <v/>
      </c>
      <c r="BD492" s="207" t="n">
        <v>0</v>
      </c>
      <c r="BE492" s="207" t="n">
        <v>0</v>
      </c>
      <c r="BF492" s="209">
        <f>BD492+BE492</f>
        <v/>
      </c>
      <c r="BG492" s="209">
        <f>BC492-AY492+BF492</f>
        <v/>
      </c>
      <c r="BH492" s="86" t="inlineStr">
        <is>
          <t>林俊</t>
        </is>
      </c>
      <c r="BI492" s="86" t="inlineStr">
        <is>
          <t>福建省 福州市 仓山区 建新镇绿映路融侨悦江南8座1201</t>
        </is>
      </c>
      <c r="BJ492" s="86" t="inlineStr">
        <is>
          <t>18480124303-7588</t>
        </is>
      </c>
      <c r="BK492" s="86" t="n"/>
      <c r="BL492" s="210" t="n"/>
      <c r="BM492" s="93" t="n"/>
      <c r="BN492" s="94" t="n"/>
      <c r="BO492" s="93" t="n"/>
      <c r="BP492" s="86" t="n"/>
      <c r="BQ492" s="96" t="n"/>
      <c r="BR492" s="96" t="n"/>
      <c r="BS492" s="97" t="n"/>
      <c r="BT492" s="96" t="n"/>
      <c r="BU492" s="97" t="n"/>
      <c r="BV492" s="96" t="n"/>
      <c r="BW492" s="97" t="n"/>
      <c r="BX492" s="97" t="n"/>
      <c r="BY492" s="97" t="n"/>
      <c r="BZ492" s="97" t="n"/>
      <c r="CH492" s="2" t="n"/>
      <c r="CI492" s="14" t="n"/>
      <c r="CJ492" s="25" t="n"/>
      <c r="CK492" s="25" t="n"/>
      <c r="CL492" s="25" t="n"/>
      <c r="CM492" s="25" t="n"/>
      <c r="CN492" s="25" t="n"/>
      <c r="CO492" s="25" t="n"/>
      <c r="CP492" s="25" t="n"/>
      <c r="CQ492" s="25" t="n"/>
      <c r="CR492" s="25" t="n"/>
      <c r="CS492" s="25" t="n"/>
      <c r="CT492" s="25" t="n"/>
      <c r="CU492" s="25" t="n"/>
      <c r="CV492" s="25" t="n"/>
      <c r="CW492" s="25" t="n"/>
      <c r="CX492" s="25" t="n"/>
      <c r="CY492" s="25" t="n"/>
      <c r="DC492" s="26" t="n"/>
      <c r="DD492" s="26" t="n"/>
      <c r="DE492" s="26" t="n"/>
      <c r="DF492" s="26" t="n"/>
      <c r="DG492" s="26" t="n"/>
      <c r="DH492" s="27" t="n"/>
      <c r="DJ492" s="211" t="inlineStr">
        <is>
          <t>订单表中未找到</t>
        </is>
      </c>
      <c r="DK492" t="inlineStr">
        <is>
          <t>—</t>
        </is>
      </c>
      <c r="DL492" t="inlineStr">
        <is>
          <t>—</t>
        </is>
      </c>
    </row>
    <row r="493" ht="15.75" customHeight="1" s="187">
      <c r="A493" s="84" t="n">
        <v>46006</v>
      </c>
      <c r="B493" s="206" t="inlineStr">
        <is>
          <t>已收货</t>
        </is>
      </c>
      <c r="C493" s="86" t="inlineStr">
        <is>
          <t>4945830013696219714</t>
        </is>
      </c>
      <c r="D493" s="86" t="inlineStr">
        <is>
          <t>陶陶</t>
        </is>
      </c>
      <c r="E493" s="87" t="n"/>
      <c r="F493" s="87" t="n"/>
      <c r="G493" s="207" t="inlineStr">
        <is>
          <t>窄柜-整柜洞石背板-0.8米</t>
        </is>
      </c>
      <c r="H493" s="207" t="inlineStr">
        <is>
          <t>樱桃木窄柜</t>
        </is>
      </c>
      <c r="I493" s="89" t="n">
        <v>800</v>
      </c>
      <c r="J493" s="87" t="inlineStr">
        <is>
          <t>已结算</t>
        </is>
      </c>
      <c r="K493" s="86" t="inlineStr">
        <is>
          <t>江西</t>
        </is>
      </c>
      <c r="L493" s="207">
        <f>SUM(M493:AO493)</f>
        <v/>
      </c>
      <c r="M493" s="207">
        <f>3100</f>
        <v/>
      </c>
      <c r="N493" s="207">
        <f>0.758*260+2*55</f>
        <v/>
      </c>
      <c r="O493" s="207" t="n">
        <v>115</v>
      </c>
      <c r="P493" s="207" t="n"/>
      <c r="Q493" s="207">
        <f>76/2</f>
        <v/>
      </c>
      <c r="R493" s="207" t="n">
        <v>180</v>
      </c>
      <c r="S493" s="207" t="n">
        <v>54</v>
      </c>
      <c r="T493" s="207" t="n">
        <v>52</v>
      </c>
      <c r="U493" s="207" t="n"/>
      <c r="V493" s="207" t="n">
        <v>4</v>
      </c>
      <c r="W493" s="207" t="n"/>
      <c r="X493" s="207" t="n"/>
      <c r="Y493" s="207" t="n"/>
      <c r="Z493" s="207" t="n">
        <v>3.5</v>
      </c>
      <c r="AA493" s="207" t="n">
        <v>5</v>
      </c>
      <c r="AB493" s="207" t="n">
        <v>1.1</v>
      </c>
      <c r="AC493" s="207" t="n">
        <v>3.5</v>
      </c>
      <c r="AD493" s="207" t="n"/>
      <c r="AE493" s="207" t="n"/>
      <c r="AF493" s="207" t="n"/>
      <c r="AG493" s="207" t="n"/>
      <c r="AH493" s="207" t="n"/>
      <c r="AI493" s="207" t="n"/>
      <c r="AJ493" s="207" t="n"/>
      <c r="AK493" s="207" t="n"/>
      <c r="AL493" s="207" t="n">
        <v>70</v>
      </c>
      <c r="AM493" s="207" t="n">
        <v>170</v>
      </c>
      <c r="AN493" s="207" t="n"/>
      <c r="AO493" s="207" t="n"/>
      <c r="AP493" s="207">
        <f>214-AQ493</f>
        <v/>
      </c>
      <c r="AQ493" s="207" t="n">
        <v>51</v>
      </c>
      <c r="AR493" s="207" t="n">
        <v>78</v>
      </c>
      <c r="AS493" s="207" t="n">
        <v>0</v>
      </c>
      <c r="AT493" s="207" t="n">
        <v>0</v>
      </c>
      <c r="AU493" s="207" t="n">
        <v>0</v>
      </c>
      <c r="AV493" s="207" t="n">
        <v>0</v>
      </c>
      <c r="AW493" s="207" t="n">
        <v>0</v>
      </c>
      <c r="AX493" s="208" t="n">
        <v>1</v>
      </c>
      <c r="AY493" s="209">
        <f>L493*AX493+AP493+AQ493+AR493+AV493+AW493+AS493+AT493+AU493</f>
        <v/>
      </c>
      <c r="AZ493" s="207" t="n">
        <v>5285.7</v>
      </c>
      <c r="BA493" s="207" t="n">
        <v>0</v>
      </c>
      <c r="BB493" s="207">
        <f>AZ493*0.006</f>
        <v/>
      </c>
      <c r="BC493" s="209">
        <f>AZ493+BA493-BB493</f>
        <v/>
      </c>
      <c r="BD493" s="207" t="n">
        <v>0</v>
      </c>
      <c r="BE493" s="207" t="n">
        <v>0</v>
      </c>
      <c r="BF493" s="209">
        <f>BD493+BE493</f>
        <v/>
      </c>
      <c r="BG493" s="209">
        <f>BC493-AY493+BF493</f>
        <v/>
      </c>
      <c r="BH493" s="86" t="inlineStr">
        <is>
          <t>陈君琳</t>
        </is>
      </c>
      <c r="BI493" s="86" t="inlineStr">
        <is>
          <t>浙江省 金华市 义乌市 稠江街道云潮府21栋22楼2201</t>
        </is>
      </c>
      <c r="BJ493" s="86" t="inlineStr">
        <is>
          <t>15787479550-5122</t>
        </is>
      </c>
      <c r="BK493" s="86" t="n"/>
      <c r="BL493" s="210" t="n"/>
      <c r="BM493" s="93" t="n"/>
      <c r="BN493" s="94" t="n"/>
      <c r="BO493" s="93" t="n"/>
      <c r="BP493" s="86" t="n"/>
      <c r="BQ493" s="96" t="n"/>
      <c r="BR493" s="96" t="n"/>
      <c r="BS493" s="97" t="n"/>
      <c r="BT493" s="96" t="n"/>
      <c r="BU493" s="97" t="n"/>
      <c r="BV493" s="96" t="n"/>
      <c r="BW493" s="97" t="n"/>
      <c r="BX493" s="97" t="n"/>
      <c r="BY493" s="97" t="n"/>
      <c r="BZ493" s="97" t="n"/>
      <c r="CH493" s="2" t="n"/>
      <c r="CI493" s="14" t="n"/>
      <c r="CJ493" s="25" t="n"/>
      <c r="CK493" s="25" t="n"/>
      <c r="CL493" s="25" t="n"/>
      <c r="CM493" s="25" t="n"/>
      <c r="CN493" s="25" t="n"/>
      <c r="CO493" s="25" t="n"/>
      <c r="CP493" s="25" t="n"/>
      <c r="CQ493" s="25" t="n"/>
      <c r="CR493" s="25" t="n"/>
      <c r="CS493" s="25" t="n"/>
      <c r="CT493" s="25" t="n"/>
      <c r="CU493" s="25" t="n"/>
      <c r="CV493" s="25" t="n"/>
      <c r="CW493" s="25" t="n"/>
      <c r="CX493" s="25" t="n"/>
      <c r="CY493" s="25" t="n"/>
      <c r="DC493" s="26" t="n"/>
      <c r="DD493" s="26" t="n"/>
      <c r="DE493" s="26" t="n"/>
      <c r="DF493" s="26" t="n"/>
      <c r="DG493" s="26" t="n"/>
      <c r="DH493" s="27" t="n"/>
      <c r="DJ493" s="211" t="inlineStr">
        <is>
          <t>订单表中未找到</t>
        </is>
      </c>
      <c r="DK493" t="inlineStr">
        <is>
          <t>—</t>
        </is>
      </c>
      <c r="DL493" t="inlineStr">
        <is>
          <t>—</t>
        </is>
      </c>
    </row>
    <row r="494" ht="15.75" customHeight="1" s="187">
      <c r="A494" s="84" t="n">
        <v>46006</v>
      </c>
      <c r="B494" s="206" t="inlineStr">
        <is>
          <t>已收货</t>
        </is>
      </c>
      <c r="C494" s="86" t="inlineStr">
        <is>
          <t>4947148728233397336</t>
        </is>
      </c>
      <c r="D494" s="86" t="inlineStr">
        <is>
          <t>香香</t>
        </is>
      </c>
      <c r="E494" s="87" t="n"/>
      <c r="F494" s="87" t="n"/>
      <c r="G494" s="87" t="inlineStr">
        <is>
          <t>样块</t>
        </is>
      </c>
      <c r="H494" s="130" t="inlineStr">
        <is>
          <t>样块</t>
        </is>
      </c>
      <c r="I494" s="89" t="n"/>
      <c r="J494" s="87" t="inlineStr">
        <is>
          <t>已结算</t>
        </is>
      </c>
      <c r="K494" s="87" t="inlineStr">
        <is>
          <t>杭州</t>
        </is>
      </c>
      <c r="L494" s="207">
        <f>SUM(M494:AO494)</f>
        <v/>
      </c>
      <c r="M494" s="207" t="n">
        <v>5</v>
      </c>
      <c r="N494" s="207" t="n"/>
      <c r="O494" s="207" t="n"/>
      <c r="P494" s="207" t="n"/>
      <c r="Q494" s="207" t="n"/>
      <c r="R494" s="207" t="n"/>
      <c r="S494" s="207" t="n"/>
      <c r="T494" s="207" t="n"/>
      <c r="U494" s="207" t="n"/>
      <c r="V494" s="207" t="n"/>
      <c r="W494" s="207" t="n"/>
      <c r="X494" s="207" t="n"/>
      <c r="Y494" s="207" t="n"/>
      <c r="Z494" s="207" t="n"/>
      <c r="AA494" s="207" t="n"/>
      <c r="AB494" s="207" t="n"/>
      <c r="AC494" s="207" t="n"/>
      <c r="AD494" s="207" t="n"/>
      <c r="AE494" s="207" t="n"/>
      <c r="AF494" s="207" t="n"/>
      <c r="AG494" s="207" t="n"/>
      <c r="AH494" s="207" t="n"/>
      <c r="AI494" s="207" t="n"/>
      <c r="AJ494" s="207" t="n"/>
      <c r="AK494" s="207" t="n"/>
      <c r="AL494" s="207" t="n"/>
      <c r="AM494" s="207" t="n">
        <v>2</v>
      </c>
      <c r="AN494" s="207" t="n"/>
      <c r="AO494" s="207" t="n"/>
      <c r="AP494" s="236" t="n">
        <v>5</v>
      </c>
      <c r="AQ494" s="207" t="n">
        <v>0</v>
      </c>
      <c r="AR494" s="207" t="n">
        <v>0</v>
      </c>
      <c r="AS494" s="207" t="n">
        <v>0</v>
      </c>
      <c r="AT494" s="207" t="n">
        <v>0</v>
      </c>
      <c r="AU494" s="207" t="n">
        <v>0</v>
      </c>
      <c r="AV494" s="207" t="n">
        <v>0</v>
      </c>
      <c r="AW494" s="207" t="n">
        <v>0</v>
      </c>
      <c r="AX494" s="208" t="n">
        <v>1</v>
      </c>
      <c r="AY494" s="209">
        <f>L494*AX494+AP494+AQ494+AR494+AV494+AW494+AS494+AT494+AU494</f>
        <v/>
      </c>
      <c r="AZ494" s="207" t="n">
        <v>22</v>
      </c>
      <c r="BA494" s="207" t="n">
        <v>0</v>
      </c>
      <c r="BB494" s="207">
        <f>AZ494*0.006</f>
        <v/>
      </c>
      <c r="BC494" s="209">
        <f>AZ494+BA494-BB494</f>
        <v/>
      </c>
      <c r="BD494" s="207" t="n">
        <v>0</v>
      </c>
      <c r="BE494" s="207" t="n">
        <v>0</v>
      </c>
      <c r="BF494" s="209">
        <f>BD494+BE494</f>
        <v/>
      </c>
      <c r="BG494" s="209">
        <f>BC494-AY494+BF494</f>
        <v/>
      </c>
      <c r="BH494" s="86" t="inlineStr">
        <is>
          <t>陶陶</t>
        </is>
      </c>
      <c r="BI494" s="86" t="inlineStr">
        <is>
          <t>江苏省 苏州市 常熟市 琴川街道中南林樾香庭15-2602</t>
        </is>
      </c>
      <c r="BJ494" s="86" t="inlineStr">
        <is>
          <t>17895051429-6637</t>
        </is>
      </c>
      <c r="BK494" s="86" t="n"/>
      <c r="BL494" s="210" t="n"/>
      <c r="BM494" s="93" t="n"/>
      <c r="BN494" s="94" t="n"/>
      <c r="BO494" s="93" t="n"/>
      <c r="BP494" s="86" t="n"/>
      <c r="BQ494" s="96" t="n"/>
      <c r="BR494" s="96" t="n"/>
      <c r="BS494" s="97" t="n"/>
      <c r="BT494" s="96" t="n"/>
      <c r="BU494" s="97" t="n"/>
      <c r="BV494" s="96" t="n"/>
      <c r="BW494" s="97" t="n"/>
      <c r="BX494" s="97" t="n"/>
      <c r="BY494" s="97" t="n"/>
      <c r="BZ494" s="97" t="n"/>
      <c r="CH494" s="2" t="n"/>
      <c r="CI494" s="14" t="n"/>
      <c r="CJ494" s="25" t="n"/>
      <c r="CK494" s="25" t="n"/>
      <c r="CL494" s="25" t="n"/>
      <c r="CM494" s="25" t="n"/>
      <c r="CN494" s="25" t="n"/>
      <c r="CO494" s="25" t="n"/>
      <c r="CP494" s="25" t="n"/>
      <c r="CQ494" s="25" t="n"/>
      <c r="CR494" s="25" t="n"/>
      <c r="CS494" s="25" t="n"/>
      <c r="CT494" s="25" t="n"/>
      <c r="CU494" s="25" t="n"/>
      <c r="CV494" s="25" t="n"/>
      <c r="CW494" s="25" t="n"/>
      <c r="CX494" s="25" t="n"/>
      <c r="CY494" s="25" t="n"/>
      <c r="DC494" s="26" t="n"/>
      <c r="DD494" s="26" t="n"/>
      <c r="DE494" s="26" t="n"/>
      <c r="DF494" s="26" t="n"/>
      <c r="DG494" s="26" t="n"/>
      <c r="DH494" s="27" t="n"/>
      <c r="DJ494" s="211" t="inlineStr">
        <is>
          <t>订单表中未找到</t>
        </is>
      </c>
      <c r="DK494" t="inlineStr">
        <is>
          <t>—</t>
        </is>
      </c>
      <c r="DL494" t="inlineStr">
        <is>
          <t>—</t>
        </is>
      </c>
    </row>
    <row r="495" ht="15.75" customHeight="1" s="187">
      <c r="A495" s="84" t="n">
        <v>46006</v>
      </c>
      <c r="B495" s="206" t="inlineStr">
        <is>
          <t>已收货</t>
        </is>
      </c>
      <c r="C495" s="86" t="inlineStr">
        <is>
          <t>4947693589721064411</t>
        </is>
      </c>
      <c r="D495" s="86" t="inlineStr">
        <is>
          <t>李娜</t>
        </is>
      </c>
      <c r="E495" s="87" t="n"/>
      <c r="F495" s="87" t="n"/>
      <c r="G495" s="87" t="inlineStr">
        <is>
          <t>1.5基础柜aa柱子</t>
        </is>
      </c>
      <c r="H495" s="207" t="inlineStr">
        <is>
          <t>基础餐边柜</t>
        </is>
      </c>
      <c r="I495" s="89" t="n">
        <v>1500</v>
      </c>
      <c r="J495" s="87" t="inlineStr">
        <is>
          <t>已结算</t>
        </is>
      </c>
      <c r="K495" s="86" t="inlineStr">
        <is>
          <t>庄毅-江西</t>
        </is>
      </c>
      <c r="L495" s="207">
        <f>4500+501+28+14+10+180*1.5*0.48+72*2+20+26*2+60+80</f>
        <v/>
      </c>
      <c r="M495" s="207">
        <f>4500</f>
        <v/>
      </c>
      <c r="N495" s="207" t="n">
        <v>501</v>
      </c>
      <c r="O495" s="207" t="n">
        <v>28</v>
      </c>
      <c r="P495" s="207" t="n">
        <v>14</v>
      </c>
      <c r="Q495" s="207" t="n"/>
      <c r="R495" s="207" t="n">
        <v>10</v>
      </c>
      <c r="S495" s="207" t="inlineStr">
        <is>
          <t>180*1.5*0.48</t>
        </is>
      </c>
      <c r="T495" s="207" t="inlineStr">
        <is>
          <t>72*2</t>
        </is>
      </c>
      <c r="U495" s="207" t="n"/>
      <c r="V495" s="207" t="n"/>
      <c r="W495" s="207" t="n">
        <v>20</v>
      </c>
      <c r="X495" s="207" t="inlineStr">
        <is>
          <t>26*2</t>
        </is>
      </c>
      <c r="Y495" s="207" t="n">
        <v>60</v>
      </c>
      <c r="Z495" s="207" t="n"/>
      <c r="AA495" s="207" t="n"/>
      <c r="AB495" s="207" t="n"/>
      <c r="AC495" s="207" t="n"/>
      <c r="AD495" s="207" t="n"/>
      <c r="AE495" s="207" t="n">
        <v>80</v>
      </c>
      <c r="AF495" s="207" t="n"/>
      <c r="AG495" s="207" t="n"/>
      <c r="AH495" s="207" t="n"/>
      <c r="AI495" s="207" t="n"/>
      <c r="AJ495" s="207" t="n"/>
      <c r="AK495" s="207" t="n"/>
      <c r="AL495" s="207" t="n"/>
      <c r="AM495" s="207">
        <f>20+60</f>
        <v/>
      </c>
      <c r="AN495" s="207" t="n"/>
      <c r="AO495" s="207" t="n"/>
      <c r="AP495" s="207">
        <f>402+85-AQ495+739</f>
        <v/>
      </c>
      <c r="AQ495" s="207" t="n">
        <v>40</v>
      </c>
      <c r="AR495" s="207" t="n">
        <v>125</v>
      </c>
      <c r="AS495" s="207" t="n">
        <v>0</v>
      </c>
      <c r="AT495" s="207" t="n">
        <v>0</v>
      </c>
      <c r="AU495" s="207" t="n">
        <v>0</v>
      </c>
      <c r="AV495" s="207" t="n">
        <v>0</v>
      </c>
      <c r="AW495" s="207" t="n">
        <v>0</v>
      </c>
      <c r="AX495" s="208" t="n">
        <v>1</v>
      </c>
      <c r="AY495" s="209">
        <f>L495*AX495+AP495+AQ495+AR495+AV495+AW495+AS495+AT495+AU495</f>
        <v/>
      </c>
      <c r="AZ495" s="207" t="n">
        <v>7740.9</v>
      </c>
      <c r="BA495" s="207" t="n">
        <v>0</v>
      </c>
      <c r="BB495" s="207">
        <f>AZ495*0.006</f>
        <v/>
      </c>
      <c r="BC495" s="209">
        <f>AZ495+BA495-BB495</f>
        <v/>
      </c>
      <c r="BD495" s="207" t="n">
        <v>0</v>
      </c>
      <c r="BE495" s="207" t="n">
        <v>0</v>
      </c>
      <c r="BF495" s="209">
        <f>BD495+BE495</f>
        <v/>
      </c>
      <c r="BG495" s="209">
        <f>BC495-AY495+BF495</f>
        <v/>
      </c>
      <c r="BH495" s="86" t="inlineStr">
        <is>
          <t>香香</t>
        </is>
      </c>
      <c r="BI495" s="86" t="inlineStr">
        <is>
          <t>浙江省 杭州市 建德市 洋溪街道江洋溪街道 一江春水一江春水</t>
        </is>
      </c>
      <c r="BJ495" s="86" t="inlineStr">
        <is>
          <t>18413273034-9470</t>
        </is>
      </c>
      <c r="BK495" s="86" t="n"/>
      <c r="BL495" s="210" t="n"/>
      <c r="BM495" s="93" t="n"/>
      <c r="BN495" s="94" t="n"/>
      <c r="BO495" s="93" t="n"/>
      <c r="BP495" s="86" t="n"/>
      <c r="BQ495" s="96" t="n"/>
      <c r="BR495" s="96" t="n"/>
      <c r="BS495" s="97" t="n"/>
      <c r="BT495" s="96" t="n"/>
      <c r="BU495" s="97" t="n"/>
      <c r="BV495" s="96" t="n"/>
      <c r="BW495" s="97" t="n"/>
      <c r="BX495" s="97" t="n"/>
      <c r="BY495" s="97" t="n"/>
      <c r="BZ495" s="97" t="n"/>
      <c r="CH495" s="2" t="n"/>
      <c r="CI495" s="14" t="n"/>
      <c r="CJ495" s="25" t="n"/>
      <c r="CK495" s="25" t="n"/>
      <c r="CL495" s="25" t="n"/>
      <c r="CM495" s="25" t="n"/>
      <c r="CN495" s="25" t="n"/>
      <c r="CO495" s="25" t="n"/>
      <c r="CP495" s="25" t="n"/>
      <c r="CQ495" s="25" t="n"/>
      <c r="CR495" s="25" t="n"/>
      <c r="CS495" s="25" t="n"/>
      <c r="CT495" s="25" t="n"/>
      <c r="CU495" s="25" t="n"/>
      <c r="CV495" s="25" t="n"/>
      <c r="CW495" s="25" t="n"/>
      <c r="CX495" s="25" t="n"/>
      <c r="CY495" s="25" t="n"/>
      <c r="DC495" s="26" t="n"/>
      <c r="DD495" s="26" t="n"/>
      <c r="DE495" s="26" t="n"/>
      <c r="DF495" s="26" t="n"/>
      <c r="DG495" s="26" t="n"/>
      <c r="DH495" s="27" t="n"/>
      <c r="DJ495" s="211" t="inlineStr">
        <is>
          <t>订单表中未找到</t>
        </is>
      </c>
      <c r="DK495" t="inlineStr">
        <is>
          <t>—</t>
        </is>
      </c>
      <c r="DL495" t="inlineStr">
        <is>
          <t>—</t>
        </is>
      </c>
    </row>
    <row r="496" ht="15.75" customHeight="1" s="187">
      <c r="A496" s="84" t="n">
        <v>46007</v>
      </c>
      <c r="B496" s="206" t="inlineStr">
        <is>
          <t>已收货</t>
        </is>
      </c>
      <c r="C496" s="86" t="inlineStr">
        <is>
          <t>3126563940757467160</t>
        </is>
      </c>
      <c r="D496" s="86" t="inlineStr">
        <is>
          <t>梁芳</t>
        </is>
      </c>
      <c r="E496" s="87" t="n"/>
      <c r="F496" s="87" t="n"/>
      <c r="G496" s="87" t="inlineStr">
        <is>
          <t>砂白色1.6米岩板餐桌</t>
        </is>
      </c>
      <c r="H496" s="207" t="inlineStr">
        <is>
          <t>榉木餐桌</t>
        </is>
      </c>
      <c r="I496" s="89" t="inlineStr">
        <is>
          <t>160cm*85cm</t>
        </is>
      </c>
      <c r="J496" s="87" t="inlineStr">
        <is>
          <t>已结算</t>
        </is>
      </c>
      <c r="K496" s="86" t="inlineStr">
        <is>
          <t>江西</t>
        </is>
      </c>
      <c r="L496" s="207">
        <f>SUM(M496:AO496)</f>
        <v/>
      </c>
      <c r="M496" s="207">
        <f>1350</f>
        <v/>
      </c>
      <c r="N496" s="207" t="n"/>
      <c r="O496" s="207" t="n"/>
      <c r="P496" s="207" t="n"/>
      <c r="Q496" s="207" t="n"/>
      <c r="R496" s="207" t="n">
        <v>240</v>
      </c>
      <c r="S496" s="207" t="n"/>
      <c r="T496" s="207" t="n"/>
      <c r="U496" s="207" t="n"/>
      <c r="V496" s="207" t="n"/>
      <c r="W496" s="207" t="n"/>
      <c r="X496" s="207" t="n"/>
      <c r="Y496" s="207" t="n"/>
      <c r="Z496" s="207" t="n"/>
      <c r="AA496" s="207" t="n"/>
      <c r="AB496" s="207" t="n"/>
      <c r="AC496" s="207" t="n"/>
      <c r="AD496" s="207" t="n">
        <v>2.5</v>
      </c>
      <c r="AE496" s="207" t="n"/>
      <c r="AF496" s="207" t="n"/>
      <c r="AG496" s="207" t="n"/>
      <c r="AH496" s="207" t="n"/>
      <c r="AI496" s="207" t="n"/>
      <c r="AJ496" s="207" t="n"/>
      <c r="AK496" s="207" t="n"/>
      <c r="AL496" s="207" t="n"/>
      <c r="AM496" s="207" t="n">
        <v>190</v>
      </c>
      <c r="AN496" s="207" t="n"/>
      <c r="AO496" s="207" t="n"/>
      <c r="AP496" s="207">
        <f>133-AQ496</f>
        <v/>
      </c>
      <c r="AQ496" s="207" t="n">
        <v>30</v>
      </c>
      <c r="AR496" s="207" t="n">
        <v>69</v>
      </c>
      <c r="AS496" s="207" t="n">
        <v>0</v>
      </c>
      <c r="AT496" s="207" t="n">
        <v>0</v>
      </c>
      <c r="AU496" s="207" t="n">
        <v>0</v>
      </c>
      <c r="AV496" s="207" t="n">
        <v>0</v>
      </c>
      <c r="AW496" s="207" t="n">
        <v>0</v>
      </c>
      <c r="AX496" s="208" t="n">
        <v>1</v>
      </c>
      <c r="AY496" s="209">
        <f>L496*AX496+AP496+AQ496+AR496+AV496+AW496+AS496+AT496+AU496</f>
        <v/>
      </c>
      <c r="AZ496" s="207" t="n">
        <v>2849.27</v>
      </c>
      <c r="BA496" s="207" t="n">
        <v>0</v>
      </c>
      <c r="BB496" s="207">
        <f>AZ496*0.006</f>
        <v/>
      </c>
      <c r="BC496" s="209">
        <f>AZ496+BA496-BB496</f>
        <v/>
      </c>
      <c r="BD496" s="207" t="n">
        <v>0</v>
      </c>
      <c r="BE496" s="207" t="n">
        <v>0</v>
      </c>
      <c r="BF496" s="209">
        <f>BD496+BE496</f>
        <v/>
      </c>
      <c r="BG496" s="209">
        <f>BC496-AY496+BF496</f>
        <v/>
      </c>
      <c r="BH496" s="86" t="inlineStr">
        <is>
          <t>李娜</t>
        </is>
      </c>
      <c r="BI496" s="86" t="inlineStr">
        <is>
          <t>海南省 三亚市 吉阳区 吉阳镇海南省三亚市吉阳区迎宾路中段万科湖畔度假公园二期万科里.G6A</t>
        </is>
      </c>
      <c r="BJ496" s="86" t="inlineStr">
        <is>
          <t>17689845404-5248</t>
        </is>
      </c>
      <c r="BK496" s="86" t="n"/>
      <c r="BL496" s="210" t="n"/>
      <c r="BM496" s="93" t="n"/>
      <c r="BN496" s="94" t="n"/>
      <c r="BO496" s="93" t="n"/>
      <c r="BP496" s="86" t="n"/>
      <c r="BQ496" s="96" t="n"/>
      <c r="BR496" s="96" t="n"/>
      <c r="BS496" s="97" t="n"/>
      <c r="BT496" s="96" t="n"/>
      <c r="BU496" s="97" t="n"/>
      <c r="BV496" s="96" t="n"/>
      <c r="BW496" s="97" t="n"/>
      <c r="BX496" s="97" t="n"/>
      <c r="BY496" s="97" t="n"/>
      <c r="BZ496" s="97" t="n"/>
      <c r="CH496" s="2" t="n"/>
      <c r="CI496" s="14" t="n"/>
      <c r="CJ496" s="25" t="n"/>
      <c r="CK496" s="25" t="n"/>
      <c r="CL496" s="25" t="n"/>
      <c r="CM496" s="25" t="n"/>
      <c r="CN496" s="25" t="n"/>
      <c r="CO496" s="25" t="n"/>
      <c r="CP496" s="25" t="n"/>
      <c r="CQ496" s="25" t="n"/>
      <c r="CR496" s="25" t="n"/>
      <c r="CS496" s="25" t="n"/>
      <c r="CT496" s="25" t="n"/>
      <c r="CU496" s="25" t="n"/>
      <c r="CV496" s="25" t="n"/>
      <c r="CW496" s="25" t="n"/>
      <c r="CX496" s="25" t="n"/>
      <c r="CY496" s="25" t="n"/>
      <c r="DC496" s="26" t="n"/>
      <c r="DD496" s="26" t="n"/>
      <c r="DE496" s="26" t="n"/>
      <c r="DF496" s="26" t="n"/>
      <c r="DG496" s="26" t="n"/>
      <c r="DH496" s="27" t="n"/>
      <c r="DJ496" s="211" t="inlineStr">
        <is>
          <t>订单表中未找到</t>
        </is>
      </c>
      <c r="DK496" t="inlineStr">
        <is>
          <t>—</t>
        </is>
      </c>
      <c r="DL496" t="inlineStr">
        <is>
          <t>—</t>
        </is>
      </c>
    </row>
    <row r="497" ht="15.75" customHeight="1" s="187">
      <c r="A497" s="84" t="n">
        <v>46007</v>
      </c>
      <c r="B497" s="206" t="inlineStr">
        <is>
          <t>已收货</t>
        </is>
      </c>
      <c r="C497" s="86" t="inlineStr">
        <is>
          <t>4949625601525833947</t>
        </is>
      </c>
      <c r="D497" s="86" t="inlineStr">
        <is>
          <t>卢欢</t>
        </is>
      </c>
      <c r="E497" s="87" t="n"/>
      <c r="F497" s="87" t="n"/>
      <c r="G497" s="87" t="inlineStr">
        <is>
          <t>砂白色1.6米岩板餐桌</t>
        </is>
      </c>
      <c r="H497" s="207" t="inlineStr">
        <is>
          <t>榉木餐桌</t>
        </is>
      </c>
      <c r="I497" s="89" t="inlineStr">
        <is>
          <t>160cm*85cm</t>
        </is>
      </c>
      <c r="J497" s="87" t="inlineStr">
        <is>
          <t>已结算</t>
        </is>
      </c>
      <c r="K497" s="86" t="inlineStr">
        <is>
          <t>江西</t>
        </is>
      </c>
      <c r="L497" s="207">
        <f>SUM(M497:AO497)</f>
        <v/>
      </c>
      <c r="M497" s="207">
        <f>1350</f>
        <v/>
      </c>
      <c r="N497" s="207" t="n"/>
      <c r="O497" s="207" t="n"/>
      <c r="P497" s="207" t="n"/>
      <c r="Q497" s="207" t="n"/>
      <c r="R497" s="207" t="n">
        <v>240</v>
      </c>
      <c r="S497" s="207" t="n"/>
      <c r="T497" s="207" t="n"/>
      <c r="U497" s="207" t="n"/>
      <c r="V497" s="207" t="n"/>
      <c r="W497" s="207" t="n"/>
      <c r="X497" s="207" t="n"/>
      <c r="Y497" s="207" t="n"/>
      <c r="Z497" s="207" t="n"/>
      <c r="AA497" s="207" t="n"/>
      <c r="AB497" s="207" t="n"/>
      <c r="AC497" s="207" t="n"/>
      <c r="AD497" s="207" t="n">
        <v>2.5</v>
      </c>
      <c r="AE497" s="207" t="n"/>
      <c r="AF497" s="207" t="n"/>
      <c r="AG497" s="207" t="n"/>
      <c r="AH497" s="207" t="n"/>
      <c r="AI497" s="207" t="n"/>
      <c r="AJ497" s="207" t="n"/>
      <c r="AK497" s="207" t="n"/>
      <c r="AL497" s="207" t="n"/>
      <c r="AM497" s="207" t="n">
        <v>190</v>
      </c>
      <c r="AN497" s="207" t="n"/>
      <c r="AO497" s="207" t="n"/>
      <c r="AP497" s="207">
        <f>123-AQ497</f>
        <v/>
      </c>
      <c r="AQ497" s="207" t="n">
        <v>30</v>
      </c>
      <c r="AR497" s="207" t="n">
        <v>118</v>
      </c>
      <c r="AS497" s="207" t="n">
        <v>0</v>
      </c>
      <c r="AT497" s="207" t="n">
        <v>0</v>
      </c>
      <c r="AU497" s="207" t="n">
        <v>0</v>
      </c>
      <c r="AV497" s="207" t="n">
        <v>0</v>
      </c>
      <c r="AW497" s="207" t="n">
        <v>0</v>
      </c>
      <c r="AX497" s="208" t="n">
        <v>1</v>
      </c>
      <c r="AY497" s="209">
        <f>L497*AX497+AP497+AQ497+AR497+AV497+AW497+AS497+AT497+AU497</f>
        <v/>
      </c>
      <c r="AZ497" s="207" t="n">
        <v>2849.27</v>
      </c>
      <c r="BA497" s="207" t="n">
        <v>0</v>
      </c>
      <c r="BB497" s="207">
        <f>AZ497*0.006</f>
        <v/>
      </c>
      <c r="BC497" s="209">
        <f>AZ497+BA497-BB497</f>
        <v/>
      </c>
      <c r="BD497" s="207" t="n">
        <v>0</v>
      </c>
      <c r="BE497" s="207" t="n">
        <v>0</v>
      </c>
      <c r="BF497" s="209">
        <f>BD497+BE497</f>
        <v/>
      </c>
      <c r="BG497" s="209">
        <f>BC497-AY497+BF497</f>
        <v/>
      </c>
      <c r="BH497" s="86" t="inlineStr">
        <is>
          <t>梁芳</t>
        </is>
      </c>
      <c r="BI497" s="86" t="inlineStr">
        <is>
          <t>湖南省 长沙市 雨花区 东山街道绿地城际空间站二期F2栋3401</t>
        </is>
      </c>
      <c r="BJ497" s="86" t="inlineStr">
        <is>
          <t>15783460272-6182</t>
        </is>
      </c>
      <c r="BK497" s="86" t="n"/>
      <c r="BL497" s="210" t="n"/>
      <c r="BM497" s="93" t="n"/>
      <c r="BN497" s="94" t="n"/>
      <c r="BO497" s="93" t="n"/>
      <c r="BP497" s="86" t="n"/>
      <c r="BQ497" s="96" t="n"/>
      <c r="BR497" s="96" t="n"/>
      <c r="BS497" s="97" t="n"/>
      <c r="BT497" s="96" t="n"/>
      <c r="BU497" s="97" t="n"/>
      <c r="BV497" s="96" t="n"/>
      <c r="BW497" s="97" t="n"/>
      <c r="BX497" s="97" t="n"/>
      <c r="BY497" s="97" t="n"/>
      <c r="BZ497" s="97" t="n"/>
      <c r="CH497" s="2" t="n"/>
      <c r="CI497" s="14" t="n"/>
      <c r="CJ497" s="25" t="n"/>
      <c r="CK497" s="25" t="n"/>
      <c r="CL497" s="25" t="n"/>
      <c r="CM497" s="25" t="n"/>
      <c r="CN497" s="25" t="n"/>
      <c r="CO497" s="25" t="n"/>
      <c r="CP497" s="25" t="n"/>
      <c r="CQ497" s="25" t="n"/>
      <c r="CR497" s="25" t="n"/>
      <c r="CS497" s="25" t="n"/>
      <c r="CT497" s="25" t="n"/>
      <c r="CU497" s="25" t="n"/>
      <c r="CV497" s="25" t="n"/>
      <c r="CW497" s="25" t="n"/>
      <c r="CX497" s="25" t="n"/>
      <c r="CY497" s="25" t="n"/>
      <c r="DC497" s="26" t="n"/>
      <c r="DD497" s="26" t="n"/>
      <c r="DE497" s="26" t="n"/>
      <c r="DF497" s="26" t="n"/>
      <c r="DG497" s="26" t="n"/>
      <c r="DH497" s="27" t="n"/>
      <c r="DJ497" s="211" t="inlineStr">
        <is>
          <t>订单表中未找到</t>
        </is>
      </c>
      <c r="DK497" t="inlineStr">
        <is>
          <t>—</t>
        </is>
      </c>
      <c r="DL497" t="inlineStr">
        <is>
          <t>—</t>
        </is>
      </c>
    </row>
    <row r="498" ht="15.75" customHeight="1" s="187">
      <c r="A498" s="84" t="n">
        <v>46008</v>
      </c>
      <c r="B498" s="206" t="inlineStr">
        <is>
          <t>已收货</t>
        </is>
      </c>
      <c r="C498" s="86" t="inlineStr">
        <is>
          <t>3128012292109777990</t>
        </is>
      </c>
      <c r="D498" s="86" t="inlineStr">
        <is>
          <t>cmcc</t>
        </is>
      </c>
      <c r="E498" s="87" t="n"/>
      <c r="F498" s="87" t="n"/>
      <c r="G498" s="207" t="inlineStr">
        <is>
          <t>砂白色1.8米岩板餐桌，定制</t>
        </is>
      </c>
      <c r="H498" s="207" t="inlineStr">
        <is>
          <t>榉木餐桌</t>
        </is>
      </c>
      <c r="I498" s="89" t="inlineStr">
        <is>
          <t>180cm*80cm</t>
        </is>
      </c>
      <c r="J498" s="87" t="inlineStr">
        <is>
          <t>已结算</t>
        </is>
      </c>
      <c r="K498" s="86" t="inlineStr">
        <is>
          <t>江西</t>
        </is>
      </c>
      <c r="L498" s="207">
        <f>SUM(M498:AO498)</f>
        <v/>
      </c>
      <c r="M498" s="207">
        <f>1400</f>
        <v/>
      </c>
      <c r="N498" s="207" t="n"/>
      <c r="O498" s="207" t="n"/>
      <c r="P498" s="207" t="n"/>
      <c r="Q498" s="207" t="n"/>
      <c r="R498" s="207" t="n">
        <v>240</v>
      </c>
      <c r="S498" s="207" t="n"/>
      <c r="T498" s="207" t="n"/>
      <c r="U498" s="207" t="n"/>
      <c r="V498" s="207" t="n"/>
      <c r="W498" s="207" t="n"/>
      <c r="X498" s="207" t="n"/>
      <c r="Y498" s="207" t="n"/>
      <c r="Z498" s="207" t="n"/>
      <c r="AA498" s="207" t="n"/>
      <c r="AB498" s="207" t="n"/>
      <c r="AC498" s="207" t="n"/>
      <c r="AD498" s="207" t="n">
        <v>2.5</v>
      </c>
      <c r="AE498" s="207" t="n"/>
      <c r="AF498" s="207" t="n"/>
      <c r="AG498" s="207" t="n"/>
      <c r="AH498" s="207" t="n"/>
      <c r="AI498" s="207" t="n"/>
      <c r="AJ498" s="207" t="n"/>
      <c r="AK498" s="207" t="n"/>
      <c r="AL498" s="207" t="n"/>
      <c r="AM498" s="207" t="n">
        <v>100</v>
      </c>
      <c r="AN498" s="207" t="n"/>
      <c r="AO498" s="207" t="n"/>
      <c r="AP498" s="207" t="n">
        <v>300</v>
      </c>
      <c r="AQ498" s="207" t="n">
        <v>0</v>
      </c>
      <c r="AR498" s="207" t="n">
        <v>0</v>
      </c>
      <c r="AS498" s="207" t="n">
        <v>0</v>
      </c>
      <c r="AT498" s="207" t="n">
        <v>0</v>
      </c>
      <c r="AU498" s="207" t="n">
        <v>0</v>
      </c>
      <c r="AV498" s="207" t="n">
        <v>0</v>
      </c>
      <c r="AW498" s="207" t="n">
        <v>0</v>
      </c>
      <c r="AX498" s="208" t="n">
        <v>1</v>
      </c>
      <c r="AY498" s="209">
        <f>L498*AX498+AP498+AQ498+AR498+AV498+AW498+AS498+AT498+AU498</f>
        <v/>
      </c>
      <c r="AZ498" s="207" t="n">
        <v>2930</v>
      </c>
      <c r="BA498" s="207" t="n">
        <v>0</v>
      </c>
      <c r="BB498" s="207">
        <f>AZ498*0.006</f>
        <v/>
      </c>
      <c r="BC498" s="209">
        <f>AZ498+BA498-BB498</f>
        <v/>
      </c>
      <c r="BD498" s="207" t="n">
        <v>0</v>
      </c>
      <c r="BE498" s="207" t="n">
        <v>0</v>
      </c>
      <c r="BF498" s="209">
        <f>BD498+BE498</f>
        <v/>
      </c>
      <c r="BG498" s="209">
        <f>BC498-AY498+BF498</f>
        <v/>
      </c>
      <c r="BH498" s="86" t="inlineStr">
        <is>
          <t>拍拍红屁屁</t>
        </is>
      </c>
      <c r="BI498" s="86" t="inlineStr">
        <is>
          <t>江苏省 镇江市 句容市 华阳街道北部新城东区29栋1603（拒收韵达快递）</t>
        </is>
      </c>
      <c r="BJ498" s="86" t="inlineStr">
        <is>
          <t>15784301412-1726</t>
        </is>
      </c>
      <c r="BK498" s="86" t="n"/>
      <c r="BL498" s="210" t="n"/>
      <c r="BM498" s="93" t="n"/>
      <c r="BN498" s="94" t="n"/>
      <c r="BO498" s="93" t="n"/>
      <c r="BP498" s="86" t="n"/>
      <c r="BQ498" s="96" t="n"/>
      <c r="BR498" s="96" t="n"/>
      <c r="BS498" s="97" t="n"/>
      <c r="BT498" s="96" t="n"/>
      <c r="BU498" s="97" t="n"/>
      <c r="BV498" s="96" t="n"/>
      <c r="BW498" s="97" t="n"/>
      <c r="BX498" s="97" t="n"/>
      <c r="BY498" s="97" t="n"/>
      <c r="BZ498" s="97" t="n"/>
      <c r="CH498" s="2" t="n"/>
      <c r="CI498" s="14" t="n"/>
      <c r="CJ498" s="25" t="n"/>
      <c r="CK498" s="25" t="n"/>
      <c r="CL498" s="25" t="n"/>
      <c r="CM498" s="25" t="n"/>
      <c r="CN498" s="25" t="n"/>
      <c r="CO498" s="25" t="n"/>
      <c r="CP498" s="25" t="n"/>
      <c r="CQ498" s="25" t="n"/>
      <c r="CR498" s="25" t="n"/>
      <c r="CS498" s="25" t="n"/>
      <c r="CT498" s="25" t="n"/>
      <c r="CU498" s="25" t="n"/>
      <c r="CV498" s="25" t="n"/>
      <c r="CW498" s="25" t="n"/>
      <c r="CX498" s="25" t="n"/>
      <c r="CY498" s="25" t="n"/>
      <c r="DC498" s="26" t="n"/>
      <c r="DD498" s="26" t="n"/>
      <c r="DE498" s="26" t="n"/>
      <c r="DF498" s="26" t="n"/>
      <c r="DG498" s="26" t="n"/>
      <c r="DH498" s="27" t="n"/>
      <c r="DJ498" s="211" t="inlineStr">
        <is>
          <t>订单表中未找到</t>
        </is>
      </c>
      <c r="DK498" t="inlineStr">
        <is>
          <t>—</t>
        </is>
      </c>
      <c r="DL498" t="inlineStr">
        <is>
          <t>—</t>
        </is>
      </c>
    </row>
    <row r="499" ht="15.75" customHeight="1" s="187">
      <c r="A499" s="84" t="n">
        <v>46008</v>
      </c>
      <c r="B499" s="206" t="inlineStr">
        <is>
          <t>已收货</t>
        </is>
      </c>
      <c r="C499" s="86" t="inlineStr">
        <is>
          <t>4950625357011307336</t>
        </is>
      </c>
      <c r="D499" s="86" t="inlineStr">
        <is>
          <t>梁先生</t>
        </is>
      </c>
      <c r="E499" s="87" t="n"/>
      <c r="F499" s="87" t="n"/>
      <c r="G499" s="207" t="inlineStr">
        <is>
          <t>窄柜-整柜洞石背板-1.0米</t>
        </is>
      </c>
      <c r="H499" s="207" t="inlineStr">
        <is>
          <t>樱桃木窄柜</t>
        </is>
      </c>
      <c r="I499" s="89" t="n">
        <v>1000</v>
      </c>
      <c r="J499" s="87" t="inlineStr">
        <is>
          <t>已结算</t>
        </is>
      </c>
      <c r="K499" s="86" t="inlineStr">
        <is>
          <t>庄毅</t>
        </is>
      </c>
      <c r="L499" s="207">
        <f>SUM(M499:AO499)</f>
        <v/>
      </c>
      <c r="M499" s="207">
        <f>3300</f>
        <v/>
      </c>
      <c r="N499" s="207">
        <f>0.958*260+2*55</f>
        <v/>
      </c>
      <c r="O499" s="207" t="n">
        <v>120</v>
      </c>
      <c r="P499" s="207" t="n"/>
      <c r="Q499" s="207">
        <f>19*2</f>
        <v/>
      </c>
      <c r="R499" s="207" t="n">
        <v>106.8</v>
      </c>
      <c r="S499" s="207" t="n">
        <v>59.23</v>
      </c>
      <c r="T499" s="207" t="n"/>
      <c r="U499" s="207" t="n"/>
      <c r="V499" s="207" t="n">
        <v>5</v>
      </c>
      <c r="W499" s="207" t="n"/>
      <c r="X499" s="207" t="n"/>
      <c r="Y499" s="207" t="n"/>
      <c r="Z499" s="207" t="n"/>
      <c r="AA499" s="207" t="n">
        <v>2</v>
      </c>
      <c r="AB499" s="207" t="n">
        <v>1.1</v>
      </c>
      <c r="AC499" s="207" t="n">
        <v>3.5</v>
      </c>
      <c r="AD499" s="207" t="n"/>
      <c r="AE499" s="207" t="n"/>
      <c r="AF499" s="207" t="n"/>
      <c r="AG499" s="207" t="n"/>
      <c r="AH499" s="207" t="n"/>
      <c r="AI499" s="207" t="n"/>
      <c r="AJ499" s="207" t="n"/>
      <c r="AK499" s="207" t="n"/>
      <c r="AL499" s="207" t="n"/>
      <c r="AM499" s="207" t="n"/>
      <c r="AN499" s="207" t="n"/>
      <c r="AO499" s="207" t="n"/>
      <c r="AP499" s="207" t="n">
        <v>393</v>
      </c>
      <c r="AQ499" s="207" t="n">
        <v>0</v>
      </c>
      <c r="AR499" s="207" t="n">
        <v>90</v>
      </c>
      <c r="AS499" s="207" t="n">
        <v>0</v>
      </c>
      <c r="AT499" s="207" t="n">
        <v>158</v>
      </c>
      <c r="AU499" s="207" t="n">
        <v>0</v>
      </c>
      <c r="AV499" s="207" t="n">
        <v>0</v>
      </c>
      <c r="AW499" s="207" t="n">
        <v>0</v>
      </c>
      <c r="AX499" s="208" t="n">
        <v>1</v>
      </c>
      <c r="AY499" s="209">
        <f>L499*AX499+AP499+AQ499+AR499+AV499+AW499+AS499+AT499+AU499</f>
        <v/>
      </c>
      <c r="AZ499" s="207" t="n">
        <v>5285.7</v>
      </c>
      <c r="BA499" s="207" t="n">
        <v>0</v>
      </c>
      <c r="BB499" s="207">
        <f>AZ499*0.006</f>
        <v/>
      </c>
      <c r="BC499" s="209">
        <f>AZ499+BA499-BB499</f>
        <v/>
      </c>
      <c r="BD499" s="207" t="n">
        <v>0</v>
      </c>
      <c r="BE499" s="207" t="n">
        <v>0</v>
      </c>
      <c r="BF499" s="209">
        <f>BD499+BE499</f>
        <v/>
      </c>
      <c r="BG499" s="209">
        <f>BC499-AY499+BF499</f>
        <v/>
      </c>
      <c r="BH499" s="207" t="inlineStr">
        <is>
          <t>梁先生</t>
        </is>
      </c>
      <c r="BI499" s="207" t="inlineStr">
        <is>
          <t>四川省成都市锦江区狮子山街道万科城市花园69栋C-102</t>
        </is>
      </c>
      <c r="BJ499" s="207" t="inlineStr">
        <is>
          <t>14727239772-8108</t>
        </is>
      </c>
      <c r="BK499" s="86" t="n"/>
      <c r="BL499" s="210" t="n"/>
      <c r="BM499" s="93" t="n"/>
      <c r="BN499" s="94" t="n"/>
      <c r="BO499" s="93" t="n"/>
      <c r="BP499" s="86" t="n"/>
      <c r="BQ499" s="96" t="n"/>
      <c r="BR499" s="96" t="n"/>
      <c r="BS499" s="97" t="n"/>
      <c r="BT499" s="96" t="n"/>
      <c r="BU499" s="97" t="n"/>
      <c r="BV499" s="96" t="n"/>
      <c r="BW499" s="97" t="n"/>
      <c r="BX499" s="97" t="n"/>
      <c r="BY499" s="97" t="n"/>
      <c r="BZ499" s="97" t="n"/>
      <c r="CH499" s="2" t="n"/>
      <c r="CI499" s="14" t="n"/>
      <c r="CJ499" s="25" t="n"/>
      <c r="CK499" s="25" t="n"/>
      <c r="CL499" s="25" t="n"/>
      <c r="CM499" s="25" t="n"/>
      <c r="CN499" s="25" t="n"/>
      <c r="CO499" s="25" t="n"/>
      <c r="CP499" s="25" t="n"/>
      <c r="CQ499" s="25" t="n"/>
      <c r="CR499" s="25" t="n"/>
      <c r="CS499" s="25" t="n"/>
      <c r="CT499" s="25" t="n"/>
      <c r="CU499" s="25" t="n"/>
      <c r="CV499" s="25" t="n"/>
      <c r="CW499" s="25" t="n"/>
      <c r="CX499" s="25" t="n"/>
      <c r="CY499" s="25" t="n"/>
      <c r="DC499" s="26" t="n"/>
      <c r="DD499" s="26" t="n"/>
      <c r="DE499" s="26" t="n"/>
      <c r="DF499" s="26" t="n"/>
      <c r="DG499" s="26" t="n"/>
      <c r="DH499" s="27" t="n"/>
      <c r="DJ499" s="211" t="inlineStr">
        <is>
          <t>订单表中未找到</t>
        </is>
      </c>
      <c r="DK499" t="inlineStr">
        <is>
          <t>—</t>
        </is>
      </c>
      <c r="DL499" t="inlineStr">
        <is>
          <t>—</t>
        </is>
      </c>
    </row>
    <row r="500" ht="15.75" customHeight="1" s="187">
      <c r="A500" s="84" t="n">
        <v>46008</v>
      </c>
      <c r="B500" s="206" t="inlineStr">
        <is>
          <t>已收货</t>
        </is>
      </c>
      <c r="C500" s="86" t="inlineStr">
        <is>
          <t>3128000522271136577</t>
        </is>
      </c>
      <c r="D500" s="86" t="inlineStr">
        <is>
          <t>李焯翾</t>
        </is>
      </c>
      <c r="E500" s="87" t="n"/>
      <c r="F500" s="87" t="n"/>
      <c r="G500" s="87" t="inlineStr">
        <is>
          <t>1.8基础柜aa柱子(341拦截费用客户付)</t>
        </is>
      </c>
      <c r="H500" s="207" t="inlineStr">
        <is>
          <t>基础餐边柜</t>
        </is>
      </c>
      <c r="I500" s="89" t="n">
        <v>1800</v>
      </c>
      <c r="J500" s="87" t="inlineStr">
        <is>
          <t>已结算</t>
        </is>
      </c>
      <c r="K500" s="86" t="inlineStr">
        <is>
          <t>江西</t>
        </is>
      </c>
      <c r="L500" s="207" t="n">
        <v>0</v>
      </c>
      <c r="M500" s="207" t="n">
        <v>0</v>
      </c>
      <c r="N500" s="207" t="n"/>
      <c r="O500" s="207" t="n"/>
      <c r="P500" s="207" t="n"/>
      <c r="Q500" s="207" t="n"/>
      <c r="R500" s="207" t="n"/>
      <c r="S500" s="207" t="n"/>
      <c r="T500" s="207" t="n"/>
      <c r="U500" s="207" t="n"/>
      <c r="V500" s="207" t="n"/>
      <c r="W500" s="207" t="n"/>
      <c r="X500" s="207" t="n"/>
      <c r="Y500" s="207" t="n"/>
      <c r="Z500" s="207" t="n"/>
      <c r="AA500" s="207" t="n"/>
      <c r="AB500" s="207" t="n"/>
      <c r="AC500" s="207" t="n"/>
      <c r="AD500" s="207" t="n"/>
      <c r="AE500" s="207" t="n"/>
      <c r="AF500" s="207" t="n"/>
      <c r="AG500" s="207" t="n"/>
      <c r="AH500" s="207" t="n"/>
      <c r="AI500" s="207" t="n"/>
      <c r="AJ500" s="207" t="n"/>
      <c r="AK500" s="207" t="n"/>
      <c r="AL500" s="207" t="n"/>
      <c r="AM500" s="207" t="n"/>
      <c r="AN500" s="207" t="n"/>
      <c r="AO500" s="207" t="n"/>
      <c r="AP500" s="207" t="n">
        <v>0</v>
      </c>
      <c r="AQ500" s="207" t="n">
        <v>0</v>
      </c>
      <c r="AR500" s="207" t="n">
        <v>0</v>
      </c>
      <c r="AS500" s="207" t="n">
        <v>0</v>
      </c>
      <c r="AT500" s="207" t="n">
        <v>0</v>
      </c>
      <c r="AU500" s="207" t="n">
        <v>0</v>
      </c>
      <c r="AV500" s="207" t="n">
        <v>0</v>
      </c>
      <c r="AW500" s="207" t="n">
        <v>0</v>
      </c>
      <c r="AX500" s="208" t="n">
        <v>1</v>
      </c>
      <c r="AY500" s="209">
        <f>L500*AX500+AP500+AQ500+AR500+AV500+AW500+AS500+AT500+AU500</f>
        <v/>
      </c>
      <c r="AZ500" s="207" t="n">
        <v>442</v>
      </c>
      <c r="BA500" s="207" t="n">
        <v>0</v>
      </c>
      <c r="BB500" s="207">
        <f>AZ500*0.006</f>
        <v/>
      </c>
      <c r="BC500" s="209">
        <f>AZ500+BA500-BB500</f>
        <v/>
      </c>
      <c r="BD500" s="207" t="n">
        <v>0</v>
      </c>
      <c r="BE500" s="207" t="n">
        <v>0</v>
      </c>
      <c r="BF500" s="209">
        <f>BD500+BE500</f>
        <v/>
      </c>
      <c r="BG500" s="209">
        <f>BC500-AY500+BF500</f>
        <v/>
      </c>
      <c r="BH500" s="207" t="inlineStr">
        <is>
          <t>李焯翾</t>
        </is>
      </c>
      <c r="BI500" s="207" t="inlineStr">
        <is>
          <t>河南省 郑州市 管城回族区 商都路街道国龙绿城怡园2期3号楼3单元1002</t>
        </is>
      </c>
      <c r="BJ500" s="207" t="inlineStr">
        <is>
          <t>15786743099-8722</t>
        </is>
      </c>
      <c r="BK500" s="86" t="n"/>
      <c r="BL500" s="210" t="n"/>
      <c r="BM500" s="93" t="n"/>
      <c r="BN500" s="94" t="n"/>
      <c r="BO500" s="93" t="n"/>
      <c r="BP500" s="86" t="n"/>
      <c r="BQ500" s="96" t="n"/>
      <c r="BR500" s="96" t="n"/>
      <c r="BS500" s="97" t="n"/>
      <c r="BT500" s="96" t="n"/>
      <c r="BU500" s="97" t="n"/>
      <c r="BV500" s="96" t="n"/>
      <c r="BW500" s="97" t="n"/>
      <c r="BX500" s="97" t="n"/>
      <c r="BY500" s="97" t="n"/>
      <c r="BZ500" s="97" t="n"/>
      <c r="CH500" s="2" t="n"/>
      <c r="CI500" s="14" t="n"/>
      <c r="CJ500" s="25" t="n"/>
      <c r="CK500" s="25" t="n"/>
      <c r="CL500" s="25" t="n"/>
      <c r="CM500" s="25" t="n"/>
      <c r="CN500" s="25" t="n"/>
      <c r="CO500" s="25" t="n"/>
      <c r="CP500" s="25" t="n"/>
      <c r="CQ500" s="25" t="n"/>
      <c r="CR500" s="25" t="n"/>
      <c r="CS500" s="25" t="n"/>
      <c r="CT500" s="25" t="n"/>
      <c r="CU500" s="25" t="n"/>
      <c r="CV500" s="25" t="n"/>
      <c r="CW500" s="25" t="n"/>
      <c r="CX500" s="25" t="n"/>
      <c r="CY500" s="25" t="n"/>
      <c r="DC500" s="26" t="n"/>
      <c r="DD500" s="26" t="n"/>
      <c r="DE500" s="26" t="n"/>
      <c r="DF500" s="26" t="n"/>
      <c r="DG500" s="26" t="n"/>
      <c r="DH500" s="27" t="n"/>
      <c r="DJ500" s="211" t="inlineStr">
        <is>
          <t>订单表中未找到</t>
        </is>
      </c>
      <c r="DK500" t="inlineStr">
        <is>
          <t>—</t>
        </is>
      </c>
      <c r="DL500" t="inlineStr">
        <is>
          <t>—</t>
        </is>
      </c>
    </row>
    <row r="501" ht="15.75" customHeight="1" s="187">
      <c r="A501" s="84" t="n">
        <v>46008</v>
      </c>
      <c r="B501" s="206" t="inlineStr">
        <is>
          <t>已收货</t>
        </is>
      </c>
      <c r="C501" s="86" t="inlineStr">
        <is>
          <t>4950891614891920524</t>
        </is>
      </c>
      <c r="D501" s="86" t="inlineStr">
        <is>
          <t>潘荔</t>
        </is>
      </c>
      <c r="E501" s="87" t="n"/>
      <c r="F501" s="87" t="n"/>
      <c r="G501" s="87" t="inlineStr">
        <is>
          <t>砂白色1.4米岩板餐桌</t>
        </is>
      </c>
      <c r="H501" s="207" t="inlineStr">
        <is>
          <t>榉木餐桌</t>
        </is>
      </c>
      <c r="I501" s="89" t="inlineStr">
        <is>
          <t>140cm*85cm</t>
        </is>
      </c>
      <c r="J501" s="87" t="inlineStr">
        <is>
          <t>已结算</t>
        </is>
      </c>
      <c r="K501" s="86" t="inlineStr">
        <is>
          <t>江西</t>
        </is>
      </c>
      <c r="L501" s="207">
        <f>SUM(M501:AO501)</f>
        <v/>
      </c>
      <c r="M501" s="207">
        <f>1300</f>
        <v/>
      </c>
      <c r="N501" s="207" t="n"/>
      <c r="O501" s="207" t="n"/>
      <c r="P501" s="207" t="n"/>
      <c r="Q501" s="207" t="n"/>
      <c r="R501" s="207" t="n">
        <v>240</v>
      </c>
      <c r="S501" s="207" t="n"/>
      <c r="T501" s="207" t="n"/>
      <c r="U501" s="207" t="n"/>
      <c r="V501" s="207" t="n"/>
      <c r="W501" s="207" t="n"/>
      <c r="X501" s="207" t="n"/>
      <c r="Y501" s="207" t="n"/>
      <c r="Z501" s="207" t="n"/>
      <c r="AA501" s="207" t="n"/>
      <c r="AB501" s="207" t="n"/>
      <c r="AC501" s="207" t="n"/>
      <c r="AD501" s="207" t="n">
        <v>2.5</v>
      </c>
      <c r="AE501" s="207" t="n"/>
      <c r="AF501" s="207" t="n"/>
      <c r="AG501" s="207" t="n"/>
      <c r="AH501" s="207" t="n"/>
      <c r="AI501" s="207" t="n"/>
      <c r="AJ501" s="207" t="n"/>
      <c r="AK501" s="207" t="n"/>
      <c r="AL501" s="207" t="n"/>
      <c r="AM501" s="207" t="n">
        <v>180</v>
      </c>
      <c r="AN501" s="207" t="n"/>
      <c r="AO501" s="207" t="n"/>
      <c r="AP501" s="207">
        <f>148-AQ501</f>
        <v/>
      </c>
      <c r="AQ501" s="207" t="n">
        <v>35</v>
      </c>
      <c r="AR501" s="207" t="n">
        <v>75</v>
      </c>
      <c r="AS501" s="207" t="n">
        <v>0</v>
      </c>
      <c r="AT501" s="207" t="n">
        <v>0</v>
      </c>
      <c r="AU501" s="207" t="n">
        <v>0</v>
      </c>
      <c r="AV501" s="207" t="n">
        <v>0</v>
      </c>
      <c r="AW501" s="207" t="n">
        <v>0</v>
      </c>
      <c r="AX501" s="208" t="n">
        <v>1</v>
      </c>
      <c r="AY501" s="209">
        <f>L501*AX501+AP501+AQ501+AR501+AV501+AW501+AS501+AT501+AU501</f>
        <v/>
      </c>
      <c r="AZ501" s="207" t="n">
        <v>2764.36</v>
      </c>
      <c r="BA501" s="207" t="n">
        <v>0</v>
      </c>
      <c r="BB501" s="207">
        <f>AZ501*0.006</f>
        <v/>
      </c>
      <c r="BC501" s="209">
        <f>AZ501+BA501-BB501</f>
        <v/>
      </c>
      <c r="BD501" s="207" t="n">
        <v>0</v>
      </c>
      <c r="BE501" s="207" t="n">
        <v>0</v>
      </c>
      <c r="BF501" s="209">
        <f>BD501+BE501</f>
        <v/>
      </c>
      <c r="BG501" s="209">
        <f>BC501-AY501+BF501</f>
        <v/>
      </c>
      <c r="BH501" s="207" t="inlineStr">
        <is>
          <t>潘荔</t>
        </is>
      </c>
      <c r="BI501" s="207" t="inlineStr">
        <is>
          <t>湖北省 襄阳市 襄城区 檀溪街道君临山1栋1113室</t>
        </is>
      </c>
      <c r="BJ501" s="207" t="inlineStr">
        <is>
          <t>18472268908-7377</t>
        </is>
      </c>
      <c r="BK501" s="86" t="n"/>
      <c r="BL501" s="210" t="n"/>
      <c r="BM501" s="93" t="n"/>
      <c r="BN501" s="94" t="n"/>
      <c r="BO501" s="93" t="n"/>
      <c r="BP501" s="86" t="n"/>
      <c r="BQ501" s="96" t="n"/>
      <c r="BR501" s="96" t="n"/>
      <c r="BS501" s="97" t="n"/>
      <c r="BT501" s="96" t="n"/>
      <c r="BU501" s="97" t="n"/>
      <c r="BV501" s="96" t="n"/>
      <c r="BW501" s="97" t="n"/>
      <c r="BX501" s="97" t="n"/>
      <c r="BY501" s="97" t="n"/>
      <c r="BZ501" s="97" t="n"/>
      <c r="CH501" s="2" t="n"/>
      <c r="CI501" s="14" t="n"/>
      <c r="CJ501" s="25" t="n"/>
      <c r="CK501" s="25" t="n"/>
      <c r="CL501" s="25" t="n"/>
      <c r="CM501" s="25" t="n"/>
      <c r="CN501" s="25" t="n"/>
      <c r="CO501" s="25" t="n"/>
      <c r="CP501" s="25" t="n"/>
      <c r="CQ501" s="25" t="n"/>
      <c r="CR501" s="25" t="n"/>
      <c r="CS501" s="25" t="n"/>
      <c r="CT501" s="25" t="n"/>
      <c r="CU501" s="25" t="n"/>
      <c r="CV501" s="25" t="n"/>
      <c r="CW501" s="25" t="n"/>
      <c r="CX501" s="25" t="n"/>
      <c r="CY501" s="25" t="n"/>
      <c r="DC501" s="26" t="n"/>
      <c r="DD501" s="26" t="n"/>
      <c r="DE501" s="26" t="n"/>
      <c r="DF501" s="26" t="n"/>
      <c r="DG501" s="26" t="n"/>
      <c r="DH501" s="27" t="n"/>
      <c r="DJ501" s="211" t="inlineStr">
        <is>
          <t>订单表中未找到</t>
        </is>
      </c>
      <c r="DK501" t="inlineStr">
        <is>
          <t>—</t>
        </is>
      </c>
      <c r="DL501" t="inlineStr">
        <is>
          <t>—</t>
        </is>
      </c>
    </row>
    <row r="502" ht="15.75" customHeight="1" s="187">
      <c r="A502" s="84" t="n">
        <v>46008</v>
      </c>
      <c r="B502" s="206" t="inlineStr">
        <is>
          <t>已收货</t>
        </is>
      </c>
      <c r="C502" s="86" t="inlineStr">
        <is>
          <t>4950934346651262003</t>
        </is>
      </c>
      <c r="D502" s="86" t="inlineStr">
        <is>
          <t>Tong</t>
        </is>
      </c>
      <c r="E502" s="87" t="n"/>
      <c r="F502" s="87" t="n"/>
      <c r="G502" s="87" t="inlineStr">
        <is>
          <t>定制1.8洞石柜</t>
        </is>
      </c>
      <c r="H502" s="207" t="inlineStr">
        <is>
          <t>洞石餐边柜</t>
        </is>
      </c>
      <c r="I502" s="89" t="n">
        <v>1800</v>
      </c>
      <c r="J502" s="87" t="inlineStr">
        <is>
          <t>已结算</t>
        </is>
      </c>
      <c r="K502" s="86" t="inlineStr">
        <is>
          <t>江西</t>
        </is>
      </c>
      <c r="L502" s="207">
        <f>6300+660+80+567.08+2040/6/1.5+380+14+10+22*9+52*2+87</f>
        <v/>
      </c>
      <c r="M502" s="207">
        <f>6300</f>
        <v/>
      </c>
      <c r="N502" s="207" t="n">
        <v>660</v>
      </c>
      <c r="O502" s="207" t="n">
        <v>80</v>
      </c>
      <c r="P502" s="207" t="n">
        <v>567.08</v>
      </c>
      <c r="Q502" s="207" t="n"/>
      <c r="R502" s="207" t="inlineStr">
        <is>
          <t>2040/6/1.5</t>
        </is>
      </c>
      <c r="S502" s="207" t="n">
        <v>380</v>
      </c>
      <c r="T502" s="207" t="n">
        <v>14</v>
      </c>
      <c r="U502" s="207" t="n"/>
      <c r="V502" s="207" t="n"/>
      <c r="W502" s="207" t="n">
        <v>10</v>
      </c>
      <c r="X502" s="207">
        <f>22*9</f>
        <v/>
      </c>
      <c r="Y502" s="207" t="inlineStr">
        <is>
          <t>52*2</t>
        </is>
      </c>
      <c r="Z502" s="207" t="n"/>
      <c r="AA502" s="207" t="n"/>
      <c r="AB502" s="207" t="n"/>
      <c r="AC502" s="207" t="n"/>
      <c r="AD502" s="207" t="n"/>
      <c r="AE502" s="207" t="n">
        <v>87</v>
      </c>
      <c r="AF502" s="207" t="n"/>
      <c r="AG502" s="207" t="n"/>
      <c r="AH502" s="207" t="n"/>
      <c r="AI502" s="207" t="n"/>
      <c r="AJ502" s="207" t="n"/>
      <c r="AK502" s="207" t="n"/>
      <c r="AL502" s="207" t="n"/>
      <c r="AM502" s="207" t="n">
        <v>380</v>
      </c>
      <c r="AN502" s="207" t="n"/>
      <c r="AO502" s="207" t="n"/>
      <c r="AP502" s="121" t="n">
        <v>350</v>
      </c>
      <c r="AQ502" s="121" t="n">
        <v>30</v>
      </c>
      <c r="AR502" s="207" t="n">
        <v>178</v>
      </c>
      <c r="AS502" s="207" t="n">
        <v>0</v>
      </c>
      <c r="AT502" s="207" t="n">
        <v>0</v>
      </c>
      <c r="AU502" s="207" t="n">
        <v>0</v>
      </c>
      <c r="AV502" s="207" t="n">
        <v>0</v>
      </c>
      <c r="AW502" s="207" t="n">
        <v>0</v>
      </c>
      <c r="AX502" s="208" t="n">
        <v>1</v>
      </c>
      <c r="AY502" s="209">
        <f>L502*AX502+AP502+AQ502+AR502+AV502+AW502+AS502+AT502+AU502</f>
        <v/>
      </c>
      <c r="AZ502" s="207" t="n">
        <v>10469.28</v>
      </c>
      <c r="BA502" s="207" t="n">
        <v>0</v>
      </c>
      <c r="BB502" s="207">
        <f>AZ502*0.006</f>
        <v/>
      </c>
      <c r="BC502" s="209">
        <f>AZ502+BA502-BB502</f>
        <v/>
      </c>
      <c r="BD502" s="207" t="n">
        <v>0</v>
      </c>
      <c r="BE502" s="207" t="n">
        <v>0</v>
      </c>
      <c r="BF502" s="209">
        <f>BD502+BE502</f>
        <v/>
      </c>
      <c r="BG502" s="209">
        <f>BC502-AY502+BF502</f>
        <v/>
      </c>
      <c r="BH502" s="207" t="inlineStr">
        <is>
          <t>Tong</t>
        </is>
      </c>
      <c r="BI502" s="207" t="inlineStr">
        <is>
          <t>广东省 惠州市 惠城区 桥东街道中海阅江府二期二栋二单元1901</t>
        </is>
      </c>
      <c r="BJ502" s="207" t="inlineStr">
        <is>
          <t>18466393939-3642</t>
        </is>
      </c>
      <c r="BK502" s="86" t="n"/>
      <c r="BL502" s="210" t="n"/>
      <c r="BM502" s="93" t="n"/>
      <c r="BN502" s="94" t="n"/>
      <c r="BO502" s="93" t="n"/>
      <c r="BP502" s="86" t="n"/>
      <c r="BQ502" s="96" t="n"/>
      <c r="BR502" s="96" t="n"/>
      <c r="BS502" s="97" t="n"/>
      <c r="BT502" s="96" t="n"/>
      <c r="BU502" s="97" t="n"/>
      <c r="BV502" s="96" t="n"/>
      <c r="BW502" s="97" t="n"/>
      <c r="BX502" s="97" t="n"/>
      <c r="BY502" s="97" t="n"/>
      <c r="BZ502" s="97" t="n"/>
      <c r="CH502" s="2" t="n"/>
      <c r="CI502" s="14" t="n"/>
      <c r="CJ502" s="25" t="n"/>
      <c r="CK502" s="25" t="n"/>
      <c r="CL502" s="25" t="n"/>
      <c r="CM502" s="25" t="n"/>
      <c r="CN502" s="25" t="n"/>
      <c r="CO502" s="25" t="n"/>
      <c r="CP502" s="25" t="n"/>
      <c r="CQ502" s="25" t="n"/>
      <c r="CR502" s="25" t="n"/>
      <c r="CS502" s="25" t="n"/>
      <c r="CT502" s="25" t="n"/>
      <c r="CU502" s="25" t="n"/>
      <c r="CV502" s="25" t="n"/>
      <c r="CW502" s="25" t="n"/>
      <c r="CX502" s="25" t="n"/>
      <c r="CY502" s="25" t="n"/>
      <c r="DC502" s="26" t="n"/>
      <c r="DD502" s="26" t="n"/>
      <c r="DE502" s="26" t="n"/>
      <c r="DF502" s="26" t="n"/>
      <c r="DG502" s="26" t="n"/>
      <c r="DH502" s="27" t="n"/>
      <c r="DJ502" s="211" t="inlineStr">
        <is>
          <t>订单表中未找到</t>
        </is>
      </c>
      <c r="DK502" t="inlineStr">
        <is>
          <t>—</t>
        </is>
      </c>
      <c r="DL502" t="inlineStr">
        <is>
          <t>—</t>
        </is>
      </c>
    </row>
    <row r="503" ht="15.75" customHeight="1" s="187">
      <c r="A503" s="84" t="n">
        <v>46011</v>
      </c>
      <c r="B503" s="206" t="inlineStr">
        <is>
          <t>已收货</t>
        </is>
      </c>
      <c r="C503" s="86" t="inlineStr">
        <is>
          <t>4956938571030913425</t>
        </is>
      </c>
      <c r="D503" s="86" t="inlineStr">
        <is>
          <t>闻智远</t>
        </is>
      </c>
      <c r="E503" s="87" t="n"/>
      <c r="F503" s="87" t="n"/>
      <c r="G503" s="207" t="inlineStr">
        <is>
          <t>窄柜-整柜洞石背板-1.2米</t>
        </is>
      </c>
      <c r="H503" s="207" t="inlineStr">
        <is>
          <t>樱桃木窄柜</t>
        </is>
      </c>
      <c r="I503" s="89" t="n">
        <v>1200</v>
      </c>
      <c r="J503" s="87" t="inlineStr">
        <is>
          <t>已结算</t>
        </is>
      </c>
      <c r="K503" s="86" t="inlineStr">
        <is>
          <t>庄毅</t>
        </is>
      </c>
      <c r="L503" s="207">
        <f>3600+115+1.16+3.37+1.1+1.03+76/2+8+411.08+3+10+62.4+160*1.2*0.48+5*30</f>
        <v/>
      </c>
      <c r="M503" s="207">
        <f>3600</f>
        <v/>
      </c>
      <c r="N503" s="207">
        <f>1.158*260+2*55</f>
        <v/>
      </c>
      <c r="O503" s="207" t="n">
        <v>125</v>
      </c>
      <c r="P503" s="207" t="n"/>
      <c r="Q503" s="207">
        <f>38*2</f>
        <v/>
      </c>
      <c r="R503" s="207">
        <f>160*1.2*0.48+30</f>
        <v/>
      </c>
      <c r="S503" s="207" t="n">
        <v>62.4</v>
      </c>
      <c r="T503" s="207" t="n"/>
      <c r="U503" s="207" t="n"/>
      <c r="V503" s="207" t="n"/>
      <c r="W503" s="207" t="n">
        <v>8</v>
      </c>
      <c r="X503" s="207" t="n"/>
      <c r="Y503" s="207" t="n">
        <v>3</v>
      </c>
      <c r="Z503" s="207" t="n"/>
      <c r="AA503" s="207" t="n"/>
      <c r="AB503" s="207" t="n"/>
      <c r="AC503" s="207" t="n">
        <v>3.37</v>
      </c>
      <c r="AD503" s="207" t="n"/>
      <c r="AE503" s="207" t="n"/>
      <c r="AF503" s="207" t="inlineStr">
        <is>
          <t>5*30</t>
        </is>
      </c>
      <c r="AG503" s="207" t="n"/>
      <c r="AH503" s="207" t="n"/>
      <c r="AI503" s="207" t="n">
        <v>1.16</v>
      </c>
      <c r="AJ503" s="207" t="n">
        <v>1.1</v>
      </c>
      <c r="AK503" s="207" t="n">
        <v>10</v>
      </c>
      <c r="AL503" s="207" t="n"/>
      <c r="AM503" s="207" t="n"/>
      <c r="AN503" s="207" t="n"/>
      <c r="AO503" s="207" t="n"/>
      <c r="AP503" s="207" t="n">
        <v>258</v>
      </c>
      <c r="AQ503" s="207" t="n">
        <v>0</v>
      </c>
      <c r="AR503" s="207" t="n">
        <v>96</v>
      </c>
      <c r="AS503" s="207" t="n">
        <v>0</v>
      </c>
      <c r="AT503" s="207" t="n">
        <v>0</v>
      </c>
      <c r="AU503" s="207" t="n">
        <v>0</v>
      </c>
      <c r="AV503" s="207" t="n">
        <v>0</v>
      </c>
      <c r="AW503" s="207" t="n">
        <v>500</v>
      </c>
      <c r="AX503" s="208" t="n">
        <v>1</v>
      </c>
      <c r="AY503" s="209">
        <f>L503*AX503+AP503+AQ503+AR503+AV503+AW503+AS503+AT503+AU503</f>
        <v/>
      </c>
      <c r="AZ503" s="207" t="n">
        <v>5782.04</v>
      </c>
      <c r="BA503" s="207" t="n">
        <v>0</v>
      </c>
      <c r="BB503" s="207">
        <f>AZ503*0.006</f>
        <v/>
      </c>
      <c r="BC503" s="209">
        <f>AZ503+BA503-BB503</f>
        <v/>
      </c>
      <c r="BD503" s="207" t="n">
        <v>0</v>
      </c>
      <c r="BE503" s="207" t="n">
        <v>0</v>
      </c>
      <c r="BF503" s="209">
        <f>BD503+BE503</f>
        <v/>
      </c>
      <c r="BG503" s="209">
        <f>BC503-AY503+BF503</f>
        <v/>
      </c>
      <c r="BH503" s="207" t="inlineStr">
        <is>
          <t>闻智远</t>
        </is>
      </c>
      <c r="BI503" s="207" t="inlineStr">
        <is>
          <t>上海 上海市 浦东新区 康桥镇秀沿路58弄海上溪云153-102（冰鲜产品</t>
        </is>
      </c>
      <c r="BJ503" s="207" t="inlineStr">
        <is>
          <t>18466788896-5183</t>
        </is>
      </c>
      <c r="BK503" s="86" t="n"/>
      <c r="BL503" s="210" t="n"/>
      <c r="BM503" s="93" t="n"/>
      <c r="BN503" s="94" t="n"/>
      <c r="BO503" s="93" t="n"/>
      <c r="BP503" s="86" t="n"/>
      <c r="BQ503" s="96" t="n"/>
      <c r="BR503" s="96" t="n"/>
      <c r="BS503" s="97" t="n"/>
      <c r="BT503" s="96" t="n"/>
      <c r="BU503" s="97" t="n"/>
      <c r="BV503" s="96" t="n"/>
      <c r="BW503" s="97" t="n"/>
      <c r="BX503" s="97" t="n"/>
      <c r="BY503" s="97" t="n"/>
      <c r="BZ503" s="97" t="n"/>
      <c r="CH503" s="2" t="n"/>
      <c r="CI503" s="14" t="n"/>
      <c r="CJ503" s="25" t="n"/>
      <c r="CK503" s="25" t="n"/>
      <c r="CL503" s="25" t="n"/>
      <c r="CM503" s="25" t="n"/>
      <c r="CN503" s="25" t="n"/>
      <c r="CO503" s="25" t="n"/>
      <c r="CP503" s="25" t="n"/>
      <c r="CQ503" s="25" t="n"/>
      <c r="CR503" s="25" t="n"/>
      <c r="CS503" s="25" t="n"/>
      <c r="CT503" s="25" t="n"/>
      <c r="CU503" s="25" t="n"/>
      <c r="CV503" s="25" t="n"/>
      <c r="CW503" s="25" t="n"/>
      <c r="CX503" s="25" t="n"/>
      <c r="CY503" s="25" t="n"/>
      <c r="DC503" s="26" t="n"/>
      <c r="DD503" s="26" t="n"/>
      <c r="DE503" s="26" t="n"/>
      <c r="DF503" s="26" t="n"/>
      <c r="DG503" s="26" t="n"/>
      <c r="DH503" s="27" t="n"/>
      <c r="DJ503" s="211" t="inlineStr">
        <is>
          <t>订单表中未找到</t>
        </is>
      </c>
      <c r="DK503" t="inlineStr">
        <is>
          <t>—</t>
        </is>
      </c>
      <c r="DL503" t="inlineStr">
        <is>
          <t>—</t>
        </is>
      </c>
    </row>
    <row r="504" ht="15.75" customHeight="1" s="187">
      <c r="A504" s="84" t="n">
        <v>46012</v>
      </c>
      <c r="B504" s="206" t="inlineStr">
        <is>
          <t>已收货</t>
        </is>
      </c>
      <c r="C504" s="86" t="inlineStr">
        <is>
          <t>4959945288785429200</t>
        </is>
      </c>
      <c r="D504" s="86" t="inlineStr">
        <is>
          <t>牛牛</t>
        </is>
      </c>
      <c r="E504" s="87" t="n"/>
      <c r="F504" s="87" t="n"/>
      <c r="G504" s="87" t="inlineStr">
        <is>
          <t>插座</t>
        </is>
      </c>
      <c r="H504" s="207" t="inlineStr">
        <is>
          <t>樱桃木窄柜</t>
        </is>
      </c>
      <c r="I504" s="89" t="n"/>
      <c r="J504" s="87" t="inlineStr">
        <is>
          <t>已结算</t>
        </is>
      </c>
      <c r="K504" s="86" t="inlineStr">
        <is>
          <t>庄毅</t>
        </is>
      </c>
      <c r="L504" s="207">
        <f>SUM(M504:AO504)</f>
        <v/>
      </c>
      <c r="M504" s="207" t="n"/>
      <c r="N504" s="207" t="n">
        <v>55</v>
      </c>
      <c r="O504" s="207" t="n"/>
      <c r="P504" s="207" t="n"/>
      <c r="Q504" s="207" t="n"/>
      <c r="R504" s="207" t="n"/>
      <c r="S504" s="207" t="n"/>
      <c r="T504" s="207" t="n"/>
      <c r="U504" s="207" t="n"/>
      <c r="V504" s="207" t="n"/>
      <c r="W504" s="207" t="n"/>
      <c r="X504" s="207" t="n"/>
      <c r="Y504" s="207" t="n"/>
      <c r="Z504" s="207" t="n"/>
      <c r="AA504" s="207" t="n"/>
      <c r="AB504" s="207" t="n"/>
      <c r="AC504" s="207" t="n"/>
      <c r="AD504" s="207" t="n"/>
      <c r="AE504" s="207" t="n"/>
      <c r="AF504" s="207" t="n"/>
      <c r="AG504" s="207" t="n"/>
      <c r="AH504" s="207" t="n"/>
      <c r="AI504" s="207" t="n"/>
      <c r="AJ504" s="207" t="n"/>
      <c r="AK504" s="207" t="n"/>
      <c r="AL504" s="207" t="n"/>
      <c r="AM504" s="207" t="n"/>
      <c r="AN504" s="207" t="n"/>
      <c r="AO504" s="207" t="n"/>
      <c r="AP504" s="207" t="n">
        <v>8</v>
      </c>
      <c r="AQ504" s="207" t="n">
        <v>0</v>
      </c>
      <c r="AR504" s="207" t="n">
        <v>0</v>
      </c>
      <c r="AS504" s="207" t="n">
        <v>0</v>
      </c>
      <c r="AT504" s="207" t="n">
        <v>0</v>
      </c>
      <c r="AU504" s="207" t="n">
        <v>0</v>
      </c>
      <c r="AV504" s="207" t="n">
        <v>0</v>
      </c>
      <c r="AW504" s="207" t="n">
        <v>0</v>
      </c>
      <c r="AX504" s="208" t="n">
        <v>1</v>
      </c>
      <c r="AY504" s="209">
        <f>L504*AX504+AP504+AQ504+AR504+AV504+AW504+AS504+AT504+AU504</f>
        <v/>
      </c>
      <c r="AZ504" s="207" t="n">
        <v>100</v>
      </c>
      <c r="BA504" s="207" t="n">
        <v>0</v>
      </c>
      <c r="BB504" s="207">
        <f>AZ504*0.006</f>
        <v/>
      </c>
      <c r="BC504" s="209">
        <f>AZ504+BA504-BB504</f>
        <v/>
      </c>
      <c r="BD504" s="207" t="n">
        <v>0</v>
      </c>
      <c r="BE504" s="207" t="n">
        <v>0</v>
      </c>
      <c r="BF504" s="209">
        <f>BD504+BE504</f>
        <v/>
      </c>
      <c r="BG504" s="209">
        <f>BC504-AY504+BF504</f>
        <v/>
      </c>
      <c r="BH504" s="207" t="inlineStr">
        <is>
          <t>牛牛</t>
        </is>
      </c>
      <c r="BI504" s="207" t="inlineStr">
        <is>
          <t>广东省 广州市 白云区 永平街道白云堡大道1号白云堡豪苑2排3号</t>
        </is>
      </c>
      <c r="BJ504" s="207" t="inlineStr">
        <is>
          <t>17896421721-5810</t>
        </is>
      </c>
      <c r="BK504" s="86" t="n"/>
      <c r="BL504" s="210" t="n"/>
      <c r="BM504" s="93" t="n"/>
      <c r="BN504" s="94" t="n"/>
      <c r="BO504" s="93" t="n"/>
      <c r="BP504" s="86" t="n"/>
      <c r="BQ504" s="96" t="n"/>
      <c r="BR504" s="96" t="n"/>
      <c r="BS504" s="97" t="n"/>
      <c r="BT504" s="96" t="n"/>
      <c r="BU504" s="97" t="n"/>
      <c r="BV504" s="96" t="n"/>
      <c r="BW504" s="97" t="n"/>
      <c r="BX504" s="97" t="n"/>
      <c r="BY504" s="97" t="n"/>
      <c r="BZ504" s="97" t="n"/>
      <c r="CH504" s="2" t="n"/>
      <c r="CI504" s="14" t="n"/>
      <c r="CJ504" s="25" t="n"/>
      <c r="CK504" s="25" t="n"/>
      <c r="CL504" s="25" t="n"/>
      <c r="CM504" s="25" t="n"/>
      <c r="CN504" s="25" t="n"/>
      <c r="CO504" s="25" t="n"/>
      <c r="CP504" s="25" t="n"/>
      <c r="CQ504" s="25" t="n"/>
      <c r="CR504" s="25" t="n"/>
      <c r="CS504" s="25" t="n"/>
      <c r="CT504" s="25" t="n"/>
      <c r="CU504" s="25" t="n"/>
      <c r="CV504" s="25" t="n"/>
      <c r="CW504" s="25" t="n"/>
      <c r="CX504" s="25" t="n"/>
      <c r="CY504" s="25" t="n"/>
      <c r="DC504" s="26" t="n"/>
      <c r="DD504" s="26" t="n"/>
      <c r="DE504" s="26" t="n"/>
      <c r="DF504" s="26" t="n"/>
      <c r="DG504" s="26" t="n"/>
      <c r="DH504" s="27" t="n"/>
      <c r="DJ504" s="211" t="inlineStr">
        <is>
          <t>订单表中未找到</t>
        </is>
      </c>
      <c r="DK504" t="inlineStr">
        <is>
          <t>—</t>
        </is>
      </c>
      <c r="DL504" t="inlineStr">
        <is>
          <t>—</t>
        </is>
      </c>
    </row>
    <row r="505" ht="15.75" customHeight="1" s="187">
      <c r="A505" s="84" t="n">
        <v>46012</v>
      </c>
      <c r="B505" s="206" t="inlineStr">
        <is>
          <t>已收货</t>
        </is>
      </c>
      <c r="C505" s="86" t="inlineStr">
        <is>
          <t>4959807519645068429</t>
        </is>
      </c>
      <c r="D505" s="86" t="inlineStr">
        <is>
          <t>章夏荷</t>
        </is>
      </c>
      <c r="E505" s="116" t="inlineStr">
        <is>
          <t>追加抽屉轨道38</t>
        </is>
      </c>
      <c r="F505" s="87" t="n"/>
      <c r="G505" s="87" t="inlineStr">
        <is>
          <t>床头柜</t>
        </is>
      </c>
      <c r="H505" s="207" t="inlineStr">
        <is>
          <t>床头柜</t>
        </is>
      </c>
      <c r="I505" s="89" t="n"/>
      <c r="J505" s="87" t="inlineStr">
        <is>
          <t>已结算</t>
        </is>
      </c>
      <c r="K505" s="86" t="inlineStr">
        <is>
          <t>江西</t>
        </is>
      </c>
      <c r="L505" s="207">
        <f>SUM(M505:AO505)</f>
        <v/>
      </c>
      <c r="M505" s="207">
        <f>700</f>
        <v/>
      </c>
      <c r="N505" s="207" t="n"/>
      <c r="O505" s="207" t="n"/>
      <c r="P505" s="207" t="n"/>
      <c r="Q505" s="207" t="n"/>
      <c r="R505" s="207" t="n"/>
      <c r="S505" s="207" t="n"/>
      <c r="T505" s="207" t="n"/>
      <c r="U505" s="207" t="n"/>
      <c r="V505" s="207" t="n"/>
      <c r="W505" s="207" t="n"/>
      <c r="X505" s="207">
        <f>19*2</f>
        <v/>
      </c>
      <c r="Y505" s="207" t="n"/>
      <c r="Z505" s="207" t="n"/>
      <c r="AA505" s="207" t="n"/>
      <c r="AB505" s="207" t="n"/>
      <c r="AC505" s="207" t="n"/>
      <c r="AD505" s="207" t="n"/>
      <c r="AE505" s="207" t="n"/>
      <c r="AF505" s="207" t="n"/>
      <c r="AG505" s="207" t="n"/>
      <c r="AH505" s="207" t="n"/>
      <c r="AI505" s="207" t="n"/>
      <c r="AJ505" s="207" t="n"/>
      <c r="AK505" s="207" t="n"/>
      <c r="AL505" s="207" t="n"/>
      <c r="AM505" s="207" t="n">
        <v>45</v>
      </c>
      <c r="AN505" s="207" t="n"/>
      <c r="AO505" s="207" t="n"/>
      <c r="AP505" s="207" t="n">
        <v>55</v>
      </c>
      <c r="AQ505" s="207" t="n">
        <v>0</v>
      </c>
      <c r="AR505" s="207" t="n">
        <v>0</v>
      </c>
      <c r="AS505" s="207" t="n">
        <v>0</v>
      </c>
      <c r="AT505" s="207" t="n">
        <v>0</v>
      </c>
      <c r="AU505" s="207" t="n">
        <v>0</v>
      </c>
      <c r="AV505" s="207" t="n">
        <v>0</v>
      </c>
      <c r="AW505" s="207" t="n">
        <v>0</v>
      </c>
      <c r="AX505" s="208" t="n">
        <v>1</v>
      </c>
      <c r="AY505" s="209">
        <f>L505*AX505+AP505+AQ505+AR505+AV505+AW505+AS505+AT505+AU505</f>
        <v/>
      </c>
      <c r="AZ505" s="207" t="n">
        <v>1058</v>
      </c>
      <c r="BA505" s="207" t="n">
        <v>0</v>
      </c>
      <c r="BB505" s="207">
        <f>AZ505*0.006</f>
        <v/>
      </c>
      <c r="BC505" s="209">
        <f>AZ505+BA505-BB505</f>
        <v/>
      </c>
      <c r="BD505" s="207" t="n">
        <v>0</v>
      </c>
      <c r="BE505" s="207" t="n">
        <v>0</v>
      </c>
      <c r="BF505" s="209">
        <f>BD505+BE505</f>
        <v/>
      </c>
      <c r="BG505" s="209">
        <f>BC505-AY505+BF505</f>
        <v/>
      </c>
      <c r="BH505" s="207" t="inlineStr">
        <is>
          <t>章夏荷</t>
        </is>
      </c>
      <c r="BI505" s="207" t="inlineStr">
        <is>
          <t>浙江省 杭州市 拱墅区 和睦街道伟星星瓒颂锦府11幢2104（放家门口不要放菜鸟驿站！！！！！）</t>
        </is>
      </c>
      <c r="BJ505" s="207" t="inlineStr">
        <is>
          <t>18413298804-2654</t>
        </is>
      </c>
      <c r="BK505" s="86" t="n"/>
      <c r="BL505" s="210" t="n"/>
      <c r="BM505" s="93" t="n"/>
      <c r="BN505" s="94" t="n"/>
      <c r="BO505" s="93" t="n"/>
      <c r="BP505" s="86" t="n"/>
      <c r="BQ505" s="96" t="n"/>
      <c r="BR505" s="96" t="n"/>
      <c r="BS505" s="97" t="n"/>
      <c r="BT505" s="96" t="n"/>
      <c r="BU505" s="97" t="n"/>
      <c r="BV505" s="96" t="n"/>
      <c r="BW505" s="97" t="n"/>
      <c r="BX505" s="97" t="n"/>
      <c r="BY505" s="97" t="n"/>
      <c r="BZ505" s="97" t="n"/>
      <c r="CH505" s="2" t="n"/>
      <c r="CI505" s="14" t="n"/>
      <c r="CJ505" s="25" t="n"/>
      <c r="CK505" s="25" t="n"/>
      <c r="CL505" s="25" t="n"/>
      <c r="CM505" s="25" t="n"/>
      <c r="CN505" s="25" t="n"/>
      <c r="CO505" s="25" t="n"/>
      <c r="CP505" s="25" t="n"/>
      <c r="CQ505" s="25" t="n"/>
      <c r="CR505" s="25" t="n"/>
      <c r="CS505" s="25" t="n"/>
      <c r="CT505" s="25" t="n"/>
      <c r="CU505" s="25" t="n"/>
      <c r="CV505" s="25" t="n"/>
      <c r="CW505" s="25" t="n"/>
      <c r="CX505" s="25" t="n"/>
      <c r="CY505" s="25" t="n"/>
      <c r="DC505" s="26" t="n"/>
      <c r="DD505" s="26" t="n"/>
      <c r="DE505" s="26" t="n"/>
      <c r="DF505" s="26" t="n"/>
      <c r="DG505" s="26" t="n"/>
      <c r="DH505" s="27" t="n"/>
      <c r="DJ505" s="211" t="inlineStr">
        <is>
          <t>订单表中未找到</t>
        </is>
      </c>
      <c r="DK505" t="inlineStr">
        <is>
          <t>—</t>
        </is>
      </c>
      <c r="DL505" t="inlineStr">
        <is>
          <t>—</t>
        </is>
      </c>
    </row>
    <row r="506" ht="15.75" customHeight="1" s="187">
      <c r="A506" s="84" t="n">
        <v>46012</v>
      </c>
      <c r="B506" s="206" t="inlineStr">
        <is>
          <t>已收货</t>
        </is>
      </c>
      <c r="C506" s="86" t="inlineStr">
        <is>
          <t>3136826319636553677</t>
        </is>
      </c>
      <c r="D506" s="86" t="inlineStr">
        <is>
          <t>刘岳</t>
        </is>
      </c>
      <c r="E506" s="87" t="n"/>
      <c r="F506" s="87" t="n"/>
      <c r="G506" s="87" t="inlineStr">
        <is>
          <t>1.4黑胡桃桌</t>
        </is>
      </c>
      <c r="H506" s="207" t="inlineStr">
        <is>
          <t>黑胡桃木餐桌</t>
        </is>
      </c>
      <c r="I506" s="89" t="inlineStr">
        <is>
          <t>140cm*85cm</t>
        </is>
      </c>
      <c r="J506" s="87" t="inlineStr">
        <is>
          <t>已结算</t>
        </is>
      </c>
      <c r="K506" s="86" t="inlineStr">
        <is>
          <t>江西</t>
        </is>
      </c>
      <c r="L506" s="207">
        <f>2250+240+2.5+190</f>
        <v/>
      </c>
      <c r="M506" s="207">
        <f>2250</f>
        <v/>
      </c>
      <c r="N506" s="207" t="n">
        <v>240</v>
      </c>
      <c r="O506" s="207" t="n">
        <v>2.5</v>
      </c>
      <c r="P506" s="207" t="n">
        <v>190</v>
      </c>
      <c r="Q506" s="207" t="n"/>
      <c r="R506" s="207" t="n"/>
      <c r="S506" s="207" t="n"/>
      <c r="T506" s="207" t="n"/>
      <c r="U506" s="207" t="n"/>
      <c r="V506" s="207" t="n"/>
      <c r="W506" s="207" t="n"/>
      <c r="X506" s="207" t="n"/>
      <c r="Y506" s="207" t="n"/>
      <c r="Z506" s="207" t="n"/>
      <c r="AA506" s="207" t="n"/>
      <c r="AB506" s="207" t="n"/>
      <c r="AC506" s="207" t="n"/>
      <c r="AD506" s="207" t="n"/>
      <c r="AE506" s="207" t="n"/>
      <c r="AF506" s="207" t="n"/>
      <c r="AG506" s="207" t="n"/>
      <c r="AH506" s="207" t="n"/>
      <c r="AI506" s="207" t="n"/>
      <c r="AJ506" s="207" t="n"/>
      <c r="AK506" s="207" t="n"/>
      <c r="AL506" s="207" t="n"/>
      <c r="AM506" s="207" t="n">
        <v>190</v>
      </c>
      <c r="AN506" s="207" t="n"/>
      <c r="AO506" s="207" t="n"/>
      <c r="AP506" s="207">
        <f>515-AQ506</f>
        <v/>
      </c>
      <c r="AQ506" s="207" t="n">
        <v>66</v>
      </c>
      <c r="AR506" s="207" t="n">
        <v>72</v>
      </c>
      <c r="AS506" s="207" t="n">
        <v>0</v>
      </c>
      <c r="AT506" s="207" t="n">
        <v>0</v>
      </c>
      <c r="AU506" s="207" t="n">
        <v>0</v>
      </c>
      <c r="AV506" s="207" t="n">
        <v>0</v>
      </c>
      <c r="AW506" s="207" t="n">
        <v>0</v>
      </c>
      <c r="AX506" s="208" t="n">
        <v>1</v>
      </c>
      <c r="AY506" s="209">
        <f>L506*AX506+AP506+AQ506+AR506+AV506+AW506+AS506+AT506+AU506</f>
        <v/>
      </c>
      <c r="AZ506" s="207" t="n">
        <v>3490.87</v>
      </c>
      <c r="BA506" s="207" t="n">
        <v>0</v>
      </c>
      <c r="BB506" s="207">
        <f>AZ506*0.006</f>
        <v/>
      </c>
      <c r="BC506" s="209">
        <f>AZ506+BA506-BB506</f>
        <v/>
      </c>
      <c r="BD506" s="207" t="n">
        <v>0</v>
      </c>
      <c r="BE506" s="207" t="n">
        <v>0</v>
      </c>
      <c r="BF506" s="209">
        <f>BD506+BE506</f>
        <v/>
      </c>
      <c r="BG506" s="209">
        <f>BC506-AY506+BF506</f>
        <v/>
      </c>
      <c r="BH506" s="207" t="inlineStr">
        <is>
          <t>刘岳</t>
        </is>
      </c>
      <c r="BI506" s="207" t="inlineStr">
        <is>
          <t>黑龙江省 哈尔滨市 南岗区 王岗镇 慧安街79号中海云麓公馆一期16号楼3单元1501</t>
        </is>
      </c>
      <c r="BJ506" s="207" t="inlineStr">
        <is>
          <t>18445743915-5799</t>
        </is>
      </c>
      <c r="BK506" s="86" t="n"/>
      <c r="BL506" s="210" t="n"/>
      <c r="BM506" s="93" t="n"/>
      <c r="BN506" s="94" t="n"/>
      <c r="BO506" s="93" t="n"/>
      <c r="BP506" s="86" t="n"/>
      <c r="BQ506" s="96" t="n"/>
      <c r="BR506" s="96" t="n"/>
      <c r="BS506" s="97" t="n"/>
      <c r="BT506" s="96" t="n"/>
      <c r="BU506" s="97" t="n"/>
      <c r="BV506" s="96" t="n"/>
      <c r="BW506" s="97" t="n"/>
      <c r="BX506" s="97" t="n"/>
      <c r="BY506" s="97" t="n"/>
      <c r="BZ506" s="97" t="n"/>
      <c r="CH506" s="2" t="n"/>
      <c r="CI506" s="14" t="n"/>
      <c r="CJ506" s="25" t="n"/>
      <c r="CK506" s="25" t="n"/>
      <c r="CL506" s="25" t="n"/>
      <c r="CM506" s="25" t="n"/>
      <c r="CN506" s="25" t="n"/>
      <c r="CO506" s="25" t="n"/>
      <c r="CP506" s="25" t="n"/>
      <c r="CQ506" s="25" t="n"/>
      <c r="CR506" s="25" t="n"/>
      <c r="CS506" s="25" t="n"/>
      <c r="CT506" s="25" t="n"/>
      <c r="CU506" s="25" t="n"/>
      <c r="CV506" s="25" t="n"/>
      <c r="CW506" s="25" t="n"/>
      <c r="CX506" s="25" t="n"/>
      <c r="CY506" s="25" t="n"/>
      <c r="DC506" s="26" t="n"/>
      <c r="DD506" s="26" t="n"/>
      <c r="DE506" s="26" t="n"/>
      <c r="DF506" s="26" t="n"/>
      <c r="DG506" s="26" t="n"/>
      <c r="DH506" s="27" t="n"/>
      <c r="DJ506" s="211" t="inlineStr">
        <is>
          <t>订单表中未找到</t>
        </is>
      </c>
      <c r="DK506" t="inlineStr">
        <is>
          <t>—</t>
        </is>
      </c>
      <c r="DL506" t="inlineStr">
        <is>
          <t>—</t>
        </is>
      </c>
    </row>
    <row r="507" ht="15.75" customHeight="1" s="187">
      <c r="A507" s="84" t="n">
        <v>46013</v>
      </c>
      <c r="B507" s="206" t="inlineStr">
        <is>
          <t>已收货</t>
        </is>
      </c>
      <c r="C507" s="86" t="inlineStr">
        <is>
          <t>4961243594720153845</t>
        </is>
      </c>
      <c r="D507" s="86" t="inlineStr">
        <is>
          <t>沈蘑菇</t>
        </is>
      </c>
      <c r="E507" s="87" t="n"/>
      <c r="F507" s="87" t="n"/>
      <c r="G507" s="207" t="inlineStr">
        <is>
          <t>窄柜-整柜洞石背板-1.0米</t>
        </is>
      </c>
      <c r="H507" s="207" t="inlineStr">
        <is>
          <t>樱桃木窄柜</t>
        </is>
      </c>
      <c r="I507" s="89" t="n">
        <v>1000</v>
      </c>
      <c r="J507" s="87" t="inlineStr">
        <is>
          <t>已结算</t>
        </is>
      </c>
      <c r="K507" s="86" t="inlineStr">
        <is>
          <t>江西</t>
        </is>
      </c>
      <c r="L507" s="207">
        <f>3300+115+190+1.16+3.37+1.1+180+359.08+52+3+160+54</f>
        <v/>
      </c>
      <c r="M507" s="207">
        <f>3300</f>
        <v/>
      </c>
      <c r="N507" s="207">
        <f>0.958*260+2*55</f>
        <v/>
      </c>
      <c r="O507" s="207" t="n">
        <v>120</v>
      </c>
      <c r="P507" s="207" t="n"/>
      <c r="Q507" s="207">
        <f>19*2</f>
        <v/>
      </c>
      <c r="R507" s="207" t="n">
        <v>190</v>
      </c>
      <c r="S507" s="207" t="n">
        <v>54</v>
      </c>
      <c r="T507" s="207" t="n">
        <v>52</v>
      </c>
      <c r="U507" s="207" t="n"/>
      <c r="V507" s="207" t="n">
        <v>5</v>
      </c>
      <c r="W507" s="207" t="n"/>
      <c r="X507" s="207" t="n"/>
      <c r="Y507" s="207" t="n"/>
      <c r="Z507" s="207" t="n"/>
      <c r="AA507" s="207" t="n">
        <v>2</v>
      </c>
      <c r="AB507" s="207" t="n">
        <v>1.1</v>
      </c>
      <c r="AC507" s="207" t="n">
        <v>3.5</v>
      </c>
      <c r="AD507" s="207" t="n"/>
      <c r="AE507" s="207" t="n"/>
      <c r="AF507" s="207" t="n"/>
      <c r="AG507" s="207" t="n"/>
      <c r="AH507" s="207" t="n"/>
      <c r="AI507" s="207" t="n"/>
      <c r="AJ507" s="207" t="n"/>
      <c r="AK507" s="207" t="n"/>
      <c r="AL507" s="207" t="n"/>
      <c r="AM507" s="207" t="n">
        <v>160</v>
      </c>
      <c r="AN507" s="207" t="n"/>
      <c r="AO507" s="207" t="n"/>
      <c r="AP507" s="121" t="n">
        <v>350</v>
      </c>
      <c r="AQ507" s="121" t="n">
        <v>30</v>
      </c>
      <c r="AR507" s="121" t="n">
        <v>100</v>
      </c>
      <c r="AS507" s="207" t="n">
        <v>0</v>
      </c>
      <c r="AT507" s="207" t="n">
        <v>0</v>
      </c>
      <c r="AU507" s="207" t="n">
        <v>0</v>
      </c>
      <c r="AV507" s="207" t="n">
        <v>0</v>
      </c>
      <c r="AW507" s="207" t="n">
        <v>0</v>
      </c>
      <c r="AX507" s="208" t="n">
        <v>1</v>
      </c>
      <c r="AY507" s="209">
        <f>L507*AX507+AP507+AQ507+AR507+AV507+AW507+AS507+AT507+AU507</f>
        <v/>
      </c>
      <c r="AZ507" s="207" t="n">
        <v>5285.7</v>
      </c>
      <c r="BA507" s="207" t="n">
        <v>0</v>
      </c>
      <c r="BB507" s="207">
        <f>AZ507*0.006</f>
        <v/>
      </c>
      <c r="BC507" s="209">
        <f>AZ507+BA507-BB507</f>
        <v/>
      </c>
      <c r="BD507" s="207" t="n">
        <v>0</v>
      </c>
      <c r="BE507" s="207" t="n">
        <v>0</v>
      </c>
      <c r="BF507" s="209">
        <f>BD507+BE507</f>
        <v/>
      </c>
      <c r="BG507" s="209">
        <f>BC507-AY507+BF507</f>
        <v/>
      </c>
      <c r="BH507" s="207" t="inlineStr">
        <is>
          <t>沈蘑菇</t>
        </is>
      </c>
      <c r="BI507" s="207" t="inlineStr">
        <is>
          <t>北京 北京市 东城区 北新桥街道东直门内北小街八号院一号楼一单元102</t>
        </is>
      </c>
      <c r="BJ507" s="207" t="inlineStr">
        <is>
          <t>18400943218-3031</t>
        </is>
      </c>
      <c r="BK507" s="86" t="n"/>
      <c r="BL507" s="210" t="n"/>
      <c r="BM507" s="93" t="n"/>
      <c r="BN507" s="94" t="n"/>
      <c r="BO507" s="93" t="n"/>
      <c r="BP507" s="86" t="n"/>
      <c r="BQ507" s="96" t="n"/>
      <c r="BR507" s="96" t="n"/>
      <c r="BS507" s="97" t="n"/>
      <c r="BT507" s="96" t="n"/>
      <c r="BU507" s="97" t="n"/>
      <c r="BV507" s="96" t="n"/>
      <c r="BW507" s="97" t="n"/>
      <c r="BX507" s="97" t="n"/>
      <c r="BY507" s="97" t="n"/>
      <c r="BZ507" s="97" t="n"/>
      <c r="CH507" s="2" t="n"/>
      <c r="CI507" s="14" t="n"/>
      <c r="CJ507" s="25" t="n"/>
      <c r="CK507" s="25" t="n"/>
      <c r="CL507" s="25" t="n"/>
      <c r="CM507" s="25" t="n"/>
      <c r="CN507" s="25" t="n"/>
      <c r="CO507" s="25" t="n"/>
      <c r="CP507" s="25" t="n"/>
      <c r="CQ507" s="25" t="n"/>
      <c r="CR507" s="25" t="n"/>
      <c r="CS507" s="25" t="n"/>
      <c r="CT507" s="25" t="n"/>
      <c r="CU507" s="25" t="n"/>
      <c r="CV507" s="25" t="n"/>
      <c r="CW507" s="25" t="n"/>
      <c r="CX507" s="25" t="n"/>
      <c r="CY507" s="25" t="n"/>
      <c r="DC507" s="26" t="n"/>
      <c r="DD507" s="26" t="n"/>
      <c r="DE507" s="26" t="n"/>
      <c r="DF507" s="26" t="n"/>
      <c r="DG507" s="26" t="n"/>
      <c r="DH507" s="27" t="n"/>
      <c r="DJ507" s="211" t="inlineStr">
        <is>
          <t>订单表中未找到</t>
        </is>
      </c>
      <c r="DK507" t="inlineStr">
        <is>
          <t>—</t>
        </is>
      </c>
      <c r="DL507" t="inlineStr">
        <is>
          <t>—</t>
        </is>
      </c>
    </row>
    <row r="508" ht="15.75" customHeight="1" s="187">
      <c r="A508" s="84" t="n">
        <v>46014</v>
      </c>
      <c r="B508" s="206" t="inlineStr">
        <is>
          <t>已收货</t>
        </is>
      </c>
      <c r="C508" s="86" t="inlineStr">
        <is>
          <t>4963154076916866211</t>
        </is>
      </c>
      <c r="D508" s="110" t="inlineStr">
        <is>
          <t>关利男</t>
        </is>
      </c>
      <c r="E508" s="87" t="n"/>
      <c r="F508" s="87" t="n"/>
      <c r="G508" s="207" t="inlineStr">
        <is>
          <t>样块</t>
        </is>
      </c>
      <c r="H508" s="207" t="inlineStr">
        <is>
          <t>样块</t>
        </is>
      </c>
      <c r="I508" s="89" t="n"/>
      <c r="J508" s="87" t="inlineStr">
        <is>
          <t>已结算</t>
        </is>
      </c>
      <c r="K508" s="87" t="inlineStr">
        <is>
          <t>杭州</t>
        </is>
      </c>
      <c r="L508" s="207">
        <f>SUM(M508:AO508)</f>
        <v/>
      </c>
      <c r="M508" s="207" t="n">
        <v>5</v>
      </c>
      <c r="N508" s="207" t="n"/>
      <c r="O508" s="207" t="n"/>
      <c r="P508" s="207" t="n"/>
      <c r="Q508" s="207" t="n"/>
      <c r="R508" s="207" t="n"/>
      <c r="S508" s="207" t="n"/>
      <c r="T508" s="207" t="n"/>
      <c r="U508" s="207" t="n"/>
      <c r="V508" s="207" t="n"/>
      <c r="W508" s="207" t="n"/>
      <c r="X508" s="207" t="n"/>
      <c r="Y508" s="207" t="n"/>
      <c r="Z508" s="207" t="n"/>
      <c r="AA508" s="207" t="n"/>
      <c r="AB508" s="207" t="n"/>
      <c r="AC508" s="207" t="n"/>
      <c r="AD508" s="207" t="n"/>
      <c r="AE508" s="207" t="n"/>
      <c r="AF508" s="207" t="n"/>
      <c r="AG508" s="207" t="n"/>
      <c r="AH508" s="207" t="n"/>
      <c r="AI508" s="207" t="n"/>
      <c r="AJ508" s="207" t="n"/>
      <c r="AK508" s="207" t="n"/>
      <c r="AL508" s="207" t="n"/>
      <c r="AM508" s="207" t="n">
        <v>2</v>
      </c>
      <c r="AN508" s="207" t="n"/>
      <c r="AO508" s="207" t="n"/>
      <c r="AP508" s="236" t="n">
        <v>5</v>
      </c>
      <c r="AQ508" s="207" t="n">
        <v>0</v>
      </c>
      <c r="AR508" s="207" t="n">
        <v>0</v>
      </c>
      <c r="AS508" s="207" t="n">
        <v>0</v>
      </c>
      <c r="AT508" s="207" t="n">
        <v>0</v>
      </c>
      <c r="AU508" s="207" t="n">
        <v>0</v>
      </c>
      <c r="AV508" s="207" t="n">
        <v>0</v>
      </c>
      <c r="AW508" s="207" t="n">
        <v>0</v>
      </c>
      <c r="AX508" s="208" t="n">
        <v>1</v>
      </c>
      <c r="AY508" s="209">
        <f>L508*AX508+AP508+AQ508+AR508+AV508+AW508+AS508+AT508+AU508</f>
        <v/>
      </c>
      <c r="AZ508" s="207" t="n">
        <v>22</v>
      </c>
      <c r="BA508" s="207" t="n">
        <v>0</v>
      </c>
      <c r="BB508" s="207">
        <f>AZ508*0.006</f>
        <v/>
      </c>
      <c r="BC508" s="209">
        <f>AZ508+BA508-BB508</f>
        <v/>
      </c>
      <c r="BD508" s="207" t="n">
        <v>0</v>
      </c>
      <c r="BE508" s="207" t="n">
        <v>0</v>
      </c>
      <c r="BF508" s="209">
        <f>BD508+BE508</f>
        <v/>
      </c>
      <c r="BG508" s="209">
        <f>BC508-AY508+BF508</f>
        <v/>
      </c>
      <c r="BH508" s="207" t="inlineStr">
        <is>
          <t>关利男</t>
        </is>
      </c>
      <c r="BI508" s="207" t="inlineStr">
        <is>
          <t>吉林省 吉林市 昌邑区 民主街道雾凇中路199号兰天国际商贸中心 5-17</t>
        </is>
      </c>
      <c r="BJ508" s="207" t="inlineStr">
        <is>
          <t>17896111647-3184</t>
        </is>
      </c>
      <c r="BK508" s="86" t="n"/>
      <c r="BL508" s="210" t="n"/>
      <c r="BM508" s="93" t="n"/>
      <c r="BN508" s="94" t="n"/>
      <c r="BO508" s="93" t="n"/>
      <c r="BP508" s="86" t="n"/>
      <c r="BQ508" s="96" t="n"/>
      <c r="BR508" s="96" t="n"/>
      <c r="BS508" s="97" t="n"/>
      <c r="BT508" s="96" t="n"/>
      <c r="BU508" s="97" t="n"/>
      <c r="BV508" s="96" t="n"/>
      <c r="BW508" s="97" t="n"/>
      <c r="BX508" s="97" t="n"/>
      <c r="BY508" s="97" t="n"/>
      <c r="BZ508" s="97" t="n"/>
      <c r="CH508" s="2" t="n"/>
      <c r="CI508" s="14" t="n"/>
      <c r="CJ508" s="25" t="n"/>
      <c r="CK508" s="25" t="n"/>
      <c r="CL508" s="25" t="n"/>
      <c r="CM508" s="25" t="n"/>
      <c r="CN508" s="25" t="n"/>
      <c r="CO508" s="25" t="n"/>
      <c r="CP508" s="25" t="n"/>
      <c r="CQ508" s="25" t="n"/>
      <c r="CR508" s="25" t="n"/>
      <c r="CS508" s="25" t="n"/>
      <c r="CT508" s="25" t="n"/>
      <c r="CU508" s="25" t="n"/>
      <c r="CV508" s="25" t="n"/>
      <c r="CW508" s="25" t="n"/>
      <c r="CX508" s="25" t="n"/>
      <c r="CY508" s="25" t="n"/>
      <c r="DC508" s="26" t="n"/>
      <c r="DD508" s="26" t="n"/>
      <c r="DE508" s="26" t="n"/>
      <c r="DF508" s="26" t="n"/>
      <c r="DG508" s="26" t="n"/>
      <c r="DH508" s="27" t="n"/>
      <c r="DJ508" s="211" t="inlineStr">
        <is>
          <t>订单表中未找到</t>
        </is>
      </c>
      <c r="DK508" t="inlineStr">
        <is>
          <t>—</t>
        </is>
      </c>
      <c r="DL508" t="inlineStr">
        <is>
          <t>—</t>
        </is>
      </c>
    </row>
    <row r="509" ht="15.75" customHeight="1" s="187">
      <c r="A509" s="84" t="n">
        <v>46014</v>
      </c>
      <c r="B509" s="206" t="inlineStr">
        <is>
          <t>已收货</t>
        </is>
      </c>
      <c r="C509" s="86" t="inlineStr">
        <is>
          <t>4964338586285215505</t>
        </is>
      </c>
      <c r="D509" s="86" t="inlineStr">
        <is>
          <t>刘</t>
        </is>
      </c>
      <c r="E509" s="87" t="n"/>
      <c r="F509" s="87" t="n"/>
      <c r="G509" s="87" t="inlineStr">
        <is>
          <t>原木色1.8米餐桌</t>
        </is>
      </c>
      <c r="H509" s="207" t="inlineStr">
        <is>
          <t>榉木餐桌</t>
        </is>
      </c>
      <c r="I509" s="89" t="inlineStr">
        <is>
          <t>180cm*85cm</t>
        </is>
      </c>
      <c r="J509" s="87" t="inlineStr">
        <is>
          <t>已结算</t>
        </is>
      </c>
      <c r="K509" s="86" t="inlineStr">
        <is>
          <t>江西</t>
        </is>
      </c>
      <c r="L509" s="207">
        <f>SUM(M509:AO509)</f>
        <v/>
      </c>
      <c r="M509" s="207">
        <f>1900</f>
        <v/>
      </c>
      <c r="N509" s="207" t="n"/>
      <c r="O509" s="207" t="n"/>
      <c r="P509" s="207" t="n"/>
      <c r="Q509" s="207" t="n"/>
      <c r="R509" s="207" t="n"/>
      <c r="S509" s="207" t="n"/>
      <c r="T509" s="207" t="n"/>
      <c r="U509" s="207" t="n"/>
      <c r="V509" s="207" t="n"/>
      <c r="W509" s="207" t="n"/>
      <c r="X509" s="207" t="n"/>
      <c r="Y509" s="207" t="n"/>
      <c r="Z509" s="207" t="n"/>
      <c r="AA509" s="207" t="n"/>
      <c r="AB509" s="207" t="n"/>
      <c r="AC509" s="207" t="n"/>
      <c r="AD509" s="207" t="n"/>
      <c r="AE509" s="207" t="n"/>
      <c r="AF509" s="207" t="n"/>
      <c r="AG509" s="207" t="n"/>
      <c r="AH509" s="207" t="n"/>
      <c r="AI509" s="207" t="n"/>
      <c r="AJ509" s="207" t="n"/>
      <c r="AK509" s="207" t="n"/>
      <c r="AL509" s="207" t="n"/>
      <c r="AM509" s="207" t="n">
        <v>140</v>
      </c>
      <c r="AN509" s="207" t="n"/>
      <c r="AO509" s="207" t="n"/>
      <c r="AP509" s="207">
        <f>134-AQ509</f>
        <v/>
      </c>
      <c r="AQ509" s="207" t="n">
        <v>30</v>
      </c>
      <c r="AR509" s="207" t="n">
        <v>68</v>
      </c>
      <c r="AS509" s="207" t="n">
        <v>0</v>
      </c>
      <c r="AT509" s="207" t="n">
        <v>0</v>
      </c>
      <c r="AU509" s="207" t="n">
        <v>0</v>
      </c>
      <c r="AV509" s="207" t="n">
        <v>0</v>
      </c>
      <c r="AW509" s="207" t="n">
        <v>0</v>
      </c>
      <c r="AX509" s="208" t="n">
        <v>1</v>
      </c>
      <c r="AY509" s="209">
        <f>L509*AX509+AP509+AQ509+AR509+AV509+AW509+AS509+AT509+AU509</f>
        <v/>
      </c>
      <c r="AZ509" s="207" t="n">
        <v>2988.04</v>
      </c>
      <c r="BA509" s="207" t="n">
        <v>0</v>
      </c>
      <c r="BB509" s="207">
        <f>AZ509*0.006</f>
        <v/>
      </c>
      <c r="BC509" s="209">
        <f>AZ509+BA509-BB509</f>
        <v/>
      </c>
      <c r="BD509" s="207" t="n">
        <v>0</v>
      </c>
      <c r="BE509" s="207" t="n">
        <v>0</v>
      </c>
      <c r="BF509" s="209">
        <f>BD509+BE509</f>
        <v/>
      </c>
      <c r="BG509" s="209">
        <f>BC509-AY509+BF509</f>
        <v/>
      </c>
      <c r="BH509" s="207" t="inlineStr">
        <is>
          <t>刘</t>
        </is>
      </c>
      <c r="BI509" s="207" t="inlineStr">
        <is>
          <t>湖北省 荆门市 东宝区 龙泉街道城控桃花源X2栋一单元802</t>
        </is>
      </c>
      <c r="BJ509" s="207" t="inlineStr">
        <is>
          <t>18425149227-1227</t>
        </is>
      </c>
      <c r="BK509" s="86" t="n"/>
      <c r="BL509" s="210" t="n"/>
      <c r="BM509" s="93" t="n"/>
      <c r="BN509" s="94" t="n"/>
      <c r="BO509" s="93" t="n"/>
      <c r="BP509" s="86" t="n"/>
      <c r="BQ509" s="96" t="n"/>
      <c r="BR509" s="96" t="n"/>
      <c r="BS509" s="97" t="n"/>
      <c r="BT509" s="96" t="n"/>
      <c r="BU509" s="97" t="n"/>
      <c r="BV509" s="96" t="n"/>
      <c r="BW509" s="97" t="n"/>
      <c r="BX509" s="97" t="n"/>
      <c r="BY509" s="97" t="n"/>
      <c r="BZ509" s="97" t="n"/>
      <c r="CH509" s="2" t="n"/>
      <c r="CI509" s="14" t="n"/>
      <c r="CJ509" s="25" t="n"/>
      <c r="CK509" s="25" t="n"/>
      <c r="CL509" s="25" t="n"/>
      <c r="CM509" s="25" t="n"/>
      <c r="CN509" s="25" t="n"/>
      <c r="CO509" s="25" t="n"/>
      <c r="CP509" s="25" t="n"/>
      <c r="CQ509" s="25" t="n"/>
      <c r="CR509" s="25" t="n"/>
      <c r="CS509" s="25" t="n"/>
      <c r="CT509" s="25" t="n"/>
      <c r="CU509" s="25" t="n"/>
      <c r="CV509" s="25" t="n"/>
      <c r="CW509" s="25" t="n"/>
      <c r="CX509" s="25" t="n"/>
      <c r="CY509" s="25" t="n"/>
      <c r="DC509" s="26" t="n"/>
      <c r="DD509" s="26" t="n"/>
      <c r="DE509" s="26" t="n"/>
      <c r="DF509" s="26" t="n"/>
      <c r="DG509" s="26" t="n"/>
      <c r="DH509" s="27" t="n"/>
      <c r="DJ509" s="211" t="inlineStr">
        <is>
          <t>订单表中未找到</t>
        </is>
      </c>
      <c r="DK509" t="inlineStr">
        <is>
          <t>—</t>
        </is>
      </c>
      <c r="DL509" t="inlineStr">
        <is>
          <t>—</t>
        </is>
      </c>
    </row>
    <row r="510" ht="15.75" customHeight="1" s="187">
      <c r="A510" s="84" t="n">
        <v>46014</v>
      </c>
      <c r="B510" s="206" t="inlineStr">
        <is>
          <t>已收货</t>
        </is>
      </c>
      <c r="C510" s="86" t="inlineStr">
        <is>
          <t>4964348379801215505</t>
        </is>
      </c>
      <c r="D510" s="86" t="inlineStr">
        <is>
          <t>刘</t>
        </is>
      </c>
      <c r="E510" s="87" t="n"/>
      <c r="F510" s="87" t="n"/>
      <c r="G510" s="207" t="inlineStr">
        <is>
          <t>补差价</t>
        </is>
      </c>
      <c r="H510" s="207" t="inlineStr">
        <is>
          <t>榉木餐桌</t>
        </is>
      </c>
      <c r="I510" s="89" t="n"/>
      <c r="J510" s="87" t="inlineStr">
        <is>
          <t>已结算</t>
        </is>
      </c>
      <c r="K510" s="86" t="inlineStr">
        <is>
          <t>江西</t>
        </is>
      </c>
      <c r="L510" s="207" t="n">
        <v>0</v>
      </c>
      <c r="M510" s="207" t="n">
        <v>0</v>
      </c>
      <c r="N510" s="207" t="n"/>
      <c r="O510" s="207" t="n"/>
      <c r="P510" s="207" t="n"/>
      <c r="Q510" s="207" t="n"/>
      <c r="R510" s="207" t="n"/>
      <c r="S510" s="207" t="n"/>
      <c r="T510" s="207" t="n"/>
      <c r="U510" s="207" t="n"/>
      <c r="V510" s="207" t="n"/>
      <c r="W510" s="207" t="n"/>
      <c r="X510" s="207" t="n"/>
      <c r="Y510" s="207" t="n"/>
      <c r="Z510" s="207" t="n"/>
      <c r="AA510" s="207" t="n"/>
      <c r="AB510" s="207" t="n"/>
      <c r="AC510" s="207" t="n"/>
      <c r="AD510" s="207" t="n"/>
      <c r="AE510" s="207" t="n"/>
      <c r="AF510" s="207" t="n"/>
      <c r="AG510" s="207" t="n"/>
      <c r="AH510" s="207" t="n"/>
      <c r="AI510" s="207" t="n"/>
      <c r="AJ510" s="207" t="n"/>
      <c r="AK510" s="207" t="n"/>
      <c r="AL510" s="207" t="n"/>
      <c r="AM510" s="207" t="n"/>
      <c r="AN510" s="207" t="n"/>
      <c r="AO510" s="207" t="n"/>
      <c r="AP510" s="207" t="n">
        <v>0</v>
      </c>
      <c r="AQ510" s="207" t="n">
        <v>0</v>
      </c>
      <c r="AR510" s="207" t="n">
        <v>0</v>
      </c>
      <c r="AS510" s="207" t="n">
        <v>0</v>
      </c>
      <c r="AT510" s="207" t="n">
        <v>0</v>
      </c>
      <c r="AU510" s="207" t="n">
        <v>0</v>
      </c>
      <c r="AV510" s="207" t="n">
        <v>0</v>
      </c>
      <c r="AW510" s="207" t="n">
        <v>0</v>
      </c>
      <c r="AX510" s="208" t="n">
        <v>1</v>
      </c>
      <c r="AY510" s="209">
        <f>L510*AX510+AP510+AQ510+AR510+AV510+AW510+AS510+AT510+AU510</f>
        <v/>
      </c>
      <c r="AZ510" s="207" t="n">
        <v>354</v>
      </c>
      <c r="BA510" s="207" t="n">
        <v>0</v>
      </c>
      <c r="BB510" s="207">
        <f>AZ510*0.006</f>
        <v/>
      </c>
      <c r="BC510" s="209">
        <f>AZ510+BA510-BB510</f>
        <v/>
      </c>
      <c r="BD510" s="207" t="n">
        <v>0</v>
      </c>
      <c r="BE510" s="207" t="n">
        <v>0</v>
      </c>
      <c r="BF510" s="209">
        <f>BD510+BE510</f>
        <v/>
      </c>
      <c r="BG510" s="209">
        <f>BC510-AY510+BF510</f>
        <v/>
      </c>
      <c r="BH510" s="207" t="inlineStr">
        <is>
          <t>刘</t>
        </is>
      </c>
      <c r="BI510" s="207" t="inlineStr">
        <is>
          <t>湖北省 荆门市 东宝区 龙泉街道城控桃花源X2栋一单元802</t>
        </is>
      </c>
      <c r="BJ510" s="207" t="inlineStr">
        <is>
          <t>18425149227-1227</t>
        </is>
      </c>
      <c r="BK510" s="86" t="n"/>
      <c r="BL510" s="210" t="n"/>
      <c r="BM510" s="93" t="n"/>
      <c r="BN510" s="94" t="n"/>
      <c r="BO510" s="93" t="n"/>
      <c r="BP510" s="86" t="n"/>
      <c r="BQ510" s="96" t="n"/>
      <c r="BR510" s="96" t="n"/>
      <c r="BS510" s="97" t="n"/>
      <c r="BT510" s="96" t="n"/>
      <c r="BU510" s="97" t="n"/>
      <c r="BV510" s="96" t="n"/>
      <c r="BW510" s="97" t="n"/>
      <c r="BX510" s="97" t="n"/>
      <c r="BY510" s="97" t="n"/>
      <c r="BZ510" s="97" t="n"/>
      <c r="CH510" s="2" t="n"/>
      <c r="CI510" s="14" t="n"/>
      <c r="CJ510" s="25" t="n"/>
      <c r="CK510" s="25" t="n"/>
      <c r="CL510" s="25" t="n"/>
      <c r="CM510" s="25" t="n"/>
      <c r="CN510" s="25" t="n"/>
      <c r="CO510" s="25" t="n"/>
      <c r="CP510" s="25" t="n"/>
      <c r="CQ510" s="25" t="n"/>
      <c r="CR510" s="25" t="n"/>
      <c r="CS510" s="25" t="n"/>
      <c r="CT510" s="25" t="n"/>
      <c r="CU510" s="25" t="n"/>
      <c r="CV510" s="25" t="n"/>
      <c r="CW510" s="25" t="n"/>
      <c r="CX510" s="25" t="n"/>
      <c r="CY510" s="25" t="n"/>
      <c r="DC510" s="26" t="n"/>
      <c r="DD510" s="26" t="n"/>
      <c r="DE510" s="26" t="n"/>
      <c r="DF510" s="26" t="n"/>
      <c r="DG510" s="26" t="n"/>
      <c r="DH510" s="27" t="n"/>
      <c r="DJ510" s="211" t="inlineStr">
        <is>
          <t>订单表中未找到</t>
        </is>
      </c>
      <c r="DK510" t="inlineStr">
        <is>
          <t>—</t>
        </is>
      </c>
      <c r="DL510" t="inlineStr">
        <is>
          <t>—</t>
        </is>
      </c>
    </row>
    <row r="511" ht="15.75" customHeight="1" s="187">
      <c r="A511" s="84" t="n">
        <v>46014</v>
      </c>
      <c r="B511" s="206" t="inlineStr">
        <is>
          <t>已收货</t>
        </is>
      </c>
      <c r="C511" s="86" t="inlineStr">
        <is>
          <t>4964669065069438449</t>
        </is>
      </c>
      <c r="D511" s="110" t="inlineStr">
        <is>
          <t>何玥</t>
        </is>
      </c>
      <c r="E511" s="87" t="n"/>
      <c r="F511" s="87" t="n"/>
      <c r="G511" s="207" t="inlineStr">
        <is>
          <t>窄柜-整柜洞石背板-1.0米</t>
        </is>
      </c>
      <c r="H511" s="207" t="inlineStr">
        <is>
          <t>樱桃木窄柜</t>
        </is>
      </c>
      <c r="I511" s="89" t="n">
        <v>1000</v>
      </c>
      <c r="J511" s="87" t="inlineStr">
        <is>
          <t>已结算</t>
        </is>
      </c>
      <c r="K511" s="86" t="inlineStr">
        <is>
          <t>江西</t>
        </is>
      </c>
      <c r="L511" s="207">
        <f>3300+115+180+1.16+3.37+1.1+1.03+76/2+5+359.08+52+3+170+54</f>
        <v/>
      </c>
      <c r="M511" s="207">
        <f>3300</f>
        <v/>
      </c>
      <c r="N511" s="207">
        <f>0.958*260+2*55</f>
        <v/>
      </c>
      <c r="O511" s="207" t="n">
        <v>120</v>
      </c>
      <c r="P511" s="207" t="n"/>
      <c r="Q511" s="207">
        <f>19*2</f>
        <v/>
      </c>
      <c r="R511" s="207" t="n">
        <v>180</v>
      </c>
      <c r="S511" s="207" t="n">
        <v>54</v>
      </c>
      <c r="T511" s="207" t="n">
        <v>52</v>
      </c>
      <c r="U511" s="207" t="n"/>
      <c r="V511" s="207" t="n">
        <v>5</v>
      </c>
      <c r="W511" s="207" t="n"/>
      <c r="X511" s="207" t="n"/>
      <c r="Y511" s="207" t="n"/>
      <c r="Z511" s="207" t="n"/>
      <c r="AA511" s="207" t="n">
        <v>2</v>
      </c>
      <c r="AB511" s="207" t="n">
        <v>1.1</v>
      </c>
      <c r="AC511" s="207" t="n">
        <v>3.5</v>
      </c>
      <c r="AD511" s="207" t="n"/>
      <c r="AE511" s="207" t="n"/>
      <c r="AF511" s="207" t="n"/>
      <c r="AG511" s="207" t="n"/>
      <c r="AH511" s="207" t="n"/>
      <c r="AI511" s="207" t="n"/>
      <c r="AJ511" s="207" t="n"/>
      <c r="AK511" s="207" t="n"/>
      <c r="AL511" s="207" t="n"/>
      <c r="AM511" s="207" t="n">
        <v>170</v>
      </c>
      <c r="AN511" s="207" t="n"/>
      <c r="AO511" s="207" t="n"/>
      <c r="AP511" s="207" t="n"/>
      <c r="AQ511" s="121" t="n"/>
      <c r="AR511" s="121" t="n"/>
      <c r="AS511" s="207" t="n">
        <v>0</v>
      </c>
      <c r="AT511" s="207" t="n">
        <v>0</v>
      </c>
      <c r="AU511" s="207" t="n">
        <v>0</v>
      </c>
      <c r="AV511" s="207" t="n">
        <v>0</v>
      </c>
      <c r="AW511" s="207" t="n">
        <v>0</v>
      </c>
      <c r="AX511" s="208" t="n">
        <v>1</v>
      </c>
      <c r="AY511" s="209">
        <f>L511*AX511+AP511+AQ511+AR511+AV511+AW511+AS511+AT511+AU511</f>
        <v/>
      </c>
      <c r="AZ511" s="207" t="n">
        <v>5285.7</v>
      </c>
      <c r="BA511" s="207" t="n">
        <v>0</v>
      </c>
      <c r="BB511" s="207">
        <f>AZ511*0.006</f>
        <v/>
      </c>
      <c r="BC511" s="209">
        <f>AZ511+BA511-BB511</f>
        <v/>
      </c>
      <c r="BD511" s="207" t="n">
        <v>0</v>
      </c>
      <c r="BE511" s="207" t="n">
        <v>0</v>
      </c>
      <c r="BF511" s="209">
        <f>BD511+BE511</f>
        <v/>
      </c>
      <c r="BG511" s="209">
        <f>BC511-AY511+BF511</f>
        <v/>
      </c>
      <c r="BH511" s="207" t="inlineStr">
        <is>
          <t>何玥</t>
        </is>
      </c>
      <c r="BI511" s="207" t="inlineStr">
        <is>
          <t>北京北京市 朝阳区 平房乡天鹅湾北区6号楼2单元508</t>
        </is>
      </c>
      <c r="BJ511" s="207" t="inlineStr">
        <is>
          <t>18400824446-9383</t>
        </is>
      </c>
      <c r="BK511" s="86" t="n"/>
      <c r="BL511" s="210" t="n"/>
      <c r="BM511" s="93" t="n"/>
      <c r="BN511" s="94" t="n"/>
      <c r="BO511" s="93" t="n"/>
      <c r="BP511" s="86" t="n"/>
      <c r="BQ511" s="96" t="n"/>
      <c r="BR511" s="96" t="n"/>
      <c r="BS511" s="97" t="n"/>
      <c r="BT511" s="96" t="n"/>
      <c r="BU511" s="97" t="n"/>
      <c r="BV511" s="96" t="n"/>
      <c r="BW511" s="97" t="n"/>
      <c r="BX511" s="97" t="n"/>
      <c r="BY511" s="97" t="n"/>
      <c r="BZ511" s="97" t="n"/>
      <c r="CH511" s="2" t="n"/>
      <c r="CI511" s="14" t="n"/>
      <c r="CJ511" s="25" t="n"/>
      <c r="CK511" s="25" t="n"/>
      <c r="CL511" s="25" t="n"/>
      <c r="CM511" s="25" t="n"/>
      <c r="CN511" s="25" t="n"/>
      <c r="CO511" s="25" t="n"/>
      <c r="CP511" s="25" t="n"/>
      <c r="CQ511" s="25" t="n"/>
      <c r="CR511" s="25" t="n"/>
      <c r="CS511" s="25" t="n"/>
      <c r="CT511" s="25" t="n"/>
      <c r="CU511" s="25" t="n"/>
      <c r="CV511" s="25" t="n"/>
      <c r="CW511" s="25" t="n"/>
      <c r="CX511" s="25" t="n"/>
      <c r="CY511" s="25" t="n"/>
      <c r="DC511" s="26" t="n"/>
      <c r="DD511" s="26" t="n"/>
      <c r="DE511" s="26" t="n"/>
      <c r="DF511" s="26" t="n"/>
      <c r="DG511" s="26" t="n"/>
      <c r="DH511" s="27" t="n"/>
      <c r="DJ511" s="211" t="inlineStr">
        <is>
          <t>订单表中未找到</t>
        </is>
      </c>
      <c r="DK511" t="inlineStr">
        <is>
          <t>—</t>
        </is>
      </c>
      <c r="DL511" t="inlineStr">
        <is>
          <t>—</t>
        </is>
      </c>
    </row>
    <row r="512" ht="15.75" customHeight="1" s="187">
      <c r="A512" s="84" t="n">
        <v>46015</v>
      </c>
      <c r="B512" s="206" t="inlineStr">
        <is>
          <t>已收货</t>
        </is>
      </c>
      <c r="C512" s="86" t="inlineStr">
        <is>
          <t>3141867432329505999</t>
        </is>
      </c>
      <c r="D512" s="86" t="inlineStr">
        <is>
          <t>张</t>
        </is>
      </c>
      <c r="E512" s="87" t="n"/>
      <c r="F512" s="87" t="n"/>
      <c r="G512" s="207" t="inlineStr">
        <is>
          <t>组合柜+2.1洞洞板基础柜</t>
        </is>
      </c>
      <c r="H512" s="207" t="inlineStr">
        <is>
          <t>组合柜</t>
        </is>
      </c>
      <c r="I512" s="89" t="n"/>
      <c r="J512" s="87" t="inlineStr">
        <is>
          <t>已结算</t>
        </is>
      </c>
      <c r="K512" s="86" t="inlineStr">
        <is>
          <t>江西</t>
        </is>
      </c>
      <c r="L512" s="207" t="n">
        <v>0</v>
      </c>
      <c r="M512" s="207" t="n">
        <v>0</v>
      </c>
      <c r="N512" s="207" t="n"/>
      <c r="O512" s="207" t="n"/>
      <c r="P512" s="207" t="n"/>
      <c r="Q512" s="207" t="n"/>
      <c r="R512" s="207" t="n"/>
      <c r="S512" s="207" t="n"/>
      <c r="T512" s="207" t="n"/>
      <c r="U512" s="207" t="n"/>
      <c r="V512" s="207" t="n"/>
      <c r="W512" s="207" t="n"/>
      <c r="X512" s="207" t="n"/>
      <c r="Y512" s="207" t="n"/>
      <c r="Z512" s="207" t="n"/>
      <c r="AA512" s="207" t="n"/>
      <c r="AB512" s="207" t="n"/>
      <c r="AC512" s="207" t="n"/>
      <c r="AD512" s="207" t="n"/>
      <c r="AE512" s="207" t="n"/>
      <c r="AF512" s="207" t="n"/>
      <c r="AG512" s="207" t="n"/>
      <c r="AH512" s="207" t="n"/>
      <c r="AI512" s="207" t="n"/>
      <c r="AJ512" s="207" t="n"/>
      <c r="AK512" s="207" t="n"/>
      <c r="AL512" s="207" t="n"/>
      <c r="AM512" s="207" t="n"/>
      <c r="AN512" s="207" t="n"/>
      <c r="AO512" s="207" t="n"/>
      <c r="AP512" s="207" t="n"/>
      <c r="AQ512" s="121" t="n"/>
      <c r="AR512" s="121" t="n"/>
      <c r="AS512" s="207" t="n">
        <v>0</v>
      </c>
      <c r="AT512" s="207" t="n">
        <v>0</v>
      </c>
      <c r="AU512" s="207" t="n">
        <v>0</v>
      </c>
      <c r="AV512" s="207" t="n">
        <v>0</v>
      </c>
      <c r="AW512" s="207" t="n">
        <v>0</v>
      </c>
      <c r="AX512" s="208" t="n">
        <v>1</v>
      </c>
      <c r="AY512" s="209">
        <f>L512*AX512+AP512+AQ512+AR512+AV512+AW512+AS512+AT512+AU512</f>
        <v/>
      </c>
      <c r="AZ512" s="207" t="n">
        <v>135</v>
      </c>
      <c r="BA512" s="207" t="n">
        <v>0</v>
      </c>
      <c r="BB512" s="207">
        <f>AZ512*0.006</f>
        <v/>
      </c>
      <c r="BC512" s="209">
        <f>AZ512+BA512-BB512</f>
        <v/>
      </c>
      <c r="BD512" s="207" t="n">
        <v>0</v>
      </c>
      <c r="BE512" s="207" t="n">
        <v>0</v>
      </c>
      <c r="BF512" s="209">
        <f>BD512+BE512</f>
        <v/>
      </c>
      <c r="BG512" s="209">
        <f>BC512-AY512+BF512</f>
        <v/>
      </c>
      <c r="BH512" s="207" t="inlineStr">
        <is>
          <t>张</t>
        </is>
      </c>
      <c r="BI512" s="207" t="inlineStr">
        <is>
          <t>重庆重庆市 渝北区 龙山街道诚投天邻风景10号楼</t>
        </is>
      </c>
      <c r="BJ512" s="207" t="inlineStr">
        <is>
          <t>18426538418-7851</t>
        </is>
      </c>
      <c r="BK512" s="86" t="n"/>
      <c r="BL512" s="210" t="n"/>
      <c r="BM512" s="93" t="n"/>
      <c r="BN512" s="94" t="n"/>
      <c r="BO512" s="93" t="n"/>
      <c r="BP512" s="86" t="n"/>
      <c r="BQ512" s="96" t="n"/>
      <c r="BR512" s="96" t="n"/>
      <c r="BS512" s="97" t="n"/>
      <c r="BT512" s="96" t="n"/>
      <c r="BU512" s="97" t="n"/>
      <c r="BV512" s="96" t="n"/>
      <c r="BW512" s="97" t="n"/>
      <c r="BX512" s="97" t="n"/>
      <c r="BY512" s="97" t="n"/>
      <c r="BZ512" s="97" t="n"/>
      <c r="CH512" s="2" t="n"/>
      <c r="CI512" s="14" t="n"/>
      <c r="CJ512" s="25" t="n"/>
      <c r="CK512" s="25" t="n"/>
      <c r="CL512" s="25" t="n"/>
      <c r="CM512" s="25" t="n"/>
      <c r="CN512" s="25" t="n"/>
      <c r="CO512" s="25" t="n"/>
      <c r="CP512" s="25" t="n"/>
      <c r="CQ512" s="25" t="n"/>
      <c r="CR512" s="25" t="n"/>
      <c r="CS512" s="25" t="n"/>
      <c r="CT512" s="25" t="n"/>
      <c r="CU512" s="25" t="n"/>
      <c r="CV512" s="25" t="n"/>
      <c r="CW512" s="25" t="n"/>
      <c r="CX512" s="25" t="n"/>
      <c r="CY512" s="25" t="n"/>
      <c r="DC512" s="26" t="n"/>
      <c r="DD512" s="26" t="n"/>
      <c r="DE512" s="26" t="n"/>
      <c r="DF512" s="26" t="n"/>
      <c r="DG512" s="26" t="n"/>
      <c r="DH512" s="27" t="n"/>
      <c r="DJ512" s="211" t="inlineStr">
        <is>
          <t>订单表中未找到</t>
        </is>
      </c>
      <c r="DK512" t="inlineStr">
        <is>
          <t>—</t>
        </is>
      </c>
      <c r="DL512" t="inlineStr">
        <is>
          <t>—</t>
        </is>
      </c>
    </row>
    <row r="513" ht="15.75" customHeight="1" s="187">
      <c r="A513" s="84" t="n">
        <v>46015</v>
      </c>
      <c r="B513" s="206" t="inlineStr">
        <is>
          <t>已收货</t>
        </is>
      </c>
      <c r="C513" s="86" t="inlineStr">
        <is>
          <t>3141444291511505999</t>
        </is>
      </c>
      <c r="D513" s="86" t="inlineStr">
        <is>
          <t>张</t>
        </is>
      </c>
      <c r="E513" s="87" t="n"/>
      <c r="F513" s="87" t="n"/>
      <c r="G513" s="207" t="n"/>
      <c r="H513" s="207" t="inlineStr">
        <is>
          <t>组合柜</t>
        </is>
      </c>
      <c r="I513" s="89" t="n"/>
      <c r="J513" s="87" t="inlineStr">
        <is>
          <t>已结算</t>
        </is>
      </c>
      <c r="K513" s="86" t="inlineStr">
        <is>
          <t>江西</t>
        </is>
      </c>
      <c r="L513" s="207">
        <f>3330+28+22*2+5400+320+655+350+22+10+30.5+2.5+20.5+25+10+230+22*4+470+230+28+52+620</f>
        <v/>
      </c>
      <c r="M513" s="207">
        <f>3330</f>
        <v/>
      </c>
      <c r="N513" s="207" t="n">
        <v>28</v>
      </c>
      <c r="O513" s="207" t="inlineStr">
        <is>
          <t>22*2</t>
        </is>
      </c>
      <c r="P513" s="207" t="n">
        <v>5400</v>
      </c>
      <c r="Q513" s="207" t="n"/>
      <c r="R513" s="207" t="n">
        <v>320</v>
      </c>
      <c r="S513" s="207" t="n">
        <v>655</v>
      </c>
      <c r="T513" s="207" t="n">
        <v>350</v>
      </c>
      <c r="U513" s="207" t="n"/>
      <c r="V513" s="207" t="n"/>
      <c r="W513" s="207" t="n">
        <v>22</v>
      </c>
      <c r="X513" s="207" t="n">
        <v>10</v>
      </c>
      <c r="Y513" s="207" t="n">
        <v>30.5</v>
      </c>
      <c r="Z513" s="207" t="n"/>
      <c r="AA513" s="207" t="n"/>
      <c r="AB513" s="207" t="n"/>
      <c r="AC513" s="207" t="n">
        <v>230</v>
      </c>
      <c r="AD513" s="207" t="n">
        <v>20.5</v>
      </c>
      <c r="AE513" s="207" t="n">
        <v>2.5</v>
      </c>
      <c r="AF513" s="207" t="n">
        <v>25</v>
      </c>
      <c r="AG513" s="207" t="n"/>
      <c r="AH513" s="207" t="n"/>
      <c r="AI513" s="207" t="n"/>
      <c r="AJ513" s="207" t="n">
        <v>10</v>
      </c>
      <c r="AK513" s="207" t="n"/>
      <c r="AL513" s="207" t="n"/>
      <c r="AM513" s="207" t="inlineStr">
        <is>
          <t>22*4</t>
        </is>
      </c>
      <c r="AN513" s="207" t="n">
        <v>470</v>
      </c>
      <c r="AO513" s="207" t="n">
        <v>230</v>
      </c>
      <c r="AP513" s="207" t="n">
        <v>28</v>
      </c>
      <c r="AQ513" s="121" t="n">
        <v>52</v>
      </c>
      <c r="AR513" s="121" t="n">
        <v>620</v>
      </c>
      <c r="AS513" s="207" t="n">
        <v>0</v>
      </c>
      <c r="AT513" s="207" t="n">
        <v>0</v>
      </c>
      <c r="AU513" s="207" t="n">
        <v>0</v>
      </c>
      <c r="AV513" s="207" t="n">
        <v>0</v>
      </c>
      <c r="AW513" s="207" t="n">
        <v>0</v>
      </c>
      <c r="AX513" s="208" t="n">
        <v>1</v>
      </c>
      <c r="AY513" s="209">
        <f>L513*AX513+AP513+AQ513+AR513+AV513+AW513+AS513+AT513+AU513</f>
        <v/>
      </c>
      <c r="AZ513" s="207" t="n">
        <v>13751.54</v>
      </c>
      <c r="BA513" s="207" t="n">
        <v>0</v>
      </c>
      <c r="BB513" s="207">
        <f>AZ513*0.006</f>
        <v/>
      </c>
      <c r="BC513" s="209">
        <f>AZ513+BA513-BB513</f>
        <v/>
      </c>
      <c r="BD513" s="207" t="n">
        <v>0</v>
      </c>
      <c r="BE513" s="207" t="n">
        <v>0</v>
      </c>
      <c r="BF513" s="209">
        <f>BD513+BE513</f>
        <v/>
      </c>
      <c r="BG513" s="209">
        <f>BC513-AY513+BF513</f>
        <v/>
      </c>
      <c r="BH513" s="207" t="inlineStr">
        <is>
          <t>张</t>
        </is>
      </c>
      <c r="BI513" s="207" t="inlineStr">
        <is>
          <t>重庆重庆市 渝北区 龙山街道诚投天邻风景10号楼</t>
        </is>
      </c>
      <c r="BJ513" s="207" t="inlineStr">
        <is>
          <t>18426538418-7851</t>
        </is>
      </c>
      <c r="BK513" s="86" t="n"/>
      <c r="BL513" s="210" t="n"/>
      <c r="BM513" s="93" t="n"/>
      <c r="BN513" s="94" t="n"/>
      <c r="BO513" s="93" t="n"/>
      <c r="BP513" s="86" t="n"/>
      <c r="BQ513" s="96" t="n"/>
      <c r="BR513" s="96" t="n"/>
      <c r="BS513" s="97" t="n"/>
      <c r="BT513" s="96" t="n"/>
      <c r="BU513" s="97" t="n"/>
      <c r="BV513" s="96" t="n"/>
      <c r="BW513" s="97" t="n"/>
      <c r="BX513" s="97" t="n"/>
      <c r="BY513" s="97" t="n"/>
      <c r="BZ513" s="97" t="n"/>
      <c r="CH513" s="2" t="n"/>
      <c r="CI513" s="14" t="n"/>
      <c r="CJ513" s="25" t="n"/>
      <c r="CK513" s="25" t="n"/>
      <c r="CL513" s="25" t="n"/>
      <c r="CM513" s="25" t="n"/>
      <c r="CN513" s="25" t="n"/>
      <c r="CO513" s="25" t="n"/>
      <c r="CP513" s="25" t="n"/>
      <c r="CQ513" s="25" t="n"/>
      <c r="CR513" s="25" t="n"/>
      <c r="CS513" s="25" t="n"/>
      <c r="CT513" s="25" t="n"/>
      <c r="CU513" s="25" t="n"/>
      <c r="CV513" s="25" t="n"/>
      <c r="CW513" s="25" t="n"/>
      <c r="CX513" s="25" t="n"/>
      <c r="CY513" s="25" t="n"/>
      <c r="DC513" s="26" t="n"/>
      <c r="DD513" s="26" t="n"/>
      <c r="DE513" s="26" t="n"/>
      <c r="DF513" s="26" t="n"/>
      <c r="DG513" s="26" t="n"/>
      <c r="DH513" s="27" t="n"/>
      <c r="DJ513" s="211" t="inlineStr">
        <is>
          <t>订单表中未找到</t>
        </is>
      </c>
      <c r="DK513" t="inlineStr">
        <is>
          <t>—</t>
        </is>
      </c>
      <c r="DL513" t="inlineStr">
        <is>
          <t>—</t>
        </is>
      </c>
    </row>
    <row r="514" ht="15.75" customHeight="1" s="187">
      <c r="A514" s="84" t="n">
        <v>46015</v>
      </c>
      <c r="B514" s="206" t="inlineStr">
        <is>
          <t>已收货</t>
        </is>
      </c>
      <c r="C514" s="86" t="inlineStr">
        <is>
          <t>4965587642045735316</t>
        </is>
      </c>
      <c r="D514" s="110" t="inlineStr">
        <is>
          <t>刘淘宝</t>
        </is>
      </c>
      <c r="E514" s="87" t="n"/>
      <c r="F514" s="87" t="n"/>
      <c r="G514" s="237" t="inlineStr">
        <is>
          <t>升降桌：樱桃木，1.5带高台版</t>
        </is>
      </c>
      <c r="H514" s="207" t="inlineStr">
        <is>
          <t>升降桌-2024款</t>
        </is>
      </c>
      <c r="I514" s="89" t="n">
        <v>1500</v>
      </c>
      <c r="J514" s="87" t="inlineStr">
        <is>
          <t>已结算</t>
        </is>
      </c>
      <c r="K514" s="86" t="inlineStr">
        <is>
          <t>江西</t>
        </is>
      </c>
      <c r="L514" s="207">
        <f>1800+135+80+88.11+63+52+1050</f>
        <v/>
      </c>
      <c r="M514" s="207">
        <f>1800</f>
        <v/>
      </c>
      <c r="N514" s="207" t="n"/>
      <c r="O514" s="207" t="n">
        <v>80</v>
      </c>
      <c r="P514" s="207" t="n"/>
      <c r="Q514" s="207" t="n"/>
      <c r="R514" s="207" t="n"/>
      <c r="S514" s="207" t="n">
        <v>52</v>
      </c>
      <c r="T514" s="207" t="n">
        <v>1050</v>
      </c>
      <c r="U514" s="207" t="n"/>
      <c r="V514" s="207" t="n"/>
      <c r="W514" s="207" t="n"/>
      <c r="X514" s="207" t="n"/>
      <c r="Y514" s="207" t="n"/>
      <c r="Z514" s="207" t="n"/>
      <c r="AA514" s="207" t="n"/>
      <c r="AB514" s="207" t="n"/>
      <c r="AC514" s="207" t="n"/>
      <c r="AD514" s="207" t="n"/>
      <c r="AE514" s="207" t="n"/>
      <c r="AF514" s="207" t="n"/>
      <c r="AG514" s="207" t="n"/>
      <c r="AH514" s="207">
        <f>63+89</f>
        <v/>
      </c>
      <c r="AI514" s="207" t="n"/>
      <c r="AJ514" s="207" t="n"/>
      <c r="AK514" s="207" t="n"/>
      <c r="AL514" s="207" t="n"/>
      <c r="AM514" s="207" t="n">
        <v>135</v>
      </c>
      <c r="AN514" s="207" t="n"/>
      <c r="AO514" s="207" t="n"/>
      <c r="AP514" s="207" t="n"/>
      <c r="AQ514" s="121" t="n"/>
      <c r="AR514" s="121" t="n"/>
      <c r="AS514" s="207" t="n">
        <v>0</v>
      </c>
      <c r="AT514" s="207" t="n">
        <v>0</v>
      </c>
      <c r="AU514" s="207" t="n">
        <v>0</v>
      </c>
      <c r="AV514" s="207" t="n">
        <v>0</v>
      </c>
      <c r="AW514" s="207" t="n">
        <v>0</v>
      </c>
      <c r="AX514" s="208" t="n">
        <v>1</v>
      </c>
      <c r="AY514" s="209">
        <f>L514*AX514+AP514+AQ514+AR514+AV514+AW514+AS514+AT514+AU514</f>
        <v/>
      </c>
      <c r="AZ514" s="207" t="n">
        <v>3638.5</v>
      </c>
      <c r="BA514" s="207" t="n">
        <v>0</v>
      </c>
      <c r="BB514" s="207">
        <f>AZ514*0.006</f>
        <v/>
      </c>
      <c r="BC514" s="209">
        <f>AZ514+BA514-BB514</f>
        <v/>
      </c>
      <c r="BD514" s="207" t="n">
        <v>0</v>
      </c>
      <c r="BE514" s="207" t="n">
        <v>0</v>
      </c>
      <c r="BF514" s="209">
        <f>BD514+BE514</f>
        <v/>
      </c>
      <c r="BG514" s="209">
        <f>BC514-AY514+BF514</f>
        <v/>
      </c>
      <c r="BH514" s="207" t="inlineStr">
        <is>
          <t>刘淘宝</t>
        </is>
      </c>
      <c r="BI514" s="207" t="inlineStr">
        <is>
          <t>福建省 福州市 闽侯县 南屿镇三盛托斯卡纳二期S2栋602室</t>
        </is>
      </c>
      <c r="BJ514" s="207" t="inlineStr">
        <is>
          <t>18480118062-5621</t>
        </is>
      </c>
      <c r="BK514" s="86" t="n"/>
      <c r="BL514" s="210" t="n"/>
      <c r="BM514" s="93" t="n"/>
      <c r="BN514" s="94" t="n"/>
      <c r="BO514" s="93" t="n"/>
      <c r="BP514" s="86" t="n"/>
      <c r="BQ514" s="96" t="n"/>
      <c r="BR514" s="96" t="n"/>
      <c r="BS514" s="97" t="n"/>
      <c r="BT514" s="96" t="n"/>
      <c r="BU514" s="97" t="n"/>
      <c r="BV514" s="96" t="n"/>
      <c r="BW514" s="97" t="n"/>
      <c r="BX514" s="97" t="n"/>
      <c r="BY514" s="97" t="n"/>
      <c r="BZ514" s="97" t="n"/>
      <c r="CH514" s="2" t="n"/>
      <c r="CI514" s="14" t="n"/>
      <c r="CJ514" s="25" t="n"/>
      <c r="CK514" s="25" t="n"/>
      <c r="CL514" s="25" t="n"/>
      <c r="CM514" s="25" t="n"/>
      <c r="CN514" s="25" t="n"/>
      <c r="CO514" s="25" t="n"/>
      <c r="CP514" s="25" t="n"/>
      <c r="CQ514" s="25" t="n"/>
      <c r="CR514" s="25" t="n"/>
      <c r="CS514" s="25" t="n"/>
      <c r="CT514" s="25" t="n"/>
      <c r="CU514" s="25" t="n"/>
      <c r="CV514" s="25" t="n"/>
      <c r="CW514" s="25" t="n"/>
      <c r="CX514" s="25" t="n"/>
      <c r="CY514" s="25" t="n"/>
      <c r="DC514" s="26" t="n"/>
      <c r="DD514" s="26" t="n"/>
      <c r="DE514" s="26" t="n"/>
      <c r="DF514" s="26" t="n"/>
      <c r="DG514" s="26" t="n"/>
      <c r="DH514" s="27" t="n"/>
      <c r="DJ514" s="211" t="inlineStr">
        <is>
          <t>订单表中未找到</t>
        </is>
      </c>
      <c r="DK514" t="inlineStr">
        <is>
          <t>—</t>
        </is>
      </c>
      <c r="DL514" t="inlineStr">
        <is>
          <t>—</t>
        </is>
      </c>
    </row>
    <row r="515" ht="15.75" customHeight="1" s="187">
      <c r="A515" s="84" t="n">
        <v>46015</v>
      </c>
      <c r="B515" s="206" t="inlineStr">
        <is>
          <t>已收货</t>
        </is>
      </c>
      <c r="C515" s="86" t="inlineStr">
        <is>
          <t>4965855194589262003</t>
        </is>
      </c>
      <c r="D515" s="110" t="inlineStr">
        <is>
          <t>Tong</t>
        </is>
      </c>
      <c r="E515" s="87" t="n"/>
      <c r="F515" s="87" t="n"/>
      <c r="G515" s="207" t="inlineStr">
        <is>
          <t>补差价</t>
        </is>
      </c>
      <c r="H515" s="207" t="inlineStr">
        <is>
          <t>洞石餐边柜</t>
        </is>
      </c>
      <c r="I515" s="89" t="n"/>
      <c r="J515" s="87" t="n"/>
      <c r="K515" s="86" t="inlineStr">
        <is>
          <t>江西</t>
        </is>
      </c>
      <c r="L515" s="207" t="n">
        <v>0</v>
      </c>
      <c r="M515" s="207" t="n">
        <v>0</v>
      </c>
      <c r="N515" s="207" t="n"/>
      <c r="O515" s="207" t="n"/>
      <c r="P515" s="207" t="n"/>
      <c r="Q515" s="207" t="n"/>
      <c r="R515" s="207" t="n"/>
      <c r="S515" s="207" t="n"/>
      <c r="T515" s="207" t="n"/>
      <c r="U515" s="207" t="n"/>
      <c r="V515" s="207" t="n"/>
      <c r="W515" s="207" t="n"/>
      <c r="X515" s="207" t="n"/>
      <c r="Y515" s="207" t="n"/>
      <c r="Z515" s="207" t="n"/>
      <c r="AA515" s="207" t="n"/>
      <c r="AB515" s="207" t="n"/>
      <c r="AC515" s="207" t="n"/>
      <c r="AD515" s="207" t="n"/>
      <c r="AE515" s="207" t="n"/>
      <c r="AF515" s="207" t="n"/>
      <c r="AG515" s="207" t="n"/>
      <c r="AH515" s="207" t="n"/>
      <c r="AI515" s="207" t="n"/>
      <c r="AJ515" s="207" t="n"/>
      <c r="AK515" s="207" t="n"/>
      <c r="AL515" s="207" t="n"/>
      <c r="AM515" s="207" t="n"/>
      <c r="AN515" s="207" t="n"/>
      <c r="AO515" s="207" t="n"/>
      <c r="AP515" s="207" t="n"/>
      <c r="AQ515" s="207" t="n"/>
      <c r="AR515" s="207" t="n"/>
      <c r="AS515" s="207" t="n">
        <v>0</v>
      </c>
      <c r="AT515" s="207" t="n">
        <v>0</v>
      </c>
      <c r="AU515" s="207" t="n">
        <v>0</v>
      </c>
      <c r="AV515" s="207" t="n">
        <v>0</v>
      </c>
      <c r="AW515" s="207" t="n">
        <v>0</v>
      </c>
      <c r="AX515" s="208" t="n">
        <v>1</v>
      </c>
      <c r="AY515" s="209">
        <f>L515*AX515+AP515+AQ515+AR515+AV515+AW515+AS515+AT515+AU515</f>
        <v/>
      </c>
      <c r="AZ515" s="207" t="n">
        <v>534.16</v>
      </c>
      <c r="BA515" s="207" t="n">
        <v>0</v>
      </c>
      <c r="BB515" s="207">
        <f>AZ515*0.006</f>
        <v/>
      </c>
      <c r="BC515" s="209">
        <f>AZ515+BA515-BB515</f>
        <v/>
      </c>
      <c r="BD515" s="207" t="n">
        <v>0</v>
      </c>
      <c r="BE515" s="207" t="n">
        <v>0</v>
      </c>
      <c r="BF515" s="209">
        <f>BD515+BE515</f>
        <v/>
      </c>
      <c r="BG515" s="209">
        <f>BC515-AY515+BF515</f>
        <v/>
      </c>
      <c r="BH515" s="207" t="inlineStr">
        <is>
          <t>Tong</t>
        </is>
      </c>
      <c r="BI515" s="207" t="inlineStr">
        <is>
          <t>广东省 惠州市 惠城区 桥东街道中海阅江府二期二栋二单元1901</t>
        </is>
      </c>
      <c r="BJ515" s="207" t="inlineStr">
        <is>
          <t>18466397997-2111</t>
        </is>
      </c>
      <c r="BK515" s="86" t="n"/>
      <c r="BL515" s="210" t="n"/>
      <c r="BM515" s="93" t="n"/>
      <c r="BN515" s="94" t="n"/>
      <c r="BO515" s="93" t="n"/>
      <c r="BP515" s="86" t="n"/>
      <c r="BQ515" s="96" t="n"/>
      <c r="BR515" s="96" t="n"/>
      <c r="BS515" s="97" t="n"/>
      <c r="BT515" s="96" t="n"/>
      <c r="BU515" s="97" t="n"/>
      <c r="BV515" s="96" t="n"/>
      <c r="BW515" s="97" t="n"/>
      <c r="BX515" s="97" t="n"/>
      <c r="BY515" s="97" t="n"/>
      <c r="BZ515" s="97" t="n"/>
      <c r="CH515" s="2" t="n"/>
      <c r="CI515" s="14" t="n"/>
      <c r="CJ515" s="25" t="n"/>
      <c r="CK515" s="25" t="n"/>
      <c r="CL515" s="25" t="n"/>
      <c r="CM515" s="25" t="n"/>
      <c r="CN515" s="25" t="n"/>
      <c r="CO515" s="25" t="n"/>
      <c r="CP515" s="25" t="n"/>
      <c r="CQ515" s="25" t="n"/>
      <c r="CR515" s="25" t="n"/>
      <c r="CS515" s="25" t="n"/>
      <c r="CT515" s="25" t="n"/>
      <c r="CU515" s="25" t="n"/>
      <c r="CV515" s="25" t="n"/>
      <c r="CW515" s="25" t="n"/>
      <c r="CX515" s="25" t="n"/>
      <c r="CY515" s="25" t="n"/>
      <c r="DC515" s="26" t="n"/>
      <c r="DD515" s="26" t="n"/>
      <c r="DE515" s="26" t="n"/>
      <c r="DF515" s="26" t="n"/>
      <c r="DG515" s="26" t="n"/>
      <c r="DH515" s="27" t="n"/>
      <c r="DJ515" s="211" t="inlineStr">
        <is>
          <t>订单表中未找到</t>
        </is>
      </c>
      <c r="DK515" t="inlineStr">
        <is>
          <t>—</t>
        </is>
      </c>
      <c r="DL515" t="inlineStr">
        <is>
          <t>—</t>
        </is>
      </c>
    </row>
    <row r="516" ht="15.75" customHeight="1" s="187">
      <c r="A516" s="84" t="n">
        <v>46016</v>
      </c>
      <c r="B516" s="206" t="inlineStr">
        <is>
          <t>已收货</t>
        </is>
      </c>
      <c r="C516" s="86" t="inlineStr">
        <is>
          <t>4968819505682852141</t>
        </is>
      </c>
      <c r="D516" s="110" t="inlineStr">
        <is>
          <t>颗粒</t>
        </is>
      </c>
      <c r="E516" s="87" t="n"/>
      <c r="F516" s="87" t="n"/>
      <c r="G516" s="207" t="inlineStr">
        <is>
          <t>样块</t>
        </is>
      </c>
      <c r="H516" s="207" t="inlineStr">
        <is>
          <t>样块</t>
        </is>
      </c>
      <c r="I516" s="89" t="n"/>
      <c r="J516" s="87" t="inlineStr">
        <is>
          <t>已结算</t>
        </is>
      </c>
      <c r="K516" s="87" t="inlineStr">
        <is>
          <t>杭州</t>
        </is>
      </c>
      <c r="L516" s="207">
        <f>SUM(M516:AO516)</f>
        <v/>
      </c>
      <c r="M516" s="207" t="n">
        <v>5</v>
      </c>
      <c r="N516" s="207" t="n"/>
      <c r="O516" s="207" t="n"/>
      <c r="P516" s="207" t="n"/>
      <c r="Q516" s="207" t="n"/>
      <c r="R516" s="207" t="n"/>
      <c r="S516" s="207" t="n"/>
      <c r="T516" s="207" t="n"/>
      <c r="U516" s="207" t="n"/>
      <c r="V516" s="207" t="n"/>
      <c r="W516" s="207" t="n"/>
      <c r="X516" s="207" t="n"/>
      <c r="Y516" s="207" t="n"/>
      <c r="Z516" s="207" t="n"/>
      <c r="AA516" s="207" t="n"/>
      <c r="AB516" s="207" t="n"/>
      <c r="AC516" s="207" t="n"/>
      <c r="AD516" s="207" t="n"/>
      <c r="AE516" s="207" t="n"/>
      <c r="AF516" s="207" t="n"/>
      <c r="AG516" s="207" t="n"/>
      <c r="AH516" s="207" t="n"/>
      <c r="AI516" s="207" t="n"/>
      <c r="AJ516" s="207" t="n"/>
      <c r="AK516" s="207" t="n"/>
      <c r="AL516" s="207" t="n"/>
      <c r="AM516" s="207" t="n">
        <v>2</v>
      </c>
      <c r="AN516" s="207" t="n"/>
      <c r="AO516" s="207" t="n"/>
      <c r="AP516" s="207" t="n">
        <v>5</v>
      </c>
      <c r="AQ516" s="207" t="n">
        <v>0</v>
      </c>
      <c r="AR516" s="207" t="n">
        <v>0</v>
      </c>
      <c r="AS516" s="207" t="n">
        <v>0</v>
      </c>
      <c r="AT516" s="207" t="n">
        <v>0</v>
      </c>
      <c r="AU516" s="207" t="n">
        <v>0</v>
      </c>
      <c r="AV516" s="207" t="n">
        <v>0</v>
      </c>
      <c r="AW516" s="207" t="n">
        <v>0</v>
      </c>
      <c r="AX516" s="208" t="n">
        <v>1</v>
      </c>
      <c r="AY516" s="209">
        <f>L516*AX516+AP516+AQ516+AR516+AV516+AW516+AS516+AT516+AU516</f>
        <v/>
      </c>
      <c r="AZ516" s="207" t="n">
        <v>17</v>
      </c>
      <c r="BA516" s="207" t="n">
        <v>0</v>
      </c>
      <c r="BB516" s="207">
        <f>AZ516*0.006</f>
        <v/>
      </c>
      <c r="BC516" s="209">
        <f>AZ516+BA516-BB516</f>
        <v/>
      </c>
      <c r="BD516" s="207" t="n">
        <v>0</v>
      </c>
      <c r="BE516" s="207" t="n">
        <v>0</v>
      </c>
      <c r="BF516" s="209">
        <f>BD516+BE516</f>
        <v/>
      </c>
      <c r="BG516" s="209">
        <f>BC516-AY516+BF516</f>
        <v/>
      </c>
      <c r="BH516" s="207" t="inlineStr">
        <is>
          <t>颗粒</t>
        </is>
      </c>
      <c r="BI516" s="207" t="inlineStr">
        <is>
          <t>陕西省 西安市 雁塔区 长延堡街道世家星城1期c区35号楼</t>
        </is>
      </c>
      <c r="BJ516" s="207" t="inlineStr">
        <is>
          <t>15786429259-1215</t>
        </is>
      </c>
      <c r="BK516" s="86" t="n"/>
      <c r="BL516" s="210" t="n"/>
      <c r="BM516" s="93" t="n"/>
      <c r="BN516" s="94" t="n"/>
      <c r="BO516" s="93" t="n"/>
      <c r="BP516" s="86" t="n"/>
      <c r="BQ516" s="96" t="n"/>
      <c r="BR516" s="96" t="n"/>
      <c r="BS516" s="97" t="n"/>
      <c r="BT516" s="96" t="n"/>
      <c r="BU516" s="97" t="n"/>
      <c r="BV516" s="96" t="n"/>
      <c r="BW516" s="97" t="n"/>
      <c r="BX516" s="97" t="n"/>
      <c r="BY516" s="97" t="n"/>
      <c r="BZ516" s="97" t="n"/>
      <c r="CH516" s="2" t="n"/>
      <c r="CI516" s="14" t="n"/>
      <c r="CJ516" s="25" t="n"/>
      <c r="CK516" s="25" t="n"/>
      <c r="CL516" s="25" t="n"/>
      <c r="CM516" s="25" t="n"/>
      <c r="CN516" s="25" t="n"/>
      <c r="CO516" s="25" t="n"/>
      <c r="CP516" s="25" t="n"/>
      <c r="CQ516" s="25" t="n"/>
      <c r="CR516" s="25" t="n"/>
      <c r="CS516" s="25" t="n"/>
      <c r="CT516" s="25" t="n"/>
      <c r="CU516" s="25" t="n"/>
      <c r="CV516" s="25" t="n"/>
      <c r="CW516" s="25" t="n"/>
      <c r="CX516" s="25" t="n"/>
      <c r="CY516" s="25" t="n"/>
      <c r="DC516" s="26" t="n"/>
      <c r="DD516" s="26" t="n"/>
      <c r="DE516" s="26" t="n"/>
      <c r="DF516" s="26" t="n"/>
      <c r="DG516" s="26" t="n"/>
      <c r="DH516" s="27" t="n"/>
      <c r="DJ516" s="211" t="inlineStr">
        <is>
          <t>订单表中未找到</t>
        </is>
      </c>
      <c r="DK516" t="inlineStr">
        <is>
          <t>—</t>
        </is>
      </c>
      <c r="DL516" t="inlineStr">
        <is>
          <t>—</t>
        </is>
      </c>
    </row>
    <row r="517" ht="15.75" customHeight="1" s="187">
      <c r="A517" s="84" t="n">
        <v>46017</v>
      </c>
      <c r="B517" s="206" t="inlineStr">
        <is>
          <t>已收货</t>
        </is>
      </c>
      <c r="C517" s="86" t="inlineStr">
        <is>
          <t>4969851879068428342</t>
        </is>
      </c>
      <c r="D517" s="110" t="inlineStr">
        <is>
          <t>夏天</t>
        </is>
      </c>
      <c r="E517" s="87" t="n"/>
      <c r="F517" s="87" t="n"/>
      <c r="G517" s="207" t="inlineStr">
        <is>
          <t>砂白色2米岩板餐桌</t>
        </is>
      </c>
      <c r="H517" s="207" t="inlineStr">
        <is>
          <t>榉木餐桌</t>
        </is>
      </c>
      <c r="I517" s="89" t="inlineStr">
        <is>
          <t>200cm*85cm</t>
        </is>
      </c>
      <c r="J517" s="87" t="inlineStr">
        <is>
          <t>已结算</t>
        </is>
      </c>
      <c r="K517" s="86" t="inlineStr">
        <is>
          <t>江西</t>
        </is>
      </c>
      <c r="L517" s="207">
        <f>SUM(M517:AO517)</f>
        <v/>
      </c>
      <c r="M517" s="207">
        <f>1450</f>
        <v/>
      </c>
      <c r="N517" s="207" t="n"/>
      <c r="O517" s="207" t="n"/>
      <c r="P517" s="207" t="n"/>
      <c r="Q517" s="207" t="n"/>
      <c r="R517" s="207" t="n">
        <v>290</v>
      </c>
      <c r="S517" s="207" t="n"/>
      <c r="T517" s="207" t="n"/>
      <c r="U517" s="207" t="n"/>
      <c r="V517" s="207" t="n"/>
      <c r="W517" s="207" t="n"/>
      <c r="X517" s="207" t="n"/>
      <c r="Y517" s="207" t="n"/>
      <c r="Z517" s="207" t="n"/>
      <c r="AA517" s="207" t="n"/>
      <c r="AB517" s="207" t="n"/>
      <c r="AC517" s="207" t="n"/>
      <c r="AD517" s="207" t="n">
        <v>2.5</v>
      </c>
      <c r="AE517" s="207" t="n"/>
      <c r="AF517" s="207" t="n"/>
      <c r="AG517" s="207" t="n"/>
      <c r="AH517" s="207" t="n"/>
      <c r="AI517" s="207" t="n"/>
      <c r="AJ517" s="207" t="n"/>
      <c r="AK517" s="207" t="n"/>
      <c r="AL517" s="207" t="n"/>
      <c r="AM517" s="207" t="n">
        <v>140</v>
      </c>
      <c r="AN517" s="207" t="n"/>
      <c r="AO517" s="207" t="n"/>
      <c r="AP517" s="121" t="n">
        <v>300</v>
      </c>
      <c r="AQ517" s="121" t="n">
        <v>100</v>
      </c>
      <c r="AR517" s="121" t="n">
        <v>150</v>
      </c>
      <c r="AS517" s="207" t="n">
        <v>0</v>
      </c>
      <c r="AT517" s="207" t="n">
        <v>0</v>
      </c>
      <c r="AU517" s="207" t="n">
        <v>0</v>
      </c>
      <c r="AV517" s="207" t="n">
        <v>0</v>
      </c>
      <c r="AW517" s="207" t="n">
        <v>0</v>
      </c>
      <c r="AX517" s="208" t="n">
        <v>1</v>
      </c>
      <c r="AY517" s="209">
        <f>L517*AX517+AP517+AQ517+AR517+AV517+AW517+AS517+AT517+AU517</f>
        <v/>
      </c>
      <c r="AZ517" s="207" t="n">
        <v>3139.5</v>
      </c>
      <c r="BA517" s="207" t="n">
        <v>0</v>
      </c>
      <c r="BB517" s="207">
        <f>AZ517*0.006</f>
        <v/>
      </c>
      <c r="BC517" s="209">
        <f>AZ517+BA517-BB517</f>
        <v/>
      </c>
      <c r="BD517" s="207" t="n">
        <v>0</v>
      </c>
      <c r="BE517" s="207" t="n">
        <v>0</v>
      </c>
      <c r="BF517" s="209">
        <f>BD517+BE517</f>
        <v/>
      </c>
      <c r="BG517" s="209">
        <f>BC517-AY517+BF517</f>
        <v/>
      </c>
      <c r="BH517" s="207" t="inlineStr">
        <is>
          <t>夏天</t>
        </is>
      </c>
      <c r="BI517" s="207" t="inlineStr">
        <is>
          <t>四川省 成都市 郫都区 合作街道新希望皇冠国际12栋1单元703</t>
        </is>
      </c>
      <c r="BJ517" s="207" t="inlineStr">
        <is>
          <t>18418969594-8923</t>
        </is>
      </c>
      <c r="BK517" s="86" t="n"/>
      <c r="BL517" s="210" t="n"/>
      <c r="BM517" s="93" t="n"/>
      <c r="BN517" s="94" t="n"/>
      <c r="BO517" s="93" t="n"/>
      <c r="BP517" s="86" t="n"/>
      <c r="BQ517" s="96" t="n"/>
      <c r="BR517" s="96" t="n"/>
      <c r="BS517" s="97" t="n"/>
      <c r="BT517" s="96" t="n"/>
      <c r="BU517" s="97" t="n"/>
      <c r="BV517" s="96" t="n"/>
      <c r="BW517" s="97" t="n"/>
      <c r="BX517" s="97" t="n"/>
      <c r="BY517" s="97" t="n"/>
      <c r="BZ517" s="97" t="n"/>
      <c r="CH517" s="2" t="n"/>
      <c r="CI517" s="14" t="n"/>
      <c r="CJ517" s="25" t="n"/>
      <c r="CK517" s="25" t="n"/>
      <c r="CL517" s="25" t="n"/>
      <c r="CM517" s="25" t="n"/>
      <c r="CN517" s="25" t="n"/>
      <c r="CO517" s="25" t="n"/>
      <c r="CP517" s="25" t="n"/>
      <c r="CQ517" s="25" t="n"/>
      <c r="CR517" s="25" t="n"/>
      <c r="CS517" s="25" t="n"/>
      <c r="CT517" s="25" t="n"/>
      <c r="CU517" s="25" t="n"/>
      <c r="CV517" s="25" t="n"/>
      <c r="CW517" s="25" t="n"/>
      <c r="CX517" s="25" t="n"/>
      <c r="CY517" s="25" t="n"/>
      <c r="DC517" s="26" t="n"/>
      <c r="DD517" s="26" t="n"/>
      <c r="DE517" s="26" t="n"/>
      <c r="DF517" s="26" t="n"/>
      <c r="DG517" s="26" t="n"/>
      <c r="DH517" s="27" t="n"/>
      <c r="DJ517" s="211" t="inlineStr">
        <is>
          <t>订单表中未找到</t>
        </is>
      </c>
      <c r="DK517" t="inlineStr">
        <is>
          <t>—</t>
        </is>
      </c>
      <c r="DL517" t="inlineStr">
        <is>
          <t>—</t>
        </is>
      </c>
    </row>
    <row r="518" ht="15.75" customHeight="1" s="187">
      <c r="A518" s="84" t="n">
        <v>46019</v>
      </c>
      <c r="B518" s="206" t="inlineStr">
        <is>
          <t>已收货</t>
        </is>
      </c>
      <c r="C518" s="86" t="inlineStr">
        <is>
          <t>3149814399247284195</t>
        </is>
      </c>
      <c r="D518" s="110" t="inlineStr">
        <is>
          <t>梁峰</t>
        </is>
      </c>
      <c r="E518" s="87" t="n"/>
      <c r="F518" s="87" t="n"/>
      <c r="G518" s="207" t="inlineStr">
        <is>
          <t>单腿</t>
        </is>
      </c>
      <c r="H518" s="207" t="inlineStr">
        <is>
          <t>配件</t>
        </is>
      </c>
      <c r="I518" s="89" t="n"/>
      <c r="J518" s="87" t="n"/>
      <c r="K518" s="86" t="inlineStr">
        <is>
          <t>江西</t>
        </is>
      </c>
      <c r="L518" s="207" t="n">
        <v>0</v>
      </c>
      <c r="M518" s="207" t="n">
        <v>0</v>
      </c>
      <c r="N518" s="207" t="n"/>
      <c r="O518" s="207" t="n"/>
      <c r="P518" s="207" t="n"/>
      <c r="Q518" s="207" t="n"/>
      <c r="R518" s="207" t="n"/>
      <c r="S518" s="207" t="n"/>
      <c r="T518" s="207" t="n"/>
      <c r="U518" s="207" t="n"/>
      <c r="V518" s="207" t="n"/>
      <c r="W518" s="207" t="n"/>
      <c r="X518" s="207" t="n"/>
      <c r="Y518" s="207" t="n"/>
      <c r="Z518" s="207" t="n"/>
      <c r="AA518" s="207" t="n"/>
      <c r="AB518" s="207" t="n"/>
      <c r="AC518" s="207" t="n"/>
      <c r="AD518" s="207" t="n"/>
      <c r="AE518" s="207" t="n"/>
      <c r="AF518" s="207" t="n"/>
      <c r="AG518" s="207" t="n"/>
      <c r="AH518" s="207" t="n"/>
      <c r="AI518" s="207" t="n"/>
      <c r="AJ518" s="207" t="n"/>
      <c r="AK518" s="207" t="n"/>
      <c r="AL518" s="207" t="n"/>
      <c r="AM518" s="207" t="n"/>
      <c r="AN518" s="207" t="n"/>
      <c r="AO518" s="207" t="n"/>
      <c r="AP518" s="207" t="n"/>
      <c r="AQ518" s="121" t="n">
        <v>100</v>
      </c>
      <c r="AR518" s="121" t="n">
        <v>150</v>
      </c>
      <c r="AS518" s="207" t="n">
        <v>0</v>
      </c>
      <c r="AT518" s="207" t="n">
        <v>0</v>
      </c>
      <c r="AU518" s="207" t="n">
        <v>0</v>
      </c>
      <c r="AV518" s="207" t="n">
        <v>0</v>
      </c>
      <c r="AW518" s="207" t="n">
        <v>0</v>
      </c>
      <c r="AX518" s="208" t="n">
        <v>1</v>
      </c>
      <c r="AY518" s="209">
        <f>L518*AX518+AP518+AQ518+AR518+AV518+AW518+AS518+AT518+AU518</f>
        <v/>
      </c>
      <c r="AZ518" s="207" t="n">
        <v>100</v>
      </c>
      <c r="BA518" s="207" t="n">
        <v>0</v>
      </c>
      <c r="BB518" s="207">
        <f>AZ518*0.006</f>
        <v/>
      </c>
      <c r="BC518" s="209">
        <f>AZ518+BA518-BB518</f>
        <v/>
      </c>
      <c r="BD518" s="207" t="n">
        <v>0</v>
      </c>
      <c r="BE518" s="207" t="n">
        <v>0</v>
      </c>
      <c r="BF518" s="209">
        <f>BD518+BE518</f>
        <v/>
      </c>
      <c r="BG518" s="209">
        <f>BC518-AY518+BF518</f>
        <v/>
      </c>
      <c r="BH518" s="207" t="inlineStr">
        <is>
          <t>梁峰</t>
        </is>
      </c>
      <c r="BI518" s="207" t="inlineStr">
        <is>
          <t>广西壮族自治区 柳州市 城中区 静兰街道桂柳路30号碧园大城小院16栋</t>
        </is>
      </c>
      <c r="BJ518" s="207" t="inlineStr">
        <is>
          <t>13078096820-3292</t>
        </is>
      </c>
      <c r="BK518" s="86" t="n"/>
      <c r="BL518" s="210" t="n"/>
      <c r="BM518" s="93" t="n"/>
      <c r="BN518" s="94" t="n"/>
      <c r="BO518" s="93" t="n"/>
      <c r="BP518" s="86" t="n"/>
      <c r="BQ518" s="96" t="n"/>
      <c r="BR518" s="96" t="n"/>
      <c r="BS518" s="97" t="n"/>
      <c r="BT518" s="96" t="n"/>
      <c r="BU518" s="97" t="n"/>
      <c r="BV518" s="96" t="n"/>
      <c r="BW518" s="97" t="n"/>
      <c r="BX518" s="97" t="n"/>
      <c r="BY518" s="97" t="n"/>
      <c r="BZ518" s="97" t="n"/>
      <c r="CH518" s="2" t="n"/>
      <c r="CI518" s="14" t="n"/>
      <c r="CJ518" s="25" t="n"/>
      <c r="CK518" s="25" t="n"/>
      <c r="CL518" s="25" t="n"/>
      <c r="CM518" s="25" t="n"/>
      <c r="CN518" s="25" t="n"/>
      <c r="CO518" s="25" t="n"/>
      <c r="CP518" s="25" t="n"/>
      <c r="CQ518" s="25" t="n"/>
      <c r="CR518" s="25" t="n"/>
      <c r="CS518" s="25" t="n"/>
      <c r="CT518" s="25" t="n"/>
      <c r="CU518" s="25" t="n"/>
      <c r="CV518" s="25" t="n"/>
      <c r="CW518" s="25" t="n"/>
      <c r="CX518" s="25" t="n"/>
      <c r="CY518" s="25" t="n"/>
      <c r="DC518" s="26" t="n"/>
      <c r="DD518" s="26" t="n"/>
      <c r="DE518" s="26" t="n"/>
      <c r="DF518" s="26" t="n"/>
      <c r="DG518" s="26" t="n"/>
      <c r="DH518" s="27" t="n"/>
      <c r="DJ518" s="211" t="inlineStr">
        <is>
          <t>订单表中未找到</t>
        </is>
      </c>
      <c r="DK518" t="inlineStr">
        <is>
          <t>—</t>
        </is>
      </c>
      <c r="DL518" t="inlineStr">
        <is>
          <t>—</t>
        </is>
      </c>
    </row>
    <row r="519" ht="15.75" customHeight="1" s="187">
      <c r="A519" s="84" t="n">
        <v>46020</v>
      </c>
      <c r="B519" s="206" t="inlineStr">
        <is>
          <t>已收货</t>
        </is>
      </c>
      <c r="C519" s="86" t="inlineStr">
        <is>
          <t>3151845624287845760</t>
        </is>
      </c>
      <c r="D519" s="110" t="inlineStr">
        <is>
          <t>谢韬</t>
        </is>
      </c>
      <c r="E519" s="87" t="n"/>
      <c r="F519" s="87" t="n"/>
      <c r="G519" s="207" t="inlineStr">
        <is>
          <t>样块*2</t>
        </is>
      </c>
      <c r="H519" s="207" t="inlineStr">
        <is>
          <t>样块</t>
        </is>
      </c>
      <c r="I519" s="89" t="n"/>
      <c r="J519" s="87" t="inlineStr">
        <is>
          <t>已结算</t>
        </is>
      </c>
      <c r="K519" s="86" t="inlineStr">
        <is>
          <t>杭州</t>
        </is>
      </c>
      <c r="L519" s="207">
        <f>SUM(M519:AO519)</f>
        <v/>
      </c>
      <c r="M519" s="207" t="n">
        <v>10</v>
      </c>
      <c r="N519" s="207" t="n"/>
      <c r="O519" s="207" t="n"/>
      <c r="P519" s="207" t="n"/>
      <c r="Q519" s="207" t="n"/>
      <c r="R519" s="207" t="n"/>
      <c r="S519" s="207" t="n"/>
      <c r="T519" s="207" t="n"/>
      <c r="U519" s="207" t="n"/>
      <c r="V519" s="207" t="n"/>
      <c r="W519" s="207" t="n"/>
      <c r="X519" s="207" t="n"/>
      <c r="Y519" s="207" t="n"/>
      <c r="Z519" s="207" t="n"/>
      <c r="AA519" s="207" t="n"/>
      <c r="AB519" s="207" t="n"/>
      <c r="AC519" s="207" t="n"/>
      <c r="AD519" s="207" t="n"/>
      <c r="AE519" s="207" t="n"/>
      <c r="AF519" s="207" t="n"/>
      <c r="AG519" s="207" t="n"/>
      <c r="AH519" s="207" t="n"/>
      <c r="AI519" s="207" t="n"/>
      <c r="AJ519" s="207" t="n"/>
      <c r="AK519" s="207" t="n"/>
      <c r="AL519" s="207" t="n"/>
      <c r="AM519" s="207" t="n">
        <v>2</v>
      </c>
      <c r="AN519" s="207" t="n"/>
      <c r="AO519" s="207" t="n"/>
      <c r="AP519" s="207" t="n">
        <v>5</v>
      </c>
      <c r="AQ519" s="207" t="n">
        <v>0</v>
      </c>
      <c r="AR519" s="207" t="n">
        <v>0</v>
      </c>
      <c r="AS519" s="207" t="n">
        <v>0</v>
      </c>
      <c r="AT519" s="207" t="n">
        <v>0</v>
      </c>
      <c r="AU519" s="207" t="n">
        <v>0</v>
      </c>
      <c r="AV519" s="207" t="n">
        <v>0</v>
      </c>
      <c r="AW519" s="207" t="n">
        <v>0</v>
      </c>
      <c r="AX519" s="208" t="n">
        <v>1</v>
      </c>
      <c r="AY519" s="209">
        <f>L519*AX519+AP519+AQ519+AR519+AV519+AW519+AS519+AT519+AU519</f>
        <v/>
      </c>
      <c r="AZ519" s="207" t="n">
        <v>50</v>
      </c>
      <c r="BA519" s="207" t="n">
        <v>0</v>
      </c>
      <c r="BB519" s="207">
        <f>AZ519*0.006</f>
        <v/>
      </c>
      <c r="BC519" s="209">
        <f>AZ519+BA519-BB519</f>
        <v/>
      </c>
      <c r="BD519" s="207" t="n">
        <v>0</v>
      </c>
      <c r="BE519" s="207" t="n">
        <v>0</v>
      </c>
      <c r="BF519" s="209">
        <f>BD519+BE519</f>
        <v/>
      </c>
      <c r="BG519" s="209">
        <f>BC519-AY519+BF519</f>
        <v/>
      </c>
      <c r="BH519" s="207" t="inlineStr">
        <is>
          <t>谢韬</t>
        </is>
      </c>
      <c r="BI519" s="207" t="inlineStr">
        <is>
          <t>广东省 深圳市 宝安区 新安街道万科未来之光家园七栋1502</t>
        </is>
      </c>
      <c r="BJ519" s="207" t="inlineStr">
        <is>
          <t>15767544176-6754</t>
        </is>
      </c>
      <c r="BK519" s="86" t="n"/>
      <c r="BL519" s="210" t="n"/>
      <c r="BM519" s="93" t="n"/>
      <c r="BN519" s="94" t="n"/>
      <c r="BO519" s="93" t="n"/>
      <c r="BP519" s="86" t="n"/>
      <c r="BQ519" s="96" t="n"/>
      <c r="BR519" s="96" t="n"/>
      <c r="BS519" s="97" t="n"/>
      <c r="BT519" s="96" t="n"/>
      <c r="BU519" s="97" t="n"/>
      <c r="BV519" s="96" t="n"/>
      <c r="BW519" s="97" t="n"/>
      <c r="BX519" s="97" t="n"/>
      <c r="BY519" s="97" t="n"/>
      <c r="BZ519" s="97" t="n"/>
      <c r="CH519" s="2" t="n"/>
      <c r="CI519" s="14" t="n"/>
      <c r="CJ519" s="25" t="n"/>
      <c r="CK519" s="25" t="n"/>
      <c r="CL519" s="25" t="n"/>
      <c r="CM519" s="25" t="n"/>
      <c r="CN519" s="25" t="n"/>
      <c r="CO519" s="25" t="n"/>
      <c r="CP519" s="25" t="n"/>
      <c r="CQ519" s="25" t="n"/>
      <c r="CR519" s="25" t="n"/>
      <c r="CS519" s="25" t="n"/>
      <c r="CT519" s="25" t="n"/>
      <c r="CU519" s="25" t="n"/>
      <c r="CV519" s="25" t="n"/>
      <c r="CW519" s="25" t="n"/>
      <c r="CX519" s="25" t="n"/>
      <c r="CY519" s="25" t="n"/>
      <c r="DC519" s="26" t="n"/>
      <c r="DD519" s="26" t="n"/>
      <c r="DE519" s="26" t="n"/>
      <c r="DF519" s="26" t="n"/>
      <c r="DG519" s="26" t="n"/>
      <c r="DH519" s="27" t="n"/>
      <c r="DJ519" s="211" t="inlineStr">
        <is>
          <t>订单表中未找到</t>
        </is>
      </c>
      <c r="DK519" t="inlineStr">
        <is>
          <t>—</t>
        </is>
      </c>
      <c r="DL519" t="inlineStr">
        <is>
          <t>—</t>
        </is>
      </c>
    </row>
    <row r="520" ht="15.75" customHeight="1" s="187">
      <c r="A520" s="99" t="n">
        <v>46021</v>
      </c>
      <c r="B520" s="100" t="inlineStr">
        <is>
          <t>已退款</t>
        </is>
      </c>
      <c r="C520" s="101" t="inlineStr">
        <is>
          <t>4978716375859757806</t>
        </is>
      </c>
      <c r="D520" s="100" t="inlineStr">
        <is>
          <t>小星</t>
        </is>
      </c>
      <c r="E520" s="100" t="n"/>
      <c r="F520" s="100" t="n"/>
      <c r="G520" s="100" t="inlineStr">
        <is>
          <t>样块*2</t>
        </is>
      </c>
      <c r="H520" s="100" t="inlineStr">
        <is>
          <t>样块</t>
        </is>
      </c>
      <c r="I520" s="102" t="n"/>
      <c r="J520" s="100" t="inlineStr">
        <is>
          <t>已结算</t>
        </is>
      </c>
      <c r="K520" s="100" t="inlineStr">
        <is>
          <t>杭州</t>
        </is>
      </c>
      <c r="L520" s="213">
        <f>SUM(M520:AO520)</f>
        <v/>
      </c>
      <c r="M520" s="213" t="n">
        <v>10</v>
      </c>
      <c r="N520" s="212" t="n"/>
      <c r="O520" s="212" t="n"/>
      <c r="P520" s="212" t="n"/>
      <c r="Q520" s="212" t="n"/>
      <c r="R520" s="212" t="n"/>
      <c r="S520" s="212" t="n"/>
      <c r="T520" s="212" t="n"/>
      <c r="U520" s="212" t="n"/>
      <c r="V520" s="212" t="n"/>
      <c r="W520" s="212" t="n"/>
      <c r="X520" s="212" t="n"/>
      <c r="Y520" s="212" t="n"/>
      <c r="Z520" s="212" t="n"/>
      <c r="AA520" s="212" t="n"/>
      <c r="AB520" s="212" t="n"/>
      <c r="AC520" s="212" t="n"/>
      <c r="AD520" s="212" t="n"/>
      <c r="AE520" s="212" t="n"/>
      <c r="AF520" s="212" t="n"/>
      <c r="AG520" s="212" t="n"/>
      <c r="AH520" s="212" t="n"/>
      <c r="AI520" s="212" t="n"/>
      <c r="AJ520" s="212" t="n"/>
      <c r="AK520" s="212" t="n"/>
      <c r="AL520" s="212" t="n"/>
      <c r="AM520" s="213" t="n">
        <v>2</v>
      </c>
      <c r="AN520" s="213" t="n"/>
      <c r="AO520" s="213" t="n"/>
      <c r="AP520" s="213" t="n">
        <v>5</v>
      </c>
      <c r="AQ520" s="213" t="n">
        <v>0</v>
      </c>
      <c r="AR520" s="213" t="n">
        <v>0</v>
      </c>
      <c r="AS520" s="213" t="n">
        <v>0</v>
      </c>
      <c r="AT520" s="213" t="n">
        <v>0</v>
      </c>
      <c r="AU520" s="213" t="n">
        <v>0</v>
      </c>
      <c r="AV520" s="213" t="n">
        <v>0</v>
      </c>
      <c r="AW520" s="213" t="n">
        <v>0</v>
      </c>
      <c r="AX520" s="214" t="n">
        <v>1</v>
      </c>
      <c r="AY520" s="213">
        <f>L520*AX520+AP520+AQ520+AR520+AV520+AW520+AS520+AT520+AU520</f>
        <v/>
      </c>
      <c r="AZ520" s="213" t="n">
        <v>0</v>
      </c>
      <c r="BA520" s="213" t="n">
        <v>0</v>
      </c>
      <c r="BB520" s="213">
        <f>AZ520*0.006</f>
        <v/>
      </c>
      <c r="BC520" s="213">
        <f>AZ520+BA520-BB520</f>
        <v/>
      </c>
      <c r="BD520" s="213" t="n">
        <v>0</v>
      </c>
      <c r="BE520" s="213" t="n">
        <v>0</v>
      </c>
      <c r="BF520" s="213">
        <f>BD520+BE520</f>
        <v/>
      </c>
      <c r="BG520" s="213">
        <f>BC520-AY520+BF520</f>
        <v/>
      </c>
      <c r="BH520" s="100" t="inlineStr">
        <is>
          <t>小星</t>
        </is>
      </c>
      <c r="BI520" s="100" t="inlineStr">
        <is>
          <t>四川省 成都市 彭州市 致和街道城投云湖5栋401</t>
        </is>
      </c>
      <c r="BJ520" s="100" t="inlineStr">
        <is>
          <t>18400819593-2427</t>
        </is>
      </c>
      <c r="BK520" s="101" t="n"/>
      <c r="BL520" s="215" t="n"/>
      <c r="BM520" s="107" t="n"/>
      <c r="BN520" s="108" t="n"/>
      <c r="BO520" s="107" t="n"/>
      <c r="BP520" s="101" t="n"/>
      <c r="BQ520" s="109" t="n"/>
      <c r="BR520" s="109" t="n"/>
      <c r="BS520" s="100" t="n"/>
      <c r="BT520" s="109" t="n"/>
      <c r="BU520" s="100" t="n"/>
      <c r="BV520" s="109" t="n"/>
      <c r="BW520" s="100" t="n"/>
      <c r="BX520" s="100" t="n"/>
      <c r="BY520" s="100" t="n"/>
      <c r="BZ520" s="100" t="n"/>
      <c r="CA520" s="98" t="n"/>
      <c r="CH520" s="2" t="n"/>
      <c r="CI520" s="14" t="n"/>
      <c r="CY520" s="25" t="n"/>
      <c r="DA520" s="25" t="n"/>
      <c r="DC520" s="26" t="n"/>
      <c r="DD520" s="26" t="n"/>
      <c r="DE520" s="26" t="n"/>
      <c r="DF520" s="26" t="n"/>
      <c r="DG520" s="26" t="n"/>
      <c r="DH520" s="27" t="n"/>
      <c r="DJ520" s="211" t="inlineStr">
        <is>
          <t>订单表中未找到</t>
        </is>
      </c>
      <c r="DK520" t="inlineStr">
        <is>
          <t>—</t>
        </is>
      </c>
      <c r="DL520" t="inlineStr">
        <is>
          <t>—</t>
        </is>
      </c>
    </row>
    <row r="521" ht="15.75" customHeight="1" s="187">
      <c r="A521" s="84" t="n">
        <v>46023</v>
      </c>
      <c r="B521" s="206" t="inlineStr">
        <is>
          <t>已收货</t>
        </is>
      </c>
      <c r="C521" s="86" t="inlineStr">
        <is>
          <t>3157620602485981799</t>
        </is>
      </c>
      <c r="D521" s="110" t="inlineStr">
        <is>
          <t>周先生</t>
        </is>
      </c>
      <c r="E521" s="87" t="n"/>
      <c r="F521" s="87" t="n"/>
      <c r="G521" s="207" t="inlineStr">
        <is>
          <t>1.74洞洞板基础柜</t>
        </is>
      </c>
      <c r="H521" s="207" t="inlineStr">
        <is>
          <t>基础餐边柜</t>
        </is>
      </c>
      <c r="I521" s="89" t="n">
        <v>1740</v>
      </c>
      <c r="J521" s="87" t="inlineStr">
        <is>
          <t>已结算</t>
        </is>
      </c>
      <c r="K521" s="87" t="inlineStr">
        <is>
          <t>江西</t>
        </is>
      </c>
      <c r="L521" s="207">
        <f>4950+300+562+52*2+240+420+3*22+10+22+124</f>
        <v/>
      </c>
      <c r="M521" s="207">
        <f>4950</f>
        <v/>
      </c>
      <c r="N521" s="207" t="n">
        <v>300</v>
      </c>
      <c r="O521" s="207" t="n">
        <v>562</v>
      </c>
      <c r="P521" s="207" t="inlineStr">
        <is>
          <t>52*2</t>
        </is>
      </c>
      <c r="Q521" s="207" t="n"/>
      <c r="R521" s="207" t="n">
        <v>240</v>
      </c>
      <c r="S521" s="207" t="n">
        <v>420</v>
      </c>
      <c r="T521" s="207" t="inlineStr">
        <is>
          <t>3*22</t>
        </is>
      </c>
      <c r="U521" s="207" t="n"/>
      <c r="V521" s="207" t="n"/>
      <c r="W521" s="207" t="n">
        <v>10</v>
      </c>
      <c r="X521" s="207" t="n">
        <v>22</v>
      </c>
      <c r="Y521" s="207" t="n">
        <v>124</v>
      </c>
      <c r="Z521" s="207" t="n"/>
      <c r="AA521" s="207" t="n"/>
      <c r="AB521" s="207" t="n"/>
      <c r="AC521" s="207" t="n"/>
      <c r="AD521" s="207" t="n"/>
      <c r="AE521" s="207" t="n"/>
      <c r="AF521" s="207" t="n"/>
      <c r="AG521" s="207" t="n"/>
      <c r="AH521" s="207" t="n"/>
      <c r="AI521" s="207" t="n"/>
      <c r="AJ521" s="207" t="n"/>
      <c r="AK521" s="207" t="n"/>
      <c r="AL521" s="207" t="n"/>
      <c r="AM521" s="207" t="n">
        <v>420</v>
      </c>
      <c r="AN521" s="207" t="n"/>
      <c r="AO521" s="207" t="n"/>
      <c r="AP521" s="207" t="n">
        <v>400</v>
      </c>
      <c r="AQ521" s="121" t="n">
        <v>50</v>
      </c>
      <c r="AR521" s="207" t="n">
        <v>130</v>
      </c>
      <c r="AS521" s="207" t="n">
        <v>0</v>
      </c>
      <c r="AT521" s="207" t="n">
        <v>0</v>
      </c>
      <c r="AU521" s="207" t="n">
        <v>0</v>
      </c>
      <c r="AV521" s="207" t="n">
        <v>0</v>
      </c>
      <c r="AW521" s="207" t="n">
        <v>0</v>
      </c>
      <c r="AX521" s="208" t="n">
        <v>1</v>
      </c>
      <c r="AY521" s="209">
        <f>L521*AX521+AP521+AQ521+AR521+AV521+AW521+AS521+AT521+AU521</f>
        <v/>
      </c>
      <c r="AZ521" s="207" t="n">
        <v>10205</v>
      </c>
      <c r="BA521" s="207" t="n">
        <v>0</v>
      </c>
      <c r="BB521" s="207">
        <f>AZ521*0.006</f>
        <v/>
      </c>
      <c r="BC521" s="209">
        <f>AZ521+BA521-BB521</f>
        <v/>
      </c>
      <c r="BD521" s="207" t="n">
        <v>0</v>
      </c>
      <c r="BE521" s="207" t="n">
        <v>0</v>
      </c>
      <c r="BF521" s="209">
        <f>BD521+BE521</f>
        <v/>
      </c>
      <c r="BG521" s="209">
        <f>BC521-AY521+BF521</f>
        <v/>
      </c>
      <c r="BH521" s="86" t="inlineStr">
        <is>
          <t>周先生</t>
        </is>
      </c>
      <c r="BI521" s="86" t="inlineStr">
        <is>
          <t>浙江省 台州市 三门县 海游镇滨江花园7-204</t>
        </is>
      </c>
      <c r="BJ521" s="86" t="inlineStr">
        <is>
          <t>15786494318-6392</t>
        </is>
      </c>
      <c r="BK521" s="86" t="n"/>
      <c r="BL521" s="210" t="n"/>
      <c r="BM521" s="93" t="n"/>
      <c r="BN521" s="94" t="n"/>
      <c r="BO521" s="93" t="n"/>
      <c r="BP521" s="86" t="n"/>
      <c r="BQ521" s="96" t="n"/>
      <c r="BR521" s="96" t="n"/>
      <c r="BS521" s="97" t="n"/>
      <c r="BT521" s="96" t="n"/>
      <c r="BU521" s="97" t="n"/>
      <c r="BV521" s="96" t="n"/>
      <c r="BW521" s="97" t="n"/>
      <c r="BX521" s="97" t="n"/>
      <c r="BY521" s="97" t="n"/>
      <c r="BZ521" s="97" t="n"/>
      <c r="CH521" s="2" t="n"/>
      <c r="CI521" s="14" t="n"/>
      <c r="CJ521" s="25" t="n"/>
      <c r="CK521" s="25" t="n"/>
      <c r="CL521" s="25" t="n"/>
      <c r="CM521" s="25" t="n"/>
      <c r="CN521" s="25" t="n"/>
      <c r="CO521" s="25" t="n"/>
      <c r="CP521" s="25" t="n"/>
      <c r="CQ521" s="25" t="n"/>
      <c r="CR521" s="25" t="n"/>
      <c r="CS521" s="25" t="n"/>
      <c r="CT521" s="25" t="n"/>
      <c r="CU521" s="25" t="n"/>
      <c r="CV521" s="25" t="n"/>
      <c r="CW521" s="25" t="n"/>
      <c r="CX521" s="25" t="n"/>
      <c r="CY521" s="25" t="n"/>
      <c r="DC521" s="26" t="n"/>
      <c r="DD521" s="26" t="n"/>
      <c r="DE521" s="26" t="n"/>
      <c r="DF521" s="26" t="n"/>
      <c r="DG521" s="26" t="n"/>
      <c r="DH521" s="27" t="n"/>
      <c r="DJ521" s="211" t="inlineStr">
        <is>
          <t>订单表中未找到</t>
        </is>
      </c>
      <c r="DK521" t="inlineStr">
        <is>
          <t>—</t>
        </is>
      </c>
      <c r="DL521" t="inlineStr">
        <is>
          <t>—</t>
        </is>
      </c>
    </row>
    <row r="522" ht="15.75" customHeight="1" s="187">
      <c r="A522" s="84" t="n">
        <v>46024</v>
      </c>
      <c r="B522" s="206" t="inlineStr">
        <is>
          <t>已收货</t>
        </is>
      </c>
      <c r="C522" s="86" t="inlineStr">
        <is>
          <t>4983533066552262003</t>
        </is>
      </c>
      <c r="D522" s="86" t="inlineStr">
        <is>
          <t>Tong</t>
        </is>
      </c>
      <c r="E522" s="87" t="n"/>
      <c r="F522" s="87" t="n"/>
      <c r="G522" s="87" t="inlineStr">
        <is>
          <t>样块</t>
        </is>
      </c>
      <c r="H522" s="207" t="inlineStr">
        <is>
          <t>样块</t>
        </is>
      </c>
      <c r="I522" s="89" t="n"/>
      <c r="J522" s="87" t="inlineStr">
        <is>
          <t>已结算</t>
        </is>
      </c>
      <c r="K522" s="87" t="inlineStr">
        <is>
          <t>杭州</t>
        </is>
      </c>
      <c r="L522" s="207">
        <f>SUM(M522:AO522)</f>
        <v/>
      </c>
      <c r="M522" s="207" t="n">
        <v>5</v>
      </c>
      <c r="N522" s="207" t="n"/>
      <c r="O522" s="207" t="n"/>
      <c r="P522" s="207" t="n"/>
      <c r="Q522" s="207" t="n"/>
      <c r="R522" s="207" t="n"/>
      <c r="S522" s="207" t="n"/>
      <c r="T522" s="207" t="n"/>
      <c r="U522" s="207" t="n"/>
      <c r="V522" s="207" t="n"/>
      <c r="W522" s="207" t="n"/>
      <c r="X522" s="207" t="n"/>
      <c r="Y522" s="207" t="n"/>
      <c r="Z522" s="207" t="n"/>
      <c r="AA522" s="207" t="n"/>
      <c r="AB522" s="207" t="n"/>
      <c r="AC522" s="207" t="n"/>
      <c r="AD522" s="207" t="n"/>
      <c r="AE522" s="207" t="n"/>
      <c r="AF522" s="207" t="n"/>
      <c r="AG522" s="207" t="n"/>
      <c r="AH522" s="207" t="n"/>
      <c r="AI522" s="207" t="n"/>
      <c r="AJ522" s="207" t="n"/>
      <c r="AK522" s="207" t="n"/>
      <c r="AL522" s="207" t="n"/>
      <c r="AM522" s="207" t="n">
        <v>2</v>
      </c>
      <c r="AN522" s="207" t="n"/>
      <c r="AO522" s="207" t="n"/>
      <c r="AP522" s="207" t="n">
        <v>5</v>
      </c>
      <c r="AQ522" s="207" t="n">
        <v>0</v>
      </c>
      <c r="AR522" s="207" t="n">
        <v>0</v>
      </c>
      <c r="AS522" s="207" t="n">
        <v>0</v>
      </c>
      <c r="AT522" s="207" t="n">
        <v>0</v>
      </c>
      <c r="AU522" s="207" t="n">
        <v>0</v>
      </c>
      <c r="AV522" s="207" t="n">
        <v>0</v>
      </c>
      <c r="AW522" s="207" t="n">
        <v>0</v>
      </c>
      <c r="AX522" s="208" t="n">
        <v>1</v>
      </c>
      <c r="AY522" s="209">
        <f>L522*AX522+AP522+AQ522+AR522+AV522+AW522+AS522+AT522+AU522</f>
        <v/>
      </c>
      <c r="AZ522" s="207" t="n">
        <v>25</v>
      </c>
      <c r="BA522" s="207" t="n">
        <v>0</v>
      </c>
      <c r="BB522" s="207">
        <f>AZ522*0.006</f>
        <v/>
      </c>
      <c r="BC522" s="209">
        <f>AZ522+BA522-BB522</f>
        <v/>
      </c>
      <c r="BD522" s="207" t="n">
        <v>0</v>
      </c>
      <c r="BE522" s="207" t="n">
        <v>0</v>
      </c>
      <c r="BF522" s="209">
        <f>BD522+BE522</f>
        <v/>
      </c>
      <c r="BG522" s="209">
        <f>BC522-AY522+BF522</f>
        <v/>
      </c>
      <c r="BH522" s="86" t="inlineStr">
        <is>
          <t>Tong</t>
        </is>
      </c>
      <c r="BI522" s="86" t="inlineStr">
        <is>
          <t>广东省 惠州市 惠城区 桥东街道中海阅江府二期二栋二单元1901</t>
        </is>
      </c>
      <c r="BJ522" s="86" t="inlineStr">
        <is>
          <t>17817594535-1091</t>
        </is>
      </c>
      <c r="BK522" s="86" t="n"/>
      <c r="BL522" s="210" t="n"/>
      <c r="BM522" s="93" t="n"/>
      <c r="BN522" s="94" t="n"/>
      <c r="BO522" s="93" t="n"/>
      <c r="BP522" s="86" t="n"/>
      <c r="BQ522" s="96" t="n"/>
      <c r="BR522" s="96" t="n"/>
      <c r="BS522" s="97" t="n"/>
      <c r="BT522" s="96" t="n"/>
      <c r="BU522" s="97" t="n"/>
      <c r="BV522" s="96" t="n"/>
      <c r="BW522" s="97" t="n"/>
      <c r="BX522" s="97" t="n"/>
      <c r="BY522" s="97" t="n"/>
      <c r="BZ522" s="97" t="n"/>
      <c r="CH522" s="2" t="n"/>
      <c r="CI522" s="14" t="n"/>
      <c r="CJ522" s="25" t="n"/>
      <c r="CK522" s="25" t="n"/>
      <c r="CL522" s="25" t="n"/>
      <c r="CM522" s="25" t="n"/>
      <c r="CN522" s="25" t="n"/>
      <c r="CO522" s="25" t="n"/>
      <c r="CP522" s="25" t="n"/>
      <c r="CQ522" s="25" t="n"/>
      <c r="CR522" s="25" t="n"/>
      <c r="CS522" s="25" t="n"/>
      <c r="CT522" s="25" t="n"/>
      <c r="CU522" s="25" t="n"/>
      <c r="CV522" s="25" t="n"/>
      <c r="CW522" s="25" t="n"/>
      <c r="CX522" s="25" t="n"/>
      <c r="CY522" s="25" t="n"/>
      <c r="DC522" s="26" t="n"/>
      <c r="DD522" s="26" t="n"/>
      <c r="DE522" s="26" t="n"/>
      <c r="DF522" s="26" t="n"/>
      <c r="DG522" s="26" t="n"/>
      <c r="DH522" s="27" t="n"/>
      <c r="DJ522" s="238" t="inlineStr">
        <is>
          <t>✓ 金额一致</t>
        </is>
      </c>
      <c r="DK522" t="inlineStr">
        <is>
          <t>25.00</t>
        </is>
      </c>
      <c r="DL522" s="239" t="n">
        <v>0</v>
      </c>
    </row>
    <row r="523" ht="15.75" customHeight="1" s="187">
      <c r="A523" s="84" t="n">
        <v>46024</v>
      </c>
      <c r="B523" s="206" t="inlineStr">
        <is>
          <t>已收货</t>
        </is>
      </c>
      <c r="C523" s="86" t="inlineStr">
        <is>
          <t>4984000778244567335</t>
        </is>
      </c>
      <c r="D523" s="86" t="inlineStr">
        <is>
          <t>罗先生</t>
        </is>
      </c>
      <c r="E523" s="87" t="n"/>
      <c r="F523" s="87" t="n"/>
      <c r="G523" s="87" t="inlineStr">
        <is>
          <t>2插座</t>
        </is>
      </c>
      <c r="H523" s="207" t="inlineStr">
        <is>
          <t>配件</t>
        </is>
      </c>
      <c r="I523" s="89" t="n"/>
      <c r="J523" s="87" t="inlineStr">
        <is>
          <t>已结算</t>
        </is>
      </c>
      <c r="K523" s="86" t="inlineStr">
        <is>
          <t>其他</t>
        </is>
      </c>
      <c r="L523" s="207" t="n">
        <v>110</v>
      </c>
      <c r="M523" s="207" t="n">
        <v>110</v>
      </c>
      <c r="N523" s="207" t="n"/>
      <c r="O523" s="207" t="n"/>
      <c r="P523" s="207" t="n"/>
      <c r="Q523" s="207" t="n"/>
      <c r="R523" s="207" t="n"/>
      <c r="S523" s="207" t="n"/>
      <c r="T523" s="207" t="n"/>
      <c r="U523" s="207" t="n"/>
      <c r="V523" s="207" t="n"/>
      <c r="W523" s="207" t="n"/>
      <c r="X523" s="207" t="n"/>
      <c r="Y523" s="207" t="n"/>
      <c r="Z523" s="207" t="n"/>
      <c r="AA523" s="207" t="n"/>
      <c r="AB523" s="207" t="n"/>
      <c r="AC523" s="207" t="n"/>
      <c r="AD523" s="207" t="n"/>
      <c r="AE523" s="207" t="n"/>
      <c r="AF523" s="207" t="n"/>
      <c r="AG523" s="207" t="n"/>
      <c r="AH523" s="207" t="n"/>
      <c r="AI523" s="207" t="n"/>
      <c r="AJ523" s="207" t="n"/>
      <c r="AK523" s="207" t="n"/>
      <c r="AL523" s="207" t="n"/>
      <c r="AM523" s="207" t="n"/>
      <c r="AN523" s="207" t="n"/>
      <c r="AO523" s="207" t="n"/>
      <c r="AP523" s="207" t="n">
        <v>8</v>
      </c>
      <c r="AQ523" s="207" t="n">
        <v>0</v>
      </c>
      <c r="AR523" s="207" t="n">
        <v>0</v>
      </c>
      <c r="AS523" s="207" t="n">
        <v>0</v>
      </c>
      <c r="AT523" s="207" t="n">
        <v>0</v>
      </c>
      <c r="AU523" s="207" t="n">
        <v>0</v>
      </c>
      <c r="AV523" s="207" t="n">
        <v>0</v>
      </c>
      <c r="AW523" s="207" t="n">
        <v>0</v>
      </c>
      <c r="AX523" s="208" t="n">
        <v>1</v>
      </c>
      <c r="AY523" s="209">
        <f>L523*AX523+AP523+AQ523+AR523+AV523+AW523+AS523+AT523+AU523</f>
        <v/>
      </c>
      <c r="AZ523" s="207" t="n">
        <v>200</v>
      </c>
      <c r="BA523" s="207" t="n">
        <v>0</v>
      </c>
      <c r="BB523" s="207">
        <f>AZ523*0.006</f>
        <v/>
      </c>
      <c r="BC523" s="209">
        <f>AZ523+BA523-BB523</f>
        <v/>
      </c>
      <c r="BD523" s="207" t="n">
        <v>0</v>
      </c>
      <c r="BE523" s="207" t="n">
        <v>0</v>
      </c>
      <c r="BF523" s="209">
        <f>BD523+BE523</f>
        <v/>
      </c>
      <c r="BG523" s="209">
        <f>BC523-AY523+BF523</f>
        <v/>
      </c>
      <c r="BH523" s="86" t="inlineStr">
        <is>
          <t>罗先生</t>
        </is>
      </c>
      <c r="BI523" s="86" t="inlineStr">
        <is>
          <t>上海 上海市 浦东新区 南汇新城镇宜浩·欧景236弄46号302室</t>
        </is>
      </c>
      <c r="BJ523" s="86" t="inlineStr">
        <is>
          <t>18466800766-2389</t>
        </is>
      </c>
      <c r="BK523" s="86" t="n"/>
      <c r="BL523" s="210" t="n"/>
      <c r="BM523" s="93" t="n"/>
      <c r="BN523" s="94" t="n"/>
      <c r="BO523" s="93" t="n"/>
      <c r="BP523" s="86" t="n"/>
      <c r="BQ523" s="96" t="n"/>
      <c r="BR523" s="96" t="n"/>
      <c r="BS523" s="97" t="n"/>
      <c r="BT523" s="96" t="n"/>
      <c r="BU523" s="97" t="n"/>
      <c r="BV523" s="96" t="n"/>
      <c r="BW523" s="97" t="n"/>
      <c r="BX523" s="97" t="n"/>
      <c r="BY523" s="97" t="n"/>
      <c r="BZ523" s="97" t="n"/>
      <c r="CH523" s="2" t="n"/>
      <c r="CI523" s="14" t="n"/>
      <c r="CJ523" s="25" t="n"/>
      <c r="CK523" s="25" t="n"/>
      <c r="CL523" s="25" t="n"/>
      <c r="CM523" s="25" t="n"/>
      <c r="CN523" s="25" t="n"/>
      <c r="CO523" s="25" t="n"/>
      <c r="CP523" s="25" t="n"/>
      <c r="CQ523" s="25" t="n"/>
      <c r="CR523" s="25" t="n"/>
      <c r="CS523" s="25" t="n"/>
      <c r="CT523" s="25" t="n"/>
      <c r="CU523" s="25" t="n"/>
      <c r="CV523" s="25" t="n"/>
      <c r="CW523" s="25" t="n"/>
      <c r="CX523" s="25" t="n"/>
      <c r="CY523" s="25" t="n"/>
      <c r="DC523" s="26" t="n"/>
      <c r="DD523" s="26" t="n"/>
      <c r="DE523" s="26" t="n"/>
      <c r="DF523" s="26" t="n"/>
      <c r="DG523" s="26" t="n"/>
      <c r="DH523" s="27" t="n"/>
      <c r="DJ523" s="211" t="inlineStr">
        <is>
          <t>订单表中未找到</t>
        </is>
      </c>
      <c r="DK523" t="inlineStr">
        <is>
          <t>—</t>
        </is>
      </c>
      <c r="DL523" t="inlineStr">
        <is>
          <t>—</t>
        </is>
      </c>
    </row>
    <row r="524" ht="15.75" customHeight="1" s="187">
      <c r="A524" s="84" t="n">
        <v>46024</v>
      </c>
      <c r="B524" s="206" t="inlineStr">
        <is>
          <t>已收货</t>
        </is>
      </c>
      <c r="C524" s="86" t="inlineStr">
        <is>
          <t>4985427204183101600</t>
        </is>
      </c>
      <c r="D524" s="86" t="inlineStr">
        <is>
          <t>项聪颖</t>
        </is>
      </c>
      <c r="E524" s="87" t="n"/>
      <c r="F524" s="87" t="n"/>
      <c r="G524" s="87" t="inlineStr">
        <is>
          <t>样块</t>
        </is>
      </c>
      <c r="H524" s="207" t="inlineStr">
        <is>
          <t>样块</t>
        </is>
      </c>
      <c r="I524" s="89" t="n"/>
      <c r="J524" s="87" t="inlineStr">
        <is>
          <t>已结算</t>
        </is>
      </c>
      <c r="K524" s="87" t="inlineStr">
        <is>
          <t>杭州</t>
        </is>
      </c>
      <c r="L524" s="207">
        <f>SUM(M524:AO524)</f>
        <v/>
      </c>
      <c r="M524" s="207" t="n">
        <v>5</v>
      </c>
      <c r="N524" s="207" t="n"/>
      <c r="O524" s="207" t="n"/>
      <c r="P524" s="207" t="n"/>
      <c r="Q524" s="207" t="n"/>
      <c r="R524" s="207" t="n"/>
      <c r="S524" s="207" t="n"/>
      <c r="T524" s="207" t="n"/>
      <c r="U524" s="207" t="n"/>
      <c r="V524" s="207" t="n"/>
      <c r="W524" s="207" t="n"/>
      <c r="X524" s="207" t="n"/>
      <c r="Y524" s="207" t="n"/>
      <c r="Z524" s="207" t="n"/>
      <c r="AA524" s="207" t="n"/>
      <c r="AB524" s="207" t="n"/>
      <c r="AC524" s="207" t="n"/>
      <c r="AD524" s="207" t="n"/>
      <c r="AE524" s="207" t="n"/>
      <c r="AF524" s="207" t="n"/>
      <c r="AG524" s="207" t="n"/>
      <c r="AH524" s="207" t="n"/>
      <c r="AI524" s="207" t="n"/>
      <c r="AJ524" s="207" t="n"/>
      <c r="AK524" s="207" t="n"/>
      <c r="AL524" s="207" t="n"/>
      <c r="AM524" s="207" t="n">
        <v>2</v>
      </c>
      <c r="AN524" s="207" t="n"/>
      <c r="AO524" s="207" t="n"/>
      <c r="AP524" s="207" t="n">
        <v>5</v>
      </c>
      <c r="AQ524" s="207" t="n">
        <v>0</v>
      </c>
      <c r="AR524" s="207" t="n">
        <v>0</v>
      </c>
      <c r="AS524" s="207" t="n">
        <v>0</v>
      </c>
      <c r="AT524" s="207" t="n">
        <v>0</v>
      </c>
      <c r="AU524" s="207" t="n">
        <v>0</v>
      </c>
      <c r="AV524" s="207" t="n">
        <v>0</v>
      </c>
      <c r="AW524" s="207" t="n">
        <v>0</v>
      </c>
      <c r="AX524" s="208" t="n">
        <v>1</v>
      </c>
      <c r="AY524" s="209">
        <f>L524*AX524+AP524+AQ524+AR524+AV524+AW524+AS524+AT524+AU524</f>
        <v/>
      </c>
      <c r="AZ524" s="207" t="n">
        <v>25</v>
      </c>
      <c r="BA524" s="207" t="n">
        <v>0</v>
      </c>
      <c r="BB524" s="207">
        <f>AZ524*0.006</f>
        <v/>
      </c>
      <c r="BC524" s="209">
        <f>AZ524+BA524-BB524</f>
        <v/>
      </c>
      <c r="BD524" s="207" t="n">
        <v>0</v>
      </c>
      <c r="BE524" s="207" t="n">
        <v>0</v>
      </c>
      <c r="BF524" s="209">
        <f>BD524+BE524</f>
        <v/>
      </c>
      <c r="BG524" s="209">
        <f>BC524-AY524+BF524</f>
        <v/>
      </c>
      <c r="BH524" s="86" t="inlineStr">
        <is>
          <t>项聪颖</t>
        </is>
      </c>
      <c r="BI524" s="86" t="inlineStr">
        <is>
          <t>浙江省 宁波市 鄞州区 首南街道首南中路1000号宁波博物馆</t>
        </is>
      </c>
      <c r="BJ524" s="86" t="inlineStr">
        <is>
          <t>15786418722-6628</t>
        </is>
      </c>
      <c r="BK524" s="86" t="n"/>
      <c r="BL524" s="210" t="n"/>
      <c r="BM524" s="93" t="n"/>
      <c r="BN524" s="94" t="n"/>
      <c r="BO524" s="93" t="n"/>
      <c r="BP524" s="86" t="n"/>
      <c r="BQ524" s="96" t="n"/>
      <c r="BR524" s="96" t="n"/>
      <c r="BS524" s="97" t="n"/>
      <c r="BT524" s="96" t="n"/>
      <c r="BU524" s="97" t="n"/>
      <c r="BV524" s="96" t="n"/>
      <c r="BW524" s="97" t="n"/>
      <c r="BX524" s="97" t="n"/>
      <c r="BY524" s="97" t="n"/>
      <c r="BZ524" s="97" t="n"/>
      <c r="CH524" s="2" t="n"/>
      <c r="CI524" s="14" t="n"/>
      <c r="CJ524" s="25" t="n"/>
      <c r="CK524" s="25" t="n"/>
      <c r="CL524" s="25" t="n"/>
      <c r="CM524" s="25" t="n"/>
      <c r="CN524" s="25" t="n"/>
      <c r="CO524" s="25" t="n"/>
      <c r="CP524" s="25" t="n"/>
      <c r="CQ524" s="25" t="n"/>
      <c r="CR524" s="25" t="n"/>
      <c r="CS524" s="25" t="n"/>
      <c r="CT524" s="25" t="n"/>
      <c r="CU524" s="25" t="n"/>
      <c r="CV524" s="25" t="n"/>
      <c r="CW524" s="25" t="n"/>
      <c r="CX524" s="25" t="n"/>
      <c r="CY524" s="25" t="n"/>
      <c r="DC524" s="26" t="n"/>
      <c r="DD524" s="26" t="n"/>
      <c r="DE524" s="26" t="n"/>
      <c r="DF524" s="26" t="n"/>
      <c r="DG524" s="26" t="n"/>
      <c r="DH524" s="27" t="n"/>
      <c r="DJ524" s="238" t="inlineStr">
        <is>
          <t>✓ 金额一致</t>
        </is>
      </c>
      <c r="DK524" t="inlineStr">
        <is>
          <t>25.00</t>
        </is>
      </c>
      <c r="DL524" s="239" t="n">
        <v>0</v>
      </c>
    </row>
    <row r="525" ht="15.75" customHeight="1" s="187">
      <c r="A525" s="84" t="n">
        <v>46025</v>
      </c>
      <c r="B525" s="206" t="inlineStr">
        <is>
          <t>已收货</t>
        </is>
      </c>
      <c r="C525" s="86" t="inlineStr">
        <is>
          <t>4986838191069952344</t>
        </is>
      </c>
      <c r="D525" s="86" t="inlineStr">
        <is>
          <t>马</t>
        </is>
      </c>
      <c r="E525" s="87" t="inlineStr">
        <is>
          <t>缺配件，更换所有抽屉围板为多层板</t>
        </is>
      </c>
      <c r="F525" s="87" t="n"/>
      <c r="G525" s="207" t="inlineStr">
        <is>
          <t>曜黑柜-整柜-1.97米-定制</t>
        </is>
      </c>
      <c r="H525" s="207" t="inlineStr">
        <is>
          <t>曜黑餐边柜</t>
        </is>
      </c>
      <c r="I525" s="89" t="n">
        <v>1970</v>
      </c>
      <c r="J525" s="87" t="inlineStr">
        <is>
          <t>已结算</t>
        </is>
      </c>
      <c r="K525" s="87" t="inlineStr">
        <is>
          <t>江西</t>
        </is>
      </c>
      <c r="L525" s="207">
        <f>8800+340+2550/6+619.08+55+22*3+410+46+30+44+44+20+96.5+3.6</f>
        <v/>
      </c>
      <c r="M525" s="207">
        <f>8800</f>
        <v/>
      </c>
      <c r="N525" s="207" t="n">
        <v>619.08</v>
      </c>
      <c r="O525" s="207">
        <f>2550/6/1.5</f>
        <v/>
      </c>
      <c r="P525" s="207" t="n">
        <v>30</v>
      </c>
      <c r="Q525" s="207" t="n"/>
      <c r="R525" s="207" t="n">
        <v>350</v>
      </c>
      <c r="S525" s="207" t="n">
        <v>20</v>
      </c>
      <c r="T525" s="207">
        <f>18*2</f>
        <v/>
      </c>
      <c r="U525" s="207" t="n">
        <v>14</v>
      </c>
      <c r="V525" s="207" t="n"/>
      <c r="W525" s="207" t="n"/>
      <c r="X525" s="207">
        <f>22*3</f>
        <v/>
      </c>
      <c r="Y525" s="207" t="n">
        <v>410</v>
      </c>
      <c r="Z525" s="207" t="n"/>
      <c r="AA525" s="207" t="n"/>
      <c r="AB525" s="207" t="n"/>
      <c r="AC525" s="207" t="n"/>
      <c r="AD525" s="207" t="n">
        <v>20</v>
      </c>
      <c r="AE525" s="207" t="n">
        <v>44</v>
      </c>
      <c r="AF525" s="207" t="n">
        <v>340</v>
      </c>
      <c r="AG525" s="207" t="n"/>
      <c r="AH525" s="207" t="n"/>
      <c r="AI525" s="207" t="n"/>
      <c r="AJ525" s="207" t="n"/>
      <c r="AK525" s="207" t="n"/>
      <c r="AL525" s="207" t="n"/>
      <c r="AM525" s="207" t="n">
        <v>410</v>
      </c>
      <c r="AN525" s="207" t="n"/>
      <c r="AO525" s="207" t="n"/>
      <c r="AP525" s="207">
        <f>617-AQ525+62+55</f>
        <v/>
      </c>
      <c r="AQ525" s="207" t="n">
        <v>126</v>
      </c>
      <c r="AR525" s="207">
        <f>200+80</f>
        <v/>
      </c>
      <c r="AS525" s="207" t="n">
        <v>0</v>
      </c>
      <c r="AT525" s="207" t="n">
        <v>0</v>
      </c>
      <c r="AU525" s="207" t="n">
        <v>0</v>
      </c>
      <c r="AV525" s="207" t="n">
        <v>0</v>
      </c>
      <c r="AW525" s="207" t="n">
        <v>0</v>
      </c>
      <c r="AX525" s="208" t="n">
        <v>1</v>
      </c>
      <c r="AY525" s="209">
        <f>L525*AX525+AP525+AQ525+AR525+AV525+AW525+AS525+AT525+AU525</f>
        <v/>
      </c>
      <c r="AZ525" s="207" t="n">
        <v>15200</v>
      </c>
      <c r="BA525" s="207" t="n">
        <v>0</v>
      </c>
      <c r="BB525" s="207">
        <f>AZ525*0.006</f>
        <v/>
      </c>
      <c r="BC525" s="209">
        <f>AZ525+BA525-BB525</f>
        <v/>
      </c>
      <c r="BD525" s="207" t="n">
        <v>0</v>
      </c>
      <c r="BE525" s="207" t="n">
        <v>0</v>
      </c>
      <c r="BF525" s="209">
        <f>BD525+BE525</f>
        <v/>
      </c>
      <c r="BG525" s="209">
        <f>BC525-AY525+BF525</f>
        <v/>
      </c>
      <c r="BH525" s="86" t="inlineStr">
        <is>
          <t>马</t>
        </is>
      </c>
      <c r="BI525" s="86" t="inlineStr">
        <is>
          <t>河南省 郑州市 中原区  翠竹街石佛祥园7-1402</t>
        </is>
      </c>
      <c r="BJ525" s="86" t="inlineStr">
        <is>
          <t>18466443053-4138</t>
        </is>
      </c>
      <c r="BK525" s="86" t="n"/>
      <c r="BL525" s="210" t="n"/>
      <c r="BM525" s="93" t="n"/>
      <c r="BN525" s="94" t="n"/>
      <c r="BO525" s="93" t="n"/>
      <c r="BP525" s="86" t="n"/>
      <c r="BQ525" s="96" t="n"/>
      <c r="BR525" s="96" t="n"/>
      <c r="BS525" s="97" t="n"/>
      <c r="BT525" s="96" t="n"/>
      <c r="BU525" s="97" t="n"/>
      <c r="BV525" s="96" t="n"/>
      <c r="BW525" s="97" t="n"/>
      <c r="BX525" s="97" t="n"/>
      <c r="BY525" s="97" t="n"/>
      <c r="BZ525" s="97" t="n"/>
      <c r="CH525" s="2" t="n"/>
      <c r="CI525" s="14" t="n"/>
      <c r="CJ525" s="25" t="n"/>
      <c r="CK525" s="25" t="n"/>
      <c r="CL525" s="25" t="n"/>
      <c r="CM525" s="25" t="n"/>
      <c r="CN525" s="25" t="n"/>
      <c r="CO525" s="25" t="n"/>
      <c r="CP525" s="25" t="n"/>
      <c r="CQ525" s="25" t="n"/>
      <c r="CR525" s="25" t="n"/>
      <c r="CS525" s="25" t="n"/>
      <c r="CT525" s="25" t="n"/>
      <c r="CU525" s="25" t="n"/>
      <c r="CV525" s="25" t="n"/>
      <c r="CW525" s="25" t="n"/>
      <c r="CX525" s="25" t="n"/>
      <c r="CY525" s="25" t="n"/>
      <c r="DC525" s="26" t="n"/>
      <c r="DD525" s="26" t="n"/>
      <c r="DE525" s="26" t="n"/>
      <c r="DF525" s="26" t="n"/>
      <c r="DG525" s="26" t="n"/>
      <c r="DH525" s="27" t="n"/>
      <c r="DJ525" s="238" t="inlineStr">
        <is>
          <t>✓ 金额一致</t>
        </is>
      </c>
      <c r="DK525" t="inlineStr">
        <is>
          <t>15200.00</t>
        </is>
      </c>
      <c r="DL525" s="239" t="n">
        <v>0</v>
      </c>
    </row>
    <row r="526" ht="15.75" customHeight="1" s="187">
      <c r="A526" s="84" t="n">
        <v>46026</v>
      </c>
      <c r="B526" s="206" t="inlineStr">
        <is>
          <t>已收货</t>
        </is>
      </c>
      <c r="C526" s="86" t="inlineStr">
        <is>
          <t>4988088144143486210</t>
        </is>
      </c>
      <c r="D526" s="86" t="inlineStr">
        <is>
          <t>齐檬洋</t>
        </is>
      </c>
      <c r="E526" s="116" t="inlineStr">
        <is>
          <t>已发 背板按照一整张
产品成本+岩板+灯带+背板+电力轨道+打包+隔板轨道+雕刻+亚克力+玻璃+五金</t>
        </is>
      </c>
      <c r="F526" s="87" t="n"/>
      <c r="G526" s="87" t="inlineStr">
        <is>
          <t>定制2.4洞石柜</t>
        </is>
      </c>
      <c r="H526" s="207" t="inlineStr">
        <is>
          <t>洞石餐边柜</t>
        </is>
      </c>
      <c r="I526" s="89" t="n">
        <v>2400</v>
      </c>
      <c r="J526" s="87" t="inlineStr">
        <is>
          <t>已结算</t>
        </is>
      </c>
      <c r="K526" s="87" t="inlineStr">
        <is>
          <t>江西</t>
        </is>
      </c>
      <c r="L526" s="207">
        <f>7600+920+80.45+2040/6+830.08+460+76+20+14+147+1.2+6+5+2.5+3.5</f>
        <v/>
      </c>
      <c r="M526" s="207">
        <f>7600</f>
        <v/>
      </c>
      <c r="N526" s="207" t="n">
        <v>830.08</v>
      </c>
      <c r="O526" s="207">
        <f>2040/6</f>
        <v/>
      </c>
      <c r="P526" s="207" t="n"/>
      <c r="Q526" s="207" t="n">
        <v>120</v>
      </c>
      <c r="R526" s="207" t="n">
        <v>920</v>
      </c>
      <c r="S526" s="207">
        <f>52*2</f>
        <v/>
      </c>
      <c r="T526" s="207" t="n">
        <v>98</v>
      </c>
      <c r="U526" s="207" t="n">
        <v>20</v>
      </c>
      <c r="V526" s="207" t="n"/>
      <c r="W526" s="207" t="n">
        <v>5</v>
      </c>
      <c r="X526" s="207">
        <f>22*7</f>
        <v/>
      </c>
      <c r="Y526" s="207" t="n"/>
      <c r="Z526" s="207">
        <f>3.5+14</f>
        <v/>
      </c>
      <c r="AA526" s="207" t="n"/>
      <c r="AB526" s="207" t="n"/>
      <c r="AC526" s="207" t="n"/>
      <c r="AD526" s="207" t="n"/>
      <c r="AE526" s="207" t="n"/>
      <c r="AF526" s="216" t="n"/>
      <c r="AG526" s="216" t="n"/>
      <c r="AH526" s="216" t="n"/>
      <c r="AI526" s="216" t="n"/>
      <c r="AJ526" s="216" t="n"/>
      <c r="AK526" s="216" t="n"/>
      <c r="AL526" s="216" t="n"/>
      <c r="AM526" s="207" t="n">
        <v>460</v>
      </c>
      <c r="AN526" s="207" t="n"/>
      <c r="AO526" s="207" t="n"/>
      <c r="AP526" s="207">
        <f>817-AQ526</f>
        <v/>
      </c>
      <c r="AQ526" s="207" t="n">
        <v>195</v>
      </c>
      <c r="AR526" s="207" t="n">
        <v>150</v>
      </c>
      <c r="AS526" s="207" t="n">
        <v>0</v>
      </c>
      <c r="AT526" s="207" t="n">
        <v>0</v>
      </c>
      <c r="AU526" s="207" t="n">
        <v>0</v>
      </c>
      <c r="AV526" s="207" t="n">
        <v>0</v>
      </c>
      <c r="AW526" s="207" t="n">
        <v>0</v>
      </c>
      <c r="AX526" s="208" t="n">
        <v>1</v>
      </c>
      <c r="AY526" s="209">
        <f>L526*AX526+AP526+AQ526+AR526+AV526+AW526+AS526+AT526+AU526</f>
        <v/>
      </c>
      <c r="AZ526" s="207" t="n">
        <v>12164.52</v>
      </c>
      <c r="BA526" s="207" t="n">
        <v>0</v>
      </c>
      <c r="BB526" s="207">
        <f>AZ526*0.006</f>
        <v/>
      </c>
      <c r="BC526" s="209">
        <f>AZ526+BA526-BB526</f>
        <v/>
      </c>
      <c r="BD526" s="207" t="n">
        <v>0</v>
      </c>
      <c r="BE526" s="207" t="n">
        <v>0</v>
      </c>
      <c r="BF526" s="209">
        <f>BD526+BE526</f>
        <v/>
      </c>
      <c r="BG526" s="209">
        <f>BC526-AY526+BF526</f>
        <v/>
      </c>
      <c r="BH526" s="86" t="inlineStr">
        <is>
          <t>齐檬洋</t>
        </is>
      </c>
      <c r="BI526" s="86" t="inlineStr">
        <is>
          <t>浙江省 台州市 天台县 赤城街道九峰村叶家井42号</t>
        </is>
      </c>
      <c r="BJ526" s="86" t="inlineStr">
        <is>
          <t>18413588743-2631</t>
        </is>
      </c>
      <c r="BK526" s="86" t="n"/>
      <c r="BL526" s="210" t="n"/>
      <c r="BM526" s="93" t="n"/>
      <c r="BN526" s="94" t="n"/>
      <c r="BO526" s="93" t="n"/>
      <c r="BP526" s="86" t="n"/>
      <c r="BQ526" s="96" t="n"/>
      <c r="BR526" s="96" t="n"/>
      <c r="BS526" s="97" t="n"/>
      <c r="BT526" s="96" t="n"/>
      <c r="BU526" s="97" t="n"/>
      <c r="BV526" s="96" t="n"/>
      <c r="BW526" s="97" t="n"/>
      <c r="BX526" s="97" t="n"/>
      <c r="BY526" s="97" t="n"/>
      <c r="BZ526" s="97" t="n"/>
      <c r="CH526" s="2" t="n"/>
      <c r="CI526" s="14" t="n"/>
      <c r="CJ526" s="25" t="n"/>
      <c r="CK526" s="25" t="n"/>
      <c r="CL526" s="25" t="n"/>
      <c r="CM526" s="25" t="n"/>
      <c r="CN526" s="25" t="n"/>
      <c r="CO526" s="25" t="n"/>
      <c r="CP526" s="25" t="n"/>
      <c r="CQ526" s="25" t="n"/>
      <c r="CR526" s="25" t="n"/>
      <c r="CS526" s="25" t="n"/>
      <c r="CT526" s="25" t="n"/>
      <c r="CU526" s="25" t="n"/>
      <c r="CV526" s="25" t="n"/>
      <c r="CW526" s="25" t="n"/>
      <c r="CX526" s="25" t="n"/>
      <c r="CY526" s="25" t="n"/>
      <c r="DC526" s="26" t="n"/>
      <c r="DD526" s="26" t="n"/>
      <c r="DE526" s="26" t="n"/>
      <c r="DF526" s="26" t="n"/>
      <c r="DG526" s="26" t="n"/>
      <c r="DH526" s="27" t="n"/>
      <c r="DJ526" s="238" t="inlineStr">
        <is>
          <t>✓ 金额一致</t>
        </is>
      </c>
      <c r="DK526" t="inlineStr">
        <is>
          <t>12164.52</t>
        </is>
      </c>
      <c r="DL526" s="239" t="n">
        <v>0</v>
      </c>
    </row>
    <row r="527" ht="15.75" customHeight="1" s="187">
      <c r="A527" s="84" t="n">
        <v>46026</v>
      </c>
      <c r="B527" s="206" t="inlineStr">
        <is>
          <t>已收货</t>
        </is>
      </c>
      <c r="C527" s="86" t="inlineStr">
        <is>
          <t>4987718031735486210</t>
        </is>
      </c>
      <c r="D527" s="86" t="inlineStr">
        <is>
          <t>齐檬洋</t>
        </is>
      </c>
      <c r="E527" s="87" t="n"/>
      <c r="F527" s="87" t="n"/>
      <c r="G527" s="207" t="inlineStr">
        <is>
          <t>补差价</t>
        </is>
      </c>
      <c r="H527" s="207" t="inlineStr">
        <is>
          <t>洞石餐边柜</t>
        </is>
      </c>
      <c r="I527" s="89" t="n"/>
      <c r="J527" s="87" t="inlineStr">
        <is>
          <t>已结算</t>
        </is>
      </c>
      <c r="K527" s="87" t="inlineStr">
        <is>
          <t>江西</t>
        </is>
      </c>
      <c r="L527" s="216" t="n">
        <v>0</v>
      </c>
      <c r="M527" s="216" t="n">
        <v>0</v>
      </c>
      <c r="N527" s="216" t="n"/>
      <c r="O527" s="216" t="n"/>
      <c r="P527" s="216" t="n"/>
      <c r="Q527" s="216" t="n"/>
      <c r="R527" s="207" t="n"/>
      <c r="S527" s="216" t="n"/>
      <c r="T527" s="216" t="n"/>
      <c r="U527" s="216" t="n"/>
      <c r="V527" s="216" t="n"/>
      <c r="W527" s="216" t="n"/>
      <c r="X527" s="216" t="n"/>
      <c r="Y527" s="216" t="n"/>
      <c r="Z527" s="216" t="n"/>
      <c r="AA527" s="216" t="n"/>
      <c r="AB527" s="216" t="n"/>
      <c r="AC527" s="216" t="n"/>
      <c r="AD527" s="216" t="n"/>
      <c r="AE527" s="216" t="n"/>
      <c r="AF527" s="216" t="n"/>
      <c r="AG527" s="216" t="n"/>
      <c r="AH527" s="216" t="n"/>
      <c r="AI527" s="216" t="n"/>
      <c r="AJ527" s="216" t="n"/>
      <c r="AK527" s="216" t="n"/>
      <c r="AL527" s="216" t="n"/>
      <c r="AM527" s="207" t="n"/>
      <c r="AN527" s="207" t="n"/>
      <c r="AO527" s="207" t="n"/>
      <c r="AP527" s="207" t="n">
        <v>0</v>
      </c>
      <c r="AQ527" s="207" t="n">
        <v>0</v>
      </c>
      <c r="AR527" s="207" t="n">
        <v>0</v>
      </c>
      <c r="AS527" s="207" t="n">
        <v>0</v>
      </c>
      <c r="AT527" s="207" t="n">
        <v>0</v>
      </c>
      <c r="AU527" s="207" t="n">
        <v>0</v>
      </c>
      <c r="AV527" s="207" t="n">
        <v>0</v>
      </c>
      <c r="AW527" s="207" t="n">
        <v>0</v>
      </c>
      <c r="AX527" s="208" t="n">
        <v>1</v>
      </c>
      <c r="AY527" s="209">
        <f>L527*AX527+AP527+AQ527+AR527+AV527+AW527+AS527+AT527+AU527</f>
        <v/>
      </c>
      <c r="AZ527" s="207" t="n">
        <v>2480</v>
      </c>
      <c r="BA527" s="207" t="n">
        <v>0</v>
      </c>
      <c r="BB527" s="207">
        <f>AZ527*0.006</f>
        <v/>
      </c>
      <c r="BC527" s="209">
        <f>AZ527+BA527-BB527</f>
        <v/>
      </c>
      <c r="BD527" s="207" t="n">
        <v>0</v>
      </c>
      <c r="BE527" s="207" t="n">
        <v>0</v>
      </c>
      <c r="BF527" s="209">
        <f>BD527+BE527</f>
        <v/>
      </c>
      <c r="BG527" s="209">
        <f>BC527-AY527+BF527</f>
        <v/>
      </c>
      <c r="BH527" s="86" t="inlineStr">
        <is>
          <t>齐檬洋</t>
        </is>
      </c>
      <c r="BI527" s="86" t="inlineStr">
        <is>
          <t>浙江省 台州市 天台县 赤城街道九峰村叶家井42号</t>
        </is>
      </c>
      <c r="BJ527" s="86" t="inlineStr">
        <is>
          <t>18413588743-2631</t>
        </is>
      </c>
      <c r="BK527" s="86" t="n"/>
      <c r="BL527" s="210" t="n"/>
      <c r="BM527" s="93" t="n"/>
      <c r="BN527" s="94" t="n"/>
      <c r="BO527" s="93" t="n"/>
      <c r="BP527" s="86" t="n"/>
      <c r="BQ527" s="96" t="n"/>
      <c r="BR527" s="96" t="n"/>
      <c r="BS527" s="97" t="n"/>
      <c r="BT527" s="96" t="n"/>
      <c r="BU527" s="97" t="n"/>
      <c r="BV527" s="96" t="n"/>
      <c r="BW527" s="97" t="n"/>
      <c r="BX527" s="97" t="n"/>
      <c r="BY527" s="97" t="n"/>
      <c r="BZ527" s="97" t="n"/>
      <c r="CH527" s="2" t="n"/>
      <c r="CI527" s="14" t="n"/>
      <c r="CJ527" s="25" t="n"/>
      <c r="CK527" s="25" t="n"/>
      <c r="CL527" s="25" t="n"/>
      <c r="CM527" s="25" t="n"/>
      <c r="CN527" s="25" t="n"/>
      <c r="CO527" s="25" t="n"/>
      <c r="CP527" s="25" t="n"/>
      <c r="CQ527" s="25" t="n"/>
      <c r="CR527" s="25" t="n"/>
      <c r="CS527" s="25" t="n"/>
      <c r="CT527" s="25" t="n"/>
      <c r="CU527" s="25" t="n"/>
      <c r="CV527" s="25" t="n"/>
      <c r="CW527" s="25" t="n"/>
      <c r="CX527" s="25" t="n"/>
      <c r="CY527" s="25" t="n"/>
      <c r="DC527" s="26" t="n"/>
      <c r="DD527" s="26" t="n"/>
      <c r="DE527" s="26" t="n"/>
      <c r="DF527" s="26" t="n"/>
      <c r="DG527" s="26" t="n"/>
      <c r="DH527" s="27" t="n"/>
      <c r="DJ527" s="238" t="inlineStr">
        <is>
          <t>✓ 金额一致</t>
        </is>
      </c>
      <c r="DK527" t="inlineStr">
        <is>
          <t>2480.00</t>
        </is>
      </c>
      <c r="DL527" s="239" t="n">
        <v>0</v>
      </c>
    </row>
    <row r="528" ht="15.75" customHeight="1" s="187">
      <c r="A528" s="99" t="n">
        <v>46026</v>
      </c>
      <c r="B528" s="100" t="inlineStr">
        <is>
          <t>已退款</t>
        </is>
      </c>
      <c r="C528" s="101" t="inlineStr">
        <is>
          <t>3164065860408317861</t>
        </is>
      </c>
      <c r="D528" s="100" t="inlineStr">
        <is>
          <t>刘小姐</t>
        </is>
      </c>
      <c r="E528" s="100" t="n"/>
      <c r="F528" s="100" t="n"/>
      <c r="G528" s="100" t="inlineStr">
        <is>
          <t>样块</t>
        </is>
      </c>
      <c r="H528" s="100" t="inlineStr">
        <is>
          <t>样块</t>
        </is>
      </c>
      <c r="I528" s="102" t="n"/>
      <c r="J528" s="100" t="inlineStr">
        <is>
          <t>已结算</t>
        </is>
      </c>
      <c r="K528" s="100" t="inlineStr">
        <is>
          <t>杭州</t>
        </is>
      </c>
      <c r="L528" s="213">
        <f>SUM(M528:AO528)</f>
        <v/>
      </c>
      <c r="M528" s="213" t="n">
        <v>0</v>
      </c>
      <c r="N528" s="212" t="n"/>
      <c r="O528" s="212" t="n"/>
      <c r="P528" s="212" t="n"/>
      <c r="Q528" s="212" t="n"/>
      <c r="R528" s="212" t="n"/>
      <c r="S528" s="212" t="n"/>
      <c r="T528" s="212" t="n"/>
      <c r="U528" s="212" t="n"/>
      <c r="V528" s="212" t="n"/>
      <c r="W528" s="212" t="n"/>
      <c r="X528" s="212" t="n"/>
      <c r="Y528" s="212" t="n"/>
      <c r="Z528" s="212" t="n"/>
      <c r="AA528" s="212" t="n"/>
      <c r="AB528" s="212" t="n"/>
      <c r="AC528" s="212" t="n"/>
      <c r="AD528" s="212" t="n"/>
      <c r="AE528" s="212" t="n"/>
      <c r="AF528" s="212" t="n"/>
      <c r="AG528" s="212" t="n"/>
      <c r="AH528" s="212" t="n"/>
      <c r="AI528" s="212" t="n"/>
      <c r="AJ528" s="212" t="n"/>
      <c r="AK528" s="212" t="n"/>
      <c r="AL528" s="212" t="n"/>
      <c r="AM528" s="213" t="n">
        <v>2</v>
      </c>
      <c r="AN528" s="213" t="n"/>
      <c r="AO528" s="213" t="n"/>
      <c r="AP528" s="213" t="n">
        <v>0</v>
      </c>
      <c r="AQ528" s="213" t="n">
        <v>0</v>
      </c>
      <c r="AR528" s="213" t="n">
        <v>0</v>
      </c>
      <c r="AS528" s="213" t="n">
        <v>0</v>
      </c>
      <c r="AT528" s="213" t="n">
        <v>0</v>
      </c>
      <c r="AU528" s="213" t="n">
        <v>0</v>
      </c>
      <c r="AV528" s="213" t="n">
        <v>0</v>
      </c>
      <c r="AW528" s="213" t="n">
        <v>0</v>
      </c>
      <c r="AX528" s="214" t="n">
        <v>1</v>
      </c>
      <c r="AY528" s="213">
        <f>L528*AX528+AP528+AQ528+AR528+AV528+AW528+AS528+AT528+AU528</f>
        <v/>
      </c>
      <c r="AZ528" s="213" t="n">
        <v>0</v>
      </c>
      <c r="BA528" s="213" t="n">
        <v>0</v>
      </c>
      <c r="BB528" s="213">
        <f>AZ528*0.006</f>
        <v/>
      </c>
      <c r="BC528" s="213">
        <f>AZ528+BA528-BB528</f>
        <v/>
      </c>
      <c r="BD528" s="213" t="n">
        <v>0</v>
      </c>
      <c r="BE528" s="213" t="n">
        <v>0</v>
      </c>
      <c r="BF528" s="213">
        <f>BD528+BE528</f>
        <v/>
      </c>
      <c r="BG528" s="213">
        <f>BC528-AY528+BF528</f>
        <v/>
      </c>
      <c r="BH528" s="100" t="inlineStr">
        <is>
          <t>刘小姐</t>
        </is>
      </c>
      <c r="BI528" s="100" t="inlineStr">
        <is>
          <t>广东省 深圳市 南山区 桃源街道 汉园茗院B区3栋2单元1003</t>
        </is>
      </c>
      <c r="BJ528" s="100" t="inlineStr">
        <is>
          <t>13113639040-1321</t>
        </is>
      </c>
      <c r="BK528" s="101" t="n"/>
      <c r="BL528" s="215" t="n"/>
      <c r="BM528" s="107" t="n"/>
      <c r="BN528" s="108" t="n"/>
      <c r="BO528" s="107" t="n"/>
      <c r="BP528" s="101" t="n"/>
      <c r="BQ528" s="109" t="n"/>
      <c r="BR528" s="109" t="n"/>
      <c r="BS528" s="100" t="n"/>
      <c r="BT528" s="109" t="n"/>
      <c r="BU528" s="100" t="n"/>
      <c r="BV528" s="109" t="n"/>
      <c r="BW528" s="100" t="n"/>
      <c r="BX528" s="100" t="n"/>
      <c r="BY528" s="100" t="n"/>
      <c r="BZ528" s="100" t="n"/>
      <c r="CA528" s="98" t="n"/>
      <c r="CH528" s="2" t="n"/>
      <c r="CI528" s="14" t="n"/>
      <c r="CY528" s="25" t="n"/>
      <c r="DA528" s="25" t="n"/>
      <c r="DC528" s="26" t="n"/>
      <c r="DD528" s="26" t="n"/>
      <c r="DE528" s="26" t="n"/>
      <c r="DF528" s="26" t="n"/>
      <c r="DG528" s="26" t="n"/>
      <c r="DH528" s="27" t="n"/>
      <c r="DJ528" s="211" t="inlineStr">
        <is>
          <t>订单表中未找到</t>
        </is>
      </c>
      <c r="DK528" t="inlineStr">
        <is>
          <t>—</t>
        </is>
      </c>
      <c r="DL528" t="inlineStr">
        <is>
          <t>—</t>
        </is>
      </c>
    </row>
    <row r="529" ht="15.75" customHeight="1" s="187">
      <c r="A529" s="84" t="n">
        <v>46026</v>
      </c>
      <c r="B529" s="206" t="inlineStr">
        <is>
          <t>已收货</t>
        </is>
      </c>
      <c r="C529" s="86" t="inlineStr">
        <is>
          <t>3164150282495397568</t>
        </is>
      </c>
      <c r="D529" s="86" t="inlineStr">
        <is>
          <t>林先生</t>
        </is>
      </c>
      <c r="E529" s="87" t="inlineStr">
        <is>
          <t>发错两次快递，发错的板子让物流退回</t>
        </is>
      </c>
      <c r="F529" s="87" t="n"/>
      <c r="G529" s="87" t="inlineStr">
        <is>
          <t>砂白色1.6米岩板餐桌（发错两次快递，发错的板子让物流退回）</t>
        </is>
      </c>
      <c r="H529" s="207" t="inlineStr">
        <is>
          <t>榉木餐桌</t>
        </is>
      </c>
      <c r="I529" s="89" t="inlineStr">
        <is>
          <t>160cm*85cm</t>
        </is>
      </c>
      <c r="J529" s="87" t="inlineStr">
        <is>
          <t>已结算</t>
        </is>
      </c>
      <c r="K529" s="87" t="inlineStr">
        <is>
          <t>江西</t>
        </is>
      </c>
      <c r="L529" s="207">
        <f>SUM(M529:AO529)</f>
        <v/>
      </c>
      <c r="M529" s="207">
        <f>1350</f>
        <v/>
      </c>
      <c r="N529" s="207" t="n"/>
      <c r="O529" s="207" t="n"/>
      <c r="P529" s="207" t="n"/>
      <c r="Q529" s="207" t="n"/>
      <c r="R529" s="207" t="n">
        <v>240</v>
      </c>
      <c r="S529" s="207" t="n"/>
      <c r="T529" s="207" t="n"/>
      <c r="U529" s="207" t="n"/>
      <c r="V529" s="207" t="n"/>
      <c r="W529" s="207" t="n"/>
      <c r="X529" s="207" t="n"/>
      <c r="Y529" s="207" t="n"/>
      <c r="Z529" s="207" t="n"/>
      <c r="AA529" s="207" t="n"/>
      <c r="AB529" s="207" t="n"/>
      <c r="AC529" s="207" t="n"/>
      <c r="AD529" s="240" t="n">
        <v>2.5</v>
      </c>
      <c r="AE529" s="207" t="n"/>
      <c r="AF529" s="207" t="n"/>
      <c r="AG529" s="207" t="n"/>
      <c r="AH529" s="207" t="n"/>
      <c r="AI529" s="207" t="n"/>
      <c r="AJ529" s="207" t="n"/>
      <c r="AK529" s="207" t="n"/>
      <c r="AL529" s="207" t="n"/>
      <c r="AM529" s="207" t="n">
        <v>190</v>
      </c>
      <c r="AN529" s="207" t="n"/>
      <c r="AO529" s="207" t="n"/>
      <c r="AP529" s="207">
        <f>173-AQ529</f>
        <v/>
      </c>
      <c r="AQ529" s="207" t="n">
        <v>35</v>
      </c>
      <c r="AR529" s="207" t="n">
        <v>100</v>
      </c>
      <c r="AS529" s="207" t="n">
        <v>0</v>
      </c>
      <c r="AT529" s="207" t="n">
        <v>0</v>
      </c>
      <c r="AU529" s="207" t="n">
        <v>0</v>
      </c>
      <c r="AV529" s="207" t="n">
        <v>0</v>
      </c>
      <c r="AW529" s="207" t="n">
        <v>0</v>
      </c>
      <c r="AX529" s="208" t="n">
        <v>1</v>
      </c>
      <c r="AY529" s="209">
        <f>L529*AX529+AP529+AQ529+AR529+AV529+AW529+AS529+AT529+AU529</f>
        <v/>
      </c>
      <c r="AZ529" s="207" t="n">
        <v>2754.55</v>
      </c>
      <c r="BA529" s="207" t="n">
        <v>0</v>
      </c>
      <c r="BB529" s="207">
        <f>AZ529*0.006</f>
        <v/>
      </c>
      <c r="BC529" s="209">
        <f>AZ529+BA529-BB529</f>
        <v/>
      </c>
      <c r="BD529" s="207" t="n">
        <v>0</v>
      </c>
      <c r="BE529" s="207" t="n">
        <v>0</v>
      </c>
      <c r="BF529" s="209">
        <f>BD529+BE529</f>
        <v/>
      </c>
      <c r="BG529" s="209">
        <f>BC529-AY529+BF529</f>
        <v/>
      </c>
      <c r="BH529" s="86" t="inlineStr">
        <is>
          <t>林先生</t>
        </is>
      </c>
      <c r="BI529" s="86" t="inlineStr">
        <is>
          <t>福建省 厦门市 思明区 嘉莲街道莲秀里鹭江新城一期南门9#903</t>
        </is>
      </c>
      <c r="BJ529" s="86" t="inlineStr">
        <is>
          <t>18649624307-8633</t>
        </is>
      </c>
      <c r="BK529" s="86" t="n"/>
      <c r="BL529" s="210" t="n"/>
      <c r="BM529" s="93" t="n"/>
      <c r="BN529" s="94" t="n"/>
      <c r="BO529" s="93" t="n"/>
      <c r="BP529" s="86" t="n"/>
      <c r="BQ529" s="96" t="n"/>
      <c r="BR529" s="96" t="n"/>
      <c r="BS529" s="97" t="n"/>
      <c r="BT529" s="96" t="n"/>
      <c r="BU529" s="97" t="n"/>
      <c r="BV529" s="96" t="n"/>
      <c r="BW529" s="97" t="n"/>
      <c r="BX529" s="97" t="n"/>
      <c r="BY529" s="97" t="n"/>
      <c r="BZ529" s="97" t="n"/>
      <c r="CH529" s="2" t="n"/>
      <c r="CI529" s="14" t="n"/>
      <c r="CJ529" s="25" t="n"/>
      <c r="CK529" s="25" t="n"/>
      <c r="CL529" s="25" t="n"/>
      <c r="CM529" s="25" t="n"/>
      <c r="CN529" s="25" t="n"/>
      <c r="CO529" s="25" t="n"/>
      <c r="CP529" s="25" t="n"/>
      <c r="CQ529" s="25" t="n"/>
      <c r="CR529" s="25" t="n"/>
      <c r="CS529" s="25" t="n"/>
      <c r="CT529" s="25" t="n"/>
      <c r="CU529" s="25" t="n"/>
      <c r="CV529" s="25" t="n"/>
      <c r="CW529" s="25" t="n"/>
      <c r="CX529" s="25" t="n"/>
      <c r="CY529" s="25" t="n"/>
      <c r="DC529" s="26" t="n"/>
      <c r="DD529" s="26" t="n"/>
      <c r="DE529" s="26" t="n"/>
      <c r="DF529" s="26" t="n"/>
      <c r="DG529" s="26" t="n"/>
      <c r="DH529" s="27" t="n"/>
      <c r="DJ529" s="238" t="inlineStr">
        <is>
          <t>✓ 金额一致</t>
        </is>
      </c>
      <c r="DK529" t="n">
        <v>2754.55</v>
      </c>
      <c r="DL529" s="239" t="n">
        <v>0</v>
      </c>
    </row>
    <row r="530" ht="15.75" customHeight="1" s="187">
      <c r="A530" s="84" t="n">
        <v>46027</v>
      </c>
      <c r="B530" s="206" t="inlineStr">
        <is>
          <t>已收货</t>
        </is>
      </c>
      <c r="C530" s="86" t="inlineStr">
        <is>
          <t>4990013425203542801</t>
        </is>
      </c>
      <c r="D530" s="86" t="inlineStr">
        <is>
          <t>李冰玉</t>
        </is>
      </c>
      <c r="E530" s="87" t="n"/>
      <c r="F530" s="87" t="n"/>
      <c r="G530" s="87" t="inlineStr">
        <is>
          <t>1.2窄柜</t>
        </is>
      </c>
      <c r="H530" s="207" t="inlineStr">
        <is>
          <t>樱桃木窄柜</t>
        </is>
      </c>
      <c r="I530" s="89" t="n">
        <v>1200</v>
      </c>
      <c r="J530" s="87" t="inlineStr">
        <is>
          <t>已结算</t>
        </is>
      </c>
      <c r="K530" s="87" t="inlineStr">
        <is>
          <t>江西</t>
        </is>
      </c>
      <c r="L530" s="207">
        <f>3400+115+1.16+3.37+1.1+1.03+76/2+8+411.08+3+10+52+300*1.2*0.48+5*10+190+54+18</f>
        <v/>
      </c>
      <c r="M530" s="207">
        <f>3400</f>
        <v/>
      </c>
      <c r="N530" s="207" t="n">
        <v>115</v>
      </c>
      <c r="O530" s="207" t="n"/>
      <c r="P530" s="207" t="n"/>
      <c r="Q530" s="207" t="n"/>
      <c r="R530" s="207" t="n"/>
      <c r="S530" s="207" t="n"/>
      <c r="T530" s="207" t="n">
        <v>27791</v>
      </c>
      <c r="U530" s="207" t="n"/>
      <c r="V530" s="207" t="n"/>
      <c r="W530" s="207" t="n">
        <v>8</v>
      </c>
      <c r="X530" s="207" t="n">
        <v>411.08</v>
      </c>
      <c r="Y530" s="207" t="n">
        <v>3</v>
      </c>
      <c r="Z530" s="207" t="n"/>
      <c r="AA530" s="207" t="n"/>
      <c r="AB530" s="207" t="n"/>
      <c r="AC530" s="207" t="n">
        <v>190</v>
      </c>
      <c r="AD530" s="207" t="n">
        <v>52</v>
      </c>
      <c r="AE530" s="207" t="n">
        <v>10</v>
      </c>
      <c r="AF530" s="207" t="inlineStr">
        <is>
          <t>300*1.2*0.48</t>
        </is>
      </c>
      <c r="AG530" s="207" t="n"/>
      <c r="AH530" s="207" t="n"/>
      <c r="AI530" s="207" t="n"/>
      <c r="AJ530" s="207" t="inlineStr">
        <is>
          <t>5*10</t>
        </is>
      </c>
      <c r="AK530" s="207" t="n"/>
      <c r="AL530" s="207" t="n"/>
      <c r="AM530" s="207" t="n">
        <v>54</v>
      </c>
      <c r="AN530" s="207" t="n"/>
      <c r="AO530" s="207" t="n"/>
      <c r="AP530" s="207">
        <f>415-AQ530</f>
        <v/>
      </c>
      <c r="AQ530" s="207" t="n">
        <v>76</v>
      </c>
      <c r="AR530" s="207" t="n">
        <v>105</v>
      </c>
      <c r="AS530" s="207" t="n">
        <v>0</v>
      </c>
      <c r="AT530" s="207" t="n">
        <v>200</v>
      </c>
      <c r="AU530" s="207" t="n">
        <v>0</v>
      </c>
      <c r="AV530" s="207" t="n">
        <v>0</v>
      </c>
      <c r="AW530" s="207" t="n">
        <v>0</v>
      </c>
      <c r="AX530" s="208" t="n">
        <v>1</v>
      </c>
      <c r="AY530" s="209">
        <f>L530*AX530+AP530+AQ530+AR530+AV530+AW530+AS530+AT530+AU530</f>
        <v/>
      </c>
      <c r="AZ530" s="207" t="n">
        <v>5978.95</v>
      </c>
      <c r="BA530" s="207" t="n">
        <v>0</v>
      </c>
      <c r="BB530" s="207">
        <f>AZ530*0.006</f>
        <v/>
      </c>
      <c r="BC530" s="209">
        <f>AZ530+BA530-BB530</f>
        <v/>
      </c>
      <c r="BD530" s="207" t="n">
        <v>0</v>
      </c>
      <c r="BE530" s="207" t="n">
        <v>0</v>
      </c>
      <c r="BF530" s="209">
        <f>BD530+BE530</f>
        <v/>
      </c>
      <c r="BG530" s="209">
        <f>BC530-AY530+BF530</f>
        <v/>
      </c>
      <c r="BH530" s="86" t="inlineStr">
        <is>
          <t>李冰玉</t>
        </is>
      </c>
      <c r="BI530" s="86" t="inlineStr">
        <is>
          <t>山东省 临沂市 兰山区 金雀山街道沂蒙路189号五金站家属院菜鸟驿站</t>
        </is>
      </c>
      <c r="BJ530" s="86" t="inlineStr">
        <is>
          <t>18764962940-7786</t>
        </is>
      </c>
      <c r="BK530" s="86" t="n"/>
      <c r="BL530" s="210" t="n"/>
      <c r="BM530" s="93" t="n"/>
      <c r="BN530" s="94" t="n"/>
      <c r="BO530" s="93" t="n"/>
      <c r="BP530" s="86" t="n"/>
      <c r="BQ530" s="96" t="n"/>
      <c r="BR530" s="96" t="n"/>
      <c r="BS530" s="97" t="n"/>
      <c r="BT530" s="96" t="n"/>
      <c r="BU530" s="97" t="n"/>
      <c r="BV530" s="96" t="n"/>
      <c r="BW530" s="97" t="n"/>
      <c r="BX530" s="97" t="n"/>
      <c r="BY530" s="97" t="n"/>
      <c r="BZ530" s="97" t="n"/>
      <c r="CH530" s="2" t="n"/>
      <c r="CI530" s="14" t="n"/>
      <c r="CJ530" s="25" t="n"/>
      <c r="CK530" s="25" t="n"/>
      <c r="CL530" s="25" t="n"/>
      <c r="CM530" s="25" t="n"/>
      <c r="CN530" s="25" t="n"/>
      <c r="CO530" s="25" t="n"/>
      <c r="CP530" s="25" t="n"/>
      <c r="CQ530" s="25" t="n"/>
      <c r="CR530" s="25" t="n"/>
      <c r="CS530" s="25" t="n"/>
      <c r="CT530" s="25" t="n"/>
      <c r="CU530" s="25" t="n"/>
      <c r="CV530" s="25" t="n"/>
      <c r="CW530" s="25" t="n"/>
      <c r="CX530" s="25" t="n"/>
      <c r="CY530" s="25" t="n"/>
      <c r="DC530" s="26" t="n"/>
      <c r="DD530" s="26" t="n"/>
      <c r="DE530" s="26" t="n"/>
      <c r="DF530" s="26" t="n"/>
      <c r="DG530" s="26" t="n"/>
      <c r="DH530" s="27" t="n"/>
      <c r="DJ530" s="238" t="inlineStr">
        <is>
          <t>✓ 金额一致</t>
        </is>
      </c>
      <c r="DK530" t="n">
        <v>5978.95</v>
      </c>
      <c r="DL530" s="239" t="n">
        <v>0</v>
      </c>
    </row>
    <row r="531" ht="15.75" customHeight="1" s="187">
      <c r="A531" s="84" t="n">
        <v>46027</v>
      </c>
      <c r="B531" s="206" t="inlineStr">
        <is>
          <t>已收货</t>
        </is>
      </c>
      <c r="C531" s="86" t="inlineStr">
        <is>
          <t>4990031641055288812</t>
        </is>
      </c>
      <c r="D531" s="86" t="inlineStr">
        <is>
          <t>細婷</t>
        </is>
      </c>
      <c r="E531" s="87" t="inlineStr">
        <is>
          <t>福建张女士退货岩板转寄</t>
        </is>
      </c>
      <c r="F531" s="87" t="n"/>
      <c r="G531" s="87" t="inlineStr">
        <is>
          <t>砂白色1.8米岩板餐桌</t>
        </is>
      </c>
      <c r="H531" s="207" t="inlineStr">
        <is>
          <t>榉木餐桌</t>
        </is>
      </c>
      <c r="I531" s="89" t="inlineStr">
        <is>
          <t>180cm*85cm</t>
        </is>
      </c>
      <c r="J531" s="87" t="inlineStr">
        <is>
          <t>已结算</t>
        </is>
      </c>
      <c r="K531" s="86" t="inlineStr">
        <is>
          <t>庄毅</t>
        </is>
      </c>
      <c r="L531" s="207">
        <f>SUM(M531:AO531)</f>
        <v/>
      </c>
      <c r="M531" s="207">
        <f>1400</f>
        <v/>
      </c>
      <c r="N531" s="216" t="n"/>
      <c r="O531" s="216" t="n"/>
      <c r="P531" s="216" t="n"/>
      <c r="Q531" s="216" t="n"/>
      <c r="R531" s="207">
        <f>180*1.8*0.85</f>
        <v/>
      </c>
      <c r="S531" s="216" t="n"/>
      <c r="T531" s="216" t="n"/>
      <c r="U531" s="216" t="n"/>
      <c r="V531" s="216" t="n"/>
      <c r="W531" s="216" t="n"/>
      <c r="X531" s="216" t="n"/>
      <c r="Y531" s="216" t="n"/>
      <c r="Z531" s="216" t="n"/>
      <c r="AA531" s="216" t="n"/>
      <c r="AB531" s="216" t="n"/>
      <c r="AC531" s="216" t="n"/>
      <c r="AD531" s="240" t="n">
        <v>2.5</v>
      </c>
      <c r="AE531" s="216" t="n"/>
      <c r="AF531" s="216" t="n"/>
      <c r="AG531" s="216" t="n"/>
      <c r="AH531" s="216" t="n"/>
      <c r="AI531" s="216" t="n"/>
      <c r="AJ531" s="216" t="n"/>
      <c r="AK531" s="216" t="n"/>
      <c r="AL531" s="216" t="n"/>
      <c r="AM531" s="207" t="n"/>
      <c r="AN531" s="207" t="n"/>
      <c r="AO531" s="207" t="n"/>
      <c r="AP531" s="121" t="n">
        <v>350</v>
      </c>
      <c r="AQ531" s="121" t="n">
        <v>100</v>
      </c>
      <c r="AR531" s="121" t="n">
        <v>150</v>
      </c>
      <c r="AS531" s="207" t="n">
        <v>0</v>
      </c>
      <c r="AT531" s="207" t="n">
        <v>0</v>
      </c>
      <c r="AU531" s="207" t="n">
        <v>0</v>
      </c>
      <c r="AV531" s="207" t="n">
        <v>0</v>
      </c>
      <c r="AW531" s="207" t="n">
        <v>0</v>
      </c>
      <c r="AX531" s="208" t="n">
        <v>1</v>
      </c>
      <c r="AY531" s="209">
        <f>L531*AX531+AP531+AQ531+AR531+AV531+AW531+AS531+AT531+AU531</f>
        <v/>
      </c>
      <c r="AZ531" s="207" t="n">
        <v>2871.25</v>
      </c>
      <c r="BA531" s="207" t="n">
        <v>0</v>
      </c>
      <c r="BB531" s="207">
        <f>AZ531*0.006</f>
        <v/>
      </c>
      <c r="BC531" s="209">
        <f>AZ531+BA531-BB531</f>
        <v/>
      </c>
      <c r="BD531" s="207" t="n">
        <v>0</v>
      </c>
      <c r="BE531" s="207" t="n">
        <v>0</v>
      </c>
      <c r="BF531" s="209">
        <f>BD531+BE531</f>
        <v/>
      </c>
      <c r="BG531" s="209">
        <f>BC531-AY531+BF531</f>
        <v/>
      </c>
      <c r="BH531" s="86" t="inlineStr">
        <is>
          <t>細婷</t>
        </is>
      </c>
      <c r="BI531" s="86" t="inlineStr">
        <is>
          <t>广东省 佛山市 顺德区 容桂街道华丰三路11号</t>
        </is>
      </c>
      <c r="BJ531" s="86" t="inlineStr">
        <is>
          <t>15015715372-5294</t>
        </is>
      </c>
      <c r="BK531" s="86" t="n"/>
      <c r="BL531" s="210" t="n"/>
      <c r="BM531" s="93" t="n"/>
      <c r="BN531" s="94" t="n"/>
      <c r="BO531" s="93" t="n"/>
      <c r="BP531" s="86" t="n"/>
      <c r="BQ531" s="96" t="n"/>
      <c r="BR531" s="96" t="n"/>
      <c r="BS531" s="97" t="n"/>
      <c r="BT531" s="96" t="n"/>
      <c r="BU531" s="97" t="n"/>
      <c r="BV531" s="96" t="n"/>
      <c r="BW531" s="97" t="n"/>
      <c r="BX531" s="97" t="n"/>
      <c r="BY531" s="97" t="n"/>
      <c r="BZ531" s="97" t="n"/>
      <c r="CH531" s="2" t="n"/>
      <c r="CI531" s="14" t="n"/>
      <c r="CJ531" s="25" t="n"/>
      <c r="CK531" s="25" t="n"/>
      <c r="CL531" s="25" t="n"/>
      <c r="CM531" s="25" t="n"/>
      <c r="CN531" s="25" t="n"/>
      <c r="CO531" s="25" t="n"/>
      <c r="CP531" s="25" t="n"/>
      <c r="CQ531" s="25" t="n"/>
      <c r="CR531" s="25" t="n"/>
      <c r="CS531" s="25" t="n"/>
      <c r="CT531" s="25" t="n"/>
      <c r="CU531" s="25" t="n"/>
      <c r="CV531" s="25" t="n"/>
      <c r="CW531" s="25" t="n"/>
      <c r="CX531" s="25" t="n"/>
      <c r="CY531" s="25" t="n"/>
      <c r="DC531" s="26" t="n"/>
      <c r="DD531" s="26" t="n"/>
      <c r="DE531" s="26" t="n"/>
      <c r="DF531" s="26" t="n"/>
      <c r="DG531" s="26" t="n"/>
      <c r="DH531" s="27" t="n"/>
      <c r="DJ531" s="238" t="inlineStr">
        <is>
          <t>✓ 金额一致</t>
        </is>
      </c>
      <c r="DK531" t="inlineStr">
        <is>
          <t>2871.25</t>
        </is>
      </c>
      <c r="DL531" s="239" t="n">
        <v>0</v>
      </c>
    </row>
    <row r="532" ht="15.75" customHeight="1" s="187">
      <c r="A532" s="84" t="n">
        <v>46027</v>
      </c>
      <c r="B532" s="206" t="inlineStr">
        <is>
          <t>已收货</t>
        </is>
      </c>
      <c r="C532" s="86" t="inlineStr">
        <is>
          <t>4989824067248652338</t>
        </is>
      </c>
      <c r="D532" s="86" t="inlineStr">
        <is>
          <t>LLDS</t>
        </is>
      </c>
      <c r="E532" s="87" t="n"/>
      <c r="F532" s="87" t="n"/>
      <c r="G532" s="87" t="inlineStr">
        <is>
          <t>样块</t>
        </is>
      </c>
      <c r="H532" s="130" t="inlineStr">
        <is>
          <t>样块</t>
        </is>
      </c>
      <c r="I532" s="89" t="n"/>
      <c r="J532" s="87" t="inlineStr">
        <is>
          <t>已结算</t>
        </is>
      </c>
      <c r="K532" s="87" t="inlineStr">
        <is>
          <t>杭州</t>
        </is>
      </c>
      <c r="L532" s="207">
        <f>SUM(M532:AO532)</f>
        <v/>
      </c>
      <c r="M532" s="207" t="n">
        <v>5</v>
      </c>
      <c r="N532" s="207" t="n"/>
      <c r="O532" s="207" t="n"/>
      <c r="P532" s="207" t="n"/>
      <c r="Q532" s="207" t="n"/>
      <c r="R532" s="207" t="n"/>
      <c r="S532" s="207" t="n"/>
      <c r="T532" s="207" t="n"/>
      <c r="U532" s="207" t="n"/>
      <c r="V532" s="207" t="n"/>
      <c r="W532" s="207" t="n"/>
      <c r="X532" s="207" t="n"/>
      <c r="Y532" s="207" t="n"/>
      <c r="Z532" s="207" t="n"/>
      <c r="AA532" s="207" t="n"/>
      <c r="AB532" s="207" t="n"/>
      <c r="AC532" s="207" t="n"/>
      <c r="AD532" s="207" t="n"/>
      <c r="AE532" s="207" t="n"/>
      <c r="AF532" s="207" t="n"/>
      <c r="AG532" s="207" t="n"/>
      <c r="AH532" s="207" t="n"/>
      <c r="AI532" s="207" t="n"/>
      <c r="AJ532" s="207" t="n"/>
      <c r="AK532" s="207" t="n"/>
      <c r="AL532" s="207" t="n"/>
      <c r="AM532" s="207" t="n">
        <v>2</v>
      </c>
      <c r="AN532" s="207" t="n"/>
      <c r="AO532" s="207" t="n"/>
      <c r="AP532" s="207" t="n">
        <v>5</v>
      </c>
      <c r="AQ532" s="207" t="n">
        <v>0</v>
      </c>
      <c r="AR532" s="207" t="n">
        <v>0</v>
      </c>
      <c r="AS532" s="207" t="n">
        <v>0</v>
      </c>
      <c r="AT532" s="207" t="n">
        <v>0</v>
      </c>
      <c r="AU532" s="207" t="n">
        <v>0</v>
      </c>
      <c r="AV532" s="207" t="n">
        <v>0</v>
      </c>
      <c r="AW532" s="207" t="n">
        <v>0</v>
      </c>
      <c r="AX532" s="208" t="n">
        <v>1</v>
      </c>
      <c r="AY532" s="209">
        <f>L532*AX532+AP532+AQ532+AR532+AV532+AW532+AS532+AT532+AU532</f>
        <v/>
      </c>
      <c r="AZ532" s="207" t="n">
        <v>17</v>
      </c>
      <c r="BA532" s="207" t="n">
        <v>0</v>
      </c>
      <c r="BB532" s="207">
        <f>AZ532*0.006</f>
        <v/>
      </c>
      <c r="BC532" s="209">
        <f>AZ532+BA532-BB532</f>
        <v/>
      </c>
      <c r="BD532" s="207" t="n">
        <v>0</v>
      </c>
      <c r="BE532" s="207" t="n">
        <v>0</v>
      </c>
      <c r="BF532" s="209">
        <f>BD532+BE532</f>
        <v/>
      </c>
      <c r="BG532" s="209">
        <f>BC532-AY532+BF532</f>
        <v/>
      </c>
      <c r="BH532" s="86" t="inlineStr">
        <is>
          <t>LLDS</t>
        </is>
      </c>
      <c r="BI532" s="86" t="inlineStr">
        <is>
          <t>浙江省 杭州市 拱墅区 半山街道金星桃源居东苑7幢一单元1103</t>
        </is>
      </c>
      <c r="BJ532" s="86" t="inlineStr">
        <is>
          <t>18413247686-1308</t>
        </is>
      </c>
      <c r="BK532" s="86" t="n"/>
      <c r="BL532" s="210" t="n"/>
      <c r="BM532" s="93" t="n"/>
      <c r="BN532" s="94" t="n"/>
      <c r="BO532" s="93" t="n"/>
      <c r="BP532" s="86" t="n"/>
      <c r="BQ532" s="96" t="n"/>
      <c r="BR532" s="96" t="n"/>
      <c r="BS532" s="97" t="n"/>
      <c r="BT532" s="96" t="n"/>
      <c r="BU532" s="97" t="n"/>
      <c r="BV532" s="96" t="n"/>
      <c r="BW532" s="97" t="n"/>
      <c r="BX532" s="97" t="n"/>
      <c r="BY532" s="97" t="n"/>
      <c r="BZ532" s="97" t="n"/>
      <c r="CH532" s="2" t="n"/>
      <c r="CI532" s="14" t="n"/>
      <c r="CJ532" s="25" t="n"/>
      <c r="CK532" s="25" t="n"/>
      <c r="CL532" s="25" t="n"/>
      <c r="CM532" s="25" t="n"/>
      <c r="CN532" s="25" t="n"/>
      <c r="CO532" s="25" t="n"/>
      <c r="CP532" s="25" t="n"/>
      <c r="CQ532" s="25" t="n"/>
      <c r="CR532" s="25" t="n"/>
      <c r="CS532" s="25" t="n"/>
      <c r="CT532" s="25" t="n"/>
      <c r="CU532" s="25" t="n"/>
      <c r="CV532" s="25" t="n"/>
      <c r="CW532" s="25" t="n"/>
      <c r="CX532" s="25" t="n"/>
      <c r="CY532" s="25" t="n"/>
      <c r="DC532" s="26" t="n"/>
      <c r="DD532" s="26" t="n"/>
      <c r="DE532" s="26" t="n"/>
      <c r="DF532" s="26" t="n"/>
      <c r="DG532" s="26" t="n"/>
      <c r="DH532" s="27" t="n"/>
      <c r="DJ532" s="238" t="inlineStr">
        <is>
          <t>✓ 金额一致</t>
        </is>
      </c>
      <c r="DK532" t="inlineStr">
        <is>
          <t>17.00</t>
        </is>
      </c>
      <c r="DL532" s="239" t="n">
        <v>0</v>
      </c>
    </row>
    <row r="533" ht="15.75" customHeight="1" s="187">
      <c r="A533" s="84" t="n">
        <v>46027</v>
      </c>
      <c r="B533" s="206" t="inlineStr">
        <is>
          <t>已收货</t>
        </is>
      </c>
      <c r="C533" s="86" t="inlineStr">
        <is>
          <t>4989894699795421412</t>
        </is>
      </c>
      <c r="D533" s="86" t="inlineStr">
        <is>
          <t>管女士</t>
        </is>
      </c>
      <c r="E533" s="87" t="n"/>
      <c r="F533" s="87" t="n"/>
      <c r="G533" s="207" t="inlineStr">
        <is>
          <t>砂白色1.3米岩板餐桌，定制</t>
        </is>
      </c>
      <c r="H533" s="207" t="inlineStr">
        <is>
          <t>榉木餐桌</t>
        </is>
      </c>
      <c r="I533" s="89" t="inlineStr">
        <is>
          <t>130cm*70cm</t>
        </is>
      </c>
      <c r="J533" s="87" t="inlineStr">
        <is>
          <t>已结算</t>
        </is>
      </c>
      <c r="K533" s="87" t="inlineStr">
        <is>
          <t>江西</t>
        </is>
      </c>
      <c r="L533" s="207">
        <f>SUM(M533:AO533)</f>
        <v/>
      </c>
      <c r="M533" s="207">
        <f>1280</f>
        <v/>
      </c>
      <c r="N533" s="207" t="n"/>
      <c r="O533" s="207" t="n"/>
      <c r="P533" s="207" t="n"/>
      <c r="Q533" s="207" t="n"/>
      <c r="R533" s="207" t="n">
        <v>220</v>
      </c>
      <c r="S533" s="207" t="n"/>
      <c r="T533" s="207" t="n"/>
      <c r="U533" s="207" t="n"/>
      <c r="V533" s="207" t="n"/>
      <c r="W533" s="207" t="n"/>
      <c r="X533" s="207" t="n"/>
      <c r="Y533" s="207" t="n"/>
      <c r="Z533" s="207" t="n"/>
      <c r="AA533" s="207" t="n"/>
      <c r="AB533" s="207" t="n"/>
      <c r="AC533" s="207" t="n"/>
      <c r="AD533" s="240" t="n">
        <v>2.5</v>
      </c>
      <c r="AE533" s="207" t="n"/>
      <c r="AF533" s="207" t="n"/>
      <c r="AG533" s="207" t="n"/>
      <c r="AH533" s="207" t="n"/>
      <c r="AI533" s="207" t="n"/>
      <c r="AJ533" s="207" t="n"/>
      <c r="AK533" s="207" t="n"/>
      <c r="AL533" s="207" t="n"/>
      <c r="AM533" s="207" t="n">
        <v>170</v>
      </c>
      <c r="AN533" s="207" t="n"/>
      <c r="AO533" s="207" t="n"/>
      <c r="AP533" s="121" t="n">
        <v>300</v>
      </c>
      <c r="AQ533" s="121" t="n">
        <v>30</v>
      </c>
      <c r="AR533" s="207" t="n">
        <v>78</v>
      </c>
      <c r="AS533" s="207" t="n">
        <v>0</v>
      </c>
      <c r="AT533" s="207" t="n">
        <v>0</v>
      </c>
      <c r="AU533" s="207" t="n">
        <v>0</v>
      </c>
      <c r="AV533" s="207" t="n">
        <v>0</v>
      </c>
      <c r="AW533" s="207" t="n">
        <v>0</v>
      </c>
      <c r="AX533" s="208" t="n">
        <v>1</v>
      </c>
      <c r="AY533" s="209">
        <f>L533*AX533+AP533+AQ533+AR533+AV533+AW533+AS533+AT533+AU533</f>
        <v/>
      </c>
      <c r="AZ533" s="207" t="n">
        <v>2679.88</v>
      </c>
      <c r="BA533" s="207" t="n">
        <v>0</v>
      </c>
      <c r="BB533" s="207">
        <f>AZ533*0.006</f>
        <v/>
      </c>
      <c r="BC533" s="209">
        <f>AZ533+BA533-BB533</f>
        <v/>
      </c>
      <c r="BD533" s="207" t="n">
        <v>0</v>
      </c>
      <c r="BE533" s="207" t="n">
        <v>0</v>
      </c>
      <c r="BF533" s="209">
        <f>BD533+BE533</f>
        <v/>
      </c>
      <c r="BG533" s="209">
        <f>BC533-AY533+BF533</f>
        <v/>
      </c>
      <c r="BH533" s="86" t="inlineStr">
        <is>
          <t>管女士</t>
        </is>
      </c>
      <c r="BI533" s="86" t="inlineStr">
        <is>
          <t>北京 北京市 东城区 建国门街道禄米仓胡同67号院2号楼乙门5层14号</t>
        </is>
      </c>
      <c r="BJ533" s="86" t="inlineStr">
        <is>
          <t>13161414194-6067</t>
        </is>
      </c>
      <c r="BK533" s="86" t="n"/>
      <c r="BL533" s="210" t="n"/>
      <c r="BM533" s="93" t="n"/>
      <c r="BN533" s="94" t="n"/>
      <c r="BO533" s="93" t="n"/>
      <c r="BP533" s="86" t="n"/>
      <c r="BQ533" s="96" t="n"/>
      <c r="BR533" s="96" t="n"/>
      <c r="BS533" s="97" t="n"/>
      <c r="BT533" s="96" t="n"/>
      <c r="BU533" s="97" t="n"/>
      <c r="BV533" s="96" t="n"/>
      <c r="BW533" s="97" t="n"/>
      <c r="BX533" s="97" t="n"/>
      <c r="BY533" s="97" t="n"/>
      <c r="BZ533" s="97" t="n"/>
      <c r="CH533" s="2" t="n"/>
      <c r="CI533" s="14" t="n"/>
      <c r="CJ533" s="25" t="n"/>
      <c r="CK533" s="25" t="n"/>
      <c r="CL533" s="25" t="n"/>
      <c r="CM533" s="25" t="n"/>
      <c r="CN533" s="25" t="n"/>
      <c r="CO533" s="25" t="n"/>
      <c r="CP533" s="25" t="n"/>
      <c r="CQ533" s="25" t="n"/>
      <c r="CR533" s="25" t="n"/>
      <c r="CS533" s="25" t="n"/>
      <c r="CT533" s="25" t="n"/>
      <c r="CU533" s="25" t="n"/>
      <c r="CV533" s="25" t="n"/>
      <c r="CW533" s="25" t="n"/>
      <c r="CX533" s="25" t="n"/>
      <c r="CY533" s="25" t="n"/>
      <c r="DC533" s="26" t="n"/>
      <c r="DD533" s="26" t="n"/>
      <c r="DE533" s="26" t="n"/>
      <c r="DF533" s="26" t="n"/>
      <c r="DG533" s="26" t="n"/>
      <c r="DH533" s="27" t="n"/>
      <c r="DJ533" s="238" t="inlineStr">
        <is>
          <t>✓ 金额一致</t>
        </is>
      </c>
      <c r="DK533" t="inlineStr">
        <is>
          <t>2679.88</t>
        </is>
      </c>
      <c r="DL533" s="239" t="n">
        <v>0</v>
      </c>
    </row>
    <row r="534" ht="15.75" customHeight="1" s="187">
      <c r="A534" s="84" t="n">
        <v>46027</v>
      </c>
      <c r="B534" s="206" t="inlineStr">
        <is>
          <t>已收货</t>
        </is>
      </c>
      <c r="C534" s="86" t="inlineStr">
        <is>
          <t>4990170637230542801</t>
        </is>
      </c>
      <c r="D534" s="86" t="inlineStr">
        <is>
          <t>李冰玉</t>
        </is>
      </c>
      <c r="E534" s="87" t="inlineStr">
        <is>
          <t>福建张女士退货岩板转寄</t>
        </is>
      </c>
      <c r="F534" s="87" t="n"/>
      <c r="G534" s="87" t="inlineStr">
        <is>
          <t>隔板补差价</t>
        </is>
      </c>
      <c r="H534" s="207" t="inlineStr">
        <is>
          <t>樱桃木窄柜</t>
        </is>
      </c>
      <c r="I534" s="89" t="n"/>
      <c r="J534" s="87" t="inlineStr">
        <is>
          <t>已结算</t>
        </is>
      </c>
      <c r="K534" s="87" t="inlineStr">
        <is>
          <t>江西</t>
        </is>
      </c>
      <c r="L534" s="216" t="n">
        <v>0</v>
      </c>
      <c r="M534" s="216" t="n">
        <v>0</v>
      </c>
      <c r="N534" s="216" t="n"/>
      <c r="O534" s="216" t="n"/>
      <c r="P534" s="216" t="n"/>
      <c r="Q534" s="216" t="n"/>
      <c r="R534" s="207" t="n"/>
      <c r="S534" s="216" t="n"/>
      <c r="T534" s="216" t="n"/>
      <c r="U534" s="216" t="n"/>
      <c r="V534" s="216" t="n"/>
      <c r="W534" s="216" t="n"/>
      <c r="X534" s="216" t="n"/>
      <c r="Y534" s="216" t="n"/>
      <c r="Z534" s="216" t="n"/>
      <c r="AA534" s="216" t="n"/>
      <c r="AB534" s="216" t="n"/>
      <c r="AC534" s="216" t="n"/>
      <c r="AD534" s="216" t="n"/>
      <c r="AE534" s="216" t="n"/>
      <c r="AF534" s="216" t="n"/>
      <c r="AG534" s="216" t="n"/>
      <c r="AH534" s="216" t="n"/>
      <c r="AI534" s="216" t="n"/>
      <c r="AJ534" s="216" t="n"/>
      <c r="AK534" s="216" t="n"/>
      <c r="AL534" s="216" t="n"/>
      <c r="AM534" s="207" t="n"/>
      <c r="AN534" s="207" t="n"/>
      <c r="AO534" s="207" t="n"/>
      <c r="AP534" s="207" t="n">
        <v>0</v>
      </c>
      <c r="AQ534" s="207" t="n">
        <v>0</v>
      </c>
      <c r="AR534" s="207" t="n">
        <v>0</v>
      </c>
      <c r="AS534" s="207" t="n">
        <v>0</v>
      </c>
      <c r="AT534" s="207" t="n">
        <v>0</v>
      </c>
      <c r="AU534" s="207" t="n">
        <v>0</v>
      </c>
      <c r="AV534" s="207" t="n">
        <v>0</v>
      </c>
      <c r="AW534" s="207" t="n">
        <v>0</v>
      </c>
      <c r="AX534" s="208" t="n">
        <v>1</v>
      </c>
      <c r="AY534" s="209">
        <f>L534*AX534+AP534+AQ534+AR534+AV534+AW534+AS534+AT534+AU534</f>
        <v/>
      </c>
      <c r="AZ534" s="207" t="n">
        <v>79</v>
      </c>
      <c r="BA534" s="207" t="n">
        <v>0</v>
      </c>
      <c r="BB534" s="207">
        <f>AZ534*0.006</f>
        <v/>
      </c>
      <c r="BC534" s="209">
        <f>AZ534+BA534-BB534</f>
        <v/>
      </c>
      <c r="BD534" s="207" t="n">
        <v>0</v>
      </c>
      <c r="BE534" s="207" t="n">
        <v>0</v>
      </c>
      <c r="BF534" s="209">
        <f>BD534+BE534</f>
        <v/>
      </c>
      <c r="BG534" s="209">
        <f>BC534-AY534+BF534</f>
        <v/>
      </c>
      <c r="BH534" s="86" t="inlineStr">
        <is>
          <t>李冰玉</t>
        </is>
      </c>
      <c r="BI534" s="86" t="inlineStr">
        <is>
          <t>山东省 临沂市 兰山区 金雀山街道沂蒙路189号五金站家属院菜鸟驿站</t>
        </is>
      </c>
      <c r="BJ534" s="86" t="inlineStr">
        <is>
          <t>18764962940-7786</t>
        </is>
      </c>
      <c r="BK534" s="86" t="n"/>
      <c r="BL534" s="210" t="n"/>
      <c r="BM534" s="93" t="n"/>
      <c r="BN534" s="94" t="n"/>
      <c r="BO534" s="93" t="n"/>
      <c r="BP534" s="86" t="n"/>
      <c r="BQ534" s="96" t="n"/>
      <c r="BR534" s="96" t="n"/>
      <c r="BS534" s="97" t="n"/>
      <c r="BT534" s="96" t="n"/>
      <c r="BU534" s="97" t="n"/>
      <c r="BV534" s="96" t="n"/>
      <c r="BW534" s="97" t="n"/>
      <c r="BX534" s="97" t="n"/>
      <c r="BY534" s="97" t="n"/>
      <c r="BZ534" s="97" t="n"/>
      <c r="CH534" s="2" t="n"/>
      <c r="CI534" s="14" t="n"/>
      <c r="CJ534" s="25" t="n"/>
      <c r="CK534" s="25" t="n"/>
      <c r="CL534" s="25" t="n"/>
      <c r="CM534" s="25" t="n"/>
      <c r="CN534" s="25" t="n"/>
      <c r="CO534" s="25" t="n"/>
      <c r="CP534" s="25" t="n"/>
      <c r="CQ534" s="25" t="n"/>
      <c r="CR534" s="25" t="n"/>
      <c r="CS534" s="25" t="n"/>
      <c r="CT534" s="25" t="n"/>
      <c r="CU534" s="25" t="n"/>
      <c r="CV534" s="25" t="n"/>
      <c r="CW534" s="25" t="n"/>
      <c r="CX534" s="25" t="n"/>
      <c r="CY534" s="25" t="n"/>
      <c r="DC534" s="26" t="n"/>
      <c r="DD534" s="26" t="n"/>
      <c r="DE534" s="26" t="n"/>
      <c r="DF534" s="26" t="n"/>
      <c r="DG534" s="26" t="n"/>
      <c r="DH534" s="27" t="n"/>
      <c r="DJ534" s="238" t="inlineStr">
        <is>
          <t>✓ 金额一致</t>
        </is>
      </c>
      <c r="DK534" t="inlineStr">
        <is>
          <t>79.00</t>
        </is>
      </c>
      <c r="DL534" s="239" t="n">
        <v>0</v>
      </c>
    </row>
    <row r="535" ht="15.75" customHeight="1" s="187">
      <c r="A535" s="84" t="n">
        <v>46027</v>
      </c>
      <c r="B535" s="206" t="inlineStr">
        <is>
          <t>已收货</t>
        </is>
      </c>
      <c r="C535" s="86" t="inlineStr">
        <is>
          <t>3165874608994317861</t>
        </is>
      </c>
      <c r="D535" s="86" t="inlineStr">
        <is>
          <t>刘小姐</t>
        </is>
      </c>
      <c r="E535" s="87" t="n"/>
      <c r="F535" s="87" t="n"/>
      <c r="G535" s="87" t="inlineStr">
        <is>
          <t>洞石色1.8米岩板餐桌，定制</t>
        </is>
      </c>
      <c r="H535" s="207" t="inlineStr">
        <is>
          <t>榉木餐桌</t>
        </is>
      </c>
      <c r="I535" s="89" t="inlineStr">
        <is>
          <t>180cm*85cm</t>
        </is>
      </c>
      <c r="J535" s="87" t="inlineStr">
        <is>
          <t>已结算</t>
        </is>
      </c>
      <c r="K535" s="87" t="inlineStr">
        <is>
          <t>江西</t>
        </is>
      </c>
      <c r="L535" s="207">
        <f>SUM(M535:AO535)</f>
        <v/>
      </c>
      <c r="M535" s="207">
        <f>1400</f>
        <v/>
      </c>
      <c r="N535" s="207" t="n"/>
      <c r="O535" s="207" t="n"/>
      <c r="P535" s="207" t="n"/>
      <c r="Q535" s="207" t="n"/>
      <c r="R535" s="207" t="n">
        <v>220</v>
      </c>
      <c r="S535" s="207" t="n"/>
      <c r="T535" s="207" t="n"/>
      <c r="U535" s="207" t="n"/>
      <c r="V535" s="207" t="n"/>
      <c r="W535" s="207" t="n"/>
      <c r="X535" s="207" t="n"/>
      <c r="Y535" s="207" t="n"/>
      <c r="Z535" s="207" t="n"/>
      <c r="AA535" s="207" t="n"/>
      <c r="AB535" s="207" t="n"/>
      <c r="AC535" s="207" t="n"/>
      <c r="AD535" s="240" t="n">
        <v>2.5</v>
      </c>
      <c r="AE535" s="207" t="n"/>
      <c r="AF535" s="207" t="n"/>
      <c r="AG535" s="207" t="n"/>
      <c r="AH535" s="207" t="n"/>
      <c r="AI535" s="207" t="n"/>
      <c r="AJ535" s="207" t="n"/>
      <c r="AK535" s="207" t="n"/>
      <c r="AL535" s="207" t="n"/>
      <c r="AM535" s="207" t="n">
        <v>130</v>
      </c>
      <c r="AN535" s="207" t="n"/>
      <c r="AO535" s="207" t="n"/>
      <c r="AP535" s="121" t="n">
        <v>300</v>
      </c>
      <c r="AQ535" s="121" t="n">
        <v>30</v>
      </c>
      <c r="AR535" s="207" t="n">
        <v>88</v>
      </c>
      <c r="AS535" s="207" t="n">
        <v>0</v>
      </c>
      <c r="AT535" s="207" t="n">
        <v>0</v>
      </c>
      <c r="AU535" s="207" t="n">
        <v>0</v>
      </c>
      <c r="AV535" s="207" t="n">
        <v>0</v>
      </c>
      <c r="AW535" s="207" t="n">
        <v>0</v>
      </c>
      <c r="AX535" s="208" t="n">
        <v>1</v>
      </c>
      <c r="AY535" s="209">
        <f>L535*AX535+AP535+AQ535+AR535+AV535+AW535+AS535+AT535+AU535</f>
        <v/>
      </c>
      <c r="AZ535" s="207" t="n">
        <v>2871.25</v>
      </c>
      <c r="BA535" s="207" t="n">
        <v>0</v>
      </c>
      <c r="BB535" s="207">
        <f>AZ535*0.006</f>
        <v/>
      </c>
      <c r="BC535" s="209">
        <f>AZ535+BA535-BB535</f>
        <v/>
      </c>
      <c r="BD535" s="207" t="n">
        <v>0</v>
      </c>
      <c r="BE535" s="207" t="n">
        <v>0</v>
      </c>
      <c r="BF535" s="209">
        <f>BD535+BE535</f>
        <v/>
      </c>
      <c r="BG535" s="209">
        <f>BC535-AY535+BF535</f>
        <v/>
      </c>
      <c r="BH535" s="86" t="inlineStr">
        <is>
          <t>刘小姐</t>
        </is>
      </c>
      <c r="BI535" s="86" t="inlineStr">
        <is>
          <t>广东省 深圳市 南山区 桃源街道 汉园茗院B区3栋2单元1003</t>
        </is>
      </c>
      <c r="BJ535" s="86" t="inlineStr">
        <is>
          <t>13113639040-1321</t>
        </is>
      </c>
      <c r="BK535" s="86" t="n"/>
      <c r="BL535" s="210" t="n"/>
      <c r="BM535" s="93" t="n"/>
      <c r="BN535" s="94" t="n"/>
      <c r="BO535" s="93" t="n"/>
      <c r="BP535" s="86" t="n"/>
      <c r="BQ535" s="96" t="n"/>
      <c r="BR535" s="96" t="n"/>
      <c r="BS535" s="97" t="n"/>
      <c r="BT535" s="96" t="n"/>
      <c r="BU535" s="97" t="n"/>
      <c r="BV535" s="96" t="n"/>
      <c r="BW535" s="97" t="n"/>
      <c r="BX535" s="97" t="n"/>
      <c r="BY535" s="97" t="n"/>
      <c r="BZ535" s="97" t="n"/>
      <c r="CH535" s="2" t="n"/>
      <c r="CI535" s="14" t="n"/>
      <c r="CJ535" s="25" t="n"/>
      <c r="CK535" s="25" t="n"/>
      <c r="CL535" s="25" t="n"/>
      <c r="CM535" s="25" t="n"/>
      <c r="CN535" s="25" t="n"/>
      <c r="CO535" s="25" t="n"/>
      <c r="CP535" s="25" t="n"/>
      <c r="CQ535" s="25" t="n"/>
      <c r="CR535" s="25" t="n"/>
      <c r="CS535" s="25" t="n"/>
      <c r="CT535" s="25" t="n"/>
      <c r="CU535" s="25" t="n"/>
      <c r="CV535" s="25" t="n"/>
      <c r="CW535" s="25" t="n"/>
      <c r="CX535" s="25" t="n"/>
      <c r="CY535" s="25" t="n"/>
      <c r="DC535" s="26" t="n"/>
      <c r="DD535" s="26" t="n"/>
      <c r="DE535" s="26" t="n"/>
      <c r="DF535" s="26" t="n"/>
      <c r="DG535" s="26" t="n"/>
      <c r="DH535" s="27" t="n"/>
      <c r="DJ535" s="211" t="inlineStr">
        <is>
          <t>订单表中未找到</t>
        </is>
      </c>
      <c r="DK535" t="inlineStr">
        <is>
          <t>—</t>
        </is>
      </c>
      <c r="DL535" t="inlineStr">
        <is>
          <t>—</t>
        </is>
      </c>
    </row>
    <row r="536" ht="15.75" customHeight="1" s="187">
      <c r="A536" s="84" t="n">
        <v>46027</v>
      </c>
      <c r="B536" s="206" t="inlineStr">
        <is>
          <t>已收货</t>
        </is>
      </c>
      <c r="C536" s="86" t="inlineStr">
        <is>
          <t>4991084856872350815</t>
        </is>
      </c>
      <c r="D536" s="86" t="inlineStr">
        <is>
          <t>星澜野</t>
        </is>
      </c>
      <c r="E536" s="87" t="n"/>
      <c r="F536" s="87" t="n"/>
      <c r="G536" s="87" t="inlineStr">
        <is>
          <t>样块</t>
        </is>
      </c>
      <c r="H536" s="130" t="inlineStr">
        <is>
          <t>样块</t>
        </is>
      </c>
      <c r="I536" s="89" t="n"/>
      <c r="J536" s="87" t="inlineStr">
        <is>
          <t>已结算</t>
        </is>
      </c>
      <c r="K536" s="87" t="inlineStr">
        <is>
          <t>杭州</t>
        </is>
      </c>
      <c r="L536" s="207">
        <f>SUM(M536:AO536)</f>
        <v/>
      </c>
      <c r="M536" s="207" t="n">
        <v>5</v>
      </c>
      <c r="N536" s="207" t="n"/>
      <c r="O536" s="207" t="n"/>
      <c r="P536" s="207" t="n"/>
      <c r="Q536" s="207" t="n"/>
      <c r="R536" s="207" t="n"/>
      <c r="S536" s="207" t="n"/>
      <c r="T536" s="207" t="n"/>
      <c r="U536" s="207" t="n"/>
      <c r="V536" s="207" t="n"/>
      <c r="W536" s="207" t="n"/>
      <c r="X536" s="207" t="n"/>
      <c r="Y536" s="207" t="n"/>
      <c r="Z536" s="207" t="n"/>
      <c r="AA536" s="207" t="n"/>
      <c r="AB536" s="207" t="n"/>
      <c r="AC536" s="207" t="n"/>
      <c r="AD536" s="207" t="n"/>
      <c r="AE536" s="207" t="n"/>
      <c r="AF536" s="207" t="n"/>
      <c r="AG536" s="207" t="n"/>
      <c r="AH536" s="207" t="n"/>
      <c r="AI536" s="207" t="n"/>
      <c r="AJ536" s="207" t="n"/>
      <c r="AK536" s="207" t="n"/>
      <c r="AL536" s="207" t="n"/>
      <c r="AM536" s="207" t="n">
        <v>2</v>
      </c>
      <c r="AN536" s="216" t="n"/>
      <c r="AO536" s="216" t="n"/>
      <c r="AP536" s="207" t="n">
        <v>5</v>
      </c>
      <c r="AQ536" s="207" t="n">
        <v>0</v>
      </c>
      <c r="AR536" s="207" t="n">
        <v>0</v>
      </c>
      <c r="AS536" s="207" t="n">
        <v>0</v>
      </c>
      <c r="AT536" s="207" t="n">
        <v>0</v>
      </c>
      <c r="AU536" s="207" t="n">
        <v>0</v>
      </c>
      <c r="AV536" s="207" t="n">
        <v>0</v>
      </c>
      <c r="AW536" s="207" t="n">
        <v>0</v>
      </c>
      <c r="AX536" s="208" t="n">
        <v>1</v>
      </c>
      <c r="AY536" s="209">
        <f>L536*AX536+AP536+AQ536+AR536+AV536+AW536+AS536+AT536+AU536</f>
        <v/>
      </c>
      <c r="AZ536" s="207" t="n">
        <v>17</v>
      </c>
      <c r="BA536" s="207" t="n">
        <v>0</v>
      </c>
      <c r="BB536" s="207">
        <f>AZ536*0.006</f>
        <v/>
      </c>
      <c r="BC536" s="209">
        <f>AZ536+BA536-BB536</f>
        <v/>
      </c>
      <c r="BD536" s="207" t="n">
        <v>0</v>
      </c>
      <c r="BE536" s="207" t="n">
        <v>0</v>
      </c>
      <c r="BF536" s="209">
        <f>BD536+BE536</f>
        <v/>
      </c>
      <c r="BG536" s="209">
        <f>BC536-AY536+BF536</f>
        <v/>
      </c>
      <c r="BH536" s="86" t="inlineStr">
        <is>
          <t>星澜野</t>
        </is>
      </c>
      <c r="BI536" s="86" t="inlineStr">
        <is>
          <t>浙江省 杭州市 萧山区 闻堰街道和雅闻兴府21幢1单元1502室（送货上门）</t>
        </is>
      </c>
      <c r="BJ536" s="86" t="inlineStr">
        <is>
          <t>15785242625-2888</t>
        </is>
      </c>
      <c r="BK536" s="86" t="n"/>
      <c r="BL536" s="210" t="n"/>
      <c r="BM536" s="93" t="n"/>
      <c r="BN536" s="94" t="n"/>
      <c r="BO536" s="93" t="n"/>
      <c r="BP536" s="86" t="n"/>
      <c r="BQ536" s="96" t="n"/>
      <c r="BR536" s="96" t="n"/>
      <c r="BS536" s="97" t="n"/>
      <c r="BT536" s="96" t="n"/>
      <c r="BU536" s="97" t="n"/>
      <c r="BV536" s="96" t="n"/>
      <c r="BW536" s="97" t="n"/>
      <c r="BX536" s="97" t="n"/>
      <c r="BY536" s="97" t="n"/>
      <c r="BZ536" s="97" t="n"/>
      <c r="CH536" s="2" t="n"/>
      <c r="CI536" s="14" t="n"/>
      <c r="CJ536" s="25" t="n"/>
      <c r="CK536" s="25" t="n"/>
      <c r="CL536" s="25" t="n"/>
      <c r="CM536" s="25" t="n"/>
      <c r="CN536" s="25" t="n"/>
      <c r="CO536" s="25" t="n"/>
      <c r="CP536" s="25" t="n"/>
      <c r="CQ536" s="25" t="n"/>
      <c r="CR536" s="25" t="n"/>
      <c r="CS536" s="25" t="n"/>
      <c r="CT536" s="25" t="n"/>
      <c r="CU536" s="25" t="n"/>
      <c r="CV536" s="25" t="n"/>
      <c r="CW536" s="25" t="n"/>
      <c r="CX536" s="25" t="n"/>
      <c r="CY536" s="25" t="n"/>
      <c r="DC536" s="26" t="n"/>
      <c r="DD536" s="26" t="n"/>
      <c r="DE536" s="26" t="n"/>
      <c r="DF536" s="26" t="n"/>
      <c r="DG536" s="26" t="n"/>
      <c r="DH536" s="27" t="n"/>
      <c r="DJ536" s="238" t="inlineStr">
        <is>
          <t>✓ 金额一致</t>
        </is>
      </c>
      <c r="DK536" t="inlineStr">
        <is>
          <t>17.00</t>
        </is>
      </c>
      <c r="DL536" s="239" t="n">
        <v>0</v>
      </c>
    </row>
    <row r="537" ht="15.75" customHeight="1" s="187">
      <c r="A537" s="84" t="n">
        <v>46027</v>
      </c>
      <c r="B537" s="206" t="inlineStr">
        <is>
          <t>已收货</t>
        </is>
      </c>
      <c r="C537" s="86" t="inlineStr">
        <is>
          <t>3165436383028317861</t>
        </is>
      </c>
      <c r="D537" s="86" t="inlineStr">
        <is>
          <t>刘小姐</t>
        </is>
      </c>
      <c r="E537" s="87" t="n"/>
      <c r="F537" s="87" t="n"/>
      <c r="G537" s="87" t="inlineStr">
        <is>
          <t>追加洞石岩板</t>
        </is>
      </c>
      <c r="H537" s="207" t="inlineStr">
        <is>
          <t>榉木餐桌</t>
        </is>
      </c>
      <c r="I537" s="89" t="n"/>
      <c r="J537" s="87" t="inlineStr">
        <is>
          <t>已结算</t>
        </is>
      </c>
      <c r="K537" s="87" t="inlineStr">
        <is>
          <t>江西</t>
        </is>
      </c>
      <c r="L537" s="207">
        <f>SUM(M537:AO537)</f>
        <v/>
      </c>
      <c r="M537" s="207" t="n">
        <v>0</v>
      </c>
      <c r="N537" s="216" t="n"/>
      <c r="O537" s="216" t="n"/>
      <c r="P537" s="216" t="n"/>
      <c r="Q537" s="216" t="n"/>
      <c r="R537" s="207" t="n"/>
      <c r="S537" s="207" t="n"/>
      <c r="T537" s="207" t="n"/>
      <c r="U537" s="207" t="n"/>
      <c r="V537" s="207" t="n"/>
      <c r="W537" s="207" t="n"/>
      <c r="X537" s="207" t="n"/>
      <c r="Y537" s="207" t="n"/>
      <c r="Z537" s="207" t="n"/>
      <c r="AA537" s="207" t="n"/>
      <c r="AB537" s="216" t="n"/>
      <c r="AC537" s="216" t="n"/>
      <c r="AD537" s="216" t="n"/>
      <c r="AE537" s="207" t="n"/>
      <c r="AF537" s="216" t="n"/>
      <c r="AG537" s="216" t="n"/>
      <c r="AH537" s="216" t="n"/>
      <c r="AI537" s="216" t="n"/>
      <c r="AJ537" s="216" t="n"/>
      <c r="AK537" s="216" t="n"/>
      <c r="AL537" s="216" t="n"/>
      <c r="AM537" s="207" t="n"/>
      <c r="AN537" s="216" t="n"/>
      <c r="AO537" s="216" t="n"/>
      <c r="AP537" s="207" t="n">
        <v>0</v>
      </c>
      <c r="AQ537" s="207" t="n">
        <v>0</v>
      </c>
      <c r="AR537" s="207" t="n">
        <v>0</v>
      </c>
      <c r="AS537" s="207" t="n">
        <v>0</v>
      </c>
      <c r="AT537" s="207" t="n">
        <v>0</v>
      </c>
      <c r="AU537" s="207" t="n">
        <v>0</v>
      </c>
      <c r="AV537" s="207" t="n">
        <v>0</v>
      </c>
      <c r="AW537" s="207" t="n">
        <v>0</v>
      </c>
      <c r="AX537" s="208" t="n">
        <v>1</v>
      </c>
      <c r="AY537" s="209">
        <f>L537*AX537+AP537+AQ537+AR537+AV537+AW537+AS537+AT537+AU537</f>
        <v/>
      </c>
      <c r="AZ537" s="207" t="n">
        <v>200</v>
      </c>
      <c r="BA537" s="207" t="n">
        <v>0</v>
      </c>
      <c r="BB537" s="207">
        <f>AZ537*0.006</f>
        <v/>
      </c>
      <c r="BC537" s="209">
        <f>AZ537+BA537-BB537</f>
        <v/>
      </c>
      <c r="BD537" s="207" t="n">
        <v>0</v>
      </c>
      <c r="BE537" s="207" t="n">
        <v>0</v>
      </c>
      <c r="BF537" s="209">
        <f>BD537+BE537</f>
        <v/>
      </c>
      <c r="BG537" s="209">
        <f>BC537-AY537+BF537</f>
        <v/>
      </c>
      <c r="BH537" s="86" t="inlineStr">
        <is>
          <t>刘小姐</t>
        </is>
      </c>
      <c r="BI537" s="86" t="inlineStr">
        <is>
          <t>广东省 深圳市 南山区 桃源街道 汉园茗院B区3栋2单元1003</t>
        </is>
      </c>
      <c r="BJ537" s="86" t="inlineStr">
        <is>
          <t>13113639040-1321</t>
        </is>
      </c>
      <c r="BK537" s="86" t="n"/>
      <c r="BL537" s="210" t="n"/>
      <c r="BM537" s="93" t="n"/>
      <c r="BN537" s="94" t="n"/>
      <c r="BO537" s="93" t="n"/>
      <c r="BP537" s="86" t="n"/>
      <c r="BQ537" s="96" t="n"/>
      <c r="BR537" s="96" t="n"/>
      <c r="BS537" s="97" t="n"/>
      <c r="BT537" s="96" t="n"/>
      <c r="BU537" s="97" t="n"/>
      <c r="BV537" s="96" t="n"/>
      <c r="BW537" s="97" t="n"/>
      <c r="BX537" s="97" t="n"/>
      <c r="BY537" s="97" t="n"/>
      <c r="BZ537" s="97" t="n"/>
      <c r="CH537" s="2" t="n"/>
      <c r="CI537" s="14" t="n"/>
      <c r="CJ537" s="25" t="n"/>
      <c r="CK537" s="25" t="n"/>
      <c r="CL537" s="25" t="n"/>
      <c r="CM537" s="25" t="n"/>
      <c r="CN537" s="25" t="n"/>
      <c r="CO537" s="25" t="n"/>
      <c r="CP537" s="25" t="n"/>
      <c r="CQ537" s="25" t="n"/>
      <c r="CR537" s="25" t="n"/>
      <c r="CS537" s="25" t="n"/>
      <c r="CT537" s="25" t="n"/>
      <c r="CU537" s="25" t="n"/>
      <c r="CV537" s="25" t="n"/>
      <c r="CW537" s="25" t="n"/>
      <c r="CX537" s="25" t="n"/>
      <c r="CY537" s="25" t="n"/>
      <c r="DC537" s="26" t="n"/>
      <c r="DD537" s="26" t="n"/>
      <c r="DE537" s="26" t="n"/>
      <c r="DF537" s="26" t="n"/>
      <c r="DG537" s="26" t="n"/>
      <c r="DH537" s="27" t="n"/>
      <c r="DJ537" s="211" t="inlineStr">
        <is>
          <t>订单表中未找到</t>
        </is>
      </c>
      <c r="DK537" t="inlineStr">
        <is>
          <t>—</t>
        </is>
      </c>
      <c r="DL537" t="inlineStr">
        <is>
          <t>—</t>
        </is>
      </c>
    </row>
    <row r="538" ht="15.75" customHeight="1" s="187">
      <c r="A538" s="84" t="n">
        <v>46027</v>
      </c>
      <c r="B538" s="226" t="inlineStr">
        <is>
          <t>未发货</t>
        </is>
      </c>
      <c r="C538" s="86" t="inlineStr">
        <is>
          <t>3165893474916067281</t>
        </is>
      </c>
      <c r="D538" s="86" t="inlineStr">
        <is>
          <t>速腾#</t>
        </is>
      </c>
      <c r="E538" s="116" t="inlineStr">
        <is>
          <t>产品成本+岩板+轨道+打包费+无线灯带</t>
        </is>
      </c>
      <c r="F538" s="87" t="n"/>
      <c r="G538" s="87" t="inlineStr">
        <is>
          <t>1.4岛台+1.8双腿餐桌，白色岩板，台湾轨道，带无线灯带</t>
        </is>
      </c>
      <c r="H538" s="207" t="inlineStr">
        <is>
          <t>岛台</t>
        </is>
      </c>
      <c r="I538" s="89" t="n">
        <v>1400</v>
      </c>
      <c r="J538" s="87" t="inlineStr">
        <is>
          <t>已结算</t>
        </is>
      </c>
      <c r="K538" s="87" t="inlineStr">
        <is>
          <t>江西</t>
        </is>
      </c>
      <c r="L538" s="207">
        <f>4800+245+367+390+48</f>
        <v/>
      </c>
      <c r="M538" s="207">
        <f>4800</f>
        <v/>
      </c>
      <c r="N538" s="207" t="n">
        <v>367</v>
      </c>
      <c r="O538" s="207" t="n"/>
      <c r="P538" s="207" t="n"/>
      <c r="Q538" s="207" t="n"/>
      <c r="R538" s="207" t="n">
        <v>245</v>
      </c>
      <c r="S538" s="207" t="n">
        <v>48</v>
      </c>
      <c r="T538" s="207" t="n"/>
      <c r="U538" s="207" t="n"/>
      <c r="V538" s="207" t="n"/>
      <c r="W538" s="207" t="n"/>
      <c r="X538" s="207" t="n"/>
      <c r="Y538" s="207" t="n"/>
      <c r="Z538" s="207" t="n"/>
      <c r="AA538" s="207" t="n"/>
      <c r="AB538" s="207" t="n"/>
      <c r="AC538" s="207" t="n"/>
      <c r="AD538" s="207" t="n"/>
      <c r="AE538" s="207" t="n"/>
      <c r="AF538" s="207" t="n"/>
      <c r="AG538" s="207" t="n"/>
      <c r="AH538" s="207" t="n"/>
      <c r="AI538" s="207" t="n"/>
      <c r="AJ538" s="207" t="n"/>
      <c r="AK538" s="207" t="n"/>
      <c r="AL538" s="207" t="n"/>
      <c r="AM538" s="207" t="n">
        <v>390</v>
      </c>
      <c r="AN538" s="216" t="n"/>
      <c r="AO538" s="216" t="n"/>
      <c r="AP538" s="121" t="n">
        <v>500</v>
      </c>
      <c r="AQ538" s="121" t="n">
        <v>80</v>
      </c>
      <c r="AR538" s="207" t="n">
        <v>0</v>
      </c>
      <c r="AS538" s="207" t="n">
        <v>0</v>
      </c>
      <c r="AT538" s="207" t="n">
        <v>0</v>
      </c>
      <c r="AU538" s="207" t="n">
        <v>0</v>
      </c>
      <c r="AV538" s="207" t="n">
        <v>0</v>
      </c>
      <c r="AW538" s="207" t="n">
        <v>0</v>
      </c>
      <c r="AX538" s="208" t="n">
        <v>1</v>
      </c>
      <c r="AY538" s="209">
        <f>L538*AX538+AP538+AQ538+AR538+AV538+AW538+AS538+AT538+AU538</f>
        <v/>
      </c>
      <c r="AZ538" s="207" t="n">
        <v>7654.52</v>
      </c>
      <c r="BA538" s="207" t="n">
        <v>0</v>
      </c>
      <c r="BB538" s="207">
        <f>AZ538*0.006</f>
        <v/>
      </c>
      <c r="BC538" s="209">
        <f>AZ538+BA538-BB538</f>
        <v/>
      </c>
      <c r="BD538" s="207" t="n">
        <v>0</v>
      </c>
      <c r="BE538" s="207" t="n">
        <v>0</v>
      </c>
      <c r="BF538" s="209">
        <f>BD538+BE538</f>
        <v/>
      </c>
      <c r="BG538" s="209">
        <f>BC538-AY538+BF538</f>
        <v/>
      </c>
      <c r="BH538" s="207" t="inlineStr">
        <is>
          <t>速腾#</t>
        </is>
      </c>
      <c r="BI538" s="207" t="inlineStr">
        <is>
          <t>广东省 东莞市 null 洪梅镇望沙路4号#69281647#(000000)</t>
        </is>
      </c>
      <c r="BJ538" s="207" t="inlineStr">
        <is>
          <t>17322162538</t>
        </is>
      </c>
      <c r="BK538" s="86" t="n"/>
      <c r="BL538" s="210" t="n"/>
      <c r="BM538" s="93" t="n"/>
      <c r="BN538" s="94" t="n"/>
      <c r="BO538" s="93" t="n"/>
      <c r="BP538" s="86" t="n"/>
      <c r="BQ538" s="96" t="n"/>
      <c r="BR538" s="96" t="n"/>
      <c r="BS538" s="97" t="n"/>
      <c r="BT538" s="96" t="n"/>
      <c r="BU538" s="97" t="n"/>
      <c r="BV538" s="96" t="n"/>
      <c r="BW538" s="97" t="n"/>
      <c r="BX538" s="97" t="n"/>
      <c r="BY538" s="97" t="n"/>
      <c r="BZ538" s="97" t="n"/>
      <c r="CH538" s="2" t="n"/>
      <c r="CI538" s="14" t="n"/>
      <c r="CJ538" s="25" t="n"/>
      <c r="CK538" s="25" t="n"/>
      <c r="CL538" s="25" t="n"/>
      <c r="CM538" s="25" t="n"/>
      <c r="CN538" s="25" t="n"/>
      <c r="CO538" s="25" t="n"/>
      <c r="CP538" s="25" t="n"/>
      <c r="CQ538" s="25" t="n"/>
      <c r="CR538" s="25" t="n"/>
      <c r="CS538" s="25" t="n"/>
      <c r="CT538" s="25" t="n"/>
      <c r="CU538" s="25" t="n"/>
      <c r="CV538" s="25" t="n"/>
      <c r="CW538" s="25" t="n"/>
      <c r="CX538" s="25" t="n"/>
      <c r="CY538" s="25" t="n"/>
      <c r="DC538" s="26" t="n"/>
      <c r="DD538" s="26" t="n"/>
      <c r="DE538" s="26" t="n"/>
      <c r="DF538" s="26" t="n"/>
      <c r="DG538" s="26" t="n"/>
      <c r="DH538" s="27" t="n"/>
      <c r="DJ538" s="238" t="inlineStr">
        <is>
          <t>✓ 金额一致</t>
        </is>
      </c>
      <c r="DK538" t="inlineStr">
        <is>
          <t>7654.52</t>
        </is>
      </c>
      <c r="DL538" s="239" t="n">
        <v>0</v>
      </c>
    </row>
    <row r="539" ht="15.75" customHeight="1" s="187">
      <c r="A539" s="84" t="n">
        <v>46027</v>
      </c>
      <c r="B539" s="206" t="inlineStr">
        <is>
          <t>已收货</t>
        </is>
      </c>
      <c r="C539" s="86" t="inlineStr">
        <is>
          <t>4991585078567434638</t>
        </is>
      </c>
      <c r="D539" s="110" t="inlineStr">
        <is>
          <t>索菲</t>
        </is>
      </c>
      <c r="E539" s="87" t="n"/>
      <c r="F539" s="87" t="n"/>
      <c r="G539" s="87" t="inlineStr">
        <is>
          <t>组合柜</t>
        </is>
      </c>
      <c r="H539" s="207" t="inlineStr">
        <is>
          <t>组合柜</t>
        </is>
      </c>
      <c r="I539" s="89" t="n"/>
      <c r="J539" s="87" t="inlineStr">
        <is>
          <t>已结算</t>
        </is>
      </c>
      <c r="K539" s="87" t="inlineStr">
        <is>
          <t>江西</t>
        </is>
      </c>
      <c r="L539" s="207">
        <f>2300+22+28+150</f>
        <v/>
      </c>
      <c r="M539" s="207">
        <f>2300</f>
        <v/>
      </c>
      <c r="N539" s="207" t="n">
        <v>22</v>
      </c>
      <c r="O539" s="207" t="n">
        <v>28</v>
      </c>
      <c r="P539" s="207" t="n">
        <v>150</v>
      </c>
      <c r="Q539" s="207" t="n"/>
      <c r="R539" s="207" t="n"/>
      <c r="S539" s="207" t="n"/>
      <c r="T539" s="207" t="n"/>
      <c r="U539" s="207" t="n"/>
      <c r="V539" s="207" t="n"/>
      <c r="W539" s="207" t="n"/>
      <c r="X539" s="207" t="n"/>
      <c r="Y539" s="207" t="n"/>
      <c r="Z539" s="207" t="n"/>
      <c r="AA539" s="207" t="n"/>
      <c r="AB539" s="207" t="n"/>
      <c r="AC539" s="207" t="n"/>
      <c r="AD539" s="207" t="n"/>
      <c r="AE539" s="207" t="n"/>
      <c r="AF539" s="207" t="n"/>
      <c r="AG539" s="207" t="n"/>
      <c r="AH539" s="207" t="n"/>
      <c r="AI539" s="207" t="n"/>
      <c r="AJ539" s="207" t="n"/>
      <c r="AK539" s="207" t="n"/>
      <c r="AL539" s="207" t="n"/>
      <c r="AM539" s="207" t="n">
        <v>150</v>
      </c>
      <c r="AN539" s="216" t="n"/>
      <c r="AO539" s="216" t="n"/>
      <c r="AP539" s="121" t="n">
        <v>250</v>
      </c>
      <c r="AQ539" s="121" t="n">
        <v>33</v>
      </c>
      <c r="AR539" s="207" t="n">
        <v>118</v>
      </c>
      <c r="AS539" s="207" t="n">
        <v>0</v>
      </c>
      <c r="AT539" s="207" t="n">
        <v>0</v>
      </c>
      <c r="AU539" s="207" t="n">
        <v>0</v>
      </c>
      <c r="AV539" s="207" t="n">
        <v>0</v>
      </c>
      <c r="AW539" s="207" t="n">
        <v>0</v>
      </c>
      <c r="AX539" s="208" t="n">
        <v>1</v>
      </c>
      <c r="AY539" s="209">
        <f>L539*AX539+AP539+AQ539+AR539+AV539+AW539+AS539+AT539+AU539</f>
        <v/>
      </c>
      <c r="AZ539" s="207" t="n">
        <v>3644.53</v>
      </c>
      <c r="BA539" s="207" t="n">
        <v>0</v>
      </c>
      <c r="BB539" s="207">
        <f>AZ539*0.006</f>
        <v/>
      </c>
      <c r="BC539" s="209">
        <f>AZ539+BA539-BB539</f>
        <v/>
      </c>
      <c r="BD539" s="207" t="n">
        <v>0</v>
      </c>
      <c r="BE539" s="207" t="n">
        <v>0</v>
      </c>
      <c r="BF539" s="209">
        <f>BD539+BE539</f>
        <v/>
      </c>
      <c r="BG539" s="209">
        <f>BC539-AY539+BF539</f>
        <v/>
      </c>
      <c r="BH539" s="86" t="inlineStr">
        <is>
          <t>索菲</t>
        </is>
      </c>
      <c r="BI539" s="86" t="inlineStr">
        <is>
          <t>北京 北京市 朝阳区 孙河乡京顺路香江花园 公寓B座107</t>
        </is>
      </c>
      <c r="BJ539" s="86" t="inlineStr">
        <is>
          <t>13164211440-1287</t>
        </is>
      </c>
      <c r="BK539" s="86" t="n"/>
      <c r="BL539" s="210" t="n"/>
      <c r="BM539" s="93" t="n"/>
      <c r="BN539" s="94" t="n"/>
      <c r="BO539" s="93" t="n"/>
      <c r="BP539" s="86" t="n"/>
      <c r="BQ539" s="96" t="n"/>
      <c r="BR539" s="96" t="n"/>
      <c r="BS539" s="97" t="n"/>
      <c r="BT539" s="96" t="n"/>
      <c r="BU539" s="97" t="n"/>
      <c r="BV539" s="96" t="n"/>
      <c r="BW539" s="97" t="n"/>
      <c r="BX539" s="97" t="n"/>
      <c r="BY539" s="97" t="n"/>
      <c r="BZ539" s="97" t="n"/>
      <c r="CH539" s="2" t="n"/>
      <c r="CI539" s="14" t="n"/>
      <c r="CJ539" s="25" t="n"/>
      <c r="CK539" s="25" t="n"/>
      <c r="CL539" s="25" t="n"/>
      <c r="CM539" s="25" t="n"/>
      <c r="CN539" s="25" t="n"/>
      <c r="CO539" s="25" t="n"/>
      <c r="CP539" s="25" t="n"/>
      <c r="CQ539" s="25" t="n"/>
      <c r="CR539" s="25" t="n"/>
      <c r="CS539" s="25" t="n"/>
      <c r="CT539" s="25" t="n"/>
      <c r="CU539" s="25" t="n"/>
      <c r="CV539" s="25" t="n"/>
      <c r="CW539" s="25" t="n"/>
      <c r="CX539" s="25" t="n"/>
      <c r="CY539" s="25" t="n"/>
      <c r="DC539" s="26" t="n"/>
      <c r="DD539" s="26" t="n"/>
      <c r="DE539" s="26" t="n"/>
      <c r="DF539" s="26" t="n"/>
      <c r="DG539" s="26" t="n"/>
      <c r="DH539" s="27" t="n"/>
      <c r="DJ539" s="211" t="inlineStr">
        <is>
          <t>订单表中未找到</t>
        </is>
      </c>
      <c r="DK539" t="inlineStr">
        <is>
          <t>—</t>
        </is>
      </c>
      <c r="DL539" t="inlineStr">
        <is>
          <t>—</t>
        </is>
      </c>
    </row>
    <row r="540" ht="15.75" customHeight="1" s="187">
      <c r="A540" s="84" t="n">
        <v>46028</v>
      </c>
      <c r="B540" s="226" t="inlineStr">
        <is>
          <t>未发货</t>
        </is>
      </c>
      <c r="C540" s="86" t="inlineStr">
        <is>
          <t>4991917070620599318</t>
        </is>
      </c>
      <c r="D540" s="86" t="inlineStr">
        <is>
          <t>龙勇光转欣蕊</t>
        </is>
      </c>
      <c r="E540" s="87" t="n"/>
      <c r="F540" s="87" t="n"/>
      <c r="G540" s="87" t="inlineStr">
        <is>
          <t>组合柜年后发</t>
        </is>
      </c>
      <c r="H540" s="207" t="inlineStr">
        <is>
          <t>组合柜</t>
        </is>
      </c>
      <c r="I540" s="89" t="n"/>
      <c r="J540" s="87" t="inlineStr">
        <is>
          <t>已结算</t>
        </is>
      </c>
      <c r="K540" s="87" t="inlineStr">
        <is>
          <t>江西</t>
        </is>
      </c>
      <c r="L540" s="207">
        <f>5000+120+22+28+150+10+22*6+150</f>
        <v/>
      </c>
      <c r="M540" s="207">
        <f>5000</f>
        <v/>
      </c>
      <c r="N540" s="207" t="n">
        <v>120</v>
      </c>
      <c r="O540" s="207" t="n">
        <v>22</v>
      </c>
      <c r="P540" s="207" t="n">
        <v>28</v>
      </c>
      <c r="Q540" s="207" t="n"/>
      <c r="R540" s="207" t="n">
        <v>150</v>
      </c>
      <c r="S540" s="207" t="n">
        <v>10</v>
      </c>
      <c r="T540" s="207" t="inlineStr">
        <is>
          <t>22*6</t>
        </is>
      </c>
      <c r="U540" s="207" t="n"/>
      <c r="V540" s="207" t="n"/>
      <c r="W540" s="207" t="n">
        <v>150</v>
      </c>
      <c r="X540" s="207" t="n"/>
      <c r="Y540" s="207" t="n"/>
      <c r="Z540" s="207" t="n"/>
      <c r="AA540" s="207" t="n"/>
      <c r="AB540" s="207" t="n"/>
      <c r="AC540" s="207" t="n"/>
      <c r="AD540" s="207" t="n"/>
      <c r="AE540" s="207" t="n"/>
      <c r="AF540" s="207" t="n"/>
      <c r="AG540" s="207" t="n"/>
      <c r="AH540" s="207" t="n"/>
      <c r="AI540" s="207" t="n"/>
      <c r="AJ540" s="207" t="n"/>
      <c r="AK540" s="207" t="n"/>
      <c r="AL540" s="207" t="n"/>
      <c r="AM540" s="121" t="n">
        <v>150</v>
      </c>
      <c r="AN540" s="216" t="n"/>
      <c r="AO540" s="216" t="n"/>
      <c r="AP540" s="121" t="n">
        <v>250</v>
      </c>
      <c r="AQ540" s="121" t="n">
        <v>33</v>
      </c>
      <c r="AR540" s="207" t="n">
        <v>0</v>
      </c>
      <c r="AS540" s="207" t="n">
        <v>0</v>
      </c>
      <c r="AT540" s="207" t="n">
        <v>0</v>
      </c>
      <c r="AU540" s="207" t="n">
        <v>0</v>
      </c>
      <c r="AV540" s="207" t="n">
        <v>0</v>
      </c>
      <c r="AW540" s="207" t="n">
        <v>0</v>
      </c>
      <c r="AX540" s="208" t="n">
        <v>1</v>
      </c>
      <c r="AY540" s="209">
        <f>L540*AX540+AP540+AQ540+AR540+AV540+AW540+AS540+AT540+AU540</f>
        <v/>
      </c>
      <c r="AZ540" s="207" t="n">
        <v>7748.4</v>
      </c>
      <c r="BA540" s="207" t="n">
        <v>0</v>
      </c>
      <c r="BB540" s="207">
        <f>AZ540*0.006</f>
        <v/>
      </c>
      <c r="BC540" s="209">
        <f>AZ540+BA540-BB540</f>
        <v/>
      </c>
      <c r="BD540" s="207" t="n">
        <v>0</v>
      </c>
      <c r="BE540" s="207" t="n">
        <v>0</v>
      </c>
      <c r="BF540" s="209">
        <f>BD540+BE540</f>
        <v/>
      </c>
      <c r="BG540" s="209">
        <f>BC540-AY540+BF540</f>
        <v/>
      </c>
      <c r="BH540" s="86" t="inlineStr">
        <is>
          <t>龙勇光转欣蕊</t>
        </is>
      </c>
      <c r="BI540" s="86" t="inlineStr">
        <is>
          <t>广东省 广州市 白云区 江高镇夏花三路498号部队路A14仓</t>
        </is>
      </c>
      <c r="BJ540" s="86" t="inlineStr">
        <is>
          <t>17896419407-1174</t>
        </is>
      </c>
      <c r="BK540" s="86" t="n"/>
      <c r="BL540" s="210" t="n"/>
      <c r="BM540" s="93" t="n"/>
      <c r="BN540" s="94" t="n"/>
      <c r="BO540" s="93" t="n"/>
      <c r="BP540" s="86" t="n"/>
      <c r="BQ540" s="96" t="n"/>
      <c r="BR540" s="96" t="n"/>
      <c r="BS540" s="97" t="n"/>
      <c r="BT540" s="96" t="n"/>
      <c r="BU540" s="97" t="n"/>
      <c r="BV540" s="96" t="n"/>
      <c r="BW540" s="97" t="n"/>
      <c r="BX540" s="97" t="n"/>
      <c r="BY540" s="97" t="n"/>
      <c r="BZ540" s="97" t="n"/>
      <c r="CH540" s="2" t="n"/>
      <c r="CI540" s="14" t="n"/>
      <c r="CJ540" s="25" t="n"/>
      <c r="CK540" s="25" t="n"/>
      <c r="CL540" s="25" t="n"/>
      <c r="CM540" s="25" t="n"/>
      <c r="CN540" s="25" t="n"/>
      <c r="CO540" s="25" t="n"/>
      <c r="CP540" s="25" t="n"/>
      <c r="CQ540" s="25" t="n"/>
      <c r="CR540" s="25" t="n"/>
      <c r="CS540" s="25" t="n"/>
      <c r="CT540" s="25" t="n"/>
      <c r="CU540" s="25" t="n"/>
      <c r="CV540" s="25" t="n"/>
      <c r="CW540" s="25" t="n"/>
      <c r="CX540" s="25" t="n"/>
      <c r="CY540" s="25" t="n"/>
      <c r="DC540" s="26" t="n"/>
      <c r="DD540" s="26" t="n"/>
      <c r="DE540" s="26" t="n"/>
      <c r="DF540" s="26" t="n"/>
      <c r="DG540" s="26" t="n"/>
      <c r="DH540" s="27" t="n"/>
      <c r="DJ540" s="211" t="inlineStr">
        <is>
          <t>订单表中未找到</t>
        </is>
      </c>
      <c r="DK540" t="inlineStr">
        <is>
          <t>—</t>
        </is>
      </c>
      <c r="DL540" t="inlineStr">
        <is>
          <t>—</t>
        </is>
      </c>
    </row>
    <row r="541" ht="15.75" customHeight="1" s="187">
      <c r="A541" s="84" t="n">
        <v>46029</v>
      </c>
      <c r="B541" s="206" t="inlineStr">
        <is>
          <t>已收货</t>
        </is>
      </c>
      <c r="C541" s="86" t="inlineStr">
        <is>
          <t>3167716587976018674</t>
        </is>
      </c>
      <c r="D541" s="86" t="inlineStr">
        <is>
          <t>包纸</t>
        </is>
      </c>
      <c r="E541" s="87" t="n"/>
      <c r="F541" s="87" t="n"/>
      <c r="G541" s="87" t="inlineStr">
        <is>
          <t>1.7旋转柜</t>
        </is>
      </c>
      <c r="H541" s="87" t="inlineStr">
        <is>
          <t>旋转餐边柜</t>
        </is>
      </c>
      <c r="I541" s="89" t="n">
        <v>1700</v>
      </c>
      <c r="J541" s="87" t="inlineStr">
        <is>
          <t>已结算</t>
        </is>
      </c>
      <c r="K541" s="87" t="inlineStr">
        <is>
          <t>江西</t>
        </is>
      </c>
      <c r="L541" s="207">
        <f>SUM(M541:AM541)</f>
        <v/>
      </c>
      <c r="M541" s="207">
        <f>7000</f>
        <v/>
      </c>
      <c r="N541" s="207" t="n"/>
      <c r="O541" s="207" t="n"/>
      <c r="P541" s="207" t="n"/>
      <c r="Q541" s="207" t="n"/>
      <c r="R541" s="207" t="n"/>
      <c r="S541" s="207" t="n"/>
      <c r="T541" s="207">
        <f>22*2</f>
        <v/>
      </c>
      <c r="U541" s="207" t="n"/>
      <c r="V541" s="207" t="n"/>
      <c r="W541" s="207" t="n">
        <v>22</v>
      </c>
      <c r="X541" s="207" t="n">
        <v>565</v>
      </c>
      <c r="Y541" s="207" t="n">
        <v>551</v>
      </c>
      <c r="Z541" s="207" t="n"/>
      <c r="AA541" s="207" t="n"/>
      <c r="AB541" s="207" t="n"/>
      <c r="AC541" s="207" t="n"/>
      <c r="AD541" s="207" t="n"/>
      <c r="AE541" s="207" t="n">
        <v>124</v>
      </c>
      <c r="AF541" s="207" t="n"/>
      <c r="AG541" s="207" t="n"/>
      <c r="AH541" s="207" t="n"/>
      <c r="AI541" s="207" t="n"/>
      <c r="AJ541" s="207" t="n"/>
      <c r="AK541" s="207" t="n"/>
      <c r="AL541" s="207" t="n"/>
      <c r="AM541" s="207" t="n">
        <v>565</v>
      </c>
      <c r="AN541" s="216" t="n"/>
      <c r="AO541" s="216" t="n"/>
      <c r="AP541" s="121" t="n">
        <v>650</v>
      </c>
      <c r="AQ541" s="121" t="n">
        <v>30</v>
      </c>
      <c r="AR541" s="207" t="n">
        <v>239</v>
      </c>
      <c r="AS541" s="207" t="n">
        <v>0</v>
      </c>
      <c r="AT541" s="207" t="n">
        <v>0</v>
      </c>
      <c r="AU541" s="207" t="n">
        <v>0</v>
      </c>
      <c r="AV541" s="207" t="n">
        <v>0</v>
      </c>
      <c r="AW541" s="207" t="n">
        <v>0</v>
      </c>
      <c r="AX541" s="208" t="n">
        <v>1</v>
      </c>
      <c r="AY541" s="209">
        <f>L541*AX541+AP541+AQ541+AR541+AV541+AW541+AS541+AT541+AU541</f>
        <v/>
      </c>
      <c r="AZ541" s="207" t="n">
        <v>11212</v>
      </c>
      <c r="BA541" s="207" t="n">
        <v>0</v>
      </c>
      <c r="BB541" s="207">
        <f>AZ541*0.006</f>
        <v/>
      </c>
      <c r="BC541" s="209">
        <f>AZ541+BA541-BB541</f>
        <v/>
      </c>
      <c r="BD541" s="207" t="n">
        <v>0</v>
      </c>
      <c r="BE541" s="207" t="n">
        <v>0</v>
      </c>
      <c r="BF541" s="209">
        <f>BD541+BE541</f>
        <v/>
      </c>
      <c r="BG541" s="209">
        <f>BC541-AY541+BF541</f>
        <v/>
      </c>
      <c r="BH541" s="86" t="inlineStr">
        <is>
          <t>包纸</t>
        </is>
      </c>
      <c r="BI541" s="86" t="inlineStr">
        <is>
          <t>广东省 深圳市 南山区 西丽街道鼎胜金域世家AA5A</t>
        </is>
      </c>
      <c r="BJ541" s="86" t="inlineStr">
        <is>
          <t>15712171392-2173</t>
        </is>
      </c>
      <c r="BK541" s="86" t="n"/>
      <c r="BL541" s="210" t="n"/>
      <c r="BM541" s="93" t="n"/>
      <c r="BN541" s="94" t="n"/>
      <c r="BO541" s="93" t="n"/>
      <c r="BP541" s="86" t="n"/>
      <c r="BQ541" s="96" t="n"/>
      <c r="BR541" s="96" t="n"/>
      <c r="BS541" s="97" t="n"/>
      <c r="BT541" s="96" t="n"/>
      <c r="BU541" s="97" t="n"/>
      <c r="BV541" s="96" t="n"/>
      <c r="BW541" s="97" t="n"/>
      <c r="BX541" s="97" t="n"/>
      <c r="BY541" s="97" t="n"/>
      <c r="BZ541" s="97" t="n"/>
      <c r="CH541" s="2" t="n"/>
      <c r="CI541" s="14" t="n"/>
      <c r="CJ541" s="25" t="n"/>
      <c r="CK541" s="25" t="n"/>
      <c r="CL541" s="25" t="n"/>
      <c r="CM541" s="25" t="n"/>
      <c r="CN541" s="25" t="n"/>
      <c r="CO541" s="25" t="n"/>
      <c r="CP541" s="25" t="n"/>
      <c r="CQ541" s="25" t="n"/>
      <c r="CR541" s="25" t="n"/>
      <c r="CS541" s="25" t="n"/>
      <c r="CT541" s="25" t="n"/>
      <c r="CU541" s="25" t="n"/>
      <c r="CV541" s="25" t="n"/>
      <c r="CW541" s="25" t="n"/>
      <c r="CX541" s="25" t="n"/>
      <c r="CY541" s="25" t="n"/>
      <c r="DC541" s="26" t="n"/>
      <c r="DD541" s="26" t="n"/>
      <c r="DE541" s="26" t="n"/>
      <c r="DF541" s="26" t="n"/>
      <c r="DG541" s="26" t="n"/>
      <c r="DH541" s="27" t="n"/>
      <c r="DJ541" s="211" t="inlineStr">
        <is>
          <t>订单表中未找到</t>
        </is>
      </c>
      <c r="DK541" t="inlineStr">
        <is>
          <t>—</t>
        </is>
      </c>
      <c r="DL541" t="inlineStr">
        <is>
          <t>—</t>
        </is>
      </c>
    </row>
    <row r="542" ht="15.75" customHeight="1" s="187">
      <c r="A542" s="84" t="n">
        <v>46029</v>
      </c>
      <c r="B542" s="206" t="inlineStr">
        <is>
          <t>已收货</t>
        </is>
      </c>
      <c r="C542" s="86" t="inlineStr">
        <is>
          <t>4993673832187542801</t>
        </is>
      </c>
      <c r="D542" s="86" t="inlineStr">
        <is>
          <t>李照征</t>
        </is>
      </c>
      <c r="E542" s="87" t="n"/>
      <c r="F542" s="87" t="n"/>
      <c r="G542" s="87" t="inlineStr">
        <is>
          <t>样块</t>
        </is>
      </c>
      <c r="H542" s="207" t="inlineStr">
        <is>
          <t>样块</t>
        </is>
      </c>
      <c r="I542" s="89" t="n"/>
      <c r="J542" s="87" t="inlineStr">
        <is>
          <t>已结算</t>
        </is>
      </c>
      <c r="K542" s="87" t="inlineStr">
        <is>
          <t>杭州</t>
        </is>
      </c>
      <c r="L542" s="207">
        <f>SUM(M542:AO542)</f>
        <v/>
      </c>
      <c r="M542" s="207" t="n">
        <v>5</v>
      </c>
      <c r="N542" s="207" t="n"/>
      <c r="O542" s="207" t="n"/>
      <c r="P542" s="207" t="n"/>
      <c r="Q542" s="207" t="n"/>
      <c r="R542" s="207" t="n"/>
      <c r="S542" s="207" t="n"/>
      <c r="T542" s="207" t="n"/>
      <c r="U542" s="207" t="n"/>
      <c r="V542" s="207" t="n"/>
      <c r="W542" s="207" t="n"/>
      <c r="X542" s="207" t="n"/>
      <c r="Y542" s="207" t="n"/>
      <c r="Z542" s="207" t="n"/>
      <c r="AA542" s="207" t="n"/>
      <c r="AB542" s="207" t="n"/>
      <c r="AC542" s="207" t="n"/>
      <c r="AD542" s="207" t="n"/>
      <c r="AE542" s="207" t="n"/>
      <c r="AF542" s="207" t="n"/>
      <c r="AG542" s="207" t="n"/>
      <c r="AH542" s="207" t="n"/>
      <c r="AI542" s="207" t="n"/>
      <c r="AJ542" s="207" t="n"/>
      <c r="AK542" s="207" t="n"/>
      <c r="AL542" s="207" t="n"/>
      <c r="AM542" s="207" t="n">
        <v>2</v>
      </c>
      <c r="AN542" s="216" t="n"/>
      <c r="AO542" s="216" t="n"/>
      <c r="AP542" s="207" t="n">
        <v>5</v>
      </c>
      <c r="AQ542" s="207" t="n">
        <v>0</v>
      </c>
      <c r="AR542" s="207" t="n">
        <v>0</v>
      </c>
      <c r="AS542" s="207" t="n">
        <v>0</v>
      </c>
      <c r="AT542" s="207" t="n">
        <v>0</v>
      </c>
      <c r="AU542" s="207" t="n">
        <v>0</v>
      </c>
      <c r="AV542" s="207" t="n">
        <v>0</v>
      </c>
      <c r="AW542" s="207" t="n">
        <v>0</v>
      </c>
      <c r="AX542" s="208" t="n">
        <v>1</v>
      </c>
      <c r="AY542" s="209">
        <f>L542*AX542+AP542+AQ542+AR542+AV542+AW542+AS542+AT542+AU542</f>
        <v/>
      </c>
      <c r="AZ542" s="207" t="n">
        <v>20</v>
      </c>
      <c r="BA542" s="207" t="n">
        <v>0</v>
      </c>
      <c r="BB542" s="207">
        <f>AZ542*0.006</f>
        <v/>
      </c>
      <c r="BC542" s="209">
        <f>AZ542+BA542-BB542</f>
        <v/>
      </c>
      <c r="BD542" s="207" t="n">
        <v>0</v>
      </c>
      <c r="BE542" s="207" t="n">
        <v>0</v>
      </c>
      <c r="BF542" s="209">
        <f>BD542+BE542</f>
        <v/>
      </c>
      <c r="BG542" s="209">
        <f>BC542-AY542+BF542</f>
        <v/>
      </c>
      <c r="BH542" s="86" t="inlineStr">
        <is>
          <t>西早永日</t>
        </is>
      </c>
      <c r="BI542" s="86" t="inlineStr">
        <is>
          <t>上海 上海市 青浦区 盈浦街道富绅名邸6-602</t>
        </is>
      </c>
      <c r="BJ542" s="86" t="inlineStr">
        <is>
          <t>18466665722-4607</t>
        </is>
      </c>
      <c r="BK542" s="86" t="n"/>
      <c r="BL542" s="210" t="n"/>
      <c r="BM542" s="93" t="n"/>
      <c r="BN542" s="94" t="n"/>
      <c r="BO542" s="93" t="n"/>
      <c r="BP542" s="86" t="n"/>
      <c r="BQ542" s="96" t="n"/>
      <c r="BR542" s="96" t="n"/>
      <c r="BS542" s="97" t="n"/>
      <c r="BT542" s="96" t="n"/>
      <c r="BU542" s="97" t="n"/>
      <c r="BV542" s="96" t="n"/>
      <c r="BW542" s="97" t="n"/>
      <c r="BX542" s="97" t="n"/>
      <c r="BY542" s="97" t="n"/>
      <c r="BZ542" s="97" t="n"/>
      <c r="CH542" s="2" t="n"/>
      <c r="CI542" s="14" t="n"/>
      <c r="CJ542" s="25" t="n"/>
      <c r="CK542" s="25" t="n"/>
      <c r="CL542" s="25" t="n"/>
      <c r="CM542" s="25" t="n"/>
      <c r="CN542" s="25" t="n"/>
      <c r="CO542" s="25" t="n"/>
      <c r="CP542" s="25" t="n"/>
      <c r="CQ542" s="25" t="n"/>
      <c r="CR542" s="25" t="n"/>
      <c r="CS542" s="25" t="n"/>
      <c r="CT542" s="25" t="n"/>
      <c r="CU542" s="25" t="n"/>
      <c r="CV542" s="25" t="n"/>
      <c r="CW542" s="25" t="n"/>
      <c r="CX542" s="25" t="n"/>
      <c r="CY542" s="25" t="n"/>
      <c r="DC542" s="26" t="n"/>
      <c r="DD542" s="26" t="n"/>
      <c r="DE542" s="26" t="n"/>
      <c r="DF542" s="26" t="n"/>
      <c r="DG542" s="26" t="n"/>
      <c r="DH542" s="27" t="n"/>
      <c r="DJ542" s="238" t="inlineStr">
        <is>
          <t>✓ 金额一致</t>
        </is>
      </c>
      <c r="DK542" t="inlineStr">
        <is>
          <t>20.00</t>
        </is>
      </c>
      <c r="DL542" s="239" t="n">
        <v>0</v>
      </c>
    </row>
    <row r="543" ht="15.75" customHeight="1" s="187">
      <c r="A543" s="84" t="n">
        <v>46029</v>
      </c>
      <c r="B543" s="206" t="inlineStr">
        <is>
          <t>已收货</t>
        </is>
      </c>
      <c r="C543" s="86" t="inlineStr">
        <is>
          <t>4994143959230373921</t>
        </is>
      </c>
      <c r="D543" s="86" t="inlineStr">
        <is>
          <t>西早永日</t>
        </is>
      </c>
      <c r="E543" s="87" t="n"/>
      <c r="F543" s="87" t="n"/>
      <c r="G543" s="87" t="inlineStr">
        <is>
          <t>样块</t>
        </is>
      </c>
      <c r="H543" s="207" t="inlineStr">
        <is>
          <t>样块</t>
        </is>
      </c>
      <c r="I543" s="89" t="n"/>
      <c r="J543" s="87" t="inlineStr">
        <is>
          <t>已结算</t>
        </is>
      </c>
      <c r="K543" s="87" t="inlineStr">
        <is>
          <t>杭州</t>
        </is>
      </c>
      <c r="L543" s="207">
        <f>SUM(M543:AO543)</f>
        <v/>
      </c>
      <c r="M543" s="207" t="n">
        <v>5</v>
      </c>
      <c r="N543" s="207" t="n"/>
      <c r="O543" s="207" t="n"/>
      <c r="P543" s="207" t="n"/>
      <c r="Q543" s="207" t="n"/>
      <c r="R543" s="207" t="n"/>
      <c r="S543" s="207" t="n"/>
      <c r="T543" s="207" t="n"/>
      <c r="U543" s="207" t="n"/>
      <c r="V543" s="207" t="n"/>
      <c r="W543" s="207" t="n"/>
      <c r="X543" s="207" t="n"/>
      <c r="Y543" s="207" t="n"/>
      <c r="Z543" s="207" t="n"/>
      <c r="AA543" s="207" t="n"/>
      <c r="AB543" s="207" t="n"/>
      <c r="AC543" s="207" t="n"/>
      <c r="AD543" s="207" t="n"/>
      <c r="AE543" s="207" t="n"/>
      <c r="AF543" s="207" t="n"/>
      <c r="AG543" s="207" t="n"/>
      <c r="AH543" s="207" t="n"/>
      <c r="AI543" s="207" t="n"/>
      <c r="AJ543" s="207" t="n"/>
      <c r="AK543" s="207" t="n"/>
      <c r="AL543" s="207" t="n"/>
      <c r="AM543" s="207" t="n">
        <v>2</v>
      </c>
      <c r="AN543" s="207" t="n"/>
      <c r="AO543" s="207" t="n"/>
      <c r="AP543" s="207" t="n">
        <v>5</v>
      </c>
      <c r="AQ543" s="207" t="n">
        <v>0</v>
      </c>
      <c r="AR543" s="207" t="n">
        <v>0</v>
      </c>
      <c r="AS543" s="207" t="n">
        <v>0</v>
      </c>
      <c r="AT543" s="207" t="n">
        <v>0</v>
      </c>
      <c r="AU543" s="207" t="n">
        <v>0</v>
      </c>
      <c r="AV543" s="207" t="n">
        <v>0</v>
      </c>
      <c r="AW543" s="207" t="n">
        <v>0</v>
      </c>
      <c r="AX543" s="208" t="n">
        <v>1</v>
      </c>
      <c r="AY543" s="209">
        <f>L543*AX543+AP543+AQ543+AR543+AV543+AW543+AS543+AT543+AU543</f>
        <v/>
      </c>
      <c r="AZ543" s="207" t="n">
        <v>22</v>
      </c>
      <c r="BA543" s="207" t="n">
        <v>0</v>
      </c>
      <c r="BB543" s="207">
        <f>AZ543*0.006</f>
        <v/>
      </c>
      <c r="BC543" s="209">
        <f>AZ543+BA543-BB543</f>
        <v/>
      </c>
      <c r="BD543" s="207" t="n">
        <v>0</v>
      </c>
      <c r="BE543" s="207" t="n">
        <v>0</v>
      </c>
      <c r="BF543" s="209">
        <f>BD543+BE543</f>
        <v/>
      </c>
      <c r="BG543" s="209">
        <f>BC543-AY543+BF543</f>
        <v/>
      </c>
      <c r="BH543" s="86" t="inlineStr">
        <is>
          <t>李照征</t>
        </is>
      </c>
      <c r="BI543" s="86" t="inlineStr">
        <is>
          <t>山东省 临沂市 兰山区 金雀山街道沂蒙路189号五金站家属院菜鸟驿站</t>
        </is>
      </c>
      <c r="BJ543" s="86" t="inlineStr">
        <is>
          <t>18764962940-7786</t>
        </is>
      </c>
      <c r="BK543" s="86" t="n"/>
      <c r="BL543" s="210" t="n"/>
      <c r="BM543" s="93" t="n"/>
      <c r="BN543" s="94" t="n"/>
      <c r="BO543" s="93" t="n"/>
      <c r="BP543" s="86" t="n"/>
      <c r="BQ543" s="96" t="n"/>
      <c r="BR543" s="96" t="n"/>
      <c r="BS543" s="97" t="n"/>
      <c r="BT543" s="96" t="n"/>
      <c r="BU543" s="97" t="n"/>
      <c r="BV543" s="96" t="n"/>
      <c r="BW543" s="97" t="n"/>
      <c r="BX543" s="97" t="n"/>
      <c r="BY543" s="97" t="n"/>
      <c r="BZ543" s="97" t="n"/>
      <c r="CH543" s="2" t="n"/>
      <c r="CI543" s="14" t="n"/>
      <c r="CJ543" s="25" t="n"/>
      <c r="CK543" s="25" t="n"/>
      <c r="CL543" s="25" t="n"/>
      <c r="CM543" s="25" t="n"/>
      <c r="CN543" s="25" t="n"/>
      <c r="CO543" s="25" t="n"/>
      <c r="CP543" s="25" t="n"/>
      <c r="CQ543" s="25" t="n"/>
      <c r="CR543" s="25" t="n"/>
      <c r="CS543" s="25" t="n"/>
      <c r="CT543" s="25" t="n"/>
      <c r="CU543" s="25" t="n"/>
      <c r="CV543" s="25" t="n"/>
      <c r="CW543" s="25" t="n"/>
      <c r="CX543" s="25" t="n"/>
      <c r="CY543" s="25" t="n"/>
      <c r="DC543" s="26" t="n"/>
      <c r="DD543" s="26" t="n"/>
      <c r="DE543" s="26" t="n"/>
      <c r="DF543" s="26" t="n"/>
      <c r="DG543" s="26" t="n"/>
      <c r="DH543" s="27" t="n"/>
      <c r="DJ543" s="238" t="inlineStr">
        <is>
          <t>✓ 金额一致</t>
        </is>
      </c>
      <c r="DK543" t="inlineStr">
        <is>
          <t>22.00</t>
        </is>
      </c>
      <c r="DL543" s="239" t="n">
        <v>0</v>
      </c>
    </row>
    <row r="544" ht="15.75" customHeight="1" s="187">
      <c r="A544" s="84" t="n">
        <v>46029</v>
      </c>
      <c r="B544" s="206" t="inlineStr">
        <is>
          <t>已收货</t>
        </is>
      </c>
      <c r="C544" s="86" t="inlineStr">
        <is>
          <t>3169278769829196979</t>
        </is>
      </c>
      <c r="D544" s="86" t="inlineStr">
        <is>
          <t>王先生</t>
        </is>
      </c>
      <c r="E544" s="87" t="n"/>
      <c r="F544" s="87" t="n"/>
      <c r="G544" s="87" t="inlineStr">
        <is>
          <t>砂白色1.6米岩板餐桌</t>
        </is>
      </c>
      <c r="H544" s="207" t="inlineStr">
        <is>
          <t>榉木餐桌</t>
        </is>
      </c>
      <c r="I544" s="89" t="inlineStr">
        <is>
          <t>160cm*85cm</t>
        </is>
      </c>
      <c r="J544" s="87" t="inlineStr">
        <is>
          <t>已结算</t>
        </is>
      </c>
      <c r="K544" s="87" t="inlineStr">
        <is>
          <t>江西</t>
        </is>
      </c>
      <c r="L544" s="207">
        <f>SUM(M544:AO544)</f>
        <v/>
      </c>
      <c r="M544" s="207">
        <f>1350</f>
        <v/>
      </c>
      <c r="N544" s="216" t="n"/>
      <c r="O544" s="216" t="n"/>
      <c r="P544" s="216" t="n"/>
      <c r="Q544" s="216" t="n"/>
      <c r="R544" s="207" t="n">
        <v>240</v>
      </c>
      <c r="S544" s="207" t="n"/>
      <c r="T544" s="207" t="n"/>
      <c r="U544" s="207" t="n"/>
      <c r="V544" s="207" t="n"/>
      <c r="W544" s="207" t="n"/>
      <c r="X544" s="207" t="n"/>
      <c r="Y544" s="207" t="n"/>
      <c r="Z544" s="207" t="n"/>
      <c r="AA544" s="207" t="n"/>
      <c r="AB544" s="216" t="n"/>
      <c r="AC544" s="216" t="n"/>
      <c r="AD544" s="240" t="n">
        <v>2.5</v>
      </c>
      <c r="AE544" s="207" t="n"/>
      <c r="AF544" s="216" t="n"/>
      <c r="AG544" s="216" t="n"/>
      <c r="AH544" s="216" t="n"/>
      <c r="AI544" s="216" t="n"/>
      <c r="AJ544" s="216" t="n"/>
      <c r="AK544" s="216" t="n"/>
      <c r="AL544" s="216" t="n"/>
      <c r="AM544" s="207" t="n">
        <v>190</v>
      </c>
      <c r="AN544" s="207" t="n"/>
      <c r="AO544" s="207" t="n"/>
      <c r="AP544" s="121" t="n">
        <v>550</v>
      </c>
      <c r="AQ544" s="121" t="n">
        <v>30</v>
      </c>
      <c r="AR544" s="207" t="n">
        <v>0</v>
      </c>
      <c r="AS544" s="207" t="n">
        <v>0</v>
      </c>
      <c r="AT544" s="207" t="n">
        <v>0</v>
      </c>
      <c r="AU544" s="207" t="n">
        <v>0</v>
      </c>
      <c r="AV544" s="207" t="n">
        <v>0</v>
      </c>
      <c r="AW544" s="207" t="n">
        <v>0</v>
      </c>
      <c r="AX544" s="208" t="n">
        <v>1</v>
      </c>
      <c r="AY544" s="209">
        <f>L544*AX544+AP544+AQ544+AR544+AV544+AW544+AS544+AT544+AU544</f>
        <v/>
      </c>
      <c r="AZ544" s="207" t="n">
        <v>2809.55</v>
      </c>
      <c r="BA544" s="207" t="n">
        <v>0</v>
      </c>
      <c r="BB544" s="207">
        <f>AZ544*0.006</f>
        <v/>
      </c>
      <c r="BC544" s="209">
        <f>AZ544+BA544-BB544</f>
        <v/>
      </c>
      <c r="BD544" s="207" t="n">
        <v>0</v>
      </c>
      <c r="BE544" s="207" t="n">
        <v>0</v>
      </c>
      <c r="BF544" s="209">
        <f>BD544+BE544</f>
        <v/>
      </c>
      <c r="BG544" s="209" t="inlineStr">
        <is>
          <t>root@DS923plus:/volume1/docker/h-semas# cd /volume1/docker/h-semas</t>
        </is>
      </c>
      <c r="BH544" s="86" t="inlineStr">
        <is>
          <t>王先生</t>
        </is>
      </c>
      <c r="BI544" s="86" t="inlineStr">
        <is>
          <t>内蒙古自治区 兴安盟 扎赉特旗 音德尔镇北望居4号楼1单元702</t>
        </is>
      </c>
      <c r="BJ544" s="86" t="inlineStr">
        <is>
          <t>17836618571-5602</t>
        </is>
      </c>
      <c r="BK544" s="86" t="n"/>
      <c r="BL544" s="210" t="n"/>
      <c r="BM544" s="93" t="n"/>
      <c r="BN544" s="94" t="n"/>
      <c r="BO544" s="93" t="n"/>
      <c r="BP544" s="86" t="n"/>
      <c r="BQ544" s="96" t="n"/>
      <c r="BR544" s="96" t="n"/>
      <c r="BS544" s="97" t="n"/>
      <c r="BT544" s="96" t="n"/>
      <c r="BU544" s="97" t="n"/>
      <c r="BV544" s="96" t="n"/>
      <c r="BW544" s="97" t="n"/>
      <c r="BX544" s="97" t="n"/>
      <c r="BY544" s="97" t="n"/>
      <c r="BZ544" s="97" t="n"/>
      <c r="CH544" s="2" t="n"/>
      <c r="CI544" s="14" t="n"/>
      <c r="CJ544" s="25" t="n"/>
      <c r="CK544" s="25" t="n"/>
      <c r="CL544" s="25" t="n"/>
      <c r="CM544" s="25" t="n"/>
      <c r="CN544" s="25" t="n"/>
      <c r="CO544" s="25" t="n"/>
      <c r="CP544" s="25" t="n"/>
      <c r="CQ544" s="25" t="n"/>
      <c r="CR544" s="25" t="n"/>
      <c r="CS544" s="25" t="n"/>
      <c r="CT544" s="25" t="n"/>
      <c r="CU544" s="25" t="n"/>
      <c r="CV544" s="25" t="n"/>
      <c r="CW544" s="25" t="n"/>
      <c r="CX544" s="25" t="n"/>
      <c r="CY544" s="25" t="n"/>
      <c r="DC544" s="26" t="n"/>
      <c r="DD544" s="26" t="n"/>
      <c r="DE544" s="26" t="n"/>
      <c r="DF544" s="26" t="n"/>
      <c r="DG544" s="26" t="n"/>
      <c r="DH544" s="27" t="n"/>
      <c r="DJ544" s="238" t="inlineStr">
        <is>
          <t>✓ 金额一致</t>
        </is>
      </c>
      <c r="DK544" t="n">
        <v>2809.55</v>
      </c>
      <c r="DL544" s="239" t="n">
        <v>0</v>
      </c>
    </row>
    <row r="545" ht="15.75" customHeight="1" s="187">
      <c r="A545" s="84" t="n">
        <v>46029</v>
      </c>
      <c r="B545" s="206" t="inlineStr">
        <is>
          <t>已收货</t>
        </is>
      </c>
      <c r="C545" s="86" t="inlineStr">
        <is>
          <t>4995592202924677822</t>
        </is>
      </c>
      <c r="D545" s="86" t="inlineStr">
        <is>
          <t>苓邺</t>
        </is>
      </c>
      <c r="E545" s="87" t="n"/>
      <c r="F545" s="87" t="n"/>
      <c r="G545" s="87" t="inlineStr">
        <is>
          <t>洞石1.2樱桃餐桌</t>
        </is>
      </c>
      <c r="H545" s="207" t="inlineStr">
        <is>
          <t>樱桃木餐桌</t>
        </is>
      </c>
      <c r="I545" s="89" t="n">
        <v>1200</v>
      </c>
      <c r="J545" s="87" t="inlineStr">
        <is>
          <t>已结算</t>
        </is>
      </c>
      <c r="K545" s="87" t="inlineStr">
        <is>
          <t>江西</t>
        </is>
      </c>
      <c r="L545" s="207">
        <f>1400+680+140+2.5</f>
        <v/>
      </c>
      <c r="M545" s="207">
        <f>1400</f>
        <v/>
      </c>
      <c r="N545" s="207" t="n">
        <v>680</v>
      </c>
      <c r="O545" s="207" t="n">
        <v>140</v>
      </c>
      <c r="P545" s="207" t="n">
        <v>2.5</v>
      </c>
      <c r="Q545" s="207" t="n"/>
      <c r="R545" s="207" t="n"/>
      <c r="S545" s="207" t="n"/>
      <c r="T545" s="207" t="n"/>
      <c r="U545" s="207" t="n"/>
      <c r="V545" s="207" t="n"/>
      <c r="W545" s="207" t="n"/>
      <c r="X545" s="207" t="n"/>
      <c r="Y545" s="207" t="n"/>
      <c r="Z545" s="207" t="n"/>
      <c r="AA545" s="207" t="n"/>
      <c r="AB545" s="207" t="n"/>
      <c r="AC545" s="207" t="n"/>
      <c r="AD545" s="207" t="n"/>
      <c r="AE545" s="207" t="n"/>
      <c r="AF545" s="207" t="n"/>
      <c r="AG545" s="207" t="n"/>
      <c r="AH545" s="207" t="n"/>
      <c r="AI545" s="207" t="n"/>
      <c r="AJ545" s="207" t="n"/>
      <c r="AK545" s="207" t="n"/>
      <c r="AL545" s="207" t="n"/>
      <c r="AM545" s="207" t="n">
        <v>140</v>
      </c>
      <c r="AN545" s="207" t="n"/>
      <c r="AO545" s="207" t="n"/>
      <c r="AP545" s="121" t="n">
        <v>250</v>
      </c>
      <c r="AQ545" s="121" t="n">
        <v>33</v>
      </c>
      <c r="AR545" s="207" t="n">
        <v>100</v>
      </c>
      <c r="AS545" s="207" t="n">
        <v>0</v>
      </c>
      <c r="AT545" s="207" t="n">
        <v>0</v>
      </c>
      <c r="AU545" s="207" t="n">
        <v>0</v>
      </c>
      <c r="AV545" s="207" t="n">
        <v>0</v>
      </c>
      <c r="AW545" s="207" t="n">
        <v>0</v>
      </c>
      <c r="AX545" s="208" t="n">
        <v>1</v>
      </c>
      <c r="AY545" s="209">
        <f>L545*AX545+AP545+AQ545+AR545+AV545+AW545+AS545+AT545+AU545</f>
        <v/>
      </c>
      <c r="AZ545" s="207" t="n">
        <v>3171.02</v>
      </c>
      <c r="BA545" s="207" t="n">
        <v>0</v>
      </c>
      <c r="BB545" s="207">
        <f>AZ545*0.006</f>
        <v/>
      </c>
      <c r="BC545" s="209">
        <f>AZ545+BA545-BB545</f>
        <v/>
      </c>
      <c r="BD545" s="207" t="n">
        <v>0</v>
      </c>
      <c r="BE545" s="207" t="n">
        <v>0</v>
      </c>
      <c r="BF545" s="209">
        <f>BD545+BE545</f>
        <v/>
      </c>
      <c r="BG545" s="209" t="inlineStr">
        <is>
          <t>root@DS923plus:/volume1/docker/h-semas# docker compose logs --tail=150 backend</t>
        </is>
      </c>
      <c r="BH545" s="86" t="inlineStr">
        <is>
          <t>苓邺</t>
        </is>
      </c>
      <c r="BI545" s="86" t="inlineStr">
        <is>
          <t>浙江省 宁波市 鄞州区 白鹤街道中海江东兴樾4号楼202</t>
        </is>
      </c>
      <c r="BJ545" s="86" t="inlineStr">
        <is>
          <t>18413305627-4768</t>
        </is>
      </c>
      <c r="BK545" s="86" t="n"/>
      <c r="BL545" s="210" t="n"/>
      <c r="BM545" s="93" t="n"/>
      <c r="BN545" s="94" t="n"/>
      <c r="BO545" s="93" t="n"/>
      <c r="BP545" s="86" t="n"/>
      <c r="BQ545" s="96" t="n"/>
      <c r="BR545" s="96" t="n"/>
      <c r="BS545" s="97" t="n"/>
      <c r="BT545" s="96" t="n"/>
      <c r="BU545" s="97" t="n"/>
      <c r="BV545" s="96" t="n"/>
      <c r="BW545" s="97" t="n"/>
      <c r="BX545" s="97" t="n"/>
      <c r="BY545" s="97" t="n"/>
      <c r="BZ545" s="97" t="n"/>
      <c r="CH545" s="2" t="n"/>
      <c r="CI545" s="14" t="n"/>
      <c r="CJ545" s="25" t="n"/>
      <c r="CK545" s="25" t="n"/>
      <c r="CL545" s="25" t="n"/>
      <c r="CM545" s="25" t="n"/>
      <c r="CN545" s="25" t="n"/>
      <c r="CO545" s="25" t="n"/>
      <c r="CP545" s="25" t="n"/>
      <c r="CQ545" s="25" t="n"/>
      <c r="CR545" s="25" t="n"/>
      <c r="CS545" s="25" t="n"/>
      <c r="CT545" s="25" t="n"/>
      <c r="CU545" s="25" t="n"/>
      <c r="CV545" s="25" t="n"/>
      <c r="CW545" s="25" t="n"/>
      <c r="CX545" s="25" t="n"/>
      <c r="CY545" s="25" t="n"/>
      <c r="DC545" s="26" t="n"/>
      <c r="DD545" s="26" t="n"/>
      <c r="DE545" s="26" t="n"/>
      <c r="DF545" s="26" t="n"/>
      <c r="DG545" s="26" t="n"/>
      <c r="DH545" s="27" t="n"/>
      <c r="DJ545" s="238" t="inlineStr">
        <is>
          <t>✓ 金额一致</t>
        </is>
      </c>
      <c r="DK545" t="inlineStr">
        <is>
          <t>3171.02</t>
        </is>
      </c>
      <c r="DL545" s="239" t="n">
        <v>0</v>
      </c>
    </row>
    <row r="546" ht="15.75" customHeight="1" s="187">
      <c r="A546" s="84" t="n">
        <v>46030</v>
      </c>
      <c r="B546" s="206" t="inlineStr">
        <is>
          <t>已收货</t>
        </is>
      </c>
      <c r="C546" s="86" t="inlineStr">
        <is>
          <t>3172029097699819070</t>
        </is>
      </c>
      <c r="D546" s="86" t="inlineStr">
        <is>
          <t>印立</t>
        </is>
      </c>
      <c r="E546" s="87" t="n"/>
      <c r="F546" s="87" t="n"/>
      <c r="G546" s="87" t="inlineStr">
        <is>
          <t>定制150*75樱桃木桌</t>
        </is>
      </c>
      <c r="H546" s="207" t="inlineStr">
        <is>
          <t>樱桃木餐桌</t>
        </is>
      </c>
      <c r="I546" s="89" t="inlineStr">
        <is>
          <t>150cm*75cm</t>
        </is>
      </c>
      <c r="J546" s="87" t="inlineStr">
        <is>
          <t>已结算</t>
        </is>
      </c>
      <c r="K546" s="87" t="inlineStr">
        <is>
          <t>江西</t>
        </is>
      </c>
      <c r="L546" s="207">
        <f>1400+2.5+240+180</f>
        <v/>
      </c>
      <c r="M546" s="207">
        <f>1400</f>
        <v/>
      </c>
      <c r="N546" s="207" t="n">
        <v>2.5</v>
      </c>
      <c r="O546" s="207" t="n">
        <v>240</v>
      </c>
      <c r="P546" s="207" t="n">
        <v>180</v>
      </c>
      <c r="Q546" s="207" t="n"/>
      <c r="R546" s="207" t="n"/>
      <c r="S546" s="207" t="n"/>
      <c r="T546" s="207" t="n"/>
      <c r="U546" s="207" t="n"/>
      <c r="V546" s="207" t="n"/>
      <c r="W546" s="207" t="n"/>
      <c r="X546" s="207" t="n"/>
      <c r="Y546" s="207" t="n"/>
      <c r="Z546" s="207" t="n"/>
      <c r="AA546" s="207" t="n"/>
      <c r="AB546" s="207" t="n"/>
      <c r="AC546" s="207" t="n"/>
      <c r="AD546" s="207" t="n"/>
      <c r="AE546" s="207" t="n"/>
      <c r="AF546" s="207" t="n"/>
      <c r="AG546" s="207" t="n"/>
      <c r="AH546" s="207" t="n"/>
      <c r="AI546" s="207" t="n"/>
      <c r="AJ546" s="207" t="n"/>
      <c r="AK546" s="207" t="n"/>
      <c r="AL546" s="207" t="n"/>
      <c r="AM546" s="207" t="n">
        <v>180</v>
      </c>
      <c r="AN546" s="207" t="n"/>
      <c r="AO546" s="207" t="n">
        <v>220</v>
      </c>
      <c r="AP546" s="121" t="n">
        <v>250</v>
      </c>
      <c r="AQ546" s="121" t="n">
        <v>33</v>
      </c>
      <c r="AR546" s="207" t="n">
        <v>72</v>
      </c>
      <c r="AS546" s="207" t="n">
        <v>0</v>
      </c>
      <c r="AT546" s="207" t="n">
        <v>0</v>
      </c>
      <c r="AU546" s="207" t="n">
        <v>0</v>
      </c>
      <c r="AV546" s="207" t="n">
        <v>0</v>
      </c>
      <c r="AW546" s="207" t="n">
        <v>0</v>
      </c>
      <c r="AX546" s="208" t="n">
        <v>1</v>
      </c>
      <c r="AY546" s="209">
        <f>L546*AX546+AP546+AQ546+AR546+AV546+AW546+AS546+AT546+AU546</f>
        <v/>
      </c>
      <c r="AZ546" s="207" t="n">
        <v>2933.78</v>
      </c>
      <c r="BA546" s="207" t="n">
        <v>0</v>
      </c>
      <c r="BB546" s="207">
        <f>AZ546*0.006</f>
        <v/>
      </c>
      <c r="BC546" s="209">
        <f>AZ546+BA546-BB546</f>
        <v/>
      </c>
      <c r="BD546" s="207" t="n">
        <v>0</v>
      </c>
      <c r="BE546" s="207" t="n">
        <v>0</v>
      </c>
      <c r="BF546" s="209">
        <f>BD546+BE546</f>
        <v/>
      </c>
      <c r="BG546" s="209" t="inlineStr">
        <is>
          <t>h-semas-backend-1  | /app/app/rag/qdrant_store.py:34: UserWarning: Api key is used with an insecure connection.</t>
        </is>
      </c>
      <c r="BH546" s="86" t="inlineStr">
        <is>
          <t>印立</t>
        </is>
      </c>
      <c r="BI546" s="86" t="inlineStr">
        <is>
          <t>重庆 重庆市 渝北区 仙桃街道睦邻路25号海成云悦4-802</t>
        </is>
      </c>
      <c r="BJ546" s="86" t="inlineStr">
        <is>
          <t>13164446229-4657</t>
        </is>
      </c>
      <c r="BK546" s="86" t="n"/>
      <c r="BL546" s="210" t="n"/>
      <c r="BM546" s="93" t="n"/>
      <c r="BN546" s="94" t="n"/>
      <c r="BO546" s="93" t="n"/>
      <c r="BP546" s="86" t="n"/>
      <c r="BQ546" s="96" t="n"/>
      <c r="BR546" s="96" t="n"/>
      <c r="BS546" s="97" t="n"/>
      <c r="BT546" s="96" t="n"/>
      <c r="BU546" s="97" t="n"/>
      <c r="BV546" s="96" t="n"/>
      <c r="BW546" s="97" t="n"/>
      <c r="BX546" s="97" t="n"/>
      <c r="BY546" s="97" t="n"/>
      <c r="BZ546" s="97" t="n"/>
      <c r="CH546" s="2" t="n"/>
      <c r="CI546" s="14" t="n"/>
      <c r="CJ546" s="25" t="n"/>
      <c r="CK546" s="25" t="n"/>
      <c r="CL546" s="25" t="n"/>
      <c r="CM546" s="25" t="n"/>
      <c r="CN546" s="25" t="n"/>
      <c r="CO546" s="25" t="n"/>
      <c r="CP546" s="25" t="n"/>
      <c r="CQ546" s="25" t="n"/>
      <c r="CR546" s="25" t="n"/>
      <c r="CS546" s="25" t="n"/>
      <c r="CT546" s="25" t="n"/>
      <c r="CU546" s="25" t="n"/>
      <c r="CV546" s="25" t="n"/>
      <c r="CW546" s="25" t="n"/>
      <c r="CX546" s="25" t="n"/>
      <c r="CY546" s="25" t="n"/>
      <c r="DC546" s="26" t="n"/>
      <c r="DD546" s="26" t="n"/>
      <c r="DE546" s="26" t="n"/>
      <c r="DF546" s="26" t="n"/>
      <c r="DG546" s="26" t="n"/>
      <c r="DH546" s="27" t="n"/>
      <c r="DJ546" s="241" t="inlineStr">
        <is>
          <t>✗ 金额不符</t>
        </is>
      </c>
      <c r="DK546" t="inlineStr">
        <is>
          <t>2887.78</t>
        </is>
      </c>
      <c r="DL546" s="239" t="n">
        <v>46</v>
      </c>
      <c r="DM546" s="241" t="inlineStr">
        <is>
          <t>买家应付金额不一致，差额+46.00元（订单表2887.78 vs 佳宝2933.78，疑似改价/补邮费/上楼费等手工调整，需人工核对）</t>
        </is>
      </c>
    </row>
    <row r="547" ht="15.75" customHeight="1" s="187">
      <c r="A547" s="84" t="n">
        <v>46030</v>
      </c>
      <c r="B547" s="206" t="inlineStr">
        <is>
          <t>已收货</t>
        </is>
      </c>
      <c r="C547" s="86" t="inlineStr">
        <is>
          <t>3172166004686819070</t>
        </is>
      </c>
      <c r="D547" s="86" t="inlineStr">
        <is>
          <t>印立</t>
        </is>
      </c>
      <c r="E547" s="87" t="n"/>
      <c r="F547" s="87" t="n"/>
      <c r="G547" s="87" t="inlineStr">
        <is>
          <t>差价</t>
        </is>
      </c>
      <c r="H547" s="207" t="n"/>
      <c r="I547" s="89" t="n"/>
      <c r="J547" s="87" t="inlineStr">
        <is>
          <t>已结算</t>
        </is>
      </c>
      <c r="K547" s="87" t="inlineStr">
        <is>
          <t>江西</t>
        </is>
      </c>
      <c r="L547" s="207" t="n">
        <v>0</v>
      </c>
      <c r="M547" s="207" t="n">
        <v>0</v>
      </c>
      <c r="N547" s="207" t="n"/>
      <c r="O547" s="207" t="n"/>
      <c r="P547" s="207" t="n"/>
      <c r="Q547" s="207" t="n"/>
      <c r="R547" s="207" t="n"/>
      <c r="S547" s="207" t="n"/>
      <c r="T547" s="207" t="n"/>
      <c r="U547" s="207" t="n"/>
      <c r="V547" s="207" t="n"/>
      <c r="W547" s="207" t="n"/>
      <c r="X547" s="207" t="n"/>
      <c r="Y547" s="207" t="n"/>
      <c r="Z547" s="207" t="n"/>
      <c r="AA547" s="207" t="n"/>
      <c r="AB547" s="207" t="n"/>
      <c r="AC547" s="207" t="n"/>
      <c r="AD547" s="207" t="n"/>
      <c r="AE547" s="207" t="n"/>
      <c r="AF547" s="207" t="n"/>
      <c r="AG547" s="207" t="n"/>
      <c r="AH547" s="207" t="n"/>
      <c r="AI547" s="207" t="n"/>
      <c r="AJ547" s="207" t="n"/>
      <c r="AK547" s="207" t="n"/>
      <c r="AL547" s="207" t="n"/>
      <c r="AM547" s="207" t="n"/>
      <c r="AN547" s="207" t="n"/>
      <c r="AO547" s="207" t="n"/>
      <c r="AP547" s="207" t="n">
        <v>0</v>
      </c>
      <c r="AQ547" s="207" t="n">
        <v>0</v>
      </c>
      <c r="AR547" s="207" t="n">
        <v>0</v>
      </c>
      <c r="AS547" s="207" t="n">
        <v>0</v>
      </c>
      <c r="AT547" s="207" t="n">
        <v>0</v>
      </c>
      <c r="AU547" s="207" t="n">
        <v>0</v>
      </c>
      <c r="AV547" s="207" t="n">
        <v>0</v>
      </c>
      <c r="AW547" s="207" t="n">
        <v>0</v>
      </c>
      <c r="AX547" s="208" t="n">
        <v>1</v>
      </c>
      <c r="AY547" s="209">
        <f>L547*AX547+AP547+AQ547+AR547+AV547+AW547+AS547+AT547+AU547</f>
        <v/>
      </c>
      <c r="AZ547" s="207" t="n">
        <v>507</v>
      </c>
      <c r="BA547" s="207" t="n">
        <v>0</v>
      </c>
      <c r="BB547" s="207">
        <f>AZ547*0.006</f>
        <v/>
      </c>
      <c r="BC547" s="209">
        <f>AZ547+BA547-BB547</f>
        <v/>
      </c>
      <c r="BD547" s="207" t="n">
        <v>0</v>
      </c>
      <c r="BE547" s="207" t="n">
        <v>0</v>
      </c>
      <c r="BF547" s="209">
        <f>BD547+BE547</f>
        <v/>
      </c>
      <c r="BG547" s="209" t="inlineStr">
        <is>
          <t>h-semas-backend-1  |   self._client = QdrantClient(</t>
        </is>
      </c>
      <c r="BH547" s="86" t="inlineStr">
        <is>
          <t>印立</t>
        </is>
      </c>
      <c r="BI547" s="86" t="inlineStr">
        <is>
          <t>重庆 重庆市 渝北区 仙桃街道睦邻路25号海成云悦4-802</t>
        </is>
      </c>
      <c r="BJ547" s="86" t="inlineStr">
        <is>
          <t>13164446229-4657</t>
        </is>
      </c>
      <c r="BK547" s="86" t="n"/>
      <c r="BL547" s="210" t="n"/>
      <c r="BM547" s="93" t="n"/>
      <c r="BN547" s="94" t="n"/>
      <c r="BO547" s="93" t="n"/>
      <c r="BP547" s="86" t="n"/>
      <c r="BQ547" s="96" t="n"/>
      <c r="BR547" s="96" t="n"/>
      <c r="BS547" s="97" t="n"/>
      <c r="BT547" s="96" t="n"/>
      <c r="BU547" s="97" t="n"/>
      <c r="BV547" s="96" t="n"/>
      <c r="BW547" s="97" t="n"/>
      <c r="BX547" s="97" t="n"/>
      <c r="BY547" s="97" t="n"/>
      <c r="BZ547" s="97" t="n"/>
      <c r="CH547" s="2" t="n"/>
      <c r="CI547" s="14" t="n"/>
      <c r="CJ547" s="25" t="n"/>
      <c r="CK547" s="25" t="n"/>
      <c r="CL547" s="25" t="n"/>
      <c r="CM547" s="25" t="n"/>
      <c r="CN547" s="25" t="n"/>
      <c r="CO547" s="25" t="n"/>
      <c r="CP547" s="25" t="n"/>
      <c r="CQ547" s="25" t="n"/>
      <c r="CR547" s="25" t="n"/>
      <c r="CS547" s="25" t="n"/>
      <c r="CT547" s="25" t="n"/>
      <c r="CU547" s="25" t="n"/>
      <c r="CV547" s="25" t="n"/>
      <c r="CW547" s="25" t="n"/>
      <c r="CX547" s="25" t="n"/>
      <c r="CY547" s="25" t="n"/>
      <c r="DC547" s="26" t="n"/>
      <c r="DD547" s="26" t="n"/>
      <c r="DE547" s="26" t="n"/>
      <c r="DF547" s="26" t="n"/>
      <c r="DG547" s="26" t="n"/>
      <c r="DH547" s="27" t="n"/>
      <c r="DJ547" s="238" t="inlineStr">
        <is>
          <t>✓ 金额一致</t>
        </is>
      </c>
      <c r="DK547" t="inlineStr">
        <is>
          <t>507.00</t>
        </is>
      </c>
      <c r="DL547" s="239" t="n">
        <v>0</v>
      </c>
    </row>
    <row r="548" ht="15.75" customHeight="1" s="187">
      <c r="A548" s="84" t="n">
        <v>46030</v>
      </c>
      <c r="B548" s="206" t="inlineStr">
        <is>
          <t>已收货</t>
        </is>
      </c>
      <c r="C548" s="86" t="inlineStr">
        <is>
          <t>4997951317507007620</t>
        </is>
      </c>
      <c r="D548" s="86" t="inlineStr">
        <is>
          <t>廖小姐</t>
        </is>
      </c>
      <c r="E548" s="87" t="n"/>
      <c r="F548" s="87" t="n"/>
      <c r="G548" s="207" t="inlineStr">
        <is>
          <t>砂白色1.7米岩板餐桌，定制</t>
        </is>
      </c>
      <c r="H548" s="207" t="inlineStr">
        <is>
          <t>榉木餐桌</t>
        </is>
      </c>
      <c r="I548" s="89" t="inlineStr">
        <is>
          <t>170cm*85cm</t>
        </is>
      </c>
      <c r="J548" s="87" t="inlineStr">
        <is>
          <t>已结算</t>
        </is>
      </c>
      <c r="K548" s="87" t="inlineStr">
        <is>
          <t>江西</t>
        </is>
      </c>
      <c r="L548" s="207">
        <f>SUM(M548:AO548)</f>
        <v/>
      </c>
      <c r="M548" s="207">
        <f>1400</f>
        <v/>
      </c>
      <c r="N548" s="207" t="n"/>
      <c r="O548" s="216" t="n"/>
      <c r="P548" s="216" t="n"/>
      <c r="Q548" s="216" t="n"/>
      <c r="R548" s="207" t="n">
        <v>240</v>
      </c>
      <c r="S548" s="207" t="n"/>
      <c r="T548" s="207" t="n"/>
      <c r="U548" s="207" t="n"/>
      <c r="V548" s="207" t="n"/>
      <c r="W548" s="207" t="n"/>
      <c r="X548" s="207" t="n"/>
      <c r="Y548" s="207" t="n"/>
      <c r="Z548" s="207" t="n"/>
      <c r="AA548" s="207" t="n"/>
      <c r="AB548" s="216" t="n"/>
      <c r="AC548" s="216" t="n"/>
      <c r="AD548" s="240" t="n">
        <v>2.5</v>
      </c>
      <c r="AE548" s="207" t="n"/>
      <c r="AF548" s="216" t="n"/>
      <c r="AG548" s="216" t="n"/>
      <c r="AH548" s="216" t="n"/>
      <c r="AI548" s="216" t="n"/>
      <c r="AJ548" s="216" t="n"/>
      <c r="AK548" s="216" t="n"/>
      <c r="AL548" s="216" t="n"/>
      <c r="AM548" s="207" t="n">
        <v>190</v>
      </c>
      <c r="AN548" s="207" t="n"/>
      <c r="AO548" s="207" t="n"/>
      <c r="AP548" s="121" t="n">
        <v>300</v>
      </c>
      <c r="AQ548" s="121" t="n">
        <v>30</v>
      </c>
      <c r="AR548" s="207" t="n">
        <v>88</v>
      </c>
      <c r="AS548" s="207" t="n">
        <v>0</v>
      </c>
      <c r="AT548" s="207" t="n">
        <v>0</v>
      </c>
      <c r="AU548" s="207" t="n">
        <v>0</v>
      </c>
      <c r="AV548" s="207" t="n">
        <v>0</v>
      </c>
      <c r="AW548" s="207" t="n">
        <v>0</v>
      </c>
      <c r="AX548" s="208" t="n">
        <v>1</v>
      </c>
      <c r="AY548" s="209">
        <f>L548*AX548+AP548+AQ548+AR548+AV548+AW548+AS548+AT548+AU548</f>
        <v/>
      </c>
      <c r="AZ548" s="207" t="n">
        <v>2749.55</v>
      </c>
      <c r="BA548" s="207" t="n">
        <v>0</v>
      </c>
      <c r="BB548" s="207">
        <f>AZ548*0.006</f>
        <v/>
      </c>
      <c r="BC548" s="209">
        <f>AZ548+BA548-BB548</f>
        <v/>
      </c>
      <c r="BD548" s="207" t="n">
        <v>0</v>
      </c>
      <c r="BE548" s="207" t="n">
        <v>0</v>
      </c>
      <c r="BF548" s="209">
        <f>BD548+BE548</f>
        <v/>
      </c>
      <c r="BG548" s="209" t="inlineStr">
        <is>
          <t>h-semas-backend-1  | INFO:     Started server process [1]</t>
        </is>
      </c>
      <c r="BH548" s="86" t="inlineStr">
        <is>
          <t>廖小姐</t>
        </is>
      </c>
      <c r="BI548" s="86" t="inlineStr">
        <is>
          <t>广东省 广州市 天河区 石牌街道中山大道西55号华南师范大学高教新村C座C1704</t>
        </is>
      </c>
      <c r="BJ548" s="86" t="inlineStr">
        <is>
          <t>13048048332-9829</t>
        </is>
      </c>
      <c r="BK548" s="86" t="n"/>
      <c r="BL548" s="210" t="n"/>
      <c r="BM548" s="93" t="n"/>
      <c r="BN548" s="94" t="n"/>
      <c r="BO548" s="93" t="n"/>
      <c r="BP548" s="86" t="n"/>
      <c r="BQ548" s="96" t="n"/>
      <c r="BR548" s="96" t="n"/>
      <c r="BS548" s="97" t="n"/>
      <c r="BT548" s="96" t="n"/>
      <c r="BU548" s="97" t="n"/>
      <c r="BV548" s="96" t="n"/>
      <c r="BW548" s="97" t="n"/>
      <c r="BX548" s="97" t="n"/>
      <c r="BY548" s="97" t="n"/>
      <c r="BZ548" s="97" t="n"/>
      <c r="CH548" s="2" t="n"/>
      <c r="CI548" s="14" t="n"/>
      <c r="CJ548" s="25" t="n"/>
      <c r="CK548" s="25" t="n"/>
      <c r="CL548" s="25" t="n"/>
      <c r="CM548" s="25" t="n"/>
      <c r="CN548" s="25" t="n"/>
      <c r="CO548" s="25" t="n"/>
      <c r="CP548" s="25" t="n"/>
      <c r="CQ548" s="25" t="n"/>
      <c r="CR548" s="25" t="n"/>
      <c r="CS548" s="25" t="n"/>
      <c r="CT548" s="25" t="n"/>
      <c r="CU548" s="25" t="n"/>
      <c r="CV548" s="25" t="n"/>
      <c r="CW548" s="25" t="n"/>
      <c r="CX548" s="25" t="n"/>
      <c r="CY548" s="25" t="n"/>
      <c r="DC548" s="26" t="n"/>
      <c r="DD548" s="26" t="n"/>
      <c r="DE548" s="26" t="n"/>
      <c r="DF548" s="26" t="n"/>
      <c r="DG548" s="26" t="n"/>
      <c r="DH548" s="27" t="n"/>
      <c r="DJ548" s="238" t="inlineStr">
        <is>
          <t>✓ 金额一致</t>
        </is>
      </c>
      <c r="DK548" t="inlineStr">
        <is>
          <t>2749.55</t>
        </is>
      </c>
      <c r="DL548" s="239" t="n">
        <v>0</v>
      </c>
    </row>
    <row r="549" ht="15.75" customHeight="1" s="187">
      <c r="A549" s="84" t="n">
        <v>46031</v>
      </c>
      <c r="B549" s="206" t="inlineStr">
        <is>
          <t>已收货</t>
        </is>
      </c>
      <c r="C549" s="86" t="inlineStr">
        <is>
          <t>3172307955753650759</t>
        </is>
      </c>
      <c r="D549" s="86" t="inlineStr">
        <is>
          <t>廖小姐</t>
        </is>
      </c>
      <c r="E549" s="87" t="n"/>
      <c r="F549" s="87" t="n"/>
      <c r="G549" s="87" t="inlineStr">
        <is>
          <t>补差价</t>
        </is>
      </c>
      <c r="H549" s="207" t="n"/>
      <c r="I549" s="89" t="n"/>
      <c r="J549" s="87" t="inlineStr">
        <is>
          <t>已结算</t>
        </is>
      </c>
      <c r="K549" s="87" t="inlineStr">
        <is>
          <t>江西</t>
        </is>
      </c>
      <c r="L549" s="207" t="n">
        <v>0</v>
      </c>
      <c r="M549" s="207" t="n">
        <v>0</v>
      </c>
      <c r="N549" s="207" t="n"/>
      <c r="O549" s="207" t="n"/>
      <c r="P549" s="207" t="n"/>
      <c r="Q549" s="207" t="n"/>
      <c r="R549" s="207" t="n"/>
      <c r="S549" s="207" t="n"/>
      <c r="T549" s="207" t="n"/>
      <c r="U549" s="207" t="n"/>
      <c r="V549" s="207" t="n"/>
      <c r="W549" s="207" t="n"/>
      <c r="X549" s="207" t="n"/>
      <c r="Y549" s="207" t="n"/>
      <c r="Z549" s="207" t="n"/>
      <c r="AA549" s="207" t="n"/>
      <c r="AB549" s="207" t="n"/>
      <c r="AC549" s="207" t="n"/>
      <c r="AD549" s="207" t="n"/>
      <c r="AE549" s="207" t="n"/>
      <c r="AF549" s="207" t="n"/>
      <c r="AG549" s="207" t="n"/>
      <c r="AH549" s="207" t="n"/>
      <c r="AI549" s="207" t="n"/>
      <c r="AJ549" s="207" t="n"/>
      <c r="AK549" s="207" t="n"/>
      <c r="AL549" s="207" t="n"/>
      <c r="AM549" s="207" t="n"/>
      <c r="AN549" s="216" t="n"/>
      <c r="AO549" s="216" t="n"/>
      <c r="AP549" s="207" t="n">
        <v>0</v>
      </c>
      <c r="AQ549" s="207" t="n">
        <v>0</v>
      </c>
      <c r="AR549" s="207" t="n">
        <v>0</v>
      </c>
      <c r="AS549" s="207" t="n">
        <v>0</v>
      </c>
      <c r="AT549" s="207" t="n">
        <v>0</v>
      </c>
      <c r="AU549" s="207" t="n">
        <v>0</v>
      </c>
      <c r="AV549" s="207" t="n">
        <v>0</v>
      </c>
      <c r="AW549" s="207" t="n">
        <v>0</v>
      </c>
      <c r="AX549" s="208" t="n">
        <v>1</v>
      </c>
      <c r="AY549" s="209">
        <f>L549*AX549+AP549+AQ549+AR549+AV549+AW549+AS549+AT549+AU549</f>
        <v/>
      </c>
      <c r="AZ549" s="207" t="n">
        <v>51</v>
      </c>
      <c r="BA549" s="207" t="n">
        <v>0</v>
      </c>
      <c r="BB549" s="207">
        <f>AZ549*0.006</f>
        <v/>
      </c>
      <c r="BC549" s="209">
        <f>AZ549+BA549-BB549</f>
        <v/>
      </c>
      <c r="BD549" s="207" t="n">
        <v>0</v>
      </c>
      <c r="BE549" s="207" t="n">
        <v>0</v>
      </c>
      <c r="BF549" s="209">
        <f>BD549+BE549</f>
        <v/>
      </c>
      <c r="BG549" s="209" t="inlineStr">
        <is>
          <t>h-semas-backend-1  | INFO:     Waiting for application startup.</t>
        </is>
      </c>
      <c r="BH549" s="86" t="inlineStr">
        <is>
          <t>廖小姐</t>
        </is>
      </c>
      <c r="BI549" s="86" t="inlineStr">
        <is>
          <t>广东省 广州市 天河区 石牌街道中山大道西55号华南师范大学高教新村C1704</t>
        </is>
      </c>
      <c r="BJ549" s="86" t="inlineStr">
        <is>
          <t>13145710581-9365</t>
        </is>
      </c>
      <c r="BK549" s="86" t="n"/>
      <c r="BL549" s="210" t="n"/>
      <c r="BM549" s="93" t="n"/>
      <c r="BN549" s="94" t="n"/>
      <c r="BO549" s="93" t="n"/>
      <c r="BP549" s="86" t="n"/>
      <c r="BQ549" s="96" t="n"/>
      <c r="BR549" s="96" t="n"/>
      <c r="BS549" s="97" t="n"/>
      <c r="BT549" s="96" t="n"/>
      <c r="BU549" s="97" t="n"/>
      <c r="BV549" s="96" t="n"/>
      <c r="BW549" s="97" t="n"/>
      <c r="BX549" s="97" t="n"/>
      <c r="BY549" s="97" t="n"/>
      <c r="BZ549" s="97" t="n"/>
      <c r="CH549" s="2" t="n"/>
      <c r="CI549" s="14" t="n"/>
      <c r="CJ549" s="25" t="n"/>
      <c r="CK549" s="25" t="n"/>
      <c r="CL549" s="25" t="n"/>
      <c r="CM549" s="25" t="n"/>
      <c r="CN549" s="25" t="n"/>
      <c r="CO549" s="25" t="n"/>
      <c r="CP549" s="25" t="n"/>
      <c r="CQ549" s="25" t="n"/>
      <c r="CR549" s="25" t="n"/>
      <c r="CS549" s="25" t="n"/>
      <c r="CT549" s="25" t="n"/>
      <c r="CU549" s="25" t="n"/>
      <c r="CV549" s="25" t="n"/>
      <c r="CW549" s="25" t="n"/>
      <c r="CX549" s="25" t="n"/>
      <c r="CY549" s="25" t="n"/>
      <c r="DC549" s="26" t="n"/>
      <c r="DD549" s="26" t="n"/>
      <c r="DE549" s="26" t="n"/>
      <c r="DF549" s="26" t="n"/>
      <c r="DG549" s="26" t="n"/>
      <c r="DH549" s="27" t="n"/>
      <c r="DJ549" s="238" t="inlineStr">
        <is>
          <t>✓ 金额一致</t>
        </is>
      </c>
      <c r="DK549" t="inlineStr">
        <is>
          <t>51.00</t>
        </is>
      </c>
      <c r="DL549" s="239" t="n">
        <v>0</v>
      </c>
    </row>
    <row r="550" ht="15.75" customHeight="1" s="187">
      <c r="A550" s="84" t="n">
        <v>46031</v>
      </c>
      <c r="B550" s="226" t="inlineStr">
        <is>
          <t>未发货</t>
        </is>
      </c>
      <c r="C550" s="86" t="inlineStr">
        <is>
          <t>4999357982989757806</t>
        </is>
      </c>
      <c r="D550" s="86" t="inlineStr">
        <is>
          <t>小星</t>
        </is>
      </c>
      <c r="E550" s="87" t="n"/>
      <c r="F550" s="87" t="n"/>
      <c r="G550" s="87" t="inlineStr">
        <is>
          <t>砂白色1.6米岩板餐桌</t>
        </is>
      </c>
      <c r="H550" s="207" t="inlineStr">
        <is>
          <t>榉木餐桌</t>
        </is>
      </c>
      <c r="I550" s="89" t="inlineStr">
        <is>
          <t>160cm*85cm</t>
        </is>
      </c>
      <c r="J550" s="87" t="n"/>
      <c r="K550" s="86" t="inlineStr">
        <is>
          <t>江西</t>
        </is>
      </c>
      <c r="L550" s="207">
        <f>SUM(M550:AO550)</f>
        <v/>
      </c>
      <c r="M550" s="207">
        <f>1350</f>
        <v/>
      </c>
      <c r="N550" s="216" t="n"/>
      <c r="O550" s="216" t="n"/>
      <c r="P550" s="216" t="n"/>
      <c r="Q550" s="216" t="n"/>
      <c r="R550" s="207" t="n">
        <v>240</v>
      </c>
      <c r="S550" s="207" t="n"/>
      <c r="T550" s="207" t="n"/>
      <c r="U550" s="207" t="n"/>
      <c r="V550" s="207" t="n"/>
      <c r="W550" s="207" t="n"/>
      <c r="X550" s="207" t="n"/>
      <c r="Y550" s="207" t="n"/>
      <c r="Z550" s="207" t="n"/>
      <c r="AA550" s="207" t="n"/>
      <c r="AB550" s="216" t="n"/>
      <c r="AC550" s="216" t="n"/>
      <c r="AD550" s="240" t="n">
        <v>2.5</v>
      </c>
      <c r="AE550" s="207" t="n"/>
      <c r="AF550" s="216" t="n"/>
      <c r="AG550" s="216" t="n"/>
      <c r="AH550" s="216" t="n"/>
      <c r="AI550" s="216" t="n"/>
      <c r="AJ550" s="216" t="n"/>
      <c r="AK550" s="216" t="n"/>
      <c r="AL550" s="216" t="n"/>
      <c r="AM550" s="207" t="n">
        <v>190</v>
      </c>
      <c r="AN550" s="216" t="n"/>
      <c r="AO550" s="216" t="n"/>
      <c r="AP550" s="121" t="n">
        <v>300</v>
      </c>
      <c r="AQ550" s="121" t="n">
        <v>30</v>
      </c>
      <c r="AR550" s="121" t="n">
        <v>70</v>
      </c>
      <c r="AS550" s="207" t="n">
        <v>0</v>
      </c>
      <c r="AT550" s="207" t="n">
        <v>0</v>
      </c>
      <c r="AU550" s="207" t="n">
        <v>0</v>
      </c>
      <c r="AV550" s="207" t="n">
        <v>0</v>
      </c>
      <c r="AW550" s="207" t="n">
        <v>0</v>
      </c>
      <c r="AX550" s="208" t="n">
        <v>1</v>
      </c>
      <c r="AY550" s="209">
        <f>L550*AX550+AP550+AQ550+AR550+AV550+AW550+AS550+AT550+AU550</f>
        <v/>
      </c>
      <c r="AZ550" s="207" t="n">
        <v>2754.55</v>
      </c>
      <c r="BA550" s="207" t="n">
        <v>0</v>
      </c>
      <c r="BB550" s="207">
        <f>AZ550*0.006</f>
        <v/>
      </c>
      <c r="BC550" s="209">
        <f>AZ550+BA550-BB550</f>
        <v/>
      </c>
      <c r="BD550" s="207" t="n">
        <v>0</v>
      </c>
      <c r="BE550" s="207" t="n">
        <v>0</v>
      </c>
      <c r="BF550" s="209">
        <f>BD550+BE550</f>
        <v/>
      </c>
      <c r="BG550" s="209" t="inlineStr">
        <is>
          <t>h-semas-backend-1  | INFO:     Application startup complete.</t>
        </is>
      </c>
      <c r="BH550" s="207" t="inlineStr">
        <is>
          <t>小星</t>
        </is>
      </c>
      <c r="BI550" s="207" t="inlineStr">
        <is>
          <t>四川省 成都市 彭州市 致和街道城投云湖5栋401(000000)</t>
        </is>
      </c>
      <c r="BJ550" s="207" t="inlineStr">
        <is>
          <t>18400819593-2427</t>
        </is>
      </c>
      <c r="BK550" s="86" t="n"/>
      <c r="BL550" s="210" t="n"/>
      <c r="BM550" s="93" t="n"/>
      <c r="BN550" s="94" t="n"/>
      <c r="BO550" s="93" t="n"/>
      <c r="BP550" s="86" t="n"/>
      <c r="BQ550" s="96" t="n"/>
      <c r="BR550" s="96" t="n"/>
      <c r="BS550" s="97" t="n"/>
      <c r="BT550" s="96" t="n"/>
      <c r="BU550" s="97" t="n"/>
      <c r="BV550" s="96" t="n"/>
      <c r="BW550" s="97" t="n"/>
      <c r="BX550" s="97" t="n"/>
      <c r="BY550" s="97" t="n"/>
      <c r="BZ550" s="97" t="n"/>
      <c r="CH550" s="2" t="n"/>
      <c r="CI550" s="14" t="n"/>
      <c r="CJ550" s="25" t="n"/>
      <c r="CK550" s="25" t="n"/>
      <c r="CL550" s="25" t="n"/>
      <c r="CM550" s="25" t="n"/>
      <c r="CN550" s="25" t="n"/>
      <c r="CO550" s="25" t="n"/>
      <c r="CP550" s="25" t="n"/>
      <c r="CQ550" s="25" t="n"/>
      <c r="CR550" s="25" t="n"/>
      <c r="CS550" s="25" t="n"/>
      <c r="CT550" s="25" t="n"/>
      <c r="CU550" s="25" t="n"/>
      <c r="CV550" s="25" t="n"/>
      <c r="CW550" s="25" t="n"/>
      <c r="CX550" s="25" t="n"/>
      <c r="CY550" s="25" t="n"/>
      <c r="DC550" s="26" t="n"/>
      <c r="DD550" s="26" t="n"/>
      <c r="DE550" s="26" t="n"/>
      <c r="DF550" s="26" t="n"/>
      <c r="DG550" s="26" t="n"/>
      <c r="DH550" s="27" t="n"/>
      <c r="DJ550" s="241" t="inlineStr">
        <is>
          <t>✗ 金额不符</t>
        </is>
      </c>
      <c r="DK550" t="inlineStr">
        <is>
          <t>2644.37</t>
        </is>
      </c>
      <c r="DL550" s="239" t="n">
        <v>110.18</v>
      </c>
      <c r="DM550" s="241" t="inlineStr">
        <is>
          <t>买家应付金额不一致，差额+110.18元（订单表2644.37 vs 佳宝2754.55，疑似改价/补邮费/上楼费等手工调整，需人工核对）</t>
        </is>
      </c>
    </row>
    <row r="551" ht="15.75" customHeight="1" s="187">
      <c r="A551" s="84" t="n">
        <v>46035</v>
      </c>
      <c r="B551" s="206" t="inlineStr">
        <is>
          <t>已收货</t>
        </is>
      </c>
      <c r="C551" s="86" t="inlineStr">
        <is>
          <t>5006964457246559512</t>
        </is>
      </c>
      <c r="D551" s="110" t="inlineStr">
        <is>
          <t>李</t>
        </is>
      </c>
      <c r="E551" s="87" t="n"/>
      <c r="F551" s="87" t="n"/>
      <c r="G551" s="87" t="inlineStr">
        <is>
          <t>样块</t>
        </is>
      </c>
      <c r="H551" s="207" t="inlineStr">
        <is>
          <t>样块</t>
        </is>
      </c>
      <c r="I551" s="89" t="n"/>
      <c r="J551" s="87" t="inlineStr">
        <is>
          <t>已结算</t>
        </is>
      </c>
      <c r="K551" s="87" t="inlineStr">
        <is>
          <t>杭州</t>
        </is>
      </c>
      <c r="L551" s="207">
        <f>SUM(M551:AO551)</f>
        <v/>
      </c>
      <c r="M551" s="207" t="n">
        <v>5</v>
      </c>
      <c r="N551" s="207" t="n"/>
      <c r="O551" s="207" t="n"/>
      <c r="P551" s="207" t="n"/>
      <c r="Q551" s="207" t="n"/>
      <c r="R551" s="207" t="n"/>
      <c r="S551" s="207" t="n"/>
      <c r="T551" s="207" t="n"/>
      <c r="U551" s="207" t="n"/>
      <c r="V551" s="207" t="n"/>
      <c r="W551" s="207" t="n"/>
      <c r="X551" s="207" t="n"/>
      <c r="Y551" s="207" t="n"/>
      <c r="Z551" s="207" t="n"/>
      <c r="AA551" s="207" t="n"/>
      <c r="AB551" s="207" t="n"/>
      <c r="AC551" s="207" t="n"/>
      <c r="AD551" s="207" t="n"/>
      <c r="AE551" s="207" t="n"/>
      <c r="AF551" s="207" t="n"/>
      <c r="AG551" s="207" t="n"/>
      <c r="AH551" s="207" t="n"/>
      <c r="AI551" s="207" t="n"/>
      <c r="AJ551" s="207" t="n"/>
      <c r="AK551" s="207" t="n"/>
      <c r="AL551" s="207" t="n"/>
      <c r="AM551" s="207" t="n">
        <v>2</v>
      </c>
      <c r="AN551" s="216" t="n"/>
      <c r="AO551" s="216" t="n"/>
      <c r="AP551" s="207" t="n">
        <v>5</v>
      </c>
      <c r="AQ551" s="207" t="n">
        <v>0</v>
      </c>
      <c r="AR551" s="207" t="n">
        <v>0</v>
      </c>
      <c r="AS551" s="207" t="n">
        <v>0</v>
      </c>
      <c r="AT551" s="207" t="n">
        <v>0</v>
      </c>
      <c r="AU551" s="207" t="n">
        <v>0</v>
      </c>
      <c r="AV551" s="207" t="n">
        <v>0</v>
      </c>
      <c r="AW551" s="207" t="n">
        <v>0</v>
      </c>
      <c r="AX551" s="208" t="n">
        <v>1</v>
      </c>
      <c r="AY551" s="209">
        <f>L551*AX551+AP551+AQ551+AR551+AV551+AW551+AS551+AT551+AU551</f>
        <v/>
      </c>
      <c r="AZ551" s="207" t="n">
        <v>22</v>
      </c>
      <c r="BA551" s="207" t="n">
        <v>0</v>
      </c>
      <c r="BB551" s="207">
        <f>AZ551*0.006</f>
        <v/>
      </c>
      <c r="BC551" s="209">
        <f>AZ551+BA551-BB551</f>
        <v/>
      </c>
      <c r="BD551" s="207" t="n">
        <v>0</v>
      </c>
      <c r="BE551" s="207" t="n">
        <v>0</v>
      </c>
      <c r="BF551" s="209">
        <f>BD551+BE551</f>
        <v/>
      </c>
      <c r="BG551" s="209" t="inlineStr">
        <is>
          <t>h-semas-backend-1  | INFO:     Uvicorn running on http://0.0.0.0:8100 (Press CTRL+C to quit)</t>
        </is>
      </c>
      <c r="BH551" s="86" t="inlineStr">
        <is>
          <t>李</t>
        </is>
      </c>
      <c r="BI551" s="86" t="inlineStr">
        <is>
          <t>河南省 郑州市 中原区 林山寨街道工人路 于砦北街 学府一号小区 北门 4号楼</t>
        </is>
      </c>
      <c r="BJ551" s="86" t="inlineStr">
        <is>
          <t>17613457026-3880</t>
        </is>
      </c>
      <c r="BK551" s="86" t="n"/>
      <c r="BL551" s="210" t="n"/>
      <c r="BM551" s="93" t="n"/>
      <c r="BN551" s="94" t="n"/>
      <c r="BO551" s="93" t="n"/>
      <c r="BP551" s="86" t="n"/>
      <c r="BQ551" s="96" t="n"/>
      <c r="BR551" s="96" t="n"/>
      <c r="BS551" s="97" t="n"/>
      <c r="BT551" s="96" t="n"/>
      <c r="BU551" s="97" t="n"/>
      <c r="BV551" s="96" t="n"/>
      <c r="BW551" s="97" t="n"/>
      <c r="BX551" s="97" t="n"/>
      <c r="BY551" s="97" t="n"/>
      <c r="BZ551" s="97" t="n"/>
      <c r="CH551" s="2" t="n"/>
      <c r="CI551" s="14" t="n"/>
      <c r="CJ551" s="25" t="n"/>
      <c r="CK551" s="25" t="n"/>
      <c r="CL551" s="25" t="n"/>
      <c r="CM551" s="25" t="n"/>
      <c r="CN551" s="25" t="n"/>
      <c r="CO551" s="25" t="n"/>
      <c r="CP551" s="25" t="n"/>
      <c r="CQ551" s="25" t="n"/>
      <c r="CR551" s="25" t="n"/>
      <c r="CS551" s="25" t="n"/>
      <c r="CT551" s="25" t="n"/>
      <c r="CU551" s="25" t="n"/>
      <c r="CV551" s="25" t="n"/>
      <c r="CW551" s="25" t="n"/>
      <c r="CX551" s="25" t="n"/>
      <c r="CY551" s="25" t="n"/>
      <c r="DC551" s="26" t="n"/>
      <c r="DD551" s="26" t="n"/>
      <c r="DE551" s="26" t="n"/>
      <c r="DF551" s="26" t="n"/>
      <c r="DG551" s="26" t="n"/>
      <c r="DH551" s="27" t="n"/>
      <c r="DJ551" s="238" t="inlineStr">
        <is>
          <t>✓ 金额一致</t>
        </is>
      </c>
      <c r="DK551" t="inlineStr">
        <is>
          <t>22.00</t>
        </is>
      </c>
      <c r="DL551" s="239" t="n">
        <v>0</v>
      </c>
    </row>
    <row r="552" ht="15.75" customHeight="1" s="187">
      <c r="A552" s="84" t="n">
        <v>46035</v>
      </c>
      <c r="B552" s="206" t="inlineStr">
        <is>
          <t>已收货</t>
        </is>
      </c>
      <c r="C552" s="86" t="inlineStr">
        <is>
          <t>5006684883318893645</t>
        </is>
      </c>
      <c r="D552" s="110" t="inlineStr">
        <is>
          <t>张梅西</t>
        </is>
      </c>
      <c r="E552" s="87" t="n"/>
      <c r="F552" s="87" t="n"/>
      <c r="G552" s="87" t="inlineStr">
        <is>
          <t>样块</t>
        </is>
      </c>
      <c r="H552" s="207" t="inlineStr">
        <is>
          <t>样块</t>
        </is>
      </c>
      <c r="I552" s="89" t="n"/>
      <c r="J552" s="87" t="inlineStr">
        <is>
          <t>已结算</t>
        </is>
      </c>
      <c r="K552" s="87" t="inlineStr">
        <is>
          <t>杭州</t>
        </is>
      </c>
      <c r="L552" s="207">
        <f>SUM(M552:AO552)</f>
        <v/>
      </c>
      <c r="M552" s="207" t="n">
        <v>5</v>
      </c>
      <c r="N552" s="207" t="n"/>
      <c r="O552" s="207" t="n"/>
      <c r="P552" s="207" t="n"/>
      <c r="Q552" s="207" t="n"/>
      <c r="R552" s="207" t="n"/>
      <c r="S552" s="207" t="n"/>
      <c r="T552" s="207" t="n"/>
      <c r="U552" s="207" t="n"/>
      <c r="V552" s="207" t="n"/>
      <c r="W552" s="207" t="n"/>
      <c r="X552" s="207" t="n"/>
      <c r="Y552" s="207" t="n"/>
      <c r="Z552" s="207" t="n"/>
      <c r="AA552" s="207" t="n"/>
      <c r="AB552" s="207" t="n"/>
      <c r="AC552" s="207" t="n"/>
      <c r="AD552" s="207" t="n"/>
      <c r="AE552" s="207" t="n"/>
      <c r="AF552" s="207" t="n"/>
      <c r="AG552" s="207" t="n"/>
      <c r="AH552" s="207" t="n"/>
      <c r="AI552" s="207" t="n"/>
      <c r="AJ552" s="207" t="n"/>
      <c r="AK552" s="207" t="n"/>
      <c r="AL552" s="207" t="n"/>
      <c r="AM552" s="207" t="n">
        <v>2</v>
      </c>
      <c r="AN552" s="216" t="n"/>
      <c r="AO552" s="216" t="n"/>
      <c r="AP552" s="207" t="n">
        <v>5</v>
      </c>
      <c r="AQ552" s="207" t="n">
        <v>0</v>
      </c>
      <c r="AR552" s="207" t="n">
        <v>0</v>
      </c>
      <c r="AS552" s="207" t="n">
        <v>0</v>
      </c>
      <c r="AT552" s="207" t="n">
        <v>0</v>
      </c>
      <c r="AU552" s="207" t="n">
        <v>0</v>
      </c>
      <c r="AV552" s="207" t="n">
        <v>0</v>
      </c>
      <c r="AW552" s="207" t="n">
        <v>0</v>
      </c>
      <c r="AX552" s="208" t="n">
        <v>1</v>
      </c>
      <c r="AY552" s="209">
        <f>L552*AX552+AP552+AQ552+AR552+AV552+AW552+AS552+AT552+AU552</f>
        <v/>
      </c>
      <c r="AZ552" s="207" t="n">
        <v>22</v>
      </c>
      <c r="BA552" s="207" t="n">
        <v>0</v>
      </c>
      <c r="BB552" s="207">
        <f>AZ552*0.006</f>
        <v/>
      </c>
      <c r="BC552" s="209">
        <f>AZ552+BA552-BB552</f>
        <v/>
      </c>
      <c r="BD552" s="207" t="n">
        <v>0</v>
      </c>
      <c r="BE552" s="207" t="n">
        <v>0</v>
      </c>
      <c r="BF552" s="209">
        <f>BD552+BE552</f>
        <v/>
      </c>
      <c r="BG552" s="209" t="inlineStr">
        <is>
          <t>root@DS923plus:/volume1/docker/h-semas#</t>
        </is>
      </c>
      <c r="BH552" s="86" t="inlineStr">
        <is>
          <t>张梅西</t>
        </is>
      </c>
      <c r="BI552" s="86" t="inlineStr">
        <is>
          <t>北京 北京市 西城区 新街口街道西直门北顺城街玉桃园2区22号楼2门302</t>
        </is>
      </c>
      <c r="BJ552" s="86" t="inlineStr">
        <is>
          <t>18400868318-9643</t>
        </is>
      </c>
      <c r="BK552" s="86" t="n"/>
      <c r="BL552" s="210" t="n"/>
      <c r="BM552" s="93" t="n"/>
      <c r="BN552" s="94" t="n"/>
      <c r="BO552" s="93" t="n"/>
      <c r="BP552" s="86" t="n"/>
      <c r="BQ552" s="96" t="n"/>
      <c r="BR552" s="96" t="n"/>
      <c r="BS552" s="97" t="n"/>
      <c r="BT552" s="96" t="n"/>
      <c r="BU552" s="97" t="n"/>
      <c r="BV552" s="96" t="n"/>
      <c r="BW552" s="97" t="n"/>
      <c r="BX552" s="97" t="n"/>
      <c r="BY552" s="97" t="n"/>
      <c r="BZ552" s="97" t="n"/>
      <c r="CH552" s="2" t="n"/>
      <c r="CI552" s="14" t="n"/>
      <c r="CJ552" s="25" t="n"/>
      <c r="CK552" s="25" t="n"/>
      <c r="CL552" s="25" t="n"/>
      <c r="CM552" s="25" t="n"/>
      <c r="CN552" s="25" t="n"/>
      <c r="CO552" s="25" t="n"/>
      <c r="CP552" s="25" t="n"/>
      <c r="CQ552" s="25" t="n"/>
      <c r="CR552" s="25" t="n"/>
      <c r="CS552" s="25" t="n"/>
      <c r="CT552" s="25" t="n"/>
      <c r="CU552" s="25" t="n"/>
      <c r="CV552" s="25" t="n"/>
      <c r="CW552" s="25" t="n"/>
      <c r="CX552" s="25" t="n"/>
      <c r="CY552" s="25" t="n"/>
      <c r="DC552" s="26" t="n"/>
      <c r="DD552" s="26" t="n"/>
      <c r="DE552" s="26" t="n"/>
      <c r="DF552" s="26" t="n"/>
      <c r="DG552" s="26" t="n"/>
      <c r="DH552" s="27" t="n"/>
      <c r="DJ552" s="238" t="inlineStr">
        <is>
          <t>✓ 金额一致</t>
        </is>
      </c>
      <c r="DK552" t="inlineStr">
        <is>
          <t>22.00</t>
        </is>
      </c>
      <c r="DL552" s="239" t="n">
        <v>0</v>
      </c>
    </row>
    <row r="553" ht="15.75" customHeight="1" s="187">
      <c r="A553" s="84" t="n">
        <v>46036</v>
      </c>
      <c r="B553" s="226" t="inlineStr">
        <is>
          <t>售后处理中</t>
        </is>
      </c>
      <c r="C553" s="86" t="inlineStr">
        <is>
          <t>3183374785161228259</t>
        </is>
      </c>
      <c r="D553" s="86" t="inlineStr">
        <is>
          <t>宗雪娟</t>
        </is>
      </c>
      <c r="E553" s="87" t="n"/>
      <c r="F553" s="87" t="n"/>
      <c r="G553" s="87" t="inlineStr">
        <is>
          <t>定制长2.4米，高2.35米洞石柜子</t>
        </is>
      </c>
      <c r="H553" s="207" t="inlineStr">
        <is>
          <t>洞石餐边柜</t>
        </is>
      </c>
      <c r="I553" s="89" t="n">
        <v>2400</v>
      </c>
      <c r="J553" s="87" t="n"/>
      <c r="K553" s="86" t="inlineStr">
        <is>
          <t>江西</t>
        </is>
      </c>
      <c r="L553" s="207">
        <f>SUM(M553:AO553)</f>
        <v/>
      </c>
      <c r="M553" s="216" t="n">
        <v>8200</v>
      </c>
      <c r="N553" s="207" t="n">
        <v>830.08</v>
      </c>
      <c r="O553" s="207" t="n"/>
      <c r="P553" s="207" t="n"/>
      <c r="Q553" s="207" t="n">
        <v>120</v>
      </c>
      <c r="R553" s="207" t="n">
        <v>750</v>
      </c>
      <c r="S553" s="207">
        <f>52*2</f>
        <v/>
      </c>
      <c r="T553" s="207" t="n">
        <v>98</v>
      </c>
      <c r="U553" s="207" t="n"/>
      <c r="V553" s="207" t="n"/>
      <c r="W553" s="207" t="n"/>
      <c r="X553" s="207">
        <f>22*7</f>
        <v/>
      </c>
      <c r="Y553" s="207" t="n"/>
      <c r="Z553" s="207">
        <f>3.5+14</f>
        <v/>
      </c>
      <c r="AA553" s="207" t="n"/>
      <c r="AB553" s="207" t="n">
        <v>20</v>
      </c>
      <c r="AC553" s="207" t="n">
        <v>14</v>
      </c>
      <c r="AD553" s="207" t="n"/>
      <c r="AE553" s="207" t="n"/>
      <c r="AF553" s="207" t="n"/>
      <c r="AG553" s="207" t="n"/>
      <c r="AH553" s="207" t="n"/>
      <c r="AI553" s="207" t="n"/>
      <c r="AJ553" s="207" t="n"/>
      <c r="AK553" s="207" t="n"/>
      <c r="AL553" s="207" t="n"/>
      <c r="AM553" s="121" t="n">
        <v>460</v>
      </c>
      <c r="AN553" s="216" t="n"/>
      <c r="AO553" s="216" t="n"/>
      <c r="AP553" s="121" t="n">
        <v>550</v>
      </c>
      <c r="AQ553" s="121" t="n">
        <v>50</v>
      </c>
      <c r="AR553" s="207" t="n">
        <v>150</v>
      </c>
      <c r="AS553" s="207" t="n">
        <v>0</v>
      </c>
      <c r="AT553" s="207" t="n">
        <v>0</v>
      </c>
      <c r="AU553" s="207" t="n">
        <v>0</v>
      </c>
      <c r="AV553" s="207" t="n">
        <v>0</v>
      </c>
      <c r="AW553" s="207" t="n">
        <v>0</v>
      </c>
      <c r="AX553" s="208" t="n">
        <v>1</v>
      </c>
      <c r="AY553" s="209">
        <f>L553*AX553+AP553+AQ553+AR553+AV553+AW553+AS553+AT553+AU553</f>
        <v/>
      </c>
      <c r="AZ553" s="207" t="n">
        <v>12164.52</v>
      </c>
      <c r="BA553" s="207" t="n">
        <v>0</v>
      </c>
      <c r="BB553" s="207">
        <f>AZ553*0.006</f>
        <v/>
      </c>
      <c r="BC553" s="209">
        <f>AZ553+BA553-BB553</f>
        <v/>
      </c>
      <c r="BD553" s="207" t="n">
        <v>0</v>
      </c>
      <c r="BE553" s="207" t="n">
        <v>0</v>
      </c>
      <c r="BF553" s="209">
        <f>BD553+BE553</f>
        <v/>
      </c>
      <c r="BG553" s="209">
        <f>BC553-AY553+BF553</f>
        <v/>
      </c>
      <c r="BH553" s="207" t="inlineStr">
        <is>
          <t>宗雪娟</t>
        </is>
      </c>
      <c r="BI553" s="207" t="inlineStr">
        <is>
          <t>河北省 石家庄市 长安区 高营镇万科翡翠书院5号院10-1-804(000000)</t>
        </is>
      </c>
      <c r="BJ553" s="207" t="inlineStr">
        <is>
          <t>18920329925</t>
        </is>
      </c>
      <c r="BK553" s="86" t="n"/>
      <c r="BL553" s="210" t="n"/>
      <c r="BM553" s="93" t="n"/>
      <c r="BN553" s="94" t="n"/>
      <c r="BO553" s="93" t="n"/>
      <c r="BP553" s="86" t="n"/>
      <c r="BQ553" s="96" t="n"/>
      <c r="BR553" s="96" t="n"/>
      <c r="BS553" s="97" t="n"/>
      <c r="BT553" s="96" t="n"/>
      <c r="BU553" s="97" t="n"/>
      <c r="BV553" s="96" t="n"/>
      <c r="BW553" s="97" t="n"/>
      <c r="BX553" s="97" t="n"/>
      <c r="BY553" s="97" t="n"/>
      <c r="BZ553" s="97" t="n"/>
      <c r="CH553" s="2" t="n"/>
      <c r="CI553" s="14" t="n"/>
      <c r="CJ553" s="25" t="n"/>
      <c r="CK553" s="25" t="n"/>
      <c r="CL553" s="25" t="n"/>
      <c r="CM553" s="25" t="n"/>
      <c r="CN553" s="25" t="n"/>
      <c r="CO553" s="25" t="n"/>
      <c r="CP553" s="25" t="n"/>
      <c r="CQ553" s="25" t="n"/>
      <c r="CR553" s="25" t="n"/>
      <c r="CS553" s="25" t="n"/>
      <c r="CT553" s="25" t="n"/>
      <c r="CU553" s="25" t="n"/>
      <c r="CV553" s="25" t="n"/>
      <c r="CW553" s="25" t="n"/>
      <c r="CX553" s="25" t="n"/>
      <c r="CY553" s="25" t="n"/>
      <c r="DC553" s="26" t="n"/>
      <c r="DD553" s="26" t="n"/>
      <c r="DE553" s="26" t="n"/>
      <c r="DF553" s="26" t="n"/>
      <c r="DG553" s="26" t="n"/>
      <c r="DH553" s="27" t="n"/>
      <c r="DJ553" s="241" t="inlineStr">
        <is>
          <t>✗ 金额不符</t>
        </is>
      </c>
      <c r="DK553" t="inlineStr">
        <is>
          <t>12114.52</t>
        </is>
      </c>
      <c r="DL553" s="239" t="n">
        <v>50</v>
      </c>
      <c r="DM553" s="241" t="inlineStr">
        <is>
          <t>买家应付金额不一致，差额+50.00元（订单表12114.52 vs 佳宝12164.52，疑似改价/补邮费/上楼费等手工调整，需人工核对）</t>
        </is>
      </c>
    </row>
    <row r="554" ht="15.75" customHeight="1" s="187">
      <c r="A554" s="84" t="n">
        <v>46036</v>
      </c>
      <c r="B554" s="226" t="inlineStr">
        <is>
          <t>售后处理中</t>
        </is>
      </c>
      <c r="C554" s="86" t="inlineStr">
        <is>
          <t>3183055466322228259</t>
        </is>
      </c>
      <c r="D554" s="86" t="inlineStr">
        <is>
          <t>宗雪娟</t>
        </is>
      </c>
      <c r="E554" s="87" t="n"/>
      <c r="F554" s="87" t="n"/>
      <c r="G554" s="87" t="inlineStr">
        <is>
          <t>补差价</t>
        </is>
      </c>
      <c r="H554" s="207" t="inlineStr">
        <is>
          <t>洞石餐边柜</t>
        </is>
      </c>
      <c r="I554" s="89" t="n"/>
      <c r="J554" s="87" t="n"/>
      <c r="K554" s="86" t="inlineStr">
        <is>
          <t>江西</t>
        </is>
      </c>
      <c r="L554" s="216" t="n">
        <v>0</v>
      </c>
      <c r="M554" s="216" t="n">
        <v>0</v>
      </c>
      <c r="N554" s="216" t="n"/>
      <c r="O554" s="216" t="n"/>
      <c r="P554" s="216" t="n"/>
      <c r="Q554" s="216" t="n"/>
      <c r="R554" s="207" t="n"/>
      <c r="S554" s="216" t="n"/>
      <c r="T554" s="216" t="n"/>
      <c r="U554" s="216" t="n"/>
      <c r="V554" s="216" t="n"/>
      <c r="W554" s="207" t="n"/>
      <c r="X554" s="207" t="n"/>
      <c r="Y554" s="207" t="n"/>
      <c r="Z554" s="207" t="n"/>
      <c r="AA554" s="207" t="n"/>
      <c r="AB554" s="207" t="n"/>
      <c r="AC554" s="207" t="n"/>
      <c r="AD554" s="207" t="n"/>
      <c r="AE554" s="207" t="n"/>
      <c r="AF554" s="207" t="n"/>
      <c r="AG554" s="207" t="n"/>
      <c r="AH554" s="207" t="n"/>
      <c r="AI554" s="207" t="n"/>
      <c r="AJ554" s="207" t="n"/>
      <c r="AK554" s="207" t="n"/>
      <c r="AL554" s="207" t="n"/>
      <c r="AM554" s="207" t="n"/>
      <c r="AN554" s="216" t="n"/>
      <c r="AO554" s="216" t="n"/>
      <c r="AP554" s="207" t="n">
        <v>0</v>
      </c>
      <c r="AQ554" s="207" t="n">
        <v>0</v>
      </c>
      <c r="AR554" s="207" t="n">
        <v>0</v>
      </c>
      <c r="AS554" s="207" t="n">
        <v>0</v>
      </c>
      <c r="AT554" s="207" t="n">
        <v>0</v>
      </c>
      <c r="AU554" s="207" t="n">
        <v>0</v>
      </c>
      <c r="AV554" s="207" t="n">
        <v>0</v>
      </c>
      <c r="AW554" s="207" t="n">
        <v>0</v>
      </c>
      <c r="AX554" s="208" t="n">
        <v>1</v>
      </c>
      <c r="AY554" s="209">
        <f>L554*AX554+AP554+AQ554+AR554+AV554+AW554+AS554+AT554+AU554</f>
        <v/>
      </c>
      <c r="AZ554" s="207" t="n">
        <v>2334.64</v>
      </c>
      <c r="BA554" s="207" t="n">
        <v>0</v>
      </c>
      <c r="BB554" s="207">
        <f>AZ554*0.006</f>
        <v/>
      </c>
      <c r="BC554" s="209">
        <f>AZ554+BA554-BB554</f>
        <v/>
      </c>
      <c r="BD554" s="207" t="n">
        <v>0</v>
      </c>
      <c r="BE554" s="207" t="n">
        <v>0</v>
      </c>
      <c r="BF554" s="209">
        <f>BD554+BE554</f>
        <v/>
      </c>
      <c r="BG554" s="209">
        <f>BC554-AY554+BF554</f>
        <v/>
      </c>
      <c r="BH554" s="207" t="inlineStr">
        <is>
          <t>宗雪娟</t>
        </is>
      </c>
      <c r="BI554" s="207" t="inlineStr">
        <is>
          <t>河北省 石家庄市 长安区 万科翡翠书院5号院10-801(050011)</t>
        </is>
      </c>
      <c r="BJ554" s="207" t="inlineStr">
        <is>
          <t>17897430591-3735</t>
        </is>
      </c>
      <c r="BK554" s="86" t="n"/>
      <c r="BL554" s="210" t="n"/>
      <c r="BM554" s="93" t="n"/>
      <c r="BN554" s="94" t="n"/>
      <c r="BO554" s="93" t="n"/>
      <c r="BP554" s="86" t="n"/>
      <c r="BQ554" s="96" t="n"/>
      <c r="BR554" s="96" t="n"/>
      <c r="BS554" s="97" t="n"/>
      <c r="BT554" s="96" t="n"/>
      <c r="BU554" s="97" t="n"/>
      <c r="BV554" s="96" t="n"/>
      <c r="BW554" s="97" t="n"/>
      <c r="BX554" s="97" t="n"/>
      <c r="BY554" s="97" t="n"/>
      <c r="BZ554" s="97" t="n"/>
      <c r="CH554" s="2" t="n"/>
      <c r="CI554" s="14" t="n"/>
      <c r="CJ554" s="25" t="n"/>
      <c r="CK554" s="25" t="n"/>
      <c r="CL554" s="25" t="n"/>
      <c r="CM554" s="25" t="n"/>
      <c r="CN554" s="25" t="n"/>
      <c r="CO554" s="25" t="n"/>
      <c r="CP554" s="25" t="n"/>
      <c r="CQ554" s="25" t="n"/>
      <c r="CR554" s="25" t="n"/>
      <c r="CS554" s="25" t="n"/>
      <c r="CT554" s="25" t="n"/>
      <c r="CU554" s="25" t="n"/>
      <c r="CV554" s="25" t="n"/>
      <c r="CW554" s="25" t="n"/>
      <c r="CX554" s="25" t="n"/>
      <c r="CY554" s="25" t="n"/>
      <c r="DC554" s="26" t="n"/>
      <c r="DD554" s="26" t="n"/>
      <c r="DE554" s="26" t="n"/>
      <c r="DF554" s="26" t="n"/>
      <c r="DG554" s="26" t="n"/>
      <c r="DH554" s="27" t="n"/>
      <c r="DJ554" s="238" t="inlineStr">
        <is>
          <t>✓ 金额一致</t>
        </is>
      </c>
      <c r="DK554" t="inlineStr">
        <is>
          <t>2334.64</t>
        </is>
      </c>
      <c r="DL554" s="239" t="n">
        <v>0</v>
      </c>
    </row>
    <row r="555" ht="15.75" customHeight="1" s="187">
      <c r="A555" s="84" t="n">
        <v>46036</v>
      </c>
      <c r="B555" s="206" t="inlineStr">
        <is>
          <t>已收货</t>
        </is>
      </c>
      <c r="C555" s="86" t="inlineStr">
        <is>
          <t>5010629978069402623</t>
        </is>
      </c>
      <c r="D555" s="86" t="inlineStr">
        <is>
          <t>TENG</t>
        </is>
      </c>
      <c r="E555" s="87" t="n"/>
      <c r="F555" s="87" t="n"/>
      <c r="G555" s="87" t="inlineStr">
        <is>
          <t>1.2米洞石窄柜</t>
        </is>
      </c>
      <c r="H555" s="207" t="inlineStr">
        <is>
          <t>樱桃木窄柜</t>
        </is>
      </c>
      <c r="I555" s="89" t="n">
        <v>1200</v>
      </c>
      <c r="J555" s="87" t="inlineStr">
        <is>
          <t>已结算</t>
        </is>
      </c>
      <c r="K555" s="86" t="inlineStr">
        <is>
          <t>江西</t>
        </is>
      </c>
      <c r="L555" s="207">
        <f>3400+115+1.16+3.37+1.1+1.03+76/2+8+411.08+3+10+52+300*1.2*0.48+5*10+190+54</f>
        <v/>
      </c>
      <c r="M555" s="207">
        <f>3400</f>
        <v/>
      </c>
      <c r="N555" s="207" t="n">
        <v>115</v>
      </c>
      <c r="O555" s="207" t="n"/>
      <c r="P555" s="207" t="n"/>
      <c r="Q555" s="207" t="n"/>
      <c r="R555" s="207" t="n"/>
      <c r="S555" s="207" t="n"/>
      <c r="T555" s="207" t="n">
        <v>27791</v>
      </c>
      <c r="U555" s="207" t="n"/>
      <c r="V555" s="207" t="n"/>
      <c r="W555" s="207" t="n">
        <v>8</v>
      </c>
      <c r="X555" s="207" t="n">
        <v>411.08</v>
      </c>
      <c r="Y555" s="207" t="n">
        <v>3</v>
      </c>
      <c r="Z555" s="207" t="n"/>
      <c r="AA555" s="207" t="n"/>
      <c r="AB555" s="207" t="n"/>
      <c r="AC555" s="207" t="n">
        <v>190</v>
      </c>
      <c r="AD555" s="207" t="n">
        <v>52</v>
      </c>
      <c r="AE555" s="207" t="n">
        <v>10</v>
      </c>
      <c r="AF555" s="207" t="inlineStr">
        <is>
          <t>300*1.2*0.48</t>
        </is>
      </c>
      <c r="AG555" s="207" t="n"/>
      <c r="AH555" s="207" t="n"/>
      <c r="AI555" s="207" t="n"/>
      <c r="AJ555" s="207" t="inlineStr">
        <is>
          <t>5*10</t>
        </is>
      </c>
      <c r="AK555" s="207" t="n"/>
      <c r="AL555" s="207" t="n"/>
      <c r="AM555" s="242" t="n">
        <v>54</v>
      </c>
      <c r="AN555" s="216" t="n"/>
      <c r="AO555" s="216" t="n"/>
      <c r="AP555" s="121" t="n">
        <v>300</v>
      </c>
      <c r="AQ555" s="121" t="n">
        <v>30</v>
      </c>
      <c r="AR555" s="207" t="n">
        <v>68</v>
      </c>
      <c r="AS555" s="207" t="n">
        <v>0</v>
      </c>
      <c r="AT555" s="207" t="n">
        <v>0</v>
      </c>
      <c r="AU555" s="207" t="n">
        <v>0</v>
      </c>
      <c r="AV555" s="207" t="n">
        <v>0</v>
      </c>
      <c r="AW555" s="207" t="n">
        <v>0</v>
      </c>
      <c r="AX555" s="208" t="n">
        <v>1</v>
      </c>
      <c r="AY555" s="209">
        <f>L555*AX555+AP555+AQ555+AR555+AV555+AW555+AS555+AT555+AU555</f>
        <v/>
      </c>
      <c r="AZ555" s="207" t="n">
        <v>5978.95</v>
      </c>
      <c r="BA555" s="207" t="n">
        <v>0</v>
      </c>
      <c r="BB555" s="207">
        <f>AZ555*0.006</f>
        <v/>
      </c>
      <c r="BC555" s="209">
        <f>AZ555+BA555-BB555</f>
        <v/>
      </c>
      <c r="BD555" s="207" t="n">
        <v>0</v>
      </c>
      <c r="BE555" s="207" t="n">
        <v>0</v>
      </c>
      <c r="BF555" s="209">
        <f>BD555+BE555</f>
        <v/>
      </c>
      <c r="BG555" s="209">
        <f>BC555-AY555+BF555</f>
        <v/>
      </c>
      <c r="BH555" s="86" t="inlineStr">
        <is>
          <t>TENG</t>
        </is>
      </c>
      <c r="BI555" s="86" t="inlineStr">
        <is>
          <t>江苏省 徐州市 鼓楼区 丰财街道响山路锦绣滨湖小区三期48-2-102 （送货到门）</t>
        </is>
      </c>
      <c r="BJ555" s="86" t="inlineStr">
        <is>
          <t>15780620215-7957</t>
        </is>
      </c>
      <c r="BK555" s="86" t="n"/>
      <c r="BL555" s="210" t="n"/>
      <c r="BM555" s="93" t="n"/>
      <c r="BN555" s="94" t="n"/>
      <c r="BO555" s="93" t="n"/>
      <c r="BP555" s="86" t="n"/>
      <c r="BQ555" s="96" t="n"/>
      <c r="BR555" s="96" t="n"/>
      <c r="BS555" s="97" t="n"/>
      <c r="BT555" s="96" t="n"/>
      <c r="BU555" s="97" t="n"/>
      <c r="BV555" s="96" t="n"/>
      <c r="BW555" s="97" t="n"/>
      <c r="BX555" s="97" t="n"/>
      <c r="BY555" s="97" t="n"/>
      <c r="BZ555" s="97" t="n"/>
      <c r="CH555" s="2" t="n"/>
      <c r="CI555" s="14" t="n"/>
      <c r="CJ555" s="25" t="n"/>
      <c r="CK555" s="25" t="n"/>
      <c r="CL555" s="25" t="n"/>
      <c r="CM555" s="25" t="n"/>
      <c r="CN555" s="25" t="n"/>
      <c r="CO555" s="25" t="n"/>
      <c r="CP555" s="25" t="n"/>
      <c r="CQ555" s="25" t="n"/>
      <c r="CR555" s="25" t="n"/>
      <c r="CS555" s="25" t="n"/>
      <c r="CT555" s="25" t="n"/>
      <c r="CU555" s="25" t="n"/>
      <c r="CV555" s="25" t="n"/>
      <c r="CW555" s="25" t="n"/>
      <c r="CX555" s="25" t="n"/>
      <c r="CY555" s="25" t="n"/>
      <c r="DC555" s="26" t="n"/>
      <c r="DD555" s="26" t="n"/>
      <c r="DE555" s="26" t="n"/>
      <c r="DF555" s="26" t="n"/>
      <c r="DG555" s="26" t="n"/>
      <c r="DH555" s="27" t="n"/>
      <c r="DJ555" s="241" t="inlineStr">
        <is>
          <t>✗ 金额不符</t>
        </is>
      </c>
      <c r="DK555" t="inlineStr">
        <is>
          <t>5858.38</t>
        </is>
      </c>
      <c r="DL555" s="239" t="n">
        <v>120.57</v>
      </c>
      <c r="DM555" s="241" t="inlineStr">
        <is>
          <t>买家应付金额不一致，差额+120.57元（订单表5858.38 vs 佳宝5978.95，疑似改价/补邮费/上楼费等手工调整，需人工核对）</t>
        </is>
      </c>
    </row>
    <row r="556" ht="15.75" customHeight="1" s="187">
      <c r="A556" s="84" t="n">
        <v>46036</v>
      </c>
      <c r="B556" s="206" t="inlineStr">
        <is>
          <t>已收货</t>
        </is>
      </c>
      <c r="C556" s="86" t="inlineStr">
        <is>
          <t>5011051610701893645</t>
        </is>
      </c>
      <c r="D556" s="86" t="inlineStr">
        <is>
          <t>张梅西</t>
        </is>
      </c>
      <c r="E556" s="87" t="n"/>
      <c r="F556" s="87" t="n"/>
      <c r="G556" s="87" t="inlineStr">
        <is>
          <t>样块</t>
        </is>
      </c>
      <c r="H556" s="207" t="inlineStr">
        <is>
          <t>样块</t>
        </is>
      </c>
      <c r="I556" s="89" t="n"/>
      <c r="J556" s="87" t="inlineStr">
        <is>
          <t>已结算</t>
        </is>
      </c>
      <c r="K556" s="87" t="inlineStr">
        <is>
          <t>杭州</t>
        </is>
      </c>
      <c r="L556" s="207">
        <f>SUM(M556:AO556)</f>
        <v/>
      </c>
      <c r="M556" s="207" t="n">
        <v>5</v>
      </c>
      <c r="N556" s="207" t="n"/>
      <c r="O556" s="207" t="n"/>
      <c r="P556" s="207" t="n"/>
      <c r="Q556" s="207" t="n"/>
      <c r="R556" s="207" t="n"/>
      <c r="S556" s="207" t="n"/>
      <c r="T556" s="207" t="n"/>
      <c r="U556" s="207" t="n"/>
      <c r="V556" s="207" t="n"/>
      <c r="W556" s="207" t="n"/>
      <c r="X556" s="207" t="n"/>
      <c r="Y556" s="207" t="n"/>
      <c r="Z556" s="207" t="n"/>
      <c r="AA556" s="207" t="n"/>
      <c r="AB556" s="207" t="n"/>
      <c r="AC556" s="207" t="n"/>
      <c r="AD556" s="207" t="n"/>
      <c r="AE556" s="207" t="n"/>
      <c r="AF556" s="207" t="n"/>
      <c r="AG556" s="207" t="n"/>
      <c r="AH556" s="207" t="n"/>
      <c r="AI556" s="207" t="n"/>
      <c r="AJ556" s="207" t="n"/>
      <c r="AK556" s="207" t="n"/>
      <c r="AL556" s="207" t="n"/>
      <c r="AM556" s="207" t="n">
        <v>2</v>
      </c>
      <c r="AN556" s="216" t="n"/>
      <c r="AO556" s="216" t="n"/>
      <c r="AP556" s="207" t="n">
        <v>5</v>
      </c>
      <c r="AQ556" s="207" t="n">
        <v>0</v>
      </c>
      <c r="AR556" s="207" t="n">
        <v>0</v>
      </c>
      <c r="AS556" s="207" t="n">
        <v>0</v>
      </c>
      <c r="AT556" s="207" t="n">
        <v>0</v>
      </c>
      <c r="AU556" s="207" t="n">
        <v>0</v>
      </c>
      <c r="AV556" s="207" t="n">
        <v>0</v>
      </c>
      <c r="AW556" s="207" t="n">
        <v>0</v>
      </c>
      <c r="AX556" s="208" t="n">
        <v>1</v>
      </c>
      <c r="AY556" s="209">
        <f>L556*AX556+AP556+AQ556+AR556+AV556+AW556+AS556+AT556+AU556</f>
        <v/>
      </c>
      <c r="AZ556" s="207" t="n">
        <v>22</v>
      </c>
      <c r="BA556" s="207" t="n">
        <v>0</v>
      </c>
      <c r="BB556" s="207">
        <f>AZ556*0.006</f>
        <v/>
      </c>
      <c r="BC556" s="209">
        <f>AZ556+BA556-BB556</f>
        <v/>
      </c>
      <c r="BD556" s="207" t="n">
        <v>0</v>
      </c>
      <c r="BE556" s="207" t="n">
        <v>0</v>
      </c>
      <c r="BF556" s="209">
        <f>BD556+BE556</f>
        <v/>
      </c>
      <c r="BG556" s="209">
        <f>BC556-AY556+BF556</f>
        <v/>
      </c>
      <c r="BH556" s="86" t="inlineStr">
        <is>
          <t>张梅西</t>
        </is>
      </c>
      <c r="BI556" s="86" t="inlineStr">
        <is>
          <t>北京 北京市 西城区 新街口街道西直门北顺城街玉桃园2区22号楼2门302</t>
        </is>
      </c>
      <c r="BJ556" s="86" t="inlineStr">
        <is>
          <t>18400868318-9643</t>
        </is>
      </c>
      <c r="BK556" s="86" t="n"/>
      <c r="BL556" s="210" t="n"/>
      <c r="BM556" s="93" t="n"/>
      <c r="BN556" s="94" t="n"/>
      <c r="BO556" s="93" t="n"/>
      <c r="BP556" s="86" t="n"/>
      <c r="BQ556" s="96" t="n"/>
      <c r="BR556" s="96" t="n"/>
      <c r="BS556" s="97" t="n"/>
      <c r="BT556" s="96" t="n"/>
      <c r="BU556" s="97" t="n"/>
      <c r="BV556" s="96" t="n"/>
      <c r="BW556" s="97" t="n"/>
      <c r="BX556" s="97" t="n"/>
      <c r="BY556" s="97" t="n"/>
      <c r="BZ556" s="97" t="n"/>
      <c r="CH556" s="2" t="n"/>
      <c r="CI556" s="14" t="n"/>
      <c r="CJ556" s="25" t="n"/>
      <c r="CK556" s="25" t="n"/>
      <c r="CL556" s="25" t="n"/>
      <c r="CM556" s="25" t="n"/>
      <c r="CN556" s="25" t="n"/>
      <c r="CO556" s="25" t="n"/>
      <c r="CP556" s="25" t="n"/>
      <c r="CQ556" s="25" t="n"/>
      <c r="CR556" s="25" t="n"/>
      <c r="CS556" s="25" t="n"/>
      <c r="CT556" s="25" t="n"/>
      <c r="CU556" s="25" t="n"/>
      <c r="CV556" s="25" t="n"/>
      <c r="CW556" s="25" t="n"/>
      <c r="CX556" s="25" t="n"/>
      <c r="CY556" s="25" t="n"/>
      <c r="DC556" s="26" t="n"/>
      <c r="DD556" s="26" t="n"/>
      <c r="DE556" s="26" t="n"/>
      <c r="DF556" s="26" t="n"/>
      <c r="DG556" s="26" t="n"/>
      <c r="DH556" s="27" t="n"/>
      <c r="DJ556" s="238" t="inlineStr">
        <is>
          <t>✓ 金额一致</t>
        </is>
      </c>
      <c r="DK556" t="inlineStr">
        <is>
          <t>22.00</t>
        </is>
      </c>
      <c r="DL556" s="239" t="n">
        <v>0</v>
      </c>
    </row>
    <row r="557" ht="15.75" customHeight="1" s="187">
      <c r="A557" s="84" t="n">
        <v>46038</v>
      </c>
      <c r="B557" s="206" t="inlineStr">
        <is>
          <t>已收货</t>
        </is>
      </c>
      <c r="C557" s="86" t="inlineStr">
        <is>
          <t>5014980578413738833</t>
        </is>
      </c>
      <c r="D557" s="86" t="inlineStr">
        <is>
          <t>黄梦荻</t>
        </is>
      </c>
      <c r="E557" s="87" t="n"/>
      <c r="F557" s="87" t="n"/>
      <c r="G557" s="87" t="inlineStr">
        <is>
          <t>砂白色1.8米岩板餐桌</t>
        </is>
      </c>
      <c r="H557" s="207" t="inlineStr">
        <is>
          <t>榉木餐桌</t>
        </is>
      </c>
      <c r="I557" s="89" t="inlineStr">
        <is>
          <t>180cm*85cm</t>
        </is>
      </c>
      <c r="J557" s="87" t="inlineStr">
        <is>
          <t>已结算</t>
        </is>
      </c>
      <c r="K557" s="86" t="inlineStr">
        <is>
          <t>江西</t>
        </is>
      </c>
      <c r="L557" s="207">
        <f>SUM(M557:AO557)</f>
        <v/>
      </c>
      <c r="M557" s="207">
        <f>1400</f>
        <v/>
      </c>
      <c r="N557" s="207" t="n"/>
      <c r="O557" s="216" t="n"/>
      <c r="P557" s="216" t="n"/>
      <c r="Q557" s="216" t="n"/>
      <c r="R557" s="207" t="n">
        <v>240</v>
      </c>
      <c r="S557" s="207" t="n"/>
      <c r="T557" s="207" t="n"/>
      <c r="U557" s="207" t="n"/>
      <c r="V557" s="207" t="n"/>
      <c r="W557" s="207" t="n"/>
      <c r="X557" s="207" t="n"/>
      <c r="Y557" s="207" t="n"/>
      <c r="Z557" s="207" t="n"/>
      <c r="AA557" s="207" t="n"/>
      <c r="AB557" s="216" t="n"/>
      <c r="AC557" s="216" t="n"/>
      <c r="AD557" s="240" t="n">
        <v>2.5</v>
      </c>
      <c r="AE557" s="207" t="n"/>
      <c r="AF557" s="216" t="n"/>
      <c r="AG557" s="216" t="n"/>
      <c r="AH557" s="216" t="n"/>
      <c r="AI557" s="216" t="n"/>
      <c r="AJ557" s="216" t="n"/>
      <c r="AK557" s="216" t="n"/>
      <c r="AL557" s="216" t="n"/>
      <c r="AM557" s="207" t="n">
        <v>90</v>
      </c>
      <c r="AN557" s="216" t="n"/>
      <c r="AO557" s="216" t="n"/>
      <c r="AP557" s="207" t="n">
        <v>100</v>
      </c>
      <c r="AQ557" s="207" t="n">
        <v>0</v>
      </c>
      <c r="AR557" s="207" t="n">
        <v>260</v>
      </c>
      <c r="AS557" s="207" t="n">
        <v>0</v>
      </c>
      <c r="AT557" s="207" t="n">
        <v>0</v>
      </c>
      <c r="AU557" s="207" t="n">
        <v>0</v>
      </c>
      <c r="AV557" s="207" t="n">
        <v>0</v>
      </c>
      <c r="AW557" s="207" t="n">
        <v>0</v>
      </c>
      <c r="AX557" s="208" t="n">
        <v>1</v>
      </c>
      <c r="AY557" s="209">
        <f>L557*AX557+AP557+AQ557+AR557+AV557+AW557+AS557+AT557+AU557</f>
        <v/>
      </c>
      <c r="AZ557" s="207" t="n">
        <v>2871.25</v>
      </c>
      <c r="BA557" s="207" t="n">
        <v>0</v>
      </c>
      <c r="BB557" s="207">
        <f>AZ557*0.006</f>
        <v/>
      </c>
      <c r="BC557" s="209">
        <f>AZ557+BA557-BB557</f>
        <v/>
      </c>
      <c r="BD557" s="207" t="n">
        <v>0</v>
      </c>
      <c r="BE557" s="207" t="n">
        <v>0</v>
      </c>
      <c r="BF557" s="209">
        <f>BD557+BE557</f>
        <v/>
      </c>
      <c r="BG557" s="209">
        <f>BC557-AY557+BF557</f>
        <v/>
      </c>
      <c r="BH557" s="86" t="inlineStr">
        <is>
          <t>黄梦荻</t>
        </is>
      </c>
      <c r="BI557" s="86" t="inlineStr">
        <is>
          <t>上海 上海市 浦东新区 北蔡镇开云艾尚里二期16号301室</t>
        </is>
      </c>
      <c r="BJ557" s="86" t="inlineStr">
        <is>
          <t>18466706956-5622</t>
        </is>
      </c>
      <c r="BK557" s="86" t="n"/>
      <c r="BL557" s="210" t="n"/>
      <c r="BM557" s="93" t="n"/>
      <c r="BN557" s="94" t="n"/>
      <c r="BO557" s="93" t="n"/>
      <c r="BP557" s="86" t="n"/>
      <c r="BQ557" s="96" t="n"/>
      <c r="BR557" s="96" t="n"/>
      <c r="BS557" s="97" t="n"/>
      <c r="BT557" s="96" t="n"/>
      <c r="BU557" s="97" t="n"/>
      <c r="BV557" s="96" t="n"/>
      <c r="BW557" s="97" t="n"/>
      <c r="BX557" s="97" t="n"/>
      <c r="BY557" s="97" t="n"/>
      <c r="BZ557" s="97" t="n"/>
      <c r="CH557" s="2" t="n"/>
      <c r="CI557" s="14" t="n"/>
      <c r="CJ557" s="25" t="n"/>
      <c r="CK557" s="25" t="n"/>
      <c r="CL557" s="25" t="n"/>
      <c r="CM557" s="25" t="n"/>
      <c r="CN557" s="25" t="n"/>
      <c r="CO557" s="25" t="n"/>
      <c r="CP557" s="25" t="n"/>
      <c r="CQ557" s="25" t="n"/>
      <c r="CR557" s="25" t="n"/>
      <c r="CS557" s="25" t="n"/>
      <c r="CT557" s="25" t="n"/>
      <c r="CU557" s="25" t="n"/>
      <c r="CV557" s="25" t="n"/>
      <c r="CW557" s="25" t="n"/>
      <c r="CX557" s="25" t="n"/>
      <c r="CY557" s="25" t="n"/>
      <c r="DC557" s="26" t="n"/>
      <c r="DD557" s="26" t="n"/>
      <c r="DE557" s="26" t="n"/>
      <c r="DF557" s="26" t="n"/>
      <c r="DG557" s="26" t="n"/>
      <c r="DH557" s="27" t="n"/>
      <c r="DJ557" s="238" t="inlineStr">
        <is>
          <t>✓ 金额一致</t>
        </is>
      </c>
      <c r="DK557" t="inlineStr">
        <is>
          <t>2871.25</t>
        </is>
      </c>
      <c r="DL557" s="239" t="n">
        <v>0</v>
      </c>
    </row>
    <row r="558" ht="15.75" customHeight="1" s="187">
      <c r="A558" s="84" t="n">
        <v>46039</v>
      </c>
      <c r="B558" s="206" t="inlineStr">
        <is>
          <t>已收货</t>
        </is>
      </c>
      <c r="C558" s="86" t="inlineStr">
        <is>
          <t>3189157969460122797</t>
        </is>
      </c>
      <c r="D558" s="86" t="inlineStr">
        <is>
          <t>冉先生</t>
        </is>
      </c>
      <c r="E558" s="87" t="n"/>
      <c r="F558" s="87" t="n"/>
      <c r="G558" s="87" t="inlineStr">
        <is>
          <t>样块</t>
        </is>
      </c>
      <c r="H558" s="207" t="inlineStr">
        <is>
          <t>样块</t>
        </is>
      </c>
      <c r="I558" s="89" t="n"/>
      <c r="J558" s="87" t="inlineStr">
        <is>
          <t>已结算</t>
        </is>
      </c>
      <c r="K558" s="87" t="inlineStr">
        <is>
          <t>杭州</t>
        </is>
      </c>
      <c r="L558" s="207">
        <f>SUM(M558:AO558)</f>
        <v/>
      </c>
      <c r="M558" s="207" t="n">
        <v>5</v>
      </c>
      <c r="N558" s="207" t="n"/>
      <c r="O558" s="207" t="n"/>
      <c r="P558" s="207" t="n"/>
      <c r="Q558" s="207" t="n"/>
      <c r="R558" s="207" t="n"/>
      <c r="S558" s="207" t="n"/>
      <c r="T558" s="207" t="n"/>
      <c r="U558" s="207" t="n"/>
      <c r="V558" s="207" t="n"/>
      <c r="W558" s="207" t="n"/>
      <c r="X558" s="207" t="n"/>
      <c r="Y558" s="207" t="n"/>
      <c r="Z558" s="207" t="n"/>
      <c r="AA558" s="207" t="n"/>
      <c r="AB558" s="207" t="n"/>
      <c r="AC558" s="207" t="n"/>
      <c r="AD558" s="207" t="n"/>
      <c r="AE558" s="207" t="n"/>
      <c r="AF558" s="207" t="n"/>
      <c r="AG558" s="207" t="n"/>
      <c r="AH558" s="207" t="n"/>
      <c r="AI558" s="207" t="n"/>
      <c r="AJ558" s="207" t="n"/>
      <c r="AK558" s="207" t="n"/>
      <c r="AL558" s="207" t="n"/>
      <c r="AM558" s="207" t="n">
        <v>2</v>
      </c>
      <c r="AN558" s="207" t="n"/>
      <c r="AO558" s="207" t="n"/>
      <c r="AP558" s="207" t="n">
        <v>5</v>
      </c>
      <c r="AQ558" s="207" t="n">
        <v>0</v>
      </c>
      <c r="AR558" s="207" t="n">
        <v>0</v>
      </c>
      <c r="AS558" s="207" t="n">
        <v>0</v>
      </c>
      <c r="AT558" s="207" t="n">
        <v>0</v>
      </c>
      <c r="AU558" s="207" t="n">
        <v>0</v>
      </c>
      <c r="AV558" s="207" t="n">
        <v>0</v>
      </c>
      <c r="AW558" s="207" t="n">
        <v>0</v>
      </c>
      <c r="AX558" s="208" t="n">
        <v>1</v>
      </c>
      <c r="AY558" s="209">
        <f>L558*AX558+AP558+AQ558+AR558+AV558+AW558+AS558+AT558+AU558</f>
        <v/>
      </c>
      <c r="AZ558" s="207" t="n">
        <v>22</v>
      </c>
      <c r="BA558" s="207" t="n">
        <v>0</v>
      </c>
      <c r="BB558" s="207">
        <f>AZ558*0.006</f>
        <v/>
      </c>
      <c r="BC558" s="209">
        <f>AZ558+BA558-BB558</f>
        <v/>
      </c>
      <c r="BD558" s="207" t="n">
        <v>0</v>
      </c>
      <c r="BE558" s="207" t="n">
        <v>0</v>
      </c>
      <c r="BF558" s="209">
        <f>BD558+BE558</f>
        <v/>
      </c>
      <c r="BG558" s="209">
        <f>BC558-AY558+BF558</f>
        <v/>
      </c>
      <c r="BH558" s="86" t="inlineStr">
        <is>
          <t>冉先生</t>
        </is>
      </c>
      <c r="BI558" s="86" t="inlineStr">
        <is>
          <t>重庆 重庆市 沙坪坝区 土主街道重庆融创文旅城·御铂南区9栋</t>
        </is>
      </c>
      <c r="BJ558" s="86" t="inlineStr">
        <is>
          <t>18423011537-1714</t>
        </is>
      </c>
      <c r="BK558" s="86" t="n"/>
      <c r="BL558" s="210" t="n"/>
      <c r="BM558" s="93" t="n"/>
      <c r="BN558" s="94" t="n"/>
      <c r="BO558" s="93" t="n"/>
      <c r="BP558" s="86" t="n"/>
      <c r="BQ558" s="96" t="n"/>
      <c r="BR558" s="96" t="n"/>
      <c r="BS558" s="97" t="n"/>
      <c r="BT558" s="96" t="n"/>
      <c r="BU558" s="97" t="n"/>
      <c r="BV558" s="96" t="n"/>
      <c r="BW558" s="97" t="n"/>
      <c r="BX558" s="97" t="n"/>
      <c r="BY558" s="97" t="n"/>
      <c r="BZ558" s="97" t="n"/>
      <c r="CH558" s="2" t="n"/>
      <c r="CI558" s="14" t="n"/>
      <c r="CJ558" s="25" t="n"/>
      <c r="CK558" s="25" t="n"/>
      <c r="CL558" s="25" t="n"/>
      <c r="CM558" s="25" t="n"/>
      <c r="CN558" s="25" t="n"/>
      <c r="CO558" s="25" t="n"/>
      <c r="CP558" s="25" t="n"/>
      <c r="CQ558" s="25" t="n"/>
      <c r="CR558" s="25" t="n"/>
      <c r="CS558" s="25" t="n"/>
      <c r="CT558" s="25" t="n"/>
      <c r="CU558" s="25" t="n"/>
      <c r="CV558" s="25" t="n"/>
      <c r="CW558" s="25" t="n"/>
      <c r="CX558" s="25" t="n"/>
      <c r="CY558" s="25" t="n"/>
      <c r="DC558" s="26" t="n"/>
      <c r="DD558" s="26" t="n"/>
      <c r="DE558" s="26" t="n"/>
      <c r="DF558" s="26" t="n"/>
      <c r="DG558" s="26" t="n"/>
      <c r="DH558" s="27" t="n"/>
      <c r="DJ558" s="238" t="inlineStr">
        <is>
          <t>✓ 金额一致</t>
        </is>
      </c>
      <c r="DK558" t="inlineStr">
        <is>
          <t>22.00</t>
        </is>
      </c>
      <c r="DL558" s="239" t="n">
        <v>0</v>
      </c>
    </row>
    <row r="559" ht="15.75" customHeight="1" s="187">
      <c r="A559" s="84" t="n">
        <v>46039</v>
      </c>
      <c r="B559" s="206" t="inlineStr">
        <is>
          <t>已收货</t>
        </is>
      </c>
      <c r="C559" s="86" t="inlineStr">
        <is>
          <t>3191241577891136577</t>
        </is>
      </c>
      <c r="D559" s="86" t="inlineStr">
        <is>
          <t>李焯翾</t>
        </is>
      </c>
      <c r="E559" s="87" t="n"/>
      <c r="F559" s="87" t="n"/>
      <c r="G559" s="87" t="inlineStr">
        <is>
          <t>返回拦截费用</t>
        </is>
      </c>
      <c r="H559" s="207" t="n"/>
      <c r="I559" s="89" t="n"/>
      <c r="J559" s="87" t="inlineStr">
        <is>
          <t>已结算</t>
        </is>
      </c>
      <c r="K559" s="86" t="inlineStr">
        <is>
          <t>江西</t>
        </is>
      </c>
      <c r="L559" s="216" t="n">
        <v>0</v>
      </c>
      <c r="M559" s="216" t="n">
        <v>0</v>
      </c>
      <c r="N559" s="216" t="n"/>
      <c r="O559" s="216" t="n"/>
      <c r="P559" s="216" t="n"/>
      <c r="Q559" s="216" t="n"/>
      <c r="R559" s="216" t="n"/>
      <c r="S559" s="216" t="n"/>
      <c r="T559" s="216" t="n"/>
      <c r="U559" s="216" t="n"/>
      <c r="V559" s="216" t="n"/>
      <c r="W559" s="216" t="n"/>
      <c r="X559" s="216" t="n"/>
      <c r="Y559" s="216" t="n"/>
      <c r="Z559" s="216" t="n"/>
      <c r="AA559" s="216" t="n"/>
      <c r="AB559" s="216" t="n"/>
      <c r="AC559" s="216" t="n"/>
      <c r="AD559" s="216" t="n"/>
      <c r="AE559" s="216" t="n"/>
      <c r="AF559" s="216" t="n"/>
      <c r="AG559" s="216" t="n"/>
      <c r="AH559" s="216" t="n"/>
      <c r="AI559" s="216" t="n"/>
      <c r="AJ559" s="216" t="n"/>
      <c r="AK559" s="216" t="n"/>
      <c r="AL559" s="216" t="n"/>
      <c r="AM559" s="207" t="n"/>
      <c r="AN559" s="207" t="n"/>
      <c r="AO559" s="207" t="n"/>
      <c r="AP559" s="207" t="n">
        <v>0</v>
      </c>
      <c r="AQ559" s="207" t="n">
        <v>0</v>
      </c>
      <c r="AR559" s="207" t="n">
        <v>0</v>
      </c>
      <c r="AS559" s="207" t="n">
        <v>0</v>
      </c>
      <c r="AT559" s="207" t="n">
        <v>0</v>
      </c>
      <c r="AU559" s="207" t="n">
        <v>0</v>
      </c>
      <c r="AV559" s="207" t="n">
        <v>0</v>
      </c>
      <c r="AW559" s="207" t="n">
        <v>0</v>
      </c>
      <c r="AX559" s="208" t="n">
        <v>1</v>
      </c>
      <c r="AY559" s="209">
        <f>L559*AX559+AP559+AQ559+AR559+AV559+AW559+AS559+AT559+AU559</f>
        <v/>
      </c>
      <c r="AZ559" s="207" t="n">
        <v>341</v>
      </c>
      <c r="BA559" s="207" t="n">
        <v>0</v>
      </c>
      <c r="BB559" s="207">
        <f>AZ559*0.006</f>
        <v/>
      </c>
      <c r="BC559" s="209">
        <f>AZ559+BA559-BB559</f>
        <v/>
      </c>
      <c r="BD559" s="207" t="n">
        <v>0</v>
      </c>
      <c r="BE559" s="207" t="n">
        <v>0</v>
      </c>
      <c r="BF559" s="209">
        <f>BD559+BE559</f>
        <v/>
      </c>
      <c r="BG559" s="209">
        <f>BC559-AY559+BF559</f>
        <v/>
      </c>
      <c r="BH559" s="86" t="inlineStr">
        <is>
          <t>李焯翾</t>
        </is>
      </c>
      <c r="BI559" s="86" t="inlineStr">
        <is>
          <t>河南省 郑州市 管城回族区 商都路街道 国龙绿城怡园2期3号楼3单元1002分机号7154</t>
        </is>
      </c>
      <c r="BJ559" s="86" t="n">
        <v>18416726806</v>
      </c>
      <c r="BK559" s="86" t="n"/>
      <c r="BL559" s="210" t="n"/>
      <c r="BM559" s="93" t="n"/>
      <c r="BN559" s="94" t="n"/>
      <c r="BO559" s="93" t="n"/>
      <c r="BP559" s="86" t="n"/>
      <c r="BQ559" s="96" t="n"/>
      <c r="BR559" s="96" t="n"/>
      <c r="BS559" s="97" t="n"/>
      <c r="BT559" s="96" t="n"/>
      <c r="BU559" s="97" t="n"/>
      <c r="BV559" s="96" t="n"/>
      <c r="BW559" s="97" t="n"/>
      <c r="BX559" s="97" t="n"/>
      <c r="BY559" s="97" t="n"/>
      <c r="BZ559" s="97" t="n"/>
      <c r="CH559" s="2" t="n"/>
      <c r="CI559" s="14" t="n"/>
      <c r="CJ559" s="25" t="n"/>
      <c r="CK559" s="25" t="n"/>
      <c r="CL559" s="25" t="n"/>
      <c r="CM559" s="25" t="n"/>
      <c r="CN559" s="25" t="n"/>
      <c r="CO559" s="25" t="n"/>
      <c r="CP559" s="25" t="n"/>
      <c r="CQ559" s="25" t="n"/>
      <c r="CR559" s="25" t="n"/>
      <c r="CS559" s="25" t="n"/>
      <c r="CT559" s="25" t="n"/>
      <c r="CU559" s="25" t="n"/>
      <c r="CV559" s="25" t="n"/>
      <c r="CW559" s="25" t="n"/>
      <c r="CX559" s="25" t="n"/>
      <c r="CY559" s="25" t="n"/>
      <c r="DC559" s="26" t="n"/>
      <c r="DD559" s="26" t="n"/>
      <c r="DE559" s="26" t="n"/>
      <c r="DF559" s="26" t="n"/>
      <c r="DG559" s="26" t="n"/>
      <c r="DH559" s="27" t="n"/>
      <c r="DJ559" s="211" t="inlineStr">
        <is>
          <t>订单表中未找到</t>
        </is>
      </c>
      <c r="DK559" t="inlineStr">
        <is>
          <t>—</t>
        </is>
      </c>
      <c r="DL559" t="inlineStr">
        <is>
          <t>—</t>
        </is>
      </c>
    </row>
    <row r="560" ht="15.75" customHeight="1" s="187">
      <c r="A560" s="84" t="n">
        <v>46040</v>
      </c>
      <c r="B560" s="206" t="inlineStr">
        <is>
          <t>已收货</t>
        </is>
      </c>
      <c r="C560" s="86" t="inlineStr">
        <is>
          <t>3191937999081328361</t>
        </is>
      </c>
      <c r="D560" s="86" t="inlineStr">
        <is>
          <t>兰森尼</t>
        </is>
      </c>
      <c r="E560" s="87" t="n"/>
      <c r="F560" s="87" t="n"/>
      <c r="G560" s="87" t="inlineStr">
        <is>
          <t>砂白色2.0米岩板餐桌，定制</t>
        </is>
      </c>
      <c r="H560" s="207" t="inlineStr">
        <is>
          <t>榉木餐桌</t>
        </is>
      </c>
      <c r="I560" s="89" t="inlineStr">
        <is>
          <t>200cm*85cm</t>
        </is>
      </c>
      <c r="J560" s="87" t="n"/>
      <c r="K560" s="86" t="inlineStr">
        <is>
          <t>江西</t>
        </is>
      </c>
      <c r="L560" s="207">
        <f>SUM(M560:AO560)</f>
        <v/>
      </c>
      <c r="M560" s="207" t="n">
        <v>1450</v>
      </c>
      <c r="N560" s="207" t="n"/>
      <c r="O560" s="216" t="n"/>
      <c r="P560" s="216" t="n"/>
      <c r="Q560" s="216" t="n"/>
      <c r="R560" s="121" t="n">
        <v>560</v>
      </c>
      <c r="S560" s="207" t="n"/>
      <c r="T560" s="207" t="n"/>
      <c r="U560" s="207" t="n"/>
      <c r="V560" s="207" t="n"/>
      <c r="W560" s="207" t="n"/>
      <c r="X560" s="207" t="n"/>
      <c r="Y560" s="207" t="n"/>
      <c r="Z560" s="207" t="n"/>
      <c r="AA560" s="207" t="n"/>
      <c r="AB560" s="216" t="n"/>
      <c r="AC560" s="216" t="n"/>
      <c r="AD560" s="121" t="n">
        <v>2.5</v>
      </c>
      <c r="AE560" s="207" t="n"/>
      <c r="AF560" s="216" t="n"/>
      <c r="AG560" s="216" t="n"/>
      <c r="AH560" s="216" t="n"/>
      <c r="AI560" s="216" t="n"/>
      <c r="AJ560" s="216" t="n"/>
      <c r="AK560" s="216" t="n"/>
      <c r="AL560" s="216" t="n"/>
      <c r="AM560" s="121" t="n">
        <v>210</v>
      </c>
      <c r="AN560" s="207" t="n"/>
      <c r="AO560" s="207" t="n"/>
      <c r="AP560" s="121" t="n">
        <v>300</v>
      </c>
      <c r="AQ560" s="121" t="n">
        <v>30</v>
      </c>
      <c r="AR560" s="121" t="n">
        <v>70</v>
      </c>
      <c r="AS560" s="207" t="n">
        <v>0</v>
      </c>
      <c r="AT560" s="207" t="n">
        <v>0</v>
      </c>
      <c r="AU560" s="207" t="n">
        <v>0</v>
      </c>
      <c r="AV560" s="207" t="n">
        <v>0</v>
      </c>
      <c r="AW560" s="207" t="n">
        <v>0</v>
      </c>
      <c r="AX560" s="208" t="n">
        <v>1</v>
      </c>
      <c r="AY560" s="209">
        <f>L560*AX560+AP560+AQ560+AR560+AV560+AW560+AS560+AT560+AU560</f>
        <v/>
      </c>
      <c r="AZ560" s="207" t="n">
        <v>3183.78</v>
      </c>
      <c r="BA560" s="207" t="n">
        <v>0</v>
      </c>
      <c r="BB560" s="207">
        <f>AZ560*0.006</f>
        <v/>
      </c>
      <c r="BC560" s="209">
        <f>AZ560+BA560-BB560</f>
        <v/>
      </c>
      <c r="BD560" s="207" t="n">
        <v>0</v>
      </c>
      <c r="BE560" s="207" t="n">
        <v>0</v>
      </c>
      <c r="BF560" s="209">
        <f>BD560+BE560</f>
        <v/>
      </c>
      <c r="BG560" s="209">
        <f>BC560-AY560+BF560</f>
        <v/>
      </c>
      <c r="BH560" s="207" t="inlineStr">
        <is>
          <t>兰森尼</t>
        </is>
      </c>
      <c r="BI560" s="207" t="inlineStr">
        <is>
          <t>新疆维吾尔自治区 乌鲁木齐市 新市区 二工乡新馨美寓9号楼3单元603(000000)</t>
        </is>
      </c>
      <c r="BJ560" s="207" t="inlineStr">
        <is>
          <t>18466169289-9572</t>
        </is>
      </c>
      <c r="BK560" s="86" t="n"/>
      <c r="BL560" s="210" t="n"/>
      <c r="BM560" s="93" t="n"/>
      <c r="BN560" s="94" t="n"/>
      <c r="BO560" s="93" t="n"/>
      <c r="BP560" s="86" t="n"/>
      <c r="BQ560" s="96" t="n"/>
      <c r="BR560" s="96" t="n"/>
      <c r="BS560" s="97" t="n"/>
      <c r="BT560" s="96" t="n"/>
      <c r="BU560" s="97" t="n"/>
      <c r="BV560" s="96" t="n"/>
      <c r="BW560" s="97" t="n"/>
      <c r="BX560" s="97" t="n"/>
      <c r="BY560" s="97" t="n"/>
      <c r="BZ560" s="97" t="n"/>
      <c r="CH560" s="2" t="n"/>
      <c r="CI560" s="14" t="n"/>
      <c r="CJ560" s="25" t="n"/>
      <c r="CK560" s="25" t="n"/>
      <c r="CL560" s="25" t="n"/>
      <c r="CM560" s="25" t="n"/>
      <c r="CN560" s="25" t="n"/>
      <c r="CO560" s="25" t="n"/>
      <c r="CP560" s="25" t="n"/>
      <c r="CQ560" s="25" t="n"/>
      <c r="CR560" s="25" t="n"/>
      <c r="CS560" s="25" t="n"/>
      <c r="CT560" s="25" t="n"/>
      <c r="CU560" s="25" t="n"/>
      <c r="CV560" s="25" t="n"/>
      <c r="CW560" s="25" t="n"/>
      <c r="CX560" s="25" t="n"/>
      <c r="CY560" s="25" t="n"/>
      <c r="DC560" s="26" t="n"/>
      <c r="DD560" s="26" t="n"/>
      <c r="DE560" s="26" t="n"/>
      <c r="DF560" s="26" t="n"/>
      <c r="DG560" s="26" t="n"/>
      <c r="DH560" s="27" t="n"/>
      <c r="DJ560" s="211" t="inlineStr">
        <is>
          <t>订单表中未找到</t>
        </is>
      </c>
      <c r="DK560" t="inlineStr">
        <is>
          <t>—</t>
        </is>
      </c>
      <c r="DL560" t="inlineStr">
        <is>
          <t>—</t>
        </is>
      </c>
    </row>
    <row r="561" ht="15.75" customHeight="1" s="187">
      <c r="A561" s="84" t="n">
        <v>46040</v>
      </c>
      <c r="B561" s="206" t="inlineStr">
        <is>
          <t>已收货</t>
        </is>
      </c>
      <c r="C561" s="86" t="inlineStr">
        <is>
          <t>3192328453352328361</t>
        </is>
      </c>
      <c r="D561" s="86" t="inlineStr">
        <is>
          <t>兰森尼</t>
        </is>
      </c>
      <c r="E561" s="87" t="n"/>
      <c r="F561" s="87" t="n"/>
      <c r="G561" s="87" t="inlineStr">
        <is>
          <t>补差价</t>
        </is>
      </c>
      <c r="H561" s="207" t="inlineStr">
        <is>
          <t>榉木餐桌</t>
        </is>
      </c>
      <c r="I561" s="89" t="n"/>
      <c r="J561" s="87" t="n"/>
      <c r="K561" s="86" t="inlineStr">
        <is>
          <t>江西</t>
        </is>
      </c>
      <c r="L561" s="216" t="n">
        <v>0</v>
      </c>
      <c r="M561" s="216" t="n">
        <v>0</v>
      </c>
      <c r="N561" s="207" t="n"/>
      <c r="O561" s="216" t="n"/>
      <c r="P561" s="216" t="n"/>
      <c r="Q561" s="216" t="n"/>
      <c r="R561" s="216" t="n"/>
      <c r="S561" s="207" t="n"/>
      <c r="T561" s="207" t="n"/>
      <c r="U561" s="207" t="n"/>
      <c r="V561" s="207" t="n"/>
      <c r="W561" s="207" t="n"/>
      <c r="X561" s="207" t="n"/>
      <c r="Y561" s="207" t="n"/>
      <c r="Z561" s="207" t="n"/>
      <c r="AA561" s="207" t="n"/>
      <c r="AB561" s="216" t="n"/>
      <c r="AC561" s="216" t="n"/>
      <c r="AD561" s="216" t="n"/>
      <c r="AE561" s="207" t="n"/>
      <c r="AF561" s="216" t="n"/>
      <c r="AG561" s="216" t="n"/>
      <c r="AH561" s="216" t="n"/>
      <c r="AI561" s="216" t="n"/>
      <c r="AJ561" s="216" t="n"/>
      <c r="AK561" s="216" t="n"/>
      <c r="AL561" s="216" t="n"/>
      <c r="AM561" s="207" t="n"/>
      <c r="AN561" s="207" t="n"/>
      <c r="AO561" s="207" t="n"/>
      <c r="AP561" s="207" t="n">
        <v>0</v>
      </c>
      <c r="AQ561" s="207" t="n">
        <v>0</v>
      </c>
      <c r="AR561" s="207" t="n">
        <v>0</v>
      </c>
      <c r="AS561" s="207" t="n">
        <v>0</v>
      </c>
      <c r="AT561" s="207" t="n">
        <v>0</v>
      </c>
      <c r="AU561" s="207" t="n">
        <v>0</v>
      </c>
      <c r="AV561" s="207" t="n">
        <v>0</v>
      </c>
      <c r="AW561" s="207" t="n">
        <v>0</v>
      </c>
      <c r="AX561" s="208" t="n">
        <v>1</v>
      </c>
      <c r="AY561" s="209">
        <f>L561*AX561+AP561+AQ561+AR561+AV561+AW561+AS561+AT561+AU561</f>
        <v/>
      </c>
      <c r="AZ561" s="207" t="n">
        <v>54.56</v>
      </c>
      <c r="BA561" s="207" t="n">
        <v>0</v>
      </c>
      <c r="BB561" s="207">
        <f>AZ561*0.006</f>
        <v/>
      </c>
      <c r="BC561" s="209">
        <f>AZ561+BA561-BB561</f>
        <v/>
      </c>
      <c r="BD561" s="207" t="n">
        <v>0</v>
      </c>
      <c r="BE561" s="207" t="n">
        <v>0</v>
      </c>
      <c r="BF561" s="209">
        <f>BD561+BE561</f>
        <v/>
      </c>
      <c r="BG561" s="209">
        <f>BC561-AY561+BF561</f>
        <v/>
      </c>
      <c r="BH561" s="207" t="inlineStr">
        <is>
          <t>兰森尼</t>
        </is>
      </c>
      <c r="BI561" s="207" t="inlineStr">
        <is>
          <t>新疆维吾尔自治区 乌鲁木齐市 新市区 二工乡新馨美寓9号楼3单元603(000000)</t>
        </is>
      </c>
      <c r="BJ561" s="207" t="inlineStr">
        <is>
          <t>18466169289-9572</t>
        </is>
      </c>
      <c r="BK561" s="86" t="n"/>
      <c r="BL561" s="210" t="n"/>
      <c r="BM561" s="93" t="n"/>
      <c r="BN561" s="94" t="n"/>
      <c r="BO561" s="93" t="n"/>
      <c r="BP561" s="86" t="n"/>
      <c r="BQ561" s="96" t="n"/>
      <c r="BR561" s="96" t="n"/>
      <c r="BS561" s="97" t="n"/>
      <c r="BT561" s="96" t="n"/>
      <c r="BU561" s="97" t="n"/>
      <c r="BV561" s="96" t="n"/>
      <c r="BW561" s="97" t="n"/>
      <c r="BX561" s="97" t="n"/>
      <c r="BY561" s="97" t="n"/>
      <c r="BZ561" s="97" t="n"/>
      <c r="CH561" s="2" t="n"/>
      <c r="CI561" s="14" t="n"/>
      <c r="CJ561" s="25" t="n"/>
      <c r="CK561" s="25" t="n"/>
      <c r="CL561" s="25" t="n"/>
      <c r="CM561" s="25" t="n"/>
      <c r="CN561" s="25" t="n"/>
      <c r="CO561" s="25" t="n"/>
      <c r="CP561" s="25" t="n"/>
      <c r="CQ561" s="25" t="n"/>
      <c r="CR561" s="25" t="n"/>
      <c r="CS561" s="25" t="n"/>
      <c r="CT561" s="25" t="n"/>
      <c r="CU561" s="25" t="n"/>
      <c r="CV561" s="25" t="n"/>
      <c r="CW561" s="25" t="n"/>
      <c r="CX561" s="25" t="n"/>
      <c r="CY561" s="25" t="n"/>
      <c r="DC561" s="26" t="n"/>
      <c r="DD561" s="26" t="n"/>
      <c r="DE561" s="26" t="n"/>
      <c r="DF561" s="26" t="n"/>
      <c r="DG561" s="26" t="n"/>
      <c r="DH561" s="27" t="n"/>
      <c r="DJ561" s="211" t="inlineStr">
        <is>
          <t>订单表中未找到</t>
        </is>
      </c>
      <c r="DK561" t="inlineStr">
        <is>
          <t>—</t>
        </is>
      </c>
      <c r="DL561" t="inlineStr">
        <is>
          <t>—</t>
        </is>
      </c>
    </row>
    <row r="562" ht="15.75" customHeight="1" s="187">
      <c r="A562" s="84" t="n">
        <v>46042</v>
      </c>
      <c r="B562" s="206" t="inlineStr">
        <is>
          <t>已收货</t>
        </is>
      </c>
      <c r="C562" s="86" t="inlineStr">
        <is>
          <t>4501892844011032422</t>
        </is>
      </c>
      <c r="D562" s="110" t="inlineStr">
        <is>
          <t>李照征</t>
        </is>
      </c>
      <c r="E562" s="87" t="n"/>
      <c r="F562" s="87" t="n"/>
      <c r="G562" s="87" t="inlineStr">
        <is>
          <t>插座</t>
        </is>
      </c>
      <c r="H562" s="207" t="inlineStr">
        <is>
          <t>配件</t>
        </is>
      </c>
      <c r="I562" s="89" t="n"/>
      <c r="J562" s="87" t="inlineStr">
        <is>
          <t>已结算</t>
        </is>
      </c>
      <c r="K562" s="86" t="inlineStr">
        <is>
          <t>其他</t>
        </is>
      </c>
      <c r="L562" s="216" t="n">
        <v>55</v>
      </c>
      <c r="M562" s="216" t="n">
        <v>55</v>
      </c>
      <c r="N562" s="207" t="n"/>
      <c r="O562" s="216" t="n"/>
      <c r="P562" s="216" t="n"/>
      <c r="Q562" s="216" t="n"/>
      <c r="R562" s="216" t="n"/>
      <c r="S562" s="216" t="n"/>
      <c r="T562" s="216" t="n"/>
      <c r="U562" s="216" t="n"/>
      <c r="V562" s="216" t="n"/>
      <c r="W562" s="216" t="n"/>
      <c r="X562" s="216" t="n"/>
      <c r="Y562" s="216" t="n"/>
      <c r="Z562" s="216" t="n"/>
      <c r="AA562" s="216" t="n"/>
      <c r="AB562" s="216" t="n"/>
      <c r="AC562" s="216" t="n"/>
      <c r="AD562" s="216" t="n"/>
      <c r="AE562" s="216" t="n"/>
      <c r="AF562" s="216" t="n"/>
      <c r="AG562" s="216" t="n"/>
      <c r="AH562" s="216" t="n"/>
      <c r="AI562" s="216" t="n"/>
      <c r="AJ562" s="216" t="n"/>
      <c r="AK562" s="216" t="n"/>
      <c r="AL562" s="216" t="n"/>
      <c r="AM562" s="207" t="n"/>
      <c r="AN562" s="207" t="n"/>
      <c r="AO562" s="207" t="n"/>
      <c r="AP562" s="207" t="n">
        <v>8</v>
      </c>
      <c r="AQ562" s="207" t="n">
        <v>0</v>
      </c>
      <c r="AR562" s="207" t="n">
        <v>0</v>
      </c>
      <c r="AS562" s="207" t="n">
        <v>0</v>
      </c>
      <c r="AT562" s="207" t="n">
        <v>0</v>
      </c>
      <c r="AU562" s="207" t="n">
        <v>0</v>
      </c>
      <c r="AV562" s="207" t="n">
        <v>0</v>
      </c>
      <c r="AW562" s="207" t="n">
        <v>0</v>
      </c>
      <c r="AX562" s="208" t="n">
        <v>1</v>
      </c>
      <c r="AY562" s="209">
        <f>L562*AX562+AP562+AQ562+AR562+AV562+AW562+AS562+AT562+AU562</f>
        <v/>
      </c>
      <c r="AZ562" s="207" t="n">
        <v>100</v>
      </c>
      <c r="BA562" s="207" t="n">
        <v>0</v>
      </c>
      <c r="BB562" s="207">
        <f>AZ562*0.006</f>
        <v/>
      </c>
      <c r="BC562" s="209">
        <f>AZ562+BA562-BB562</f>
        <v/>
      </c>
      <c r="BD562" s="207" t="n">
        <v>0</v>
      </c>
      <c r="BE562" s="207" t="n">
        <v>0</v>
      </c>
      <c r="BF562" s="209">
        <f>BD562+BE562</f>
        <v/>
      </c>
      <c r="BG562" s="209">
        <f>BC562-AY562+BF562</f>
        <v/>
      </c>
      <c r="BH562" s="86" t="inlineStr">
        <is>
          <t>李照征</t>
        </is>
      </c>
      <c r="BI562" s="86" t="inlineStr">
        <is>
          <t>山东省 临沂市 兰山区 金雀山街道沂蒙路189号五金站家属院菜鸟驿站</t>
        </is>
      </c>
      <c r="BJ562" s="86" t="inlineStr">
        <is>
          <t>18764962940-7786</t>
        </is>
      </c>
      <c r="BK562" s="86" t="n"/>
      <c r="BL562" s="210" t="n"/>
      <c r="BM562" s="93" t="n"/>
      <c r="BN562" s="94" t="n"/>
      <c r="BO562" s="93" t="n"/>
      <c r="BP562" s="86" t="n"/>
      <c r="BQ562" s="96" t="n"/>
      <c r="BR562" s="96" t="n"/>
      <c r="BS562" s="97" t="n"/>
      <c r="BT562" s="96" t="n"/>
      <c r="BU562" s="97" t="n"/>
      <c r="BV562" s="96" t="n"/>
      <c r="BW562" s="97" t="n"/>
      <c r="BX562" s="97" t="n"/>
      <c r="BY562" s="97" t="n"/>
      <c r="BZ562" s="97" t="n"/>
      <c r="CH562" s="2" t="n"/>
      <c r="CI562" s="14" t="n"/>
      <c r="CJ562" s="25" t="n"/>
      <c r="CK562" s="25" t="n"/>
      <c r="CL562" s="25" t="n"/>
      <c r="CM562" s="25" t="n"/>
      <c r="CN562" s="25" t="n"/>
      <c r="CO562" s="25" t="n"/>
      <c r="CP562" s="25" t="n"/>
      <c r="CQ562" s="25" t="n"/>
      <c r="CR562" s="25" t="n"/>
      <c r="CS562" s="25" t="n"/>
      <c r="CT562" s="25" t="n"/>
      <c r="CU562" s="25" t="n"/>
      <c r="CV562" s="25" t="n"/>
      <c r="CW562" s="25" t="n"/>
      <c r="CX562" s="25" t="n"/>
      <c r="CY562" s="25" t="n"/>
      <c r="DC562" s="26" t="n"/>
      <c r="DD562" s="26" t="n"/>
      <c r="DE562" s="26" t="n"/>
      <c r="DF562" s="26" t="n"/>
      <c r="DG562" s="26" t="n"/>
      <c r="DH562" s="27" t="n"/>
      <c r="DJ562" s="211" t="inlineStr">
        <is>
          <t>订单表中未找到</t>
        </is>
      </c>
      <c r="DK562" t="inlineStr">
        <is>
          <t>—</t>
        </is>
      </c>
      <c r="DL562" t="inlineStr">
        <is>
          <t>—</t>
        </is>
      </c>
    </row>
    <row r="563" ht="15.75" customHeight="1" s="187">
      <c r="A563" s="84" t="n">
        <v>46042</v>
      </c>
      <c r="B563" s="206" t="inlineStr">
        <is>
          <t>已收货</t>
        </is>
      </c>
      <c r="C563" s="86" t="inlineStr">
        <is>
          <t>3197452513852358180</t>
        </is>
      </c>
      <c r="D563" s="86" t="inlineStr">
        <is>
          <t>崔继军</t>
        </is>
      </c>
      <c r="E563" s="87" t="n"/>
      <c r="F563" s="87" t="n"/>
      <c r="G563" s="87" t="inlineStr">
        <is>
          <t>1.2米洞石窄柜</t>
        </is>
      </c>
      <c r="H563" s="207" t="inlineStr">
        <is>
          <t>樱桃木窄柜</t>
        </is>
      </c>
      <c r="I563" s="89" t="n">
        <v>1200</v>
      </c>
      <c r="J563" s="87" t="n"/>
      <c r="K563" s="86" t="inlineStr">
        <is>
          <t>江西</t>
        </is>
      </c>
      <c r="L563" s="121">
        <f>3600+115+1.16+3.37+1.1+1.03+76/2+8+411.08+3+10+62.4+220+190</f>
        <v/>
      </c>
      <c r="M563" s="216" t="n">
        <v>3200</v>
      </c>
      <c r="N563" s="207" t="n">
        <v>115</v>
      </c>
      <c r="O563" s="207" t="n"/>
      <c r="P563" s="207" t="n"/>
      <c r="Q563" s="207" t="n"/>
      <c r="R563" s="207" t="n"/>
      <c r="S563" s="207" t="n"/>
      <c r="T563" s="207" t="n">
        <v>27791</v>
      </c>
      <c r="U563" s="207" t="n"/>
      <c r="V563" s="207" t="n"/>
      <c r="W563" s="207" t="n">
        <v>8</v>
      </c>
      <c r="X563" s="207" t="n">
        <v>411.08</v>
      </c>
      <c r="Y563" s="207" t="n">
        <v>3</v>
      </c>
      <c r="Z563" s="207" t="n"/>
      <c r="AA563" s="207" t="n"/>
      <c r="AB563" s="216" t="n"/>
      <c r="AC563" s="216" t="n"/>
      <c r="AD563" s="216" t="n">
        <v>62.4</v>
      </c>
      <c r="AE563" s="216" t="n">
        <v>10</v>
      </c>
      <c r="AF563" s="216" t="n">
        <v>220</v>
      </c>
      <c r="AG563" s="216" t="n"/>
      <c r="AH563" s="216" t="n"/>
      <c r="AI563" s="216" t="n"/>
      <c r="AJ563" s="216" t="n"/>
      <c r="AK563" s="216" t="n"/>
      <c r="AL563" s="216" t="n"/>
      <c r="AM563" s="121" t="n">
        <v>190</v>
      </c>
      <c r="AN563" s="216" t="n"/>
      <c r="AO563" s="216" t="n"/>
      <c r="AP563" s="121" t="n">
        <v>300</v>
      </c>
      <c r="AQ563" s="121" t="n">
        <v>30</v>
      </c>
      <c r="AR563" s="121" t="n">
        <v>80</v>
      </c>
      <c r="AS563" s="207" t="n">
        <v>0</v>
      </c>
      <c r="AT563" s="207" t="n">
        <v>0</v>
      </c>
      <c r="AU563" s="207" t="n">
        <v>0</v>
      </c>
      <c r="AV563" s="207" t="n">
        <v>0</v>
      </c>
      <c r="AW563" s="207" t="n">
        <v>0</v>
      </c>
      <c r="AX563" s="208" t="n">
        <v>1</v>
      </c>
      <c r="AY563" s="209">
        <f>L563*AX563+AP563+AQ563+AR563+AV563+AW563+AS563+AT563+AU563</f>
        <v/>
      </c>
      <c r="AZ563" s="207" t="n">
        <v>5978.95</v>
      </c>
      <c r="BA563" s="207" t="n">
        <v>0</v>
      </c>
      <c r="BB563" s="207">
        <f>AZ563*0.006</f>
        <v/>
      </c>
      <c r="BC563" s="209">
        <f>AZ563+BA563-BB563</f>
        <v/>
      </c>
      <c r="BD563" s="207" t="n">
        <v>0</v>
      </c>
      <c r="BE563" s="207" t="n">
        <v>0</v>
      </c>
      <c r="BF563" s="209">
        <f>BD563+BE563</f>
        <v/>
      </c>
      <c r="BG563" s="209">
        <f>BC563-AY563+BF563</f>
        <v/>
      </c>
      <c r="BH563" s="207" t="inlineStr">
        <is>
          <t>崔继军</t>
        </is>
      </c>
      <c r="BI563" s="207" t="inlineStr">
        <is>
          <t>北京 北京市 海淀区 温泉镇谭韵雅庭22号地12号楼四单元501(000000)</t>
        </is>
      </c>
      <c r="BJ563" s="207" t="inlineStr">
        <is>
          <t>17810306185-8696</t>
        </is>
      </c>
      <c r="BK563" s="86" t="n"/>
      <c r="BL563" s="210" t="n"/>
      <c r="BM563" s="93" t="n"/>
      <c r="BN563" s="94" t="n"/>
      <c r="BO563" s="93" t="n"/>
      <c r="BP563" s="86" t="n"/>
      <c r="BQ563" s="96" t="n"/>
      <c r="BR563" s="96" t="n"/>
      <c r="BS563" s="97" t="n"/>
      <c r="BT563" s="96" t="n"/>
      <c r="BU563" s="97" t="n"/>
      <c r="BV563" s="96" t="n"/>
      <c r="BW563" s="97" t="n"/>
      <c r="BX563" s="97" t="n"/>
      <c r="BY563" s="97" t="n"/>
      <c r="BZ563" s="97" t="n"/>
      <c r="CH563" s="2" t="n"/>
      <c r="CI563" s="14" t="n"/>
      <c r="CJ563" s="25" t="n"/>
      <c r="CK563" s="25" t="n"/>
      <c r="CL563" s="25" t="n"/>
      <c r="CM563" s="25" t="n"/>
      <c r="CN563" s="25" t="n"/>
      <c r="CO563" s="25" t="n"/>
      <c r="CP563" s="25" t="n"/>
      <c r="CQ563" s="25" t="n"/>
      <c r="CR563" s="25" t="n"/>
      <c r="CS563" s="25" t="n"/>
      <c r="CT563" s="25" t="n"/>
      <c r="CU563" s="25" t="n"/>
      <c r="CV563" s="25" t="n"/>
      <c r="CW563" s="25" t="n"/>
      <c r="CX563" s="25" t="n"/>
      <c r="CY563" s="25" t="n"/>
      <c r="DC563" s="26" t="n"/>
      <c r="DD563" s="26" t="n"/>
      <c r="DE563" s="26" t="n"/>
      <c r="DF563" s="26" t="n"/>
      <c r="DG563" s="26" t="n"/>
      <c r="DH563" s="27" t="n"/>
      <c r="DJ563" s="241" t="inlineStr">
        <is>
          <t>✗ 金额不符</t>
        </is>
      </c>
      <c r="DK563" t="inlineStr">
        <is>
          <t>5968.95</t>
        </is>
      </c>
      <c r="DL563" s="239" t="n">
        <v>10</v>
      </c>
      <c r="DM563" s="241" t="inlineStr">
        <is>
          <t>买家应付金额不一致，差额+10.00元（订单表5968.95 vs 佳宝5978.95，疑似改价/补邮费/上楼费等手工调整，需人工核对）</t>
        </is>
      </c>
    </row>
    <row r="564" ht="15.75" customHeight="1" s="187">
      <c r="A564" s="84" t="n">
        <v>46043</v>
      </c>
      <c r="B564" s="206" t="inlineStr">
        <is>
          <t>已收货</t>
        </is>
      </c>
      <c r="C564" s="86" t="inlineStr">
        <is>
          <t>5024996031837328524</t>
        </is>
      </c>
      <c r="D564" s="110" t="inlineStr">
        <is>
          <t>黄磊</t>
        </is>
      </c>
      <c r="E564" s="87" t="n"/>
      <c r="F564" s="87" t="n"/>
      <c r="G564" s="207" t="inlineStr">
        <is>
          <t>椅子补差价</t>
        </is>
      </c>
      <c r="H564" s="207" t="inlineStr">
        <is>
          <t>椅子</t>
        </is>
      </c>
      <c r="I564" s="89" t="n"/>
      <c r="J564" s="87" t="inlineStr">
        <is>
          <t>已结算</t>
        </is>
      </c>
      <c r="K564" s="86" t="inlineStr">
        <is>
          <t>其他</t>
        </is>
      </c>
      <c r="L564" s="216" t="n">
        <v>0</v>
      </c>
      <c r="M564" s="216" t="n">
        <v>0</v>
      </c>
      <c r="N564" s="216" t="n"/>
      <c r="O564" s="216" t="n"/>
      <c r="P564" s="216" t="n"/>
      <c r="Q564" s="216" t="n"/>
      <c r="R564" s="216" t="n"/>
      <c r="S564" s="216" t="n"/>
      <c r="T564" s="216" t="n"/>
      <c r="U564" s="216" t="n"/>
      <c r="V564" s="216" t="n"/>
      <c r="W564" s="216" t="n"/>
      <c r="X564" s="216" t="n"/>
      <c r="Y564" s="216" t="n"/>
      <c r="Z564" s="216" t="n"/>
      <c r="AA564" s="216" t="n"/>
      <c r="AB564" s="216" t="n"/>
      <c r="AC564" s="216" t="n"/>
      <c r="AD564" s="216" t="n"/>
      <c r="AE564" s="216" t="n"/>
      <c r="AF564" s="216" t="n"/>
      <c r="AG564" s="216" t="n"/>
      <c r="AH564" s="216" t="n"/>
      <c r="AI564" s="216" t="n"/>
      <c r="AJ564" s="216" t="n"/>
      <c r="AK564" s="216" t="n"/>
      <c r="AL564" s="216" t="n"/>
      <c r="AM564" s="207" t="n"/>
      <c r="AN564" s="216" t="n"/>
      <c r="AO564" s="216" t="n"/>
      <c r="AP564" s="207" t="n">
        <v>0</v>
      </c>
      <c r="AQ564" s="207" t="n">
        <v>0</v>
      </c>
      <c r="AR564" s="207" t="n">
        <v>0</v>
      </c>
      <c r="AS564" s="207" t="n">
        <v>0</v>
      </c>
      <c r="AT564" s="207" t="n">
        <v>0</v>
      </c>
      <c r="AU564" s="207" t="n">
        <v>0</v>
      </c>
      <c r="AV564" s="207" t="n">
        <v>0</v>
      </c>
      <c r="AW564" s="207" t="n">
        <v>0</v>
      </c>
      <c r="AX564" s="208" t="n">
        <v>1</v>
      </c>
      <c r="AY564" s="209">
        <f>L564*AX564+AP564+AQ564+AR564+AV564+AW564+AS564+AT564+AU564</f>
        <v/>
      </c>
      <c r="AZ564" s="207" t="n">
        <v>333.52</v>
      </c>
      <c r="BA564" s="207" t="n">
        <v>0</v>
      </c>
      <c r="BB564" s="207">
        <f>AZ564*0.006</f>
        <v/>
      </c>
      <c r="BC564" s="209">
        <f>AZ564+BA564-BB564</f>
        <v/>
      </c>
      <c r="BD564" s="207" t="n">
        <v>0</v>
      </c>
      <c r="BE564" s="207" t="n">
        <v>0</v>
      </c>
      <c r="BF564" s="209">
        <f>BD564+BE564</f>
        <v/>
      </c>
      <c r="BG564" s="209">
        <f>BC564-AY564+BF564</f>
        <v/>
      </c>
      <c r="BH564" s="86" t="inlineStr">
        <is>
          <t>杨剑文黄磊</t>
        </is>
      </c>
      <c r="BI564" s="86" t="inlineStr">
        <is>
          <t>甘肃省 天水市 秦州区 东关街道西北角天麟金水湾小区5#楼1单元2101号</t>
        </is>
      </c>
      <c r="BJ564" s="86" t="inlineStr">
        <is>
          <t>18466659098-1556</t>
        </is>
      </c>
      <c r="BK564" s="86" t="n"/>
      <c r="BL564" s="210" t="n"/>
      <c r="BM564" s="93" t="n"/>
      <c r="BN564" s="94" t="n"/>
      <c r="BO564" s="93" t="n"/>
      <c r="BP564" s="86" t="n"/>
      <c r="BQ564" s="96" t="n"/>
      <c r="BR564" s="96" t="n"/>
      <c r="BS564" s="97" t="n"/>
      <c r="BT564" s="96" t="n"/>
      <c r="BU564" s="97" t="n"/>
      <c r="BV564" s="96" t="n"/>
      <c r="BW564" s="97" t="n"/>
      <c r="BX564" s="97" t="n"/>
      <c r="BY564" s="97" t="n"/>
      <c r="BZ564" s="97" t="n"/>
      <c r="CH564" s="2" t="n"/>
      <c r="CI564" s="14" t="n"/>
      <c r="CJ564" s="25" t="n"/>
      <c r="CK564" s="25" t="n"/>
      <c r="CL564" s="25" t="n"/>
      <c r="CM564" s="25" t="n"/>
      <c r="CN564" s="25" t="n"/>
      <c r="CO564" s="25" t="n"/>
      <c r="CP564" s="25" t="n"/>
      <c r="CQ564" s="25" t="n"/>
      <c r="CR564" s="25" t="n"/>
      <c r="CS564" s="25" t="n"/>
      <c r="CT564" s="25" t="n"/>
      <c r="CU564" s="25" t="n"/>
      <c r="CV564" s="25" t="n"/>
      <c r="CW564" s="25" t="n"/>
      <c r="CX564" s="25" t="n"/>
      <c r="CY564" s="25" t="n"/>
      <c r="DC564" s="26" t="n"/>
      <c r="DD564" s="26" t="n"/>
      <c r="DE564" s="26" t="n"/>
      <c r="DF564" s="26" t="n"/>
      <c r="DG564" s="26" t="n"/>
      <c r="DH564" s="27" t="n"/>
      <c r="DJ564" s="238" t="inlineStr">
        <is>
          <t>✓ 金额一致</t>
        </is>
      </c>
      <c r="DK564" t="inlineStr">
        <is>
          <t>333.52</t>
        </is>
      </c>
      <c r="DL564" s="239" t="n">
        <v>0</v>
      </c>
    </row>
    <row r="565" ht="15.75" customHeight="1" s="187">
      <c r="A565" s="84" t="n">
        <v>46043</v>
      </c>
      <c r="B565" s="206" t="inlineStr">
        <is>
          <t>已收货</t>
        </is>
      </c>
      <c r="C565" s="86" t="inlineStr">
        <is>
          <t>5025466658667930109</t>
        </is>
      </c>
      <c r="D565" s="110" t="inlineStr">
        <is>
          <t>杨坤鹏转余栋</t>
        </is>
      </c>
      <c r="E565" s="87" t="n"/>
      <c r="F565" s="87" t="n"/>
      <c r="G565" s="207" t="inlineStr">
        <is>
          <t>3个插座</t>
        </is>
      </c>
      <c r="H565" s="207" t="inlineStr">
        <is>
          <t>配件</t>
        </is>
      </c>
      <c r="I565" s="89" t="n"/>
      <c r="J565" s="87" t="inlineStr">
        <is>
          <t>已结算</t>
        </is>
      </c>
      <c r="K565" s="86" t="inlineStr">
        <is>
          <t>其他</t>
        </is>
      </c>
      <c r="L565" s="216">
        <f>55*3</f>
        <v/>
      </c>
      <c r="M565" s="216">
        <f>55*3</f>
        <v/>
      </c>
      <c r="N565" s="216" t="n"/>
      <c r="O565" s="216" t="n"/>
      <c r="P565" s="216" t="n"/>
      <c r="Q565" s="216" t="n"/>
      <c r="R565" s="216" t="n"/>
      <c r="S565" s="216" t="n"/>
      <c r="T565" s="216" t="n"/>
      <c r="U565" s="216" t="n"/>
      <c r="V565" s="216" t="n"/>
      <c r="W565" s="216" t="n"/>
      <c r="X565" s="216" t="n"/>
      <c r="Y565" s="216" t="n"/>
      <c r="Z565" s="216" t="n"/>
      <c r="AA565" s="216" t="n"/>
      <c r="AB565" s="216" t="n"/>
      <c r="AC565" s="216" t="n"/>
      <c r="AD565" s="216" t="n"/>
      <c r="AE565" s="216" t="n"/>
      <c r="AF565" s="216" t="n"/>
      <c r="AG565" s="216" t="n"/>
      <c r="AH565" s="216" t="n"/>
      <c r="AI565" s="216" t="n"/>
      <c r="AJ565" s="216" t="n"/>
      <c r="AK565" s="216" t="n"/>
      <c r="AL565" s="216" t="n"/>
      <c r="AM565" s="207" t="n"/>
      <c r="AN565" s="207" t="n"/>
      <c r="AO565" s="207" t="n"/>
      <c r="AP565" s="207" t="n">
        <v>8</v>
      </c>
      <c r="AQ565" s="207" t="n">
        <v>0</v>
      </c>
      <c r="AR565" s="207" t="n">
        <v>0</v>
      </c>
      <c r="AS565" s="207" t="n">
        <v>0</v>
      </c>
      <c r="AT565" s="207" t="n">
        <v>0</v>
      </c>
      <c r="AU565" s="207" t="n">
        <v>0</v>
      </c>
      <c r="AV565" s="207" t="n">
        <v>0</v>
      </c>
      <c r="AW565" s="207" t="n">
        <v>0</v>
      </c>
      <c r="AX565" s="208" t="n">
        <v>1</v>
      </c>
      <c r="AY565" s="209">
        <f>L565*AX565+AP565+AQ565+AR565+AV565+AW565+AS565+AT565+AU565</f>
        <v/>
      </c>
      <c r="AZ565" s="207" t="n">
        <v>300</v>
      </c>
      <c r="BA565" s="207" t="n">
        <v>0</v>
      </c>
      <c r="BB565" s="207">
        <f>AZ565*0.006</f>
        <v/>
      </c>
      <c r="BC565" s="209">
        <f>AZ565+BA565-BB565</f>
        <v/>
      </c>
      <c r="BD565" s="207" t="n">
        <v>0</v>
      </c>
      <c r="BE565" s="207" t="n">
        <v>0</v>
      </c>
      <c r="BF565" s="209">
        <f>BD565+BE565</f>
        <v/>
      </c>
      <c r="BG565" s="209">
        <f>BC565-AY565+BF565</f>
        <v/>
      </c>
      <c r="BH565" s="86" t="inlineStr">
        <is>
          <t>杨坤鹏转余栋</t>
        </is>
      </c>
      <c r="BI565" s="86" t="inlineStr">
        <is>
          <t>广东省 广州市 白云区 江高镇夏花三路498号部队路A14仓 （YD502-SIN）</t>
        </is>
      </c>
      <c r="BJ565" s="86" t="inlineStr">
        <is>
          <t>14749571996-2433</t>
        </is>
      </c>
      <c r="BK565" s="86" t="n"/>
      <c r="BL565" s="210" t="n"/>
      <c r="BM565" s="93" t="n"/>
      <c r="BN565" s="94" t="n"/>
      <c r="BO565" s="93" t="n"/>
      <c r="BP565" s="86" t="n"/>
      <c r="BQ565" s="96" t="n"/>
      <c r="BR565" s="96" t="n"/>
      <c r="BS565" s="97" t="n"/>
      <c r="BT565" s="96" t="n"/>
      <c r="BU565" s="97" t="n"/>
      <c r="BV565" s="96" t="n"/>
      <c r="BW565" s="97" t="n"/>
      <c r="BX565" s="97" t="n"/>
      <c r="BY565" s="97" t="n"/>
      <c r="BZ565" s="97" t="n"/>
      <c r="CH565" s="2" t="n"/>
      <c r="CI565" s="14" t="n"/>
      <c r="CJ565" s="25" t="n"/>
      <c r="CK565" s="25" t="n"/>
      <c r="CL565" s="25" t="n"/>
      <c r="CM565" s="25" t="n"/>
      <c r="CN565" s="25" t="n"/>
      <c r="CO565" s="25" t="n"/>
      <c r="CP565" s="25" t="n"/>
      <c r="CQ565" s="25" t="n"/>
      <c r="CR565" s="25" t="n"/>
      <c r="CS565" s="25" t="n"/>
      <c r="CT565" s="25" t="n"/>
      <c r="CU565" s="25" t="n"/>
      <c r="CV565" s="25" t="n"/>
      <c r="CW565" s="25" t="n"/>
      <c r="CX565" s="25" t="n"/>
      <c r="CY565" s="25" t="n"/>
      <c r="DC565" s="26" t="n"/>
      <c r="DD565" s="26" t="n"/>
      <c r="DE565" s="26" t="n"/>
      <c r="DF565" s="26" t="n"/>
      <c r="DG565" s="26" t="n"/>
      <c r="DH565" s="27" t="n"/>
      <c r="DJ565" s="238" t="inlineStr">
        <is>
          <t>✓ 金额一致</t>
        </is>
      </c>
      <c r="DK565" t="inlineStr">
        <is>
          <t>300.00</t>
        </is>
      </c>
      <c r="DL565" s="239" t="n">
        <v>0</v>
      </c>
    </row>
    <row r="566" ht="15.75" customHeight="1" s="187">
      <c r="A566" s="84" t="n">
        <v>46043</v>
      </c>
      <c r="B566" s="206" t="inlineStr">
        <is>
          <t>已收货</t>
        </is>
      </c>
      <c r="C566" s="86" t="inlineStr">
        <is>
          <t>4501921538004004444</t>
        </is>
      </c>
      <c r="D566" s="110" t="inlineStr">
        <is>
          <t>朱先生</t>
        </is>
      </c>
      <c r="E566" s="87" t="n"/>
      <c r="F566" s="87" t="n"/>
      <c r="G566" s="87" t="inlineStr">
        <is>
          <t>砂白色1.4米岩板餐桌</t>
        </is>
      </c>
      <c r="H566" s="207" t="inlineStr">
        <is>
          <t>榉木餐桌</t>
        </is>
      </c>
      <c r="I566" s="89" t="inlineStr">
        <is>
          <t>140cm*85cm</t>
        </is>
      </c>
      <c r="J566" s="87" t="inlineStr">
        <is>
          <t>已结算</t>
        </is>
      </c>
      <c r="K566" s="86" t="inlineStr">
        <is>
          <t>江西</t>
        </is>
      </c>
      <c r="L566" s="216">
        <f>1300+2.5+220+180</f>
        <v/>
      </c>
      <c r="M566" s="216">
        <f>1300</f>
        <v/>
      </c>
      <c r="N566" s="216" t="n"/>
      <c r="O566" s="216" t="n"/>
      <c r="P566" s="216" t="n"/>
      <c r="Q566" s="216" t="n"/>
      <c r="R566" s="207" t="n">
        <v>220</v>
      </c>
      <c r="S566" s="207" t="n"/>
      <c r="T566" s="207" t="n"/>
      <c r="U566" s="207" t="n"/>
      <c r="V566" s="207" t="n"/>
      <c r="W566" s="216" t="n"/>
      <c r="X566" s="216" t="n"/>
      <c r="Y566" s="216" t="n"/>
      <c r="Z566" s="216" t="n"/>
      <c r="AA566" s="216" t="n"/>
      <c r="AB566" s="216" t="n"/>
      <c r="AC566" s="216" t="n"/>
      <c r="AD566" s="240" t="n">
        <v>2.5</v>
      </c>
      <c r="AE566" s="216" t="n"/>
      <c r="AF566" s="216" t="n"/>
      <c r="AG566" s="216" t="n"/>
      <c r="AH566" s="216" t="n"/>
      <c r="AI566" s="216" t="n"/>
      <c r="AJ566" s="216" t="n"/>
      <c r="AK566" s="216" t="n"/>
      <c r="AL566" s="216" t="n"/>
      <c r="AM566" s="207" t="n">
        <v>180</v>
      </c>
      <c r="AN566" s="207" t="n"/>
      <c r="AO566" s="207" t="n"/>
      <c r="AP566" s="121" t="n">
        <v>300</v>
      </c>
      <c r="AQ566" s="121" t="n">
        <v>30</v>
      </c>
      <c r="AR566" s="208" t="n">
        <v>65</v>
      </c>
      <c r="AS566" s="207" t="n">
        <v>0</v>
      </c>
      <c r="AT566" s="207" t="n">
        <v>0</v>
      </c>
      <c r="AU566" s="207" t="n">
        <v>0</v>
      </c>
      <c r="AV566" s="207" t="n">
        <v>0</v>
      </c>
      <c r="AW566" s="207" t="n">
        <v>0</v>
      </c>
      <c r="AX566" s="208" t="n">
        <v>1</v>
      </c>
      <c r="AY566" s="209">
        <f>L566*AX566+AP566+AQ566+AR566+AV566+AW566+AS566+AT566+AU566</f>
        <v/>
      </c>
      <c r="AZ566" s="207" t="n">
        <v>2602.4</v>
      </c>
      <c r="BA566" s="207" t="n">
        <v>0</v>
      </c>
      <c r="BB566" s="207">
        <f>AZ566*0.006</f>
        <v/>
      </c>
      <c r="BC566" s="209">
        <f>AZ566+BA566-BB566</f>
        <v/>
      </c>
      <c r="BD566" s="207" t="n">
        <v>0</v>
      </c>
      <c r="BE566" s="207" t="n">
        <v>0</v>
      </c>
      <c r="BF566" s="209">
        <f>BD566+BE566</f>
        <v/>
      </c>
      <c r="BG566" s="209">
        <f>BC566-AY566+BF566</f>
        <v/>
      </c>
      <c r="BH566" s="86" t="inlineStr">
        <is>
          <t>朱先生</t>
        </is>
      </c>
      <c r="BI566" s="86" t="inlineStr">
        <is>
          <t>广东省 广州市 番禺区 沙湾街道香柏华府13栋301</t>
        </is>
      </c>
      <c r="BJ566" s="86" t="inlineStr">
        <is>
          <t>18466115659-7729</t>
        </is>
      </c>
      <c r="BK566" s="86" t="n"/>
      <c r="BL566" s="210" t="n"/>
      <c r="BM566" s="93" t="n"/>
      <c r="BN566" s="94" t="n"/>
      <c r="BO566" s="93" t="n"/>
      <c r="BP566" s="86" t="n"/>
      <c r="BQ566" s="96" t="n"/>
      <c r="BR566" s="96" t="n"/>
      <c r="BS566" s="97" t="n"/>
      <c r="BT566" s="96" t="n"/>
      <c r="BU566" s="97" t="n"/>
      <c r="BV566" s="96" t="n"/>
      <c r="BW566" s="97" t="n"/>
      <c r="BX566" s="97" t="n"/>
      <c r="BY566" s="97" t="n"/>
      <c r="BZ566" s="97" t="n"/>
      <c r="CH566" s="2" t="n"/>
      <c r="CI566" s="14" t="n"/>
      <c r="CJ566" s="25" t="n"/>
      <c r="CK566" s="25" t="n"/>
      <c r="CL566" s="25" t="n"/>
      <c r="CM566" s="25" t="n"/>
      <c r="CN566" s="25" t="n"/>
      <c r="CO566" s="25" t="n"/>
      <c r="CP566" s="25" t="n"/>
      <c r="CQ566" s="25" t="n"/>
      <c r="CR566" s="25" t="n"/>
      <c r="CS566" s="25" t="n"/>
      <c r="CT566" s="25" t="n"/>
      <c r="CU566" s="25" t="n"/>
      <c r="CV566" s="25" t="n"/>
      <c r="CW566" s="25" t="n"/>
      <c r="CX566" s="25" t="n"/>
      <c r="CY566" s="25" t="n"/>
      <c r="DC566" s="26" t="n"/>
      <c r="DD566" s="26" t="n"/>
      <c r="DE566" s="26" t="n"/>
      <c r="DF566" s="26" t="n"/>
      <c r="DG566" s="26" t="n"/>
      <c r="DH566" s="27" t="n"/>
      <c r="DJ566" s="241" t="inlineStr">
        <is>
          <t>✗ 金额不符</t>
        </is>
      </c>
      <c r="DK566" t="inlineStr">
        <is>
          <t>2589.33</t>
        </is>
      </c>
      <c r="DL566" s="239" t="n">
        <v>13.07</v>
      </c>
      <c r="DM566" s="241" t="inlineStr">
        <is>
          <t>该单订单表有部分退款67.01元（状态【交易成功】）；两表买家应付不一致，差额+13.07元</t>
        </is>
      </c>
    </row>
    <row r="567" ht="15.75" customHeight="1" s="187">
      <c r="A567" s="84" t="n">
        <v>46044</v>
      </c>
      <c r="B567" s="206" t="inlineStr">
        <is>
          <t>已收货</t>
        </is>
      </c>
      <c r="C567" s="86" t="inlineStr">
        <is>
          <t>3199584147190452461</t>
        </is>
      </c>
      <c r="D567" s="110" t="inlineStr">
        <is>
          <t>黄金五花肉</t>
        </is>
      </c>
      <c r="E567" s="87" t="n"/>
      <c r="F567" s="87" t="n"/>
      <c r="G567" s="207" t="inlineStr">
        <is>
          <t>样块</t>
        </is>
      </c>
      <c r="H567" s="207" t="inlineStr">
        <is>
          <t>样块</t>
        </is>
      </c>
      <c r="I567" s="89" t="n"/>
      <c r="J567" s="87" t="inlineStr">
        <is>
          <t>已结算</t>
        </is>
      </c>
      <c r="K567" s="87" t="inlineStr">
        <is>
          <t>杭州</t>
        </is>
      </c>
      <c r="L567" s="207">
        <f>SUM(M567:AO567)</f>
        <v/>
      </c>
      <c r="M567" s="207" t="n">
        <v>5</v>
      </c>
      <c r="N567" s="207" t="n"/>
      <c r="O567" s="207" t="n"/>
      <c r="P567" s="207" t="n"/>
      <c r="Q567" s="207" t="n"/>
      <c r="R567" s="207" t="n"/>
      <c r="S567" s="207" t="n"/>
      <c r="T567" s="207" t="n"/>
      <c r="U567" s="207" t="n"/>
      <c r="V567" s="207" t="n"/>
      <c r="W567" s="207" t="n"/>
      <c r="X567" s="207" t="n"/>
      <c r="Y567" s="207" t="n"/>
      <c r="Z567" s="207" t="n"/>
      <c r="AA567" s="207" t="n"/>
      <c r="AB567" s="207" t="n"/>
      <c r="AC567" s="207" t="n"/>
      <c r="AD567" s="207" t="n"/>
      <c r="AE567" s="207" t="n"/>
      <c r="AF567" s="207" t="n"/>
      <c r="AG567" s="207" t="n"/>
      <c r="AH567" s="207" t="n"/>
      <c r="AI567" s="207" t="n"/>
      <c r="AJ567" s="207" t="n"/>
      <c r="AK567" s="207" t="n"/>
      <c r="AL567" s="207" t="n"/>
      <c r="AM567" s="207" t="n">
        <v>2</v>
      </c>
      <c r="AN567" s="207" t="n"/>
      <c r="AO567" s="207" t="n"/>
      <c r="AP567" s="207" t="n">
        <v>5</v>
      </c>
      <c r="AQ567" s="207" t="n">
        <v>0</v>
      </c>
      <c r="AR567" s="207" t="n">
        <v>0</v>
      </c>
      <c r="AS567" s="207" t="n">
        <v>0</v>
      </c>
      <c r="AT567" s="207" t="n">
        <v>0</v>
      </c>
      <c r="AU567" s="207" t="n">
        <v>0</v>
      </c>
      <c r="AV567" s="207" t="n">
        <v>0</v>
      </c>
      <c r="AW567" s="207" t="n">
        <v>0</v>
      </c>
      <c r="AX567" s="208" t="n">
        <v>1</v>
      </c>
      <c r="AY567" s="209">
        <f>L567*AX567+AP567+AQ567+AR567+AV567+AW567+AS567+AT567+AU567</f>
        <v/>
      </c>
      <c r="AZ567" s="207" t="n">
        <v>17</v>
      </c>
      <c r="BA567" s="207" t="n">
        <v>0</v>
      </c>
      <c r="BB567" s="207">
        <f>AZ567*0.006</f>
        <v/>
      </c>
      <c r="BC567" s="209">
        <f>AZ567+BA567-BB567</f>
        <v/>
      </c>
      <c r="BD567" s="207" t="n">
        <v>0</v>
      </c>
      <c r="BE567" s="207" t="n">
        <v>0</v>
      </c>
      <c r="BF567" s="209">
        <f>BD567+BE567</f>
        <v/>
      </c>
      <c r="BG567" s="209">
        <f>BC567-AY567+BF567</f>
        <v/>
      </c>
      <c r="BH567" s="86" t="inlineStr">
        <is>
          <t>黄金五花肉</t>
        </is>
      </c>
      <c r="BI567" s="86" t="inlineStr">
        <is>
          <t>江苏省 南京市 建邺区 沙洲街道雨润大街19号双和园东区4幢17楼 务必送上楼或者3幢/北门丰巢柜</t>
        </is>
      </c>
      <c r="BJ567" s="86" t="inlineStr">
        <is>
          <t>15780621747-5919</t>
        </is>
      </c>
      <c r="BK567" s="86" t="n"/>
      <c r="BL567" s="210" t="n"/>
      <c r="BM567" s="93" t="n"/>
      <c r="BN567" s="94" t="n"/>
      <c r="BO567" s="93" t="n"/>
      <c r="BP567" s="86" t="n"/>
      <c r="BQ567" s="96" t="n"/>
      <c r="BR567" s="96" t="n"/>
      <c r="BS567" s="97" t="n"/>
      <c r="BT567" s="96" t="n"/>
      <c r="BU567" s="97" t="n"/>
      <c r="BV567" s="96" t="n"/>
      <c r="BW567" s="97" t="n"/>
      <c r="BX567" s="97" t="n"/>
      <c r="BY567" s="97" t="n"/>
      <c r="BZ567" s="97" t="n"/>
      <c r="CH567" s="2" t="n"/>
      <c r="CI567" s="14" t="n"/>
      <c r="CJ567" s="25" t="n"/>
      <c r="CK567" s="25" t="n"/>
      <c r="CL567" s="25" t="n"/>
      <c r="CM567" s="25" t="n"/>
      <c r="CN567" s="25" t="n"/>
      <c r="CO567" s="25" t="n"/>
      <c r="CP567" s="25" t="n"/>
      <c r="CQ567" s="25" t="n"/>
      <c r="CR567" s="25" t="n"/>
      <c r="CS567" s="25" t="n"/>
      <c r="CT567" s="25" t="n"/>
      <c r="CU567" s="25" t="n"/>
      <c r="CV567" s="25" t="n"/>
      <c r="CW567" s="25" t="n"/>
      <c r="CX567" s="25" t="n"/>
      <c r="CY567" s="25" t="n"/>
      <c r="DC567" s="26" t="n"/>
      <c r="DD567" s="26" t="n"/>
      <c r="DE567" s="26" t="n"/>
      <c r="DF567" s="26" t="n"/>
      <c r="DG567" s="26" t="n"/>
      <c r="DH567" s="27" t="n"/>
      <c r="DJ567" s="238" t="inlineStr">
        <is>
          <t>✓ 金额一致</t>
        </is>
      </c>
      <c r="DK567" t="inlineStr">
        <is>
          <t>17.00</t>
        </is>
      </c>
      <c r="DL567" s="239" t="n">
        <v>0</v>
      </c>
    </row>
    <row r="568" ht="15.75" customHeight="1" s="187">
      <c r="A568" s="84" t="n">
        <v>46044</v>
      </c>
      <c r="B568" s="206" t="inlineStr">
        <is>
          <t>已收货</t>
        </is>
      </c>
      <c r="C568" s="86" t="inlineStr">
        <is>
          <t>5026632338838185740</t>
        </is>
      </c>
      <c r="D568" s="110" t="inlineStr">
        <is>
          <t>郝全</t>
        </is>
      </c>
      <c r="E568" s="87" t="n"/>
      <c r="F568" s="87" t="n"/>
      <c r="G568" s="207" t="inlineStr">
        <is>
          <t>1.6米黑胡桃木岩板餐桌</t>
        </is>
      </c>
      <c r="H568" s="207" t="inlineStr">
        <is>
          <t>黑胡桃木餐桌</t>
        </is>
      </c>
      <c r="I568" s="89" t="inlineStr">
        <is>
          <t>160cm*85cm</t>
        </is>
      </c>
      <c r="J568" s="87" t="inlineStr">
        <is>
          <t>已结算</t>
        </is>
      </c>
      <c r="K568" s="86" t="inlineStr">
        <is>
          <t>江西</t>
        </is>
      </c>
      <c r="L568" s="207">
        <f>2300+2.5+220+190</f>
        <v/>
      </c>
      <c r="M568" s="207">
        <f>2300</f>
        <v/>
      </c>
      <c r="N568" s="207" t="n">
        <v>2.5</v>
      </c>
      <c r="O568" s="207" t="n">
        <v>220</v>
      </c>
      <c r="P568" s="207" t="n">
        <v>190</v>
      </c>
      <c r="Q568" s="207" t="n"/>
      <c r="R568" s="207" t="n"/>
      <c r="S568" s="207" t="n"/>
      <c r="T568" s="207" t="n"/>
      <c r="U568" s="207" t="n"/>
      <c r="V568" s="207" t="n"/>
      <c r="W568" s="207" t="n"/>
      <c r="X568" s="207" t="n"/>
      <c r="Y568" s="207" t="n"/>
      <c r="Z568" s="207" t="n"/>
      <c r="AA568" s="207" t="n"/>
      <c r="AB568" s="207" t="n"/>
      <c r="AC568" s="207" t="n"/>
      <c r="AD568" s="207" t="n"/>
      <c r="AE568" s="207" t="n"/>
      <c r="AF568" s="207" t="n"/>
      <c r="AG568" s="207" t="n"/>
      <c r="AH568" s="207" t="n"/>
      <c r="AI568" s="207" t="n"/>
      <c r="AJ568" s="207" t="n"/>
      <c r="AK568" s="207" t="n"/>
      <c r="AL568" s="207" t="n"/>
      <c r="AM568" s="207" t="n">
        <v>190</v>
      </c>
      <c r="AN568" s="207" t="n"/>
      <c r="AO568" s="207" t="n"/>
      <c r="AP568" s="121" t="n">
        <v>300</v>
      </c>
      <c r="AQ568" s="121" t="n">
        <v>30</v>
      </c>
      <c r="AR568" s="207" t="n">
        <v>75</v>
      </c>
      <c r="AS568" s="207" t="n">
        <v>0</v>
      </c>
      <c r="AT568" s="207" t="n">
        <v>0</v>
      </c>
      <c r="AU568" s="207" t="n">
        <v>0</v>
      </c>
      <c r="AV568" s="207" t="n">
        <v>0</v>
      </c>
      <c r="AW568" s="207" t="n">
        <v>0</v>
      </c>
      <c r="AX568" s="208" t="n">
        <v>1</v>
      </c>
      <c r="AY568" s="209">
        <f>L568*AX568+AP568+AQ568+AR568+AV568+AW568+AS568+AT568+AU568</f>
        <v/>
      </c>
      <c r="AZ568" s="207" t="n">
        <v>3530.77</v>
      </c>
      <c r="BA568" s="207" t="n">
        <v>0</v>
      </c>
      <c r="BB568" s="207">
        <f>AZ568*0.006</f>
        <v/>
      </c>
      <c r="BC568" s="209">
        <f>AZ568+BA568-BB568</f>
        <v/>
      </c>
      <c r="BD568" s="207" t="n">
        <v>0</v>
      </c>
      <c r="BE568" s="207" t="n">
        <v>0</v>
      </c>
      <c r="BF568" s="209">
        <f>BD568+BE568</f>
        <v/>
      </c>
      <c r="BG568" s="209">
        <f>BC568-AY568+BF568</f>
        <v/>
      </c>
      <c r="BH568" s="86" t="inlineStr">
        <is>
          <t>郝全</t>
        </is>
      </c>
      <c r="BI568" s="86" t="inlineStr">
        <is>
          <t>山西省 大同市 平城区 振华街道大同市天锐华城西区3栋3单元1101</t>
        </is>
      </c>
      <c r="BJ568" s="86" t="inlineStr">
        <is>
          <t>14735146645-2658</t>
        </is>
      </c>
      <c r="BK568" s="86" t="n"/>
      <c r="BL568" s="210" t="n"/>
      <c r="BM568" s="93" t="n"/>
      <c r="BN568" s="94" t="n"/>
      <c r="BO568" s="93" t="n"/>
      <c r="BP568" s="86" t="n"/>
      <c r="BQ568" s="96" t="n"/>
      <c r="BR568" s="96" t="n"/>
      <c r="BS568" s="97" t="n"/>
      <c r="BT568" s="96" t="n"/>
      <c r="BU568" s="97" t="n"/>
      <c r="BV568" s="96" t="n"/>
      <c r="BW568" s="97" t="n"/>
      <c r="BX568" s="97" t="n"/>
      <c r="BY568" s="97" t="n"/>
      <c r="BZ568" s="97" t="n"/>
      <c r="CH568" s="2" t="n"/>
      <c r="CI568" s="14" t="n"/>
      <c r="CJ568" s="25" t="n"/>
      <c r="CK568" s="25" t="n"/>
      <c r="CL568" s="25" t="n"/>
      <c r="CM568" s="25" t="n"/>
      <c r="CN568" s="25" t="n"/>
      <c r="CO568" s="25" t="n"/>
      <c r="CP568" s="25" t="n"/>
      <c r="CQ568" s="25" t="n"/>
      <c r="CR568" s="25" t="n"/>
      <c r="CS568" s="25" t="n"/>
      <c r="CT568" s="25" t="n"/>
      <c r="CU568" s="25" t="n"/>
      <c r="CV568" s="25" t="n"/>
      <c r="CW568" s="25" t="n"/>
      <c r="CX568" s="25" t="n"/>
      <c r="CY568" s="25" t="n"/>
      <c r="DC568" s="26" t="n"/>
      <c r="DD568" s="26" t="n"/>
      <c r="DE568" s="26" t="n"/>
      <c r="DF568" s="26" t="n"/>
      <c r="DG568" s="26" t="n"/>
      <c r="DH568" s="27" t="n"/>
      <c r="DJ568" s="241" t="inlineStr">
        <is>
          <t>✗ 金额不符</t>
        </is>
      </c>
      <c r="DK568" t="inlineStr">
        <is>
          <t>3330.77</t>
        </is>
      </c>
      <c r="DL568" s="239" t="n">
        <v>200</v>
      </c>
      <c r="DM568" s="241" t="inlineStr">
        <is>
          <t>买家应付金额不一致，差额+200.00元（订单表3330.77 vs 佳宝3530.77，疑似改价/补邮费/上楼费等手工调整，需人工核对）</t>
        </is>
      </c>
    </row>
    <row r="569" ht="15.75" customHeight="1" s="187">
      <c r="A569" s="84" t="n">
        <v>46044</v>
      </c>
      <c r="B569" s="206" t="inlineStr">
        <is>
          <t>已收货</t>
        </is>
      </c>
      <c r="C569" s="86" t="inlineStr">
        <is>
          <t>5027333185397558820</t>
        </is>
      </c>
      <c r="D569" s="110" t="inlineStr">
        <is>
          <t>杨朱斌</t>
        </is>
      </c>
      <c r="E569" s="87" t="n"/>
      <c r="F569" s="87" t="n"/>
      <c r="G569" s="87" t="inlineStr">
        <is>
          <t>砂白色2.0米岩板餐桌</t>
        </is>
      </c>
      <c r="H569" s="207" t="inlineStr">
        <is>
          <t>榉木餐桌</t>
        </is>
      </c>
      <c r="I569" s="89" t="inlineStr">
        <is>
          <t>200cm*85cm</t>
        </is>
      </c>
      <c r="J569" s="87" t="inlineStr">
        <is>
          <t>已结算</t>
        </is>
      </c>
      <c r="K569" s="86" t="inlineStr">
        <is>
          <t>江西</t>
        </is>
      </c>
      <c r="L569" s="207">
        <f>1450+510+140+2.5</f>
        <v/>
      </c>
      <c r="M569" s="207">
        <f>1450</f>
        <v/>
      </c>
      <c r="N569" s="207" t="n"/>
      <c r="O569" s="207" t="n"/>
      <c r="P569" s="216" t="n"/>
      <c r="Q569" s="216" t="n"/>
      <c r="R569" s="207" t="n">
        <v>510</v>
      </c>
      <c r="S569" s="207" t="n"/>
      <c r="T569" s="207" t="n"/>
      <c r="U569" s="207" t="n"/>
      <c r="V569" s="207" t="n"/>
      <c r="W569" s="207" t="n"/>
      <c r="X569" s="207" t="n"/>
      <c r="Y569" s="207" t="n"/>
      <c r="Z569" s="207" t="n"/>
      <c r="AA569" s="207" t="n"/>
      <c r="AB569" s="216" t="n"/>
      <c r="AC569" s="216" t="n"/>
      <c r="AD569" s="240" t="n">
        <v>2.5</v>
      </c>
      <c r="AE569" s="207" t="n"/>
      <c r="AF569" s="216" t="n"/>
      <c r="AG569" s="216" t="n"/>
      <c r="AH569" s="216" t="n"/>
      <c r="AI569" s="216" t="n"/>
      <c r="AJ569" s="216" t="n"/>
      <c r="AK569" s="216" t="n"/>
      <c r="AL569" s="216" t="n"/>
      <c r="AM569" s="207" t="n">
        <v>140</v>
      </c>
      <c r="AN569" s="207" t="n"/>
      <c r="AO569" s="207" t="n"/>
      <c r="AP569" s="121" t="n">
        <v>300</v>
      </c>
      <c r="AQ569" s="121" t="n">
        <v>30</v>
      </c>
      <c r="AR569" s="207" t="n">
        <v>109</v>
      </c>
      <c r="AS569" s="207" t="n">
        <v>0</v>
      </c>
      <c r="AT569" s="207" t="n">
        <v>0</v>
      </c>
      <c r="AU569" s="207" t="n">
        <v>0</v>
      </c>
      <c r="AV569" s="207" t="n">
        <v>0</v>
      </c>
      <c r="AW569" s="207" t="n">
        <v>0</v>
      </c>
      <c r="AX569" s="208" t="n">
        <v>1</v>
      </c>
      <c r="AY569" s="209">
        <f>L569*AX569+AP569+AQ569+AR569+AV569+AW569+AS569+AT569+AU569</f>
        <v/>
      </c>
      <c r="AZ569" s="207" t="n">
        <v>2933.78</v>
      </c>
      <c r="BA569" s="207" t="n">
        <v>0</v>
      </c>
      <c r="BB569" s="207">
        <f>AZ569*0.006</f>
        <v/>
      </c>
      <c r="BC569" s="209">
        <f>AZ569+BA569-BB569</f>
        <v/>
      </c>
      <c r="BD569" s="207" t="n">
        <v>0</v>
      </c>
      <c r="BE569" s="207" t="n">
        <v>0</v>
      </c>
      <c r="BF569" s="209">
        <f>BD569+BE569</f>
        <v/>
      </c>
      <c r="BG569" s="209">
        <f>BC569-AY569+BF569</f>
        <v/>
      </c>
      <c r="BH569" s="86" t="inlineStr">
        <is>
          <t>杨朱斌</t>
        </is>
      </c>
      <c r="BI569" s="86" t="inlineStr">
        <is>
          <t>浙江省 宁波市 鄞州区 东郊街道江东金茂府14幢40单元501</t>
        </is>
      </c>
      <c r="BJ569" s="86" t="inlineStr">
        <is>
          <t>18413305427-9258</t>
        </is>
      </c>
      <c r="BK569" s="86" t="n"/>
      <c r="BL569" s="210" t="n"/>
      <c r="BM569" s="93" t="n"/>
      <c r="BN569" s="94" t="n"/>
      <c r="BO569" s="93" t="n"/>
      <c r="BP569" s="86" t="n"/>
      <c r="BQ569" s="96" t="n"/>
      <c r="BR569" s="96" t="n"/>
      <c r="BS569" s="97" t="n"/>
      <c r="BT569" s="96" t="n"/>
      <c r="BU569" s="97" t="n"/>
      <c r="BV569" s="96" t="n"/>
      <c r="BW569" s="97" t="n"/>
      <c r="BX569" s="97" t="n"/>
      <c r="BY569" s="97" t="n"/>
      <c r="BZ569" s="97" t="n"/>
      <c r="CH569" s="2" t="n"/>
      <c r="CI569" s="14" t="n"/>
      <c r="CJ569" s="25" t="n"/>
      <c r="CK569" s="25" t="n"/>
      <c r="CL569" s="25" t="n"/>
      <c r="CM569" s="25" t="n"/>
      <c r="CN569" s="25" t="n"/>
      <c r="CO569" s="25" t="n"/>
      <c r="CP569" s="25" t="n"/>
      <c r="CQ569" s="25" t="n"/>
      <c r="CR569" s="25" t="n"/>
      <c r="CS569" s="25" t="n"/>
      <c r="CT569" s="25" t="n"/>
      <c r="CU569" s="25" t="n"/>
      <c r="CV569" s="25" t="n"/>
      <c r="CW569" s="25" t="n"/>
      <c r="CX569" s="25" t="n"/>
      <c r="CY569" s="25" t="n"/>
      <c r="DC569" s="26" t="n"/>
      <c r="DD569" s="26" t="n"/>
      <c r="DE569" s="26" t="n"/>
      <c r="DF569" s="26" t="n"/>
      <c r="DG569" s="26" t="n"/>
      <c r="DH569" s="27" t="n"/>
      <c r="DJ569" s="238" t="inlineStr">
        <is>
          <t>✓ 金额一致</t>
        </is>
      </c>
      <c r="DK569" t="inlineStr">
        <is>
          <t>2933.78</t>
        </is>
      </c>
      <c r="DL569" s="239" t="n">
        <v>0</v>
      </c>
    </row>
    <row r="570" ht="15.75" customHeight="1" s="187">
      <c r="A570" s="84" t="n">
        <v>46044</v>
      </c>
      <c r="B570" s="206" t="inlineStr">
        <is>
          <t>已收货</t>
        </is>
      </c>
      <c r="C570" s="86" t="inlineStr">
        <is>
          <t>3200411607023537598</t>
        </is>
      </c>
      <c r="D570" s="110" t="inlineStr">
        <is>
          <t>李铭</t>
        </is>
      </c>
      <c r="E570" s="87" t="n"/>
      <c r="F570" s="87" t="n"/>
      <c r="G570" s="87" t="inlineStr">
        <is>
          <t>砂白色1.4米岩板餐桌</t>
        </is>
      </c>
      <c r="H570" s="207" t="inlineStr">
        <is>
          <t>榉木餐桌</t>
        </is>
      </c>
      <c r="I570" s="89" t="inlineStr">
        <is>
          <t>140cm*85cm</t>
        </is>
      </c>
      <c r="J570" s="87" t="n"/>
      <c r="K570" s="86" t="inlineStr">
        <is>
          <t>江西</t>
        </is>
      </c>
      <c r="L570" s="207">
        <f>SUM(M570:AM570)</f>
        <v/>
      </c>
      <c r="M570" s="207">
        <f>1300</f>
        <v/>
      </c>
      <c r="N570" s="207" t="n"/>
      <c r="O570" s="207" t="n"/>
      <c r="P570" s="216" t="n"/>
      <c r="Q570" s="216" t="n"/>
      <c r="R570" s="121" t="n">
        <v>240</v>
      </c>
      <c r="S570" s="207" t="n"/>
      <c r="T570" s="207" t="n"/>
      <c r="U570" s="207" t="n"/>
      <c r="V570" s="207" t="n"/>
      <c r="W570" s="207" t="n"/>
      <c r="X570" s="207" t="n"/>
      <c r="Y570" s="207" t="n"/>
      <c r="Z570" s="207" t="n"/>
      <c r="AA570" s="207" t="n"/>
      <c r="AB570" s="216" t="n"/>
      <c r="AC570" s="216" t="n"/>
      <c r="AD570" s="121" t="n">
        <v>2.5</v>
      </c>
      <c r="AE570" s="207" t="n"/>
      <c r="AF570" s="216" t="n"/>
      <c r="AG570" s="216" t="n"/>
      <c r="AH570" s="216" t="n"/>
      <c r="AI570" s="216" t="n"/>
      <c r="AJ570" s="216" t="n"/>
      <c r="AK570" s="216" t="n"/>
      <c r="AL570" s="216" t="n"/>
      <c r="AM570" s="121" t="n">
        <v>190</v>
      </c>
      <c r="AN570" s="207" t="n"/>
      <c r="AO570" s="207" t="n"/>
      <c r="AP570" s="121" t="n">
        <v>300</v>
      </c>
      <c r="AQ570" s="121" t="n">
        <v>30</v>
      </c>
      <c r="AR570" s="121" t="n">
        <v>70</v>
      </c>
      <c r="AS570" s="207" t="n">
        <v>0</v>
      </c>
      <c r="AT570" s="207" t="n">
        <v>0</v>
      </c>
      <c r="AU570" s="207" t="n">
        <v>0</v>
      </c>
      <c r="AV570" s="207" t="n">
        <v>0</v>
      </c>
      <c r="AW570" s="207" t="n">
        <v>0</v>
      </c>
      <c r="AX570" s="208" t="n">
        <v>1</v>
      </c>
      <c r="AY570" s="209">
        <f>L570*AX570+AP570+AQ570+AR570+AV570+AW570+AS570+AT570+AU570</f>
        <v/>
      </c>
      <c r="AZ570" s="207" t="n">
        <v>2674.41</v>
      </c>
      <c r="BA570" s="207" t="n">
        <v>0</v>
      </c>
      <c r="BB570" s="207">
        <f>AZ570*0.006</f>
        <v/>
      </c>
      <c r="BC570" s="209">
        <f>AZ570+BA570-BB570</f>
        <v/>
      </c>
      <c r="BD570" s="207" t="n">
        <v>0</v>
      </c>
      <c r="BE570" s="207" t="n">
        <v>0</v>
      </c>
      <c r="BF570" s="209">
        <f>BD570+BE570</f>
        <v/>
      </c>
      <c r="BG570" s="209">
        <f>BC570-AY570+BF570</f>
        <v/>
      </c>
      <c r="BH570" s="207" t="inlineStr">
        <is>
          <t>李铭</t>
        </is>
      </c>
      <c r="BI570" s="207" t="inlineStr">
        <is>
          <t>河南省 郑州市 金水区 文化路街道正弘蓝堡湾2期南区4号楼2203(000000)</t>
        </is>
      </c>
      <c r="BJ570" s="207" t="inlineStr">
        <is>
          <t>17864146858-6534</t>
        </is>
      </c>
      <c r="BK570" s="86" t="n"/>
      <c r="BL570" s="210" t="n"/>
      <c r="BM570" s="93" t="n"/>
      <c r="BN570" s="94" t="n"/>
      <c r="BO570" s="93" t="n"/>
      <c r="BP570" s="86" t="n"/>
      <c r="BQ570" s="96" t="n"/>
      <c r="BR570" s="96" t="n"/>
      <c r="BS570" s="97" t="n"/>
      <c r="BT570" s="96" t="n"/>
      <c r="BU570" s="97" t="n"/>
      <c r="BV570" s="96" t="n"/>
      <c r="BW570" s="97" t="n"/>
      <c r="BX570" s="97" t="n"/>
      <c r="BY570" s="97" t="n"/>
      <c r="BZ570" s="97" t="n"/>
      <c r="CH570" s="2" t="n"/>
      <c r="CI570" s="14" t="n"/>
      <c r="CJ570" s="25" t="n"/>
      <c r="CK570" s="25" t="n"/>
      <c r="CL570" s="25" t="n"/>
      <c r="CM570" s="25" t="n"/>
      <c r="CN570" s="25" t="n"/>
      <c r="CO570" s="25" t="n"/>
      <c r="CP570" s="25" t="n"/>
      <c r="CQ570" s="25" t="n"/>
      <c r="CR570" s="25" t="n"/>
      <c r="CS570" s="25" t="n"/>
      <c r="CT570" s="25" t="n"/>
      <c r="CU570" s="25" t="n"/>
      <c r="CV570" s="25" t="n"/>
      <c r="CW570" s="25" t="n"/>
      <c r="CX570" s="25" t="n"/>
      <c r="CY570" s="25" t="n"/>
      <c r="DC570" s="26" t="n"/>
      <c r="DD570" s="26" t="n"/>
      <c r="DE570" s="26" t="n"/>
      <c r="DF570" s="26" t="n"/>
      <c r="DG570" s="26" t="n"/>
      <c r="DH570" s="27" t="n"/>
      <c r="DJ570" s="241" t="inlineStr">
        <is>
          <t>✗ 金额不符</t>
        </is>
      </c>
      <c r="DK570" t="inlineStr">
        <is>
          <t>2417.45</t>
        </is>
      </c>
      <c r="DL570" s="239" t="n">
        <v>256.96</v>
      </c>
      <c r="DM570" s="241" t="inlineStr">
        <is>
          <t>买家应付金额不一致，差额+256.96元（订单表2417.45 vs 佳宝2674.41，疑似改价/补邮费/上楼费等手工调整，需人工核对）</t>
        </is>
      </c>
    </row>
    <row r="571" ht="15.75" customHeight="1" s="187">
      <c r="A571" s="84" t="n">
        <v>46045</v>
      </c>
      <c r="B571" s="206" t="inlineStr">
        <is>
          <t>已收货</t>
        </is>
      </c>
      <c r="C571" s="86" t="inlineStr">
        <is>
          <t>5029369020904827125</t>
        </is>
      </c>
      <c r="D571" s="110" t="inlineStr">
        <is>
          <t>Q先生</t>
        </is>
      </c>
      <c r="E571" s="87" t="n"/>
      <c r="F571" s="87" t="n"/>
      <c r="G571" s="207" t="inlineStr">
        <is>
          <t>样块</t>
        </is>
      </c>
      <c r="H571" s="207" t="inlineStr">
        <is>
          <t>样块</t>
        </is>
      </c>
      <c r="I571" s="89" t="n"/>
      <c r="J571" s="87" t="inlineStr">
        <is>
          <t>已结算</t>
        </is>
      </c>
      <c r="K571" s="87" t="inlineStr">
        <is>
          <t>杭州</t>
        </is>
      </c>
      <c r="L571" s="207">
        <f>SUM(M571:AO571)</f>
        <v/>
      </c>
      <c r="M571" s="207" t="n">
        <v>5</v>
      </c>
      <c r="N571" s="207" t="n"/>
      <c r="O571" s="207" t="n"/>
      <c r="P571" s="207" t="n"/>
      <c r="Q571" s="207" t="n"/>
      <c r="R571" s="207" t="n"/>
      <c r="S571" s="207" t="n"/>
      <c r="T571" s="207" t="n"/>
      <c r="U571" s="207" t="n"/>
      <c r="V571" s="207" t="n"/>
      <c r="W571" s="207" t="n"/>
      <c r="X571" s="207" t="n"/>
      <c r="Y571" s="207" t="n"/>
      <c r="Z571" s="207" t="n"/>
      <c r="AA571" s="207" t="n"/>
      <c r="AB571" s="207" t="n"/>
      <c r="AC571" s="207" t="n"/>
      <c r="AD571" s="207" t="n"/>
      <c r="AE571" s="207" t="n"/>
      <c r="AF571" s="207" t="n"/>
      <c r="AG571" s="207" t="n"/>
      <c r="AH571" s="207" t="n"/>
      <c r="AI571" s="207" t="n"/>
      <c r="AJ571" s="207" t="n"/>
      <c r="AK571" s="207" t="n"/>
      <c r="AL571" s="207" t="n"/>
      <c r="AM571" s="207" t="n">
        <v>2</v>
      </c>
      <c r="AN571" s="207" t="n"/>
      <c r="AO571" s="207" t="n"/>
      <c r="AP571" s="207" t="n">
        <v>5</v>
      </c>
      <c r="AQ571" s="207" t="n">
        <v>0</v>
      </c>
      <c r="AR571" s="207" t="n">
        <v>0</v>
      </c>
      <c r="AS571" s="207" t="n">
        <v>0</v>
      </c>
      <c r="AT571" s="207" t="n">
        <v>0</v>
      </c>
      <c r="AU571" s="207" t="n">
        <v>0</v>
      </c>
      <c r="AV571" s="207" t="n">
        <v>0</v>
      </c>
      <c r="AW571" s="207" t="n">
        <v>0</v>
      </c>
      <c r="AX571" s="208" t="n">
        <v>1</v>
      </c>
      <c r="AY571" s="209">
        <f>L571*AX571+AP571+AQ571+AR571+AV571+AW571+AS571+AT571+AU571</f>
        <v/>
      </c>
      <c r="AZ571" s="207" t="n">
        <v>22</v>
      </c>
      <c r="BA571" s="207" t="n">
        <v>0</v>
      </c>
      <c r="BB571" s="207">
        <f>AZ571*0.006</f>
        <v/>
      </c>
      <c r="BC571" s="209">
        <f>AZ571+BA571-BB571</f>
        <v/>
      </c>
      <c r="BD571" s="207" t="n">
        <v>0</v>
      </c>
      <c r="BE571" s="207" t="n">
        <v>0</v>
      </c>
      <c r="BF571" s="209">
        <f>BD571+BE571</f>
        <v/>
      </c>
      <c r="BG571" s="209">
        <f>BC571-AY571+BF571</f>
        <v/>
      </c>
      <c r="BH571" s="86" t="inlineStr">
        <is>
          <t>Q先生</t>
        </is>
      </c>
      <c r="BI571" s="86" t="inlineStr">
        <is>
          <t>浙江省 杭州市 上城区 笕桥街道蔡阳路67号春来晓园15栋2单元102</t>
        </is>
      </c>
      <c r="BJ571" s="86" t="inlineStr">
        <is>
          <t>18413255258-8444</t>
        </is>
      </c>
      <c r="BK571" s="86" t="n"/>
      <c r="BL571" s="210" t="n"/>
      <c r="BM571" s="93" t="n"/>
      <c r="BN571" s="94" t="n"/>
      <c r="BO571" s="93" t="n"/>
      <c r="BP571" s="86" t="n"/>
      <c r="BQ571" s="96" t="n"/>
      <c r="BR571" s="96" t="n"/>
      <c r="BS571" s="97" t="n"/>
      <c r="BT571" s="96" t="n"/>
      <c r="BU571" s="97" t="n"/>
      <c r="BV571" s="96" t="n"/>
      <c r="BW571" s="97" t="n"/>
      <c r="BX571" s="97" t="n"/>
      <c r="BY571" s="97" t="n"/>
      <c r="BZ571" s="97" t="n"/>
      <c r="CH571" s="2" t="n"/>
      <c r="CI571" s="14" t="n"/>
      <c r="CJ571" s="25" t="n"/>
      <c r="CK571" s="25" t="n"/>
      <c r="CL571" s="25" t="n"/>
      <c r="CM571" s="25" t="n"/>
      <c r="CN571" s="25" t="n"/>
      <c r="CO571" s="25" t="n"/>
      <c r="CP571" s="25" t="n"/>
      <c r="CQ571" s="25" t="n"/>
      <c r="CR571" s="25" t="n"/>
      <c r="CS571" s="25" t="n"/>
      <c r="CT571" s="25" t="n"/>
      <c r="CU571" s="25" t="n"/>
      <c r="CV571" s="25" t="n"/>
      <c r="CW571" s="25" t="n"/>
      <c r="CX571" s="25" t="n"/>
      <c r="CY571" s="25" t="n"/>
      <c r="DC571" s="26" t="n"/>
      <c r="DD571" s="26" t="n"/>
      <c r="DE571" s="26" t="n"/>
      <c r="DF571" s="26" t="n"/>
      <c r="DG571" s="26" t="n"/>
      <c r="DH571" s="27" t="n"/>
      <c r="DJ571" s="238" t="inlineStr">
        <is>
          <t>✓ 金额一致</t>
        </is>
      </c>
      <c r="DK571" t="inlineStr">
        <is>
          <t>22.00</t>
        </is>
      </c>
      <c r="DL571" s="239" t="n">
        <v>0</v>
      </c>
    </row>
    <row r="572" ht="15.75" customHeight="1" s="187">
      <c r="A572" s="84" t="n">
        <v>46045</v>
      </c>
      <c r="B572" s="206" t="inlineStr">
        <is>
          <t>已收货</t>
        </is>
      </c>
      <c r="C572" s="86" t="inlineStr">
        <is>
          <t>3202379943842031288</t>
        </is>
      </c>
      <c r="D572" s="110" t="inlineStr">
        <is>
          <t>唐靓靓</t>
        </is>
      </c>
      <c r="E572" s="87" t="n"/>
      <c r="F572" s="87" t="n"/>
      <c r="G572" s="207" t="inlineStr">
        <is>
          <t>2个插座</t>
        </is>
      </c>
      <c r="H572" s="207" t="inlineStr">
        <is>
          <t>配件</t>
        </is>
      </c>
      <c r="I572" s="89" t="n"/>
      <c r="J572" s="87" t="inlineStr">
        <is>
          <t>已结算</t>
        </is>
      </c>
      <c r="K572" s="86" t="inlineStr">
        <is>
          <t>其他</t>
        </is>
      </c>
      <c r="L572" s="216">
        <f>55*2</f>
        <v/>
      </c>
      <c r="M572" s="216">
        <f>55*2</f>
        <v/>
      </c>
      <c r="N572" s="207" t="n"/>
      <c r="O572" s="207" t="n"/>
      <c r="P572" s="216" t="n"/>
      <c r="Q572" s="216" t="n"/>
      <c r="R572" s="216" t="n"/>
      <c r="S572" s="216" t="n"/>
      <c r="T572" s="216" t="n"/>
      <c r="U572" s="216" t="n"/>
      <c r="V572" s="216" t="n"/>
      <c r="W572" s="216" t="n"/>
      <c r="X572" s="216" t="n"/>
      <c r="Y572" s="216" t="n"/>
      <c r="Z572" s="216" t="n"/>
      <c r="AA572" s="216" t="n"/>
      <c r="AB572" s="216" t="n"/>
      <c r="AC572" s="216" t="n"/>
      <c r="AD572" s="216" t="n"/>
      <c r="AE572" s="216" t="n"/>
      <c r="AF572" s="216" t="n"/>
      <c r="AG572" s="216" t="n"/>
      <c r="AH572" s="216" t="n"/>
      <c r="AI572" s="216" t="n"/>
      <c r="AJ572" s="216" t="n"/>
      <c r="AK572" s="216" t="n"/>
      <c r="AL572" s="216" t="n"/>
      <c r="AM572" s="207" t="n"/>
      <c r="AN572" s="207" t="n"/>
      <c r="AO572" s="207" t="n"/>
      <c r="AP572" s="207" t="n">
        <v>8</v>
      </c>
      <c r="AQ572" s="207" t="n">
        <v>0</v>
      </c>
      <c r="AR572" s="207" t="n">
        <v>0</v>
      </c>
      <c r="AS572" s="207" t="n">
        <v>0</v>
      </c>
      <c r="AT572" s="207" t="n">
        <v>0</v>
      </c>
      <c r="AU572" s="207" t="n">
        <v>0</v>
      </c>
      <c r="AV572" s="207" t="n">
        <v>0</v>
      </c>
      <c r="AW572" s="207" t="n">
        <v>0</v>
      </c>
      <c r="AX572" s="208" t="n">
        <v>1</v>
      </c>
      <c r="AY572" s="209">
        <f>L572*AX572+AP572+AQ572+AR572+AV572+AW572+AS572+AT572+AU572</f>
        <v/>
      </c>
      <c r="AZ572" s="207" t="n">
        <v>200</v>
      </c>
      <c r="BA572" s="207" t="n">
        <v>0</v>
      </c>
      <c r="BB572" s="207">
        <f>AZ572*0.006</f>
        <v/>
      </c>
      <c r="BC572" s="209">
        <f>AZ572+BA572-BB572</f>
        <v/>
      </c>
      <c r="BD572" s="207" t="n">
        <v>0</v>
      </c>
      <c r="BE572" s="207" t="n">
        <v>0</v>
      </c>
      <c r="BF572" s="209">
        <f>BD572+BE572</f>
        <v/>
      </c>
      <c r="BG572" s="209">
        <f>BC572-AY572+BF572</f>
        <v/>
      </c>
      <c r="BH572" s="86" t="inlineStr">
        <is>
          <t>唐靓靓</t>
        </is>
      </c>
      <c r="BI572" s="86" t="inlineStr">
        <is>
          <t>上海 上海市 浦东新区 川沙新镇市六灶镇周祝公路2352号504室</t>
        </is>
      </c>
      <c r="BJ572" s="86" t="inlineStr">
        <is>
          <t>13124830879-8682</t>
        </is>
      </c>
      <c r="BK572" s="86" t="n"/>
      <c r="BL572" s="210" t="n"/>
      <c r="BM572" s="93" t="n"/>
      <c r="BN572" s="94" t="n"/>
      <c r="BO572" s="93" t="n"/>
      <c r="BP572" s="86" t="n"/>
      <c r="BQ572" s="96" t="n"/>
      <c r="BR572" s="96" t="n"/>
      <c r="BS572" s="97" t="n"/>
      <c r="BT572" s="96" t="n"/>
      <c r="BU572" s="97" t="n"/>
      <c r="BV572" s="96" t="n"/>
      <c r="BW572" s="97" t="n"/>
      <c r="BX572" s="97" t="n"/>
      <c r="BY572" s="97" t="n"/>
      <c r="BZ572" s="97" t="n"/>
      <c r="CH572" s="2" t="n"/>
      <c r="CI572" s="14" t="n"/>
      <c r="CJ572" s="25" t="n"/>
      <c r="CK572" s="25" t="n"/>
      <c r="CL572" s="25" t="n"/>
      <c r="CM572" s="25" t="n"/>
      <c r="CN572" s="25" t="n"/>
      <c r="CO572" s="25" t="n"/>
      <c r="CP572" s="25" t="n"/>
      <c r="CQ572" s="25" t="n"/>
      <c r="CR572" s="25" t="n"/>
      <c r="CS572" s="25" t="n"/>
      <c r="CT572" s="25" t="n"/>
      <c r="CU572" s="25" t="n"/>
      <c r="CV572" s="25" t="n"/>
      <c r="CW572" s="25" t="n"/>
      <c r="CX572" s="25" t="n"/>
      <c r="CY572" s="25" t="n"/>
      <c r="DC572" s="26" t="n"/>
      <c r="DD572" s="26" t="n"/>
      <c r="DE572" s="26" t="n"/>
      <c r="DF572" s="26" t="n"/>
      <c r="DG572" s="26" t="n"/>
      <c r="DH572" s="27" t="n"/>
      <c r="DJ572" s="238" t="inlineStr">
        <is>
          <t>✓ 金额一致</t>
        </is>
      </c>
      <c r="DK572" t="inlineStr">
        <is>
          <t>200.00</t>
        </is>
      </c>
      <c r="DL572" s="239" t="n">
        <v>0</v>
      </c>
    </row>
    <row r="573" ht="15.75" customHeight="1" s="187">
      <c r="A573" s="84" t="n">
        <v>46046</v>
      </c>
      <c r="B573" s="206" t="inlineStr">
        <is>
          <t>已收货</t>
        </is>
      </c>
      <c r="C573" s="86" t="inlineStr">
        <is>
          <t>5031838945681405710</t>
        </is>
      </c>
      <c r="D573" s="110" t="inlineStr">
        <is>
          <t>李大姐</t>
        </is>
      </c>
      <c r="E573" s="87" t="n"/>
      <c r="F573" s="87" t="n"/>
      <c r="G573" s="207" t="inlineStr">
        <is>
          <t>样块*2</t>
        </is>
      </c>
      <c r="H573" s="207" t="inlineStr">
        <is>
          <t>样块</t>
        </is>
      </c>
      <c r="I573" s="89" t="n"/>
      <c r="J573" s="87" t="inlineStr">
        <is>
          <t>已结算</t>
        </is>
      </c>
      <c r="K573" s="87" t="inlineStr">
        <is>
          <t>杭州</t>
        </is>
      </c>
      <c r="L573" s="207">
        <f>SUM(M573:AO573)</f>
        <v/>
      </c>
      <c r="M573" s="207" t="n">
        <v>10</v>
      </c>
      <c r="N573" s="207" t="n"/>
      <c r="O573" s="207" t="n"/>
      <c r="P573" s="207" t="n"/>
      <c r="Q573" s="207" t="n"/>
      <c r="R573" s="207" t="n"/>
      <c r="S573" s="207" t="n"/>
      <c r="T573" s="207" t="n"/>
      <c r="U573" s="207" t="n"/>
      <c r="V573" s="207" t="n"/>
      <c r="W573" s="207" t="n"/>
      <c r="X573" s="207" t="n"/>
      <c r="Y573" s="207" t="n"/>
      <c r="Z573" s="207" t="n"/>
      <c r="AA573" s="207" t="n"/>
      <c r="AB573" s="207" t="n"/>
      <c r="AC573" s="207" t="n"/>
      <c r="AD573" s="207" t="n"/>
      <c r="AE573" s="207" t="n"/>
      <c r="AF573" s="207" t="n"/>
      <c r="AG573" s="207" t="n"/>
      <c r="AH573" s="207" t="n"/>
      <c r="AI573" s="207" t="n"/>
      <c r="AJ573" s="207" t="n"/>
      <c r="AK573" s="207" t="n"/>
      <c r="AL573" s="207" t="n"/>
      <c r="AM573" s="207" t="n">
        <v>2</v>
      </c>
      <c r="AN573" s="207" t="n"/>
      <c r="AO573" s="207" t="n"/>
      <c r="AP573" s="207" t="n">
        <v>5</v>
      </c>
      <c r="AQ573" s="207" t="n">
        <v>0</v>
      </c>
      <c r="AR573" s="207" t="n">
        <v>0</v>
      </c>
      <c r="AS573" s="207" t="n">
        <v>0</v>
      </c>
      <c r="AT573" s="207" t="n">
        <v>0</v>
      </c>
      <c r="AU573" s="207" t="n">
        <v>0</v>
      </c>
      <c r="AV573" s="207" t="n">
        <v>0</v>
      </c>
      <c r="AW573" s="207" t="n">
        <v>0</v>
      </c>
      <c r="AX573" s="208" t="n">
        <v>1</v>
      </c>
      <c r="AY573" s="209">
        <f>L573*AX573+AP573+AQ573+AR573+AV573+AW573+AS573+AT573+AU573</f>
        <v/>
      </c>
      <c r="AZ573" s="207" t="n">
        <v>44</v>
      </c>
      <c r="BA573" s="207" t="n">
        <v>0</v>
      </c>
      <c r="BB573" s="207">
        <f>AZ573*0.006</f>
        <v/>
      </c>
      <c r="BC573" s="209">
        <f>AZ573+BA573-BB573</f>
        <v/>
      </c>
      <c r="BD573" s="207" t="n">
        <v>0</v>
      </c>
      <c r="BE573" s="207" t="n">
        <v>0</v>
      </c>
      <c r="BF573" s="209">
        <f>BD573+BE573</f>
        <v/>
      </c>
      <c r="BG573" s="209">
        <f>BC573-AY573+BF573</f>
        <v/>
      </c>
      <c r="BH573" s="86" t="inlineStr">
        <is>
          <t>李大姐</t>
        </is>
      </c>
      <c r="BI573" s="86" t="inlineStr">
        <is>
          <t>江苏省 苏州市 昆山市 玉山镇庆丰西路669号昆山智谷创意产业园D区西南角2楼006室洞见瑜伽馆</t>
        </is>
      </c>
      <c r="BJ573" s="86" t="inlineStr">
        <is>
          <t>18468587687-3221</t>
        </is>
      </c>
      <c r="BK573" s="86" t="n"/>
      <c r="BL573" s="210" t="n"/>
      <c r="BM573" s="93" t="n"/>
      <c r="BN573" s="94" t="n"/>
      <c r="BO573" s="93" t="n"/>
      <c r="BP573" s="86" t="n"/>
      <c r="BQ573" s="96" t="n"/>
      <c r="BR573" s="96" t="n"/>
      <c r="BS573" s="97" t="n"/>
      <c r="BT573" s="96" t="n"/>
      <c r="BU573" s="97" t="n"/>
      <c r="BV573" s="96" t="n"/>
      <c r="BW573" s="97" t="n"/>
      <c r="BX573" s="97" t="n"/>
      <c r="BY573" s="97" t="n"/>
      <c r="BZ573" s="97" t="n"/>
      <c r="CH573" s="2" t="n"/>
      <c r="CI573" s="14" t="n"/>
      <c r="CJ573" s="25" t="n"/>
      <c r="CK573" s="25" t="n"/>
      <c r="CL573" s="25" t="n"/>
      <c r="CM573" s="25" t="n"/>
      <c r="CN573" s="25" t="n"/>
      <c r="CO573" s="25" t="n"/>
      <c r="CP573" s="25" t="n"/>
      <c r="CQ573" s="25" t="n"/>
      <c r="CR573" s="25" t="n"/>
      <c r="CS573" s="25" t="n"/>
      <c r="CT573" s="25" t="n"/>
      <c r="CU573" s="25" t="n"/>
      <c r="CV573" s="25" t="n"/>
      <c r="CW573" s="25" t="n"/>
      <c r="CX573" s="25" t="n"/>
      <c r="CY573" s="25" t="n"/>
      <c r="DC573" s="26" t="n"/>
      <c r="DD573" s="26" t="n"/>
      <c r="DE573" s="26" t="n"/>
      <c r="DF573" s="26" t="n"/>
      <c r="DG573" s="26" t="n"/>
      <c r="DH573" s="27" t="n"/>
      <c r="DJ573" s="211" t="inlineStr">
        <is>
          <t>订单表中未找到</t>
        </is>
      </c>
      <c r="DK573" t="inlineStr">
        <is>
          <t>—</t>
        </is>
      </c>
      <c r="DL573" t="inlineStr">
        <is>
          <t>—</t>
        </is>
      </c>
    </row>
    <row r="574" ht="15.75" customHeight="1" s="187">
      <c r="A574" s="84" t="n">
        <v>46049</v>
      </c>
      <c r="B574" s="206" t="inlineStr">
        <is>
          <t>已收货</t>
        </is>
      </c>
      <c r="C574" s="86" t="inlineStr">
        <is>
          <t>5037298850227109543</t>
        </is>
      </c>
      <c r="D574" s="110" t="inlineStr">
        <is>
          <t>杨君伟</t>
        </is>
      </c>
      <c r="E574" s="87" t="n"/>
      <c r="F574" s="87" t="n"/>
      <c r="G574" s="207" t="inlineStr">
        <is>
          <t>砂白色1.6米岩板餐桌</t>
        </is>
      </c>
      <c r="H574" s="207" t="inlineStr">
        <is>
          <t>榉木餐桌</t>
        </is>
      </c>
      <c r="I574" s="89" t="inlineStr">
        <is>
          <t>160cm*85cm</t>
        </is>
      </c>
      <c r="J574" s="87" t="inlineStr">
        <is>
          <t>已结算</t>
        </is>
      </c>
      <c r="K574" s="86" t="inlineStr">
        <is>
          <t>江西</t>
        </is>
      </c>
      <c r="L574" s="207">
        <f>1350+2.5+240+190</f>
        <v/>
      </c>
      <c r="M574" s="207">
        <f>1350</f>
        <v/>
      </c>
      <c r="N574" s="207" t="n"/>
      <c r="O574" s="207" t="n"/>
      <c r="P574" s="216" t="n"/>
      <c r="Q574" s="216" t="n"/>
      <c r="R574" s="207" t="n">
        <v>240</v>
      </c>
      <c r="S574" s="207" t="n"/>
      <c r="T574" s="207" t="n"/>
      <c r="U574" s="207" t="n"/>
      <c r="V574" s="207" t="n"/>
      <c r="W574" s="207" t="n"/>
      <c r="X574" s="207" t="n"/>
      <c r="Y574" s="207" t="n"/>
      <c r="Z574" s="207" t="n"/>
      <c r="AA574" s="207" t="n"/>
      <c r="AB574" s="216" t="n"/>
      <c r="AC574" s="216" t="n"/>
      <c r="AD574" s="240" t="n">
        <v>2.5</v>
      </c>
      <c r="AE574" s="207" t="n"/>
      <c r="AF574" s="216" t="n"/>
      <c r="AG574" s="216" t="n"/>
      <c r="AH574" s="216" t="n"/>
      <c r="AI574" s="216" t="n"/>
      <c r="AJ574" s="216" t="n"/>
      <c r="AK574" s="216" t="n"/>
      <c r="AL574" s="216" t="n"/>
      <c r="AM574" s="207" t="n">
        <v>190</v>
      </c>
      <c r="AN574" s="216" t="n"/>
      <c r="AO574" s="216" t="n"/>
      <c r="AP574" s="121" t="n">
        <v>300</v>
      </c>
      <c r="AQ574" s="121" t="n">
        <v>30</v>
      </c>
      <c r="AR574" s="207" t="n">
        <v>120</v>
      </c>
      <c r="AS574" s="207" t="n">
        <v>0</v>
      </c>
      <c r="AT574" s="207" t="n">
        <v>0</v>
      </c>
      <c r="AU574" s="207" t="n">
        <v>0</v>
      </c>
      <c r="AV574" s="207" t="n">
        <v>0</v>
      </c>
      <c r="AW574" s="207" t="n">
        <v>0</v>
      </c>
      <c r="AX574" s="208" t="n">
        <v>1</v>
      </c>
      <c r="AY574" s="209">
        <f>L574*AX574+AP574+AQ574+AR574+AV574+AW574+AS574+AT574+AU574</f>
        <v/>
      </c>
      <c r="AZ574" s="207" t="n">
        <v>2749.55</v>
      </c>
      <c r="BA574" s="207" t="n">
        <v>0</v>
      </c>
      <c r="BB574" s="207">
        <f>AZ574*0.006</f>
        <v/>
      </c>
      <c r="BC574" s="209">
        <f>AZ574+BA574-BB574</f>
        <v/>
      </c>
      <c r="BD574" s="207" t="n">
        <v>0</v>
      </c>
      <c r="BE574" s="207" t="n">
        <v>0</v>
      </c>
      <c r="BF574" s="209">
        <f>BD574+BE574</f>
        <v/>
      </c>
      <c r="BG574" s="209">
        <f>BC574-AY574+BF574</f>
        <v/>
      </c>
      <c r="BH574" s="86" t="inlineStr">
        <is>
          <t>杨君伟</t>
        </is>
      </c>
      <c r="BI574" s="86" t="inlineStr">
        <is>
          <t>浙江省 温州市 龙湾区 蒲州街道开元樾品园4栋1004号</t>
        </is>
      </c>
      <c r="BJ574" s="86" t="inlineStr">
        <is>
          <t>15786944344-6405</t>
        </is>
      </c>
      <c r="BK574" s="86" t="n"/>
      <c r="BL574" s="210" t="n"/>
      <c r="BM574" s="93" t="n"/>
      <c r="BN574" s="94" t="n"/>
      <c r="BO574" s="93" t="n"/>
      <c r="BP574" s="86" t="n"/>
      <c r="BQ574" s="96" t="n"/>
      <c r="BR574" s="96" t="n"/>
      <c r="BS574" s="97" t="n"/>
      <c r="BT574" s="96" t="n"/>
      <c r="BU574" s="97" t="n"/>
      <c r="BV574" s="96" t="n"/>
      <c r="BW574" s="97" t="n"/>
      <c r="BX574" s="97" t="n"/>
      <c r="BY574" s="97" t="n"/>
      <c r="BZ574" s="97" t="n"/>
      <c r="CH574" s="2" t="n"/>
      <c r="CI574" s="14" t="n"/>
      <c r="CJ574" s="25" t="n"/>
      <c r="CK574" s="25" t="n"/>
      <c r="CL574" s="25" t="n"/>
      <c r="CM574" s="25" t="n"/>
      <c r="CN574" s="25" t="n"/>
      <c r="CO574" s="25" t="n"/>
      <c r="CP574" s="25" t="n"/>
      <c r="CQ574" s="25" t="n"/>
      <c r="CR574" s="25" t="n"/>
      <c r="CS574" s="25" t="n"/>
      <c r="CT574" s="25" t="n"/>
      <c r="CU574" s="25" t="n"/>
      <c r="CV574" s="25" t="n"/>
      <c r="CW574" s="25" t="n"/>
      <c r="CX574" s="25" t="n"/>
      <c r="CY574" s="25" t="n"/>
      <c r="DC574" s="26" t="n"/>
      <c r="DD574" s="26" t="n"/>
      <c r="DE574" s="26" t="n"/>
      <c r="DF574" s="26" t="n"/>
      <c r="DG574" s="26" t="n"/>
      <c r="DH574" s="27" t="n"/>
      <c r="DJ574" s="238" t="inlineStr">
        <is>
          <t>✓ 金额一致</t>
        </is>
      </c>
      <c r="DK574" t="inlineStr">
        <is>
          <t>2749.55</t>
        </is>
      </c>
      <c r="DL574" s="239" t="n">
        <v>0</v>
      </c>
    </row>
    <row r="575" ht="15.75" customHeight="1" s="187">
      <c r="A575" s="84" t="n">
        <v>46049</v>
      </c>
      <c r="B575" s="206" t="inlineStr">
        <is>
          <t>已收货</t>
        </is>
      </c>
      <c r="C575" s="86" t="inlineStr">
        <is>
          <t>3210721863514837177</t>
        </is>
      </c>
      <c r="D575" s="86" t="inlineStr">
        <is>
          <t>景巧英</t>
        </is>
      </c>
      <c r="E575" s="87" t="n"/>
      <c r="F575" s="87" t="n"/>
      <c r="G575" s="87" t="inlineStr">
        <is>
          <t>0.8米黑胡桃柜定制，围板多层板</t>
        </is>
      </c>
      <c r="H575" s="207" t="inlineStr">
        <is>
          <t>樱桃木窄柜</t>
        </is>
      </c>
      <c r="I575" s="89" t="n">
        <v>800</v>
      </c>
      <c r="J575" s="87" t="n"/>
      <c r="K575" s="86" t="inlineStr">
        <is>
          <t>江西</t>
        </is>
      </c>
      <c r="L575" s="207">
        <f>SUM(M575:AM575)</f>
        <v/>
      </c>
      <c r="M575" s="207" t="n">
        <v>4000</v>
      </c>
      <c r="N575" s="207" t="n">
        <v>115</v>
      </c>
      <c r="O575" s="207" t="n">
        <v>180</v>
      </c>
      <c r="P575" s="207" t="n">
        <v>1.16</v>
      </c>
      <c r="Q575" s="207" t="n"/>
      <c r="R575" s="207" t="n">
        <v>3.37</v>
      </c>
      <c r="S575" s="207" t="n">
        <v>1.1</v>
      </c>
      <c r="T575" s="207" t="n">
        <v>1.03</v>
      </c>
      <c r="U575" s="207" t="n"/>
      <c r="V575" s="207" t="n"/>
      <c r="W575" s="207" t="n">
        <v>8</v>
      </c>
      <c r="X575" s="207" t="n">
        <v>5</v>
      </c>
      <c r="Y575" s="207" t="n">
        <v>307.08</v>
      </c>
      <c r="Z575" s="207" t="n"/>
      <c r="AA575" s="207" t="n"/>
      <c r="AB575" s="207" t="n"/>
      <c r="AC575" s="207" t="n"/>
      <c r="AD575" s="207" t="n">
        <v>3</v>
      </c>
      <c r="AE575" s="207" t="n">
        <v>52</v>
      </c>
      <c r="AF575" s="207" t="n">
        <v>90</v>
      </c>
      <c r="AG575" s="207" t="n"/>
      <c r="AH575" s="207" t="n"/>
      <c r="AI575" s="207" t="n"/>
      <c r="AJ575" s="207" t="n">
        <v>54</v>
      </c>
      <c r="AK575" s="207" t="n"/>
      <c r="AL575" s="207" t="n"/>
      <c r="AM575" s="121" t="n">
        <v>90</v>
      </c>
      <c r="AN575" s="216" t="n"/>
      <c r="AO575" s="216" t="n"/>
      <c r="AP575" s="121" t="n">
        <v>150</v>
      </c>
      <c r="AQ575" s="121" t="n">
        <v>100</v>
      </c>
      <c r="AR575" s="121" t="n">
        <v>300</v>
      </c>
      <c r="AS575" s="207" t="n">
        <v>100</v>
      </c>
      <c r="AT575" s="207" t="n">
        <v>0</v>
      </c>
      <c r="AU575" s="207" t="n">
        <v>0</v>
      </c>
      <c r="AV575" s="207" t="n">
        <v>0</v>
      </c>
      <c r="AW575" s="207" t="n">
        <v>100</v>
      </c>
      <c r="AX575" s="208" t="n">
        <v>1</v>
      </c>
      <c r="AY575" s="209">
        <f>L575*AX575+AP575+AQ575+AR575+AV575+AW575+AS575+AT575+AU575</f>
        <v/>
      </c>
      <c r="AZ575" s="207" t="n">
        <v>9098</v>
      </c>
      <c r="BA575" s="207" t="n">
        <v>0</v>
      </c>
      <c r="BB575" s="207">
        <f>AZ575*0.006</f>
        <v/>
      </c>
      <c r="BC575" s="209">
        <f>AZ575+BA575-BB575</f>
        <v/>
      </c>
      <c r="BD575" s="207" t="n">
        <v>0</v>
      </c>
      <c r="BE575" s="207" t="n">
        <v>0</v>
      </c>
      <c r="BF575" s="209">
        <f>BD575+BE575</f>
        <v/>
      </c>
      <c r="BG575" s="209">
        <f>BC575-AY575+BF575</f>
        <v/>
      </c>
      <c r="BH575" s="207" t="inlineStr">
        <is>
          <t>景巧英</t>
        </is>
      </c>
      <c r="BI575" s="207" t="inlineStr">
        <is>
          <t>山西省 太原市 晋源区 金胜镇恒大青运城7-2-1102(000000)</t>
        </is>
      </c>
      <c r="BJ575" s="207" t="inlineStr">
        <is>
          <t>13834652265</t>
        </is>
      </c>
      <c r="BK575" s="86" t="n"/>
      <c r="BL575" s="210" t="n"/>
      <c r="BM575" s="93" t="n"/>
      <c r="BN575" s="94" t="n"/>
      <c r="BO575" s="93" t="n"/>
      <c r="BP575" s="86" t="n"/>
      <c r="BQ575" s="96" t="n"/>
      <c r="BR575" s="96" t="n"/>
      <c r="BS575" s="97" t="n"/>
      <c r="BT575" s="96" t="n"/>
      <c r="BU575" s="97" t="n"/>
      <c r="BV575" s="96" t="n"/>
      <c r="BW575" s="97" t="n"/>
      <c r="BX575" s="97" t="n"/>
      <c r="BY575" s="97" t="n"/>
      <c r="BZ575" s="97" t="n"/>
      <c r="CH575" s="2" t="n"/>
      <c r="CI575" s="14" t="n"/>
      <c r="CJ575" s="25" t="n"/>
      <c r="CK575" s="25" t="n"/>
      <c r="CL575" s="25" t="n"/>
      <c r="CM575" s="25" t="n"/>
      <c r="CN575" s="25" t="n"/>
      <c r="CO575" s="25" t="n"/>
      <c r="CP575" s="25" t="n"/>
      <c r="CQ575" s="25" t="n"/>
      <c r="CR575" s="25" t="n"/>
      <c r="CS575" s="25" t="n"/>
      <c r="CT575" s="25" t="n"/>
      <c r="CU575" s="25" t="n"/>
      <c r="CV575" s="25" t="n"/>
      <c r="CW575" s="25" t="n"/>
      <c r="CX575" s="25" t="n"/>
      <c r="CY575" s="25" t="n"/>
      <c r="DC575" s="26" t="n"/>
      <c r="DD575" s="26" t="n"/>
      <c r="DE575" s="26" t="n"/>
      <c r="DF575" s="26" t="n"/>
      <c r="DG575" s="26" t="n"/>
      <c r="DH575" s="27" t="n"/>
      <c r="DJ575" s="238" t="inlineStr">
        <is>
          <t>✓ 金额一致</t>
        </is>
      </c>
      <c r="DK575" t="inlineStr">
        <is>
          <t>9098.00</t>
        </is>
      </c>
      <c r="DL575" s="239" t="n">
        <v>0</v>
      </c>
    </row>
    <row r="576" ht="15.75" customHeight="1" s="187">
      <c r="A576" s="84" t="n">
        <v>46050</v>
      </c>
      <c r="B576" s="206" t="inlineStr">
        <is>
          <t>已收货</t>
        </is>
      </c>
      <c r="C576" s="86" t="inlineStr">
        <is>
          <t>4501950915006003129</t>
        </is>
      </c>
      <c r="D576" s="86" t="inlineStr">
        <is>
          <t>S887962_nsterom</t>
        </is>
      </c>
      <c r="E576" s="87" t="n"/>
      <c r="F576" s="87" t="n"/>
      <c r="G576" s="87" t="inlineStr">
        <is>
          <t>样块*2</t>
        </is>
      </c>
      <c r="H576" s="207" t="inlineStr">
        <is>
          <t>样块</t>
        </is>
      </c>
      <c r="I576" s="89" t="n"/>
      <c r="J576" s="87" t="inlineStr">
        <is>
          <t>已结算</t>
        </is>
      </c>
      <c r="K576" s="87" t="inlineStr">
        <is>
          <t>杭州</t>
        </is>
      </c>
      <c r="L576" s="207">
        <f>SUM(M576:AO576)</f>
        <v/>
      </c>
      <c r="M576" s="207" t="n">
        <v>10</v>
      </c>
      <c r="N576" s="207" t="n"/>
      <c r="O576" s="207" t="n"/>
      <c r="P576" s="207" t="n"/>
      <c r="Q576" s="207" t="n"/>
      <c r="R576" s="207" t="n"/>
      <c r="S576" s="207" t="n"/>
      <c r="T576" s="207" t="n"/>
      <c r="U576" s="207" t="n"/>
      <c r="V576" s="207" t="n"/>
      <c r="W576" s="207" t="n"/>
      <c r="X576" s="207" t="n"/>
      <c r="Y576" s="207" t="n"/>
      <c r="Z576" s="207" t="n"/>
      <c r="AA576" s="207" t="n"/>
      <c r="AB576" s="207" t="n"/>
      <c r="AC576" s="207" t="n"/>
      <c r="AD576" s="207" t="n"/>
      <c r="AE576" s="207" t="n"/>
      <c r="AF576" s="207" t="n"/>
      <c r="AG576" s="207" t="n"/>
      <c r="AH576" s="207" t="n"/>
      <c r="AI576" s="207" t="n"/>
      <c r="AJ576" s="207" t="n"/>
      <c r="AK576" s="207" t="n"/>
      <c r="AL576" s="207" t="n"/>
      <c r="AM576" s="207" t="n">
        <v>2</v>
      </c>
      <c r="AN576" s="216" t="n"/>
      <c r="AO576" s="216" t="n"/>
      <c r="AP576" s="207" t="n">
        <v>5</v>
      </c>
      <c r="AQ576" s="207" t="n">
        <v>0</v>
      </c>
      <c r="AR576" s="207" t="n">
        <v>0</v>
      </c>
      <c r="AS576" s="207" t="n">
        <v>0</v>
      </c>
      <c r="AT576" s="207" t="n">
        <v>0</v>
      </c>
      <c r="AU576" s="207" t="n">
        <v>0</v>
      </c>
      <c r="AV576" s="207" t="n">
        <v>0</v>
      </c>
      <c r="AW576" s="207" t="n">
        <v>0</v>
      </c>
      <c r="AX576" s="208" t="n">
        <v>1</v>
      </c>
      <c r="AY576" s="209">
        <f>L576*AX576+AP576+AQ576+AR576+AV576+AW576+AS576+AT576+AU576</f>
        <v/>
      </c>
      <c r="AZ576" s="207" t="n">
        <v>44</v>
      </c>
      <c r="BA576" s="207" t="n">
        <v>0</v>
      </c>
      <c r="BB576" s="207">
        <f>AZ576*0.006</f>
        <v/>
      </c>
      <c r="BC576" s="209">
        <f>AZ576+BA576-BB576</f>
        <v/>
      </c>
      <c r="BD576" s="207" t="n">
        <v>0</v>
      </c>
      <c r="BE576" s="207" t="n">
        <v>0</v>
      </c>
      <c r="BF576" s="209">
        <f>BD576+BE576</f>
        <v/>
      </c>
      <c r="BG576" s="209">
        <f>BC576-AY576+BF576</f>
        <v/>
      </c>
      <c r="BH576" s="86" t="inlineStr">
        <is>
          <t>S887962_nsterom</t>
        </is>
      </c>
      <c r="BI576" s="86" t="inlineStr">
        <is>
          <t>广东省 珠海市 香洲区 南屏科技园屏北一路11号eBuy仓H207A号保利达A柜S887962号</t>
        </is>
      </c>
      <c r="BJ576" s="207" t="n"/>
      <c r="BK576" s="86" t="n"/>
      <c r="BL576" s="210" t="n"/>
      <c r="BM576" s="93" t="n"/>
      <c r="BN576" s="94" t="n"/>
      <c r="BO576" s="93" t="n"/>
      <c r="BP576" s="86" t="n"/>
      <c r="BQ576" s="96" t="n"/>
      <c r="BR576" s="96" t="n"/>
      <c r="BS576" s="97" t="n"/>
      <c r="BT576" s="96" t="n"/>
      <c r="BU576" s="97" t="n"/>
      <c r="BV576" s="96" t="n"/>
      <c r="BW576" s="97" t="n"/>
      <c r="BX576" s="97" t="n"/>
      <c r="BY576" s="97" t="n"/>
      <c r="BZ576" s="97" t="n"/>
      <c r="CH576" s="2" t="n"/>
      <c r="CI576" s="14" t="n"/>
      <c r="CJ576" s="25" t="n"/>
      <c r="CK576" s="25" t="n"/>
      <c r="CL576" s="25" t="n"/>
      <c r="CM576" s="25" t="n"/>
      <c r="CN576" s="25" t="n"/>
      <c r="CO576" s="25" t="n"/>
      <c r="CP576" s="25" t="n"/>
      <c r="CQ576" s="25" t="n"/>
      <c r="CR576" s="25" t="n"/>
      <c r="CS576" s="25" t="n"/>
      <c r="CT576" s="25" t="n"/>
      <c r="CU576" s="25" t="n"/>
      <c r="CV576" s="25" t="n"/>
      <c r="CW576" s="25" t="n"/>
      <c r="CX576" s="25" t="n"/>
      <c r="CY576" s="25" t="n"/>
      <c r="DC576" s="26" t="n"/>
      <c r="DD576" s="26" t="n"/>
      <c r="DE576" s="26" t="n"/>
      <c r="DF576" s="26" t="n"/>
      <c r="DG576" s="26" t="n"/>
      <c r="DH576" s="27" t="n"/>
      <c r="DJ576" s="211" t="inlineStr">
        <is>
          <t>订单表中未找到</t>
        </is>
      </c>
      <c r="DK576" t="inlineStr">
        <is>
          <t>—</t>
        </is>
      </c>
      <c r="DL576" t="inlineStr">
        <is>
          <t>—</t>
        </is>
      </c>
    </row>
    <row r="577" ht="15.75" customHeight="1" s="187">
      <c r="A577" s="84" t="n">
        <v>46050</v>
      </c>
      <c r="B577" s="206" t="inlineStr">
        <is>
          <t>已收货</t>
        </is>
      </c>
      <c r="C577" s="86" t="inlineStr">
        <is>
          <t>5040340743989871343</t>
        </is>
      </c>
      <c r="D577" s="86" t="inlineStr">
        <is>
          <t>宋丹</t>
        </is>
      </c>
      <c r="E577" s="87" t="n"/>
      <c r="F577" s="87" t="n"/>
      <c r="G577" s="87" t="inlineStr">
        <is>
          <t>样块</t>
        </is>
      </c>
      <c r="H577" s="207" t="inlineStr">
        <is>
          <t>样块</t>
        </is>
      </c>
      <c r="I577" s="89" t="n"/>
      <c r="J577" s="87" t="inlineStr">
        <is>
          <t>已结算</t>
        </is>
      </c>
      <c r="K577" s="87" t="inlineStr">
        <is>
          <t>杭州</t>
        </is>
      </c>
      <c r="L577" s="207">
        <f>SUM(M577:AO577)</f>
        <v/>
      </c>
      <c r="M577" s="207" t="n">
        <v>5</v>
      </c>
      <c r="N577" s="207" t="n"/>
      <c r="O577" s="207" t="n"/>
      <c r="P577" s="207" t="n"/>
      <c r="Q577" s="207" t="n"/>
      <c r="R577" s="207" t="n"/>
      <c r="S577" s="207" t="n"/>
      <c r="T577" s="207" t="n"/>
      <c r="U577" s="207" t="n"/>
      <c r="V577" s="207" t="n"/>
      <c r="W577" s="207" t="n"/>
      <c r="X577" s="207" t="n"/>
      <c r="Y577" s="207" t="n"/>
      <c r="Z577" s="207" t="n"/>
      <c r="AA577" s="207" t="n"/>
      <c r="AB577" s="207" t="n"/>
      <c r="AC577" s="207" t="n"/>
      <c r="AD577" s="207" t="n"/>
      <c r="AE577" s="207" t="n"/>
      <c r="AF577" s="207" t="n"/>
      <c r="AG577" s="207" t="n"/>
      <c r="AH577" s="207" t="n"/>
      <c r="AI577" s="207" t="n"/>
      <c r="AJ577" s="207" t="n"/>
      <c r="AK577" s="207" t="n"/>
      <c r="AL577" s="207" t="n"/>
      <c r="AM577" s="207" t="n">
        <v>2</v>
      </c>
      <c r="AN577" s="216" t="n"/>
      <c r="AO577" s="216" t="n"/>
      <c r="AP577" s="207" t="n">
        <v>5</v>
      </c>
      <c r="AQ577" s="207" t="n">
        <v>0</v>
      </c>
      <c r="AR577" s="207" t="n">
        <v>0</v>
      </c>
      <c r="AS577" s="207" t="n">
        <v>0</v>
      </c>
      <c r="AT577" s="207" t="n">
        <v>0</v>
      </c>
      <c r="AU577" s="207" t="n">
        <v>0</v>
      </c>
      <c r="AV577" s="207" t="n">
        <v>0</v>
      </c>
      <c r="AW577" s="207" t="n">
        <v>0</v>
      </c>
      <c r="AX577" s="208" t="n">
        <v>1</v>
      </c>
      <c r="AY577" s="209">
        <f>L577*AX577+AP577+AQ577+AR577+AV577+AW577+AS577+AT577+AU577</f>
        <v/>
      </c>
      <c r="AZ577" s="207" t="n">
        <v>22</v>
      </c>
      <c r="BA577" s="207" t="n">
        <v>0</v>
      </c>
      <c r="BB577" s="207">
        <f>AZ577*0.006</f>
        <v/>
      </c>
      <c r="BC577" s="209">
        <f>AZ577+BA577-BB577</f>
        <v/>
      </c>
      <c r="BD577" s="207" t="n">
        <v>0</v>
      </c>
      <c r="BE577" s="207" t="n">
        <v>0</v>
      </c>
      <c r="BF577" s="209">
        <f>BD577+BE577</f>
        <v/>
      </c>
      <c r="BG577" s="209">
        <f>BC577-AY577+BF577</f>
        <v/>
      </c>
      <c r="BH577" s="86" t="inlineStr">
        <is>
          <t>宋丹</t>
        </is>
      </c>
      <c r="BI577" s="86" t="inlineStr">
        <is>
          <t>山东省 济宁市 邹城市 钢山街道货场路格林豪泰东沿街商铺优⁺Life</t>
        </is>
      </c>
      <c r="BJ577" s="207" t="n"/>
      <c r="BK577" s="86" t="n"/>
      <c r="BL577" s="210" t="n"/>
      <c r="BM577" s="93" t="n"/>
      <c r="BN577" s="94" t="n"/>
      <c r="BO577" s="93" t="n"/>
      <c r="BP577" s="86" t="n"/>
      <c r="BQ577" s="96" t="n"/>
      <c r="BR577" s="96" t="n"/>
      <c r="BS577" s="97" t="n"/>
      <c r="BT577" s="96" t="n"/>
      <c r="BU577" s="97" t="n"/>
      <c r="BV577" s="96" t="n"/>
      <c r="BW577" s="97" t="n"/>
      <c r="BX577" s="97" t="n"/>
      <c r="BY577" s="97" t="n"/>
      <c r="BZ577" s="97" t="n"/>
      <c r="CH577" s="2" t="n"/>
      <c r="CI577" s="14" t="n"/>
      <c r="CJ577" s="25" t="n"/>
      <c r="CK577" s="25" t="n"/>
      <c r="CL577" s="25" t="n"/>
      <c r="CM577" s="25" t="n"/>
      <c r="CN577" s="25" t="n"/>
      <c r="CO577" s="25" t="n"/>
      <c r="CP577" s="25" t="n"/>
      <c r="CQ577" s="25" t="n"/>
      <c r="CR577" s="25" t="n"/>
      <c r="CS577" s="25" t="n"/>
      <c r="CT577" s="25" t="n"/>
      <c r="CU577" s="25" t="n"/>
      <c r="CV577" s="25" t="n"/>
      <c r="CW577" s="25" t="n"/>
      <c r="CX577" s="25" t="n"/>
      <c r="CY577" s="25" t="n"/>
      <c r="DC577" s="26" t="n"/>
      <c r="DD577" s="26" t="n"/>
      <c r="DE577" s="26" t="n"/>
      <c r="DF577" s="26" t="n"/>
      <c r="DG577" s="26" t="n"/>
      <c r="DH577" s="27" t="n"/>
      <c r="DJ577" s="238" t="inlineStr">
        <is>
          <t>✓ 金额一致</t>
        </is>
      </c>
      <c r="DK577" t="inlineStr">
        <is>
          <t>22.00</t>
        </is>
      </c>
      <c r="DL577" s="239" t="n">
        <v>0</v>
      </c>
    </row>
    <row r="578" ht="15.75" customHeight="1" s="187">
      <c r="A578" s="84" t="n">
        <v>46051</v>
      </c>
      <c r="B578" s="206" t="inlineStr">
        <is>
          <t>已收货</t>
        </is>
      </c>
      <c r="C578" s="86" t="inlineStr">
        <is>
          <t>5042317143656174229</t>
        </is>
      </c>
      <c r="D578" s="86" t="inlineStr">
        <is>
          <t>喻东</t>
        </is>
      </c>
      <c r="E578" s="87" t="n"/>
      <c r="F578" s="87" t="n"/>
      <c r="G578" s="87" t="inlineStr">
        <is>
          <t>砂白色1.8米岩板餐桌</t>
        </is>
      </c>
      <c r="H578" s="207" t="inlineStr">
        <is>
          <t>榉木餐桌</t>
        </is>
      </c>
      <c r="I578" s="89" t="inlineStr">
        <is>
          <t>180cm*85cm</t>
        </is>
      </c>
      <c r="J578" s="87" t="inlineStr">
        <is>
          <t>已结算</t>
        </is>
      </c>
      <c r="K578" s="86" t="inlineStr">
        <is>
          <t>江西</t>
        </is>
      </c>
      <c r="L578" s="207">
        <f>SUM(M578:AO578)</f>
        <v/>
      </c>
      <c r="M578" s="207">
        <f>1400</f>
        <v/>
      </c>
      <c r="N578" s="207" t="n"/>
      <c r="O578" s="207" t="n"/>
      <c r="P578" s="216" t="n"/>
      <c r="Q578" s="216" t="n"/>
      <c r="R578" s="207" t="n">
        <v>240</v>
      </c>
      <c r="S578" s="207" t="n"/>
      <c r="T578" s="207" t="n"/>
      <c r="U578" s="207" t="n"/>
      <c r="V578" s="207" t="n"/>
      <c r="W578" s="207" t="n"/>
      <c r="X578" s="207" t="n"/>
      <c r="Y578" s="207" t="n"/>
      <c r="Z578" s="207" t="n"/>
      <c r="AA578" s="207" t="n"/>
      <c r="AB578" s="216" t="n"/>
      <c r="AC578" s="216" t="n"/>
      <c r="AD578" s="240" t="n">
        <v>2.5</v>
      </c>
      <c r="AE578" s="207" t="n"/>
      <c r="AF578" s="216" t="n"/>
      <c r="AG578" s="216" t="n"/>
      <c r="AH578" s="216" t="n"/>
      <c r="AI578" s="216" t="n"/>
      <c r="AJ578" s="216" t="n"/>
      <c r="AK578" s="216" t="n"/>
      <c r="AL578" s="216" t="n"/>
      <c r="AM578" s="207" t="n">
        <v>190</v>
      </c>
      <c r="AN578" s="216" t="n"/>
      <c r="AO578" s="216" t="n"/>
      <c r="AP578" s="121" t="n">
        <v>300</v>
      </c>
      <c r="AQ578" s="121" t="n">
        <v>30</v>
      </c>
      <c r="AR578" s="207" t="n">
        <v>70</v>
      </c>
      <c r="AS578" s="207" t="n">
        <v>0</v>
      </c>
      <c r="AT578" s="207" t="n">
        <v>0</v>
      </c>
      <c r="AU578" s="207" t="n">
        <v>0</v>
      </c>
      <c r="AV578" s="207" t="n">
        <v>0</v>
      </c>
      <c r="AW578" s="207" t="n">
        <v>0</v>
      </c>
      <c r="AX578" s="208" t="n">
        <v>1</v>
      </c>
      <c r="AY578" s="209">
        <f>L578*AX578+AP578+AQ578+AR578+AV578+AW578+AS578+AT578+AU578</f>
        <v/>
      </c>
      <c r="AZ578" s="207" t="n">
        <v>2871.25</v>
      </c>
      <c r="BA578" s="207" t="n">
        <v>0</v>
      </c>
      <c r="BB578" s="207">
        <f>AZ578*0.006</f>
        <v/>
      </c>
      <c r="BC578" s="209">
        <f>AZ578+BA578-BB578</f>
        <v/>
      </c>
      <c r="BD578" s="207" t="n">
        <v>0</v>
      </c>
      <c r="BE578" s="207" t="n">
        <v>0</v>
      </c>
      <c r="BF578" s="209">
        <f>BD578+BE578</f>
        <v/>
      </c>
      <c r="BG578" s="209">
        <f>BC578-AY578+BF578</f>
        <v/>
      </c>
      <c r="BH578" s="86" t="inlineStr">
        <is>
          <t>喻东</t>
        </is>
      </c>
      <c r="BI578" s="86" t="inlineStr">
        <is>
          <t>重庆 重庆市 南岸区 铜元局街道中建壹品南滨星光城2-7-5</t>
        </is>
      </c>
      <c r="BJ578" s="207" t="n"/>
      <c r="BK578" s="86" t="n"/>
      <c r="BL578" s="210" t="n"/>
      <c r="BM578" s="93" t="n"/>
      <c r="BN578" s="94" t="n"/>
      <c r="BO578" s="93" t="n"/>
      <c r="BP578" s="86" t="n"/>
      <c r="BQ578" s="96" t="n"/>
      <c r="BR578" s="96" t="n"/>
      <c r="BS578" s="97" t="n"/>
      <c r="BT578" s="96" t="n"/>
      <c r="BU578" s="97" t="n"/>
      <c r="BV578" s="96" t="n"/>
      <c r="BW578" s="97" t="n"/>
      <c r="BX578" s="97" t="n"/>
      <c r="BY578" s="97" t="n"/>
      <c r="BZ578" s="97" t="n"/>
      <c r="CH578" s="2" t="n"/>
      <c r="CI578" s="14" t="n"/>
      <c r="CJ578" s="25" t="n"/>
      <c r="CK578" s="25" t="n"/>
      <c r="CL578" s="25" t="n"/>
      <c r="CM578" s="25" t="n"/>
      <c r="CN578" s="25" t="n"/>
      <c r="CO578" s="25" t="n"/>
      <c r="CP578" s="25" t="n"/>
      <c r="CQ578" s="25" t="n"/>
      <c r="CR578" s="25" t="n"/>
      <c r="CS578" s="25" t="n"/>
      <c r="CT578" s="25" t="n"/>
      <c r="CU578" s="25" t="n"/>
      <c r="CV578" s="25" t="n"/>
      <c r="CW578" s="25" t="n"/>
      <c r="CX578" s="25" t="n"/>
      <c r="CY578" s="25" t="n"/>
      <c r="DC578" s="26" t="n"/>
      <c r="DD578" s="26" t="n"/>
      <c r="DE578" s="26" t="n"/>
      <c r="DF578" s="26" t="n"/>
      <c r="DG578" s="26" t="n"/>
      <c r="DH578" s="27" t="n"/>
      <c r="DJ578" s="241" t="inlineStr">
        <is>
          <t>✗ 金额不符</t>
        </is>
      </c>
      <c r="DK578" t="inlineStr">
        <is>
          <t>2870.17</t>
        </is>
      </c>
      <c r="DL578" s="239" t="n">
        <v>1.08</v>
      </c>
      <c r="DM578" s="241" t="inlineStr">
        <is>
          <t>买家应付金额不一致，差额+1.08元（订单表2870.17 vs 佳宝2871.25，疑似改价/补邮费/上楼费等手工调整，需人工核对）</t>
        </is>
      </c>
    </row>
    <row r="579" ht="15.75" customHeight="1" s="187">
      <c r="A579" s="84" t="n">
        <v>46052</v>
      </c>
      <c r="B579" s="206" t="inlineStr">
        <is>
          <t>已收货</t>
        </is>
      </c>
      <c r="C579" s="86" t="inlineStr">
        <is>
          <t>5042656586427904820</t>
        </is>
      </c>
      <c r="D579" s="86" t="inlineStr">
        <is>
          <t>王阳</t>
        </is>
      </c>
      <c r="E579" s="87" t="n"/>
      <c r="F579" s="87" t="n"/>
      <c r="G579" s="87" t="inlineStr">
        <is>
          <t>砂白色1.4米岩板餐桌</t>
        </is>
      </c>
      <c r="H579" s="207" t="inlineStr">
        <is>
          <t>榉木餐桌</t>
        </is>
      </c>
      <c r="I579" s="89" t="inlineStr">
        <is>
          <t>140cm*85cm</t>
        </is>
      </c>
      <c r="J579" s="87" t="inlineStr">
        <is>
          <t>已结算</t>
        </is>
      </c>
      <c r="K579" s="86" t="inlineStr">
        <is>
          <t>江西</t>
        </is>
      </c>
      <c r="L579" s="207">
        <f>SUM(M579:AO579)</f>
        <v/>
      </c>
      <c r="M579" s="207">
        <f>1300</f>
        <v/>
      </c>
      <c r="N579" s="207" t="n"/>
      <c r="O579" s="207" t="n"/>
      <c r="P579" s="216" t="n"/>
      <c r="Q579" s="216" t="n"/>
      <c r="R579" s="207" t="n">
        <v>240</v>
      </c>
      <c r="S579" s="207" t="n"/>
      <c r="T579" s="207" t="n"/>
      <c r="U579" s="207" t="n"/>
      <c r="V579" s="207" t="n"/>
      <c r="W579" s="207" t="n"/>
      <c r="X579" s="207" t="n"/>
      <c r="Y579" s="207" t="n"/>
      <c r="Z579" s="207" t="n"/>
      <c r="AA579" s="207" t="n"/>
      <c r="AB579" s="216" t="n"/>
      <c r="AC579" s="216" t="n"/>
      <c r="AD579" s="240" t="n">
        <v>2.5</v>
      </c>
      <c r="AE579" s="207" t="n"/>
      <c r="AF579" s="216" t="n"/>
      <c r="AG579" s="216" t="n"/>
      <c r="AH579" s="216" t="n"/>
      <c r="AI579" s="216" t="n"/>
      <c r="AJ579" s="216" t="n"/>
      <c r="AK579" s="216" t="n"/>
      <c r="AL579" s="216" t="n"/>
      <c r="AM579" s="207" t="n">
        <v>180</v>
      </c>
      <c r="AN579" s="216" t="n"/>
      <c r="AO579" s="216" t="n"/>
      <c r="AP579" s="121" t="n">
        <v>300</v>
      </c>
      <c r="AQ579" s="121" t="n">
        <v>30</v>
      </c>
      <c r="AR579" s="207" t="n">
        <v>98</v>
      </c>
      <c r="AS579" s="207" t="n">
        <v>0</v>
      </c>
      <c r="AT579" s="207" t="n">
        <v>0</v>
      </c>
      <c r="AU579" s="207" t="n">
        <v>0</v>
      </c>
      <c r="AV579" s="207" t="n">
        <v>0</v>
      </c>
      <c r="AW579" s="207" t="n">
        <v>0</v>
      </c>
      <c r="AX579" s="208" t="n">
        <v>1</v>
      </c>
      <c r="AY579" s="209">
        <f>L579*AX579+AP579+AQ579+AR579+AV579+AW579+AS579+AT579+AU579</f>
        <v/>
      </c>
      <c r="AZ579" s="207" t="n">
        <v>2674.41</v>
      </c>
      <c r="BA579" s="207" t="n">
        <v>0</v>
      </c>
      <c r="BB579" s="207">
        <f>AZ579*0.006</f>
        <v/>
      </c>
      <c r="BC579" s="209">
        <f>AZ579+BA579-BB579</f>
        <v/>
      </c>
      <c r="BD579" s="207" t="n">
        <v>0</v>
      </c>
      <c r="BE579" s="207" t="n">
        <v>0</v>
      </c>
      <c r="BF579" s="209">
        <f>BD579+BE579</f>
        <v/>
      </c>
      <c r="BG579" s="209">
        <f>BC579-AY579+BF579</f>
        <v/>
      </c>
      <c r="BH579" s="86" t="inlineStr">
        <is>
          <t>王阳</t>
        </is>
      </c>
      <c r="BI579" s="86" t="inlineStr">
        <is>
          <t>上海 上海市 嘉定区 徐行镇新建一路1800弄莫里斯花源354-602</t>
        </is>
      </c>
      <c r="BJ579" s="207" t="n"/>
      <c r="BK579" s="86" t="n"/>
      <c r="BL579" s="210" t="n"/>
      <c r="BM579" s="93" t="n"/>
      <c r="BN579" s="94" t="n"/>
      <c r="BO579" s="93" t="n"/>
      <c r="BP579" s="86" t="n"/>
      <c r="BQ579" s="96" t="n"/>
      <c r="BR579" s="96" t="n"/>
      <c r="BS579" s="97" t="n"/>
      <c r="BT579" s="96" t="n"/>
      <c r="BU579" s="97" t="n"/>
      <c r="BV579" s="96" t="n"/>
      <c r="BW579" s="97" t="n"/>
      <c r="BX579" s="97" t="n"/>
      <c r="BY579" s="97" t="n"/>
      <c r="BZ579" s="97" t="n"/>
      <c r="CH579" s="2" t="n"/>
      <c r="CI579" s="14" t="n"/>
      <c r="CJ579" s="25" t="n"/>
      <c r="CK579" s="25" t="n"/>
      <c r="CL579" s="25" t="n"/>
      <c r="CM579" s="25" t="n"/>
      <c r="CN579" s="25" t="n"/>
      <c r="CO579" s="25" t="n"/>
      <c r="CP579" s="25" t="n"/>
      <c r="CQ579" s="25" t="n"/>
      <c r="CR579" s="25" t="n"/>
      <c r="CS579" s="25" t="n"/>
      <c r="CT579" s="25" t="n"/>
      <c r="CU579" s="25" t="n"/>
      <c r="CV579" s="25" t="n"/>
      <c r="CW579" s="25" t="n"/>
      <c r="CX579" s="25" t="n"/>
      <c r="CY579" s="25" t="n"/>
      <c r="DC579" s="26" t="n"/>
      <c r="DD579" s="26" t="n"/>
      <c r="DE579" s="26" t="n"/>
      <c r="DF579" s="26" t="n"/>
      <c r="DG579" s="26" t="n"/>
      <c r="DH579" s="27" t="n"/>
      <c r="DJ579" s="241" t="inlineStr">
        <is>
          <t>✗ 金额不符</t>
        </is>
      </c>
      <c r="DK579" t="inlineStr">
        <is>
          <t>2624.41</t>
        </is>
      </c>
      <c r="DL579" s="239" t="n">
        <v>50</v>
      </c>
      <c r="DM579" s="241" t="inlineStr">
        <is>
          <t>买家应付金额不一致，差额+50.00元（订单表2624.41 vs 佳宝2674.41，疑似改价/补邮费/上楼费等手工调整，需人工核对）</t>
        </is>
      </c>
    </row>
    <row r="580" ht="15.75" customHeight="1" s="187">
      <c r="A580" s="84" t="n">
        <v>46052</v>
      </c>
      <c r="B580" s="206" t="inlineStr">
        <is>
          <t>已收货</t>
        </is>
      </c>
      <c r="C580" s="86" t="inlineStr">
        <is>
          <t>3216580141454373795</t>
        </is>
      </c>
      <c r="D580" s="86" t="inlineStr">
        <is>
          <t>陈胜强</t>
        </is>
      </c>
      <c r="E580" s="87" t="n"/>
      <c r="F580" s="87" t="n"/>
      <c r="G580" s="87" t="inlineStr">
        <is>
          <t>1.2窄柜，下柜55cm</t>
        </is>
      </c>
      <c r="H580" s="207" t="inlineStr">
        <is>
          <t>樱桃木窄柜</t>
        </is>
      </c>
      <c r="I580" s="89" t="n">
        <v>1200</v>
      </c>
      <c r="J580" s="87" t="n"/>
      <c r="K580" s="86" t="inlineStr">
        <is>
          <t>江西</t>
        </is>
      </c>
      <c r="L580" s="207">
        <f>SUM(M580:AO580)</f>
        <v/>
      </c>
      <c r="M580" s="207" t="n">
        <v>3300</v>
      </c>
      <c r="N580" s="207" t="n">
        <v>115</v>
      </c>
      <c r="O580" s="207" t="n"/>
      <c r="P580" s="207" t="n"/>
      <c r="Q580" s="207" t="n"/>
      <c r="R580" s="207" t="n"/>
      <c r="S580" s="207" t="n"/>
      <c r="T580" s="207" t="n">
        <v>52</v>
      </c>
      <c r="U580" s="207" t="n"/>
      <c r="V580" s="207" t="n"/>
      <c r="W580" s="207" t="n">
        <v>8</v>
      </c>
      <c r="X580" s="207" t="n">
        <v>411.08</v>
      </c>
      <c r="Y580" s="207" t="n">
        <v>3</v>
      </c>
      <c r="Z580" s="207" t="n"/>
      <c r="AA580" s="207" t="n"/>
      <c r="AB580" s="207" t="n"/>
      <c r="AC580" s="207" t="n"/>
      <c r="AD580" s="207" t="n">
        <v>62.4</v>
      </c>
      <c r="AE580" s="207" t="n">
        <v>10</v>
      </c>
      <c r="AF580" s="207" t="n">
        <v>220</v>
      </c>
      <c r="AG580" s="207" t="n"/>
      <c r="AH580" s="207" t="n"/>
      <c r="AI580" s="207" t="n"/>
      <c r="AJ580" s="207" t="n"/>
      <c r="AK580" s="207" t="n"/>
      <c r="AL580" s="207" t="n"/>
      <c r="AM580" s="121" t="n">
        <v>170</v>
      </c>
      <c r="AN580" s="216" t="n"/>
      <c r="AO580" s="216" t="n"/>
      <c r="AP580" s="121" t="n">
        <v>350</v>
      </c>
      <c r="AQ580" s="121" t="n">
        <v>60</v>
      </c>
      <c r="AR580" s="121" t="n">
        <v>100</v>
      </c>
      <c r="AS580" s="207" t="n">
        <v>0</v>
      </c>
      <c r="AT580" s="207" t="n">
        <v>0</v>
      </c>
      <c r="AU580" s="207" t="n">
        <v>0</v>
      </c>
      <c r="AV580" s="207" t="n">
        <v>0</v>
      </c>
      <c r="AW580" s="207" t="n">
        <v>0</v>
      </c>
      <c r="AX580" s="208" t="n">
        <v>1</v>
      </c>
      <c r="AY580" s="209">
        <f>L580*AX580+AP580+AQ580+AR580+AV580+AW580+AS580+AT580+AU580</f>
        <v/>
      </c>
      <c r="AZ580" s="207" t="n">
        <v>5978.95</v>
      </c>
      <c r="BA580" s="207" t="n">
        <v>0</v>
      </c>
      <c r="BB580" s="207">
        <f>AZ580*0.006</f>
        <v/>
      </c>
      <c r="BC580" s="209">
        <f>AZ580+BA580-BB580</f>
        <v/>
      </c>
      <c r="BD580" s="207" t="n">
        <v>0</v>
      </c>
      <c r="BE580" s="207" t="n">
        <v>0</v>
      </c>
      <c r="BF580" s="209">
        <f>BD580+BE580</f>
        <v/>
      </c>
      <c r="BG580" s="209">
        <f>BC580-AY580+BF580</f>
        <v/>
      </c>
      <c r="BH580" s="207" t="inlineStr">
        <is>
          <t>陈胜强</t>
        </is>
      </c>
      <c r="BI580" s="207" t="inlineStr">
        <is>
          <t>福建省 厦门市 集美区 杏林街道官任豪庭官任一里10号6A804(000000)</t>
        </is>
      </c>
      <c r="BJ580" s="207" t="inlineStr">
        <is>
          <t>17895922363-2120</t>
        </is>
      </c>
      <c r="BK580" s="86" t="n"/>
      <c r="BL580" s="210" t="n"/>
      <c r="BM580" s="93" t="n"/>
      <c r="BN580" s="94" t="n"/>
      <c r="BO580" s="93" t="n"/>
      <c r="BP580" s="86" t="n"/>
      <c r="BQ580" s="96" t="n"/>
      <c r="BR580" s="96" t="n"/>
      <c r="BS580" s="97" t="n"/>
      <c r="BT580" s="96" t="n"/>
      <c r="BU580" s="97" t="n"/>
      <c r="BV580" s="96" t="n"/>
      <c r="BW580" s="97" t="n"/>
      <c r="BX580" s="97" t="n"/>
      <c r="BY580" s="97" t="n"/>
      <c r="BZ580" s="97" t="n"/>
      <c r="CH580" s="2" t="n"/>
      <c r="CI580" s="14" t="n"/>
      <c r="CJ580" s="25" t="n"/>
      <c r="CK580" s="25" t="n"/>
      <c r="CL580" s="25" t="n"/>
      <c r="CM580" s="25" t="n"/>
      <c r="CN580" s="25" t="n"/>
      <c r="CO580" s="25" t="n"/>
      <c r="CP580" s="25" t="n"/>
      <c r="CQ580" s="25" t="n"/>
      <c r="CR580" s="25" t="n"/>
      <c r="CS580" s="25" t="n"/>
      <c r="CT580" s="25" t="n"/>
      <c r="CU580" s="25" t="n"/>
      <c r="CV580" s="25" t="n"/>
      <c r="CW580" s="25" t="n"/>
      <c r="CX580" s="25" t="n"/>
      <c r="CY580" s="25" t="n"/>
      <c r="DC580" s="26" t="n"/>
      <c r="DD580" s="26" t="n"/>
      <c r="DE580" s="26" t="n"/>
      <c r="DF580" s="26" t="n"/>
      <c r="DG580" s="26" t="n"/>
      <c r="DH580" s="27" t="n"/>
      <c r="DJ580" s="238" t="inlineStr">
        <is>
          <t>✓ 金额一致</t>
        </is>
      </c>
      <c r="DK580" t="inlineStr">
        <is>
          <t>5978.95</t>
        </is>
      </c>
      <c r="DL580" s="239" t="n">
        <v>0</v>
      </c>
    </row>
    <row r="581" ht="15.75" customHeight="1" s="187">
      <c r="A581" s="84" t="n">
        <v>46052</v>
      </c>
      <c r="B581" s="206" t="inlineStr">
        <is>
          <t>已收货</t>
        </is>
      </c>
      <c r="C581" s="86" t="inlineStr">
        <is>
          <t>3216820440209373795</t>
        </is>
      </c>
      <c r="D581" s="86" t="inlineStr">
        <is>
          <t>陈胜强</t>
        </is>
      </c>
      <c r="E581" s="87" t="n"/>
      <c r="F581" s="87" t="n"/>
      <c r="G581" s="87" t="inlineStr">
        <is>
          <t>差价</t>
        </is>
      </c>
      <c r="H581" s="207" t="inlineStr">
        <is>
          <t>樱桃木窄柜</t>
        </is>
      </c>
      <c r="I581" s="89" t="n"/>
      <c r="J581" s="87" t="n"/>
      <c r="K581" s="86" t="inlineStr">
        <is>
          <t>江西</t>
        </is>
      </c>
      <c r="L581" s="216" t="n">
        <v>0</v>
      </c>
      <c r="M581" s="216" t="n">
        <v>0</v>
      </c>
      <c r="N581" s="207" t="n"/>
      <c r="O581" s="207" t="n"/>
      <c r="P581" s="216" t="n"/>
      <c r="Q581" s="216" t="n"/>
      <c r="R581" s="216" t="n"/>
      <c r="S581" s="216" t="n"/>
      <c r="T581" s="216" t="n"/>
      <c r="U581" s="216" t="n"/>
      <c r="V581" s="216" t="n"/>
      <c r="W581" s="216" t="n"/>
      <c r="X581" s="216" t="n"/>
      <c r="Y581" s="216" t="n"/>
      <c r="Z581" s="216" t="n"/>
      <c r="AA581" s="216" t="n"/>
      <c r="AB581" s="216" t="n"/>
      <c r="AC581" s="216" t="n"/>
      <c r="AD581" s="216" t="n"/>
      <c r="AE581" s="216" t="n"/>
      <c r="AF581" s="216" t="n"/>
      <c r="AG581" s="216" t="n"/>
      <c r="AH581" s="216" t="n"/>
      <c r="AI581" s="216" t="n"/>
      <c r="AJ581" s="216" t="n"/>
      <c r="AK581" s="216" t="n"/>
      <c r="AL581" s="216" t="n"/>
      <c r="AM581" s="207" t="n"/>
      <c r="AN581" s="216" t="n"/>
      <c r="AO581" s="216" t="n"/>
      <c r="AP581" s="207" t="n">
        <v>0</v>
      </c>
      <c r="AQ581" s="207" t="n">
        <v>0</v>
      </c>
      <c r="AR581" s="207" t="n">
        <v>0</v>
      </c>
      <c r="AS581" s="207" t="n">
        <v>0</v>
      </c>
      <c r="AT581" s="207" t="n">
        <v>0</v>
      </c>
      <c r="AU581" s="207" t="n">
        <v>0</v>
      </c>
      <c r="AV581" s="207" t="n">
        <v>0</v>
      </c>
      <c r="AW581" s="207" t="n">
        <v>0</v>
      </c>
      <c r="AX581" s="208" t="n">
        <v>1</v>
      </c>
      <c r="AY581" s="209">
        <f>L581*AX581+AP581+AQ581+AR581+AV581+AW581+AS581+AT581+AU581</f>
        <v/>
      </c>
      <c r="AZ581" s="207" t="n">
        <v>274.56</v>
      </c>
      <c r="BA581" s="207" t="n">
        <v>0</v>
      </c>
      <c r="BB581" s="207">
        <f>AZ581*0.006</f>
        <v/>
      </c>
      <c r="BC581" s="209">
        <f>AZ581+BA581-BB581</f>
        <v/>
      </c>
      <c r="BD581" s="207" t="n">
        <v>0</v>
      </c>
      <c r="BE581" s="207" t="n">
        <v>0</v>
      </c>
      <c r="BF581" s="209">
        <f>BD581+BE581</f>
        <v/>
      </c>
      <c r="BG581" s="209">
        <f>BC581-AY581+BF581</f>
        <v/>
      </c>
      <c r="BH581" s="207" t="inlineStr">
        <is>
          <t>陈胜强</t>
        </is>
      </c>
      <c r="BI581" s="207" t="inlineStr">
        <is>
          <t>福建省 厦门市 集美区 杏林街道官任豪庭官任一里10号6A804(000000)</t>
        </is>
      </c>
      <c r="BJ581" s="207" t="inlineStr">
        <is>
          <t>17895922363-2120</t>
        </is>
      </c>
      <c r="BK581" s="86" t="n"/>
      <c r="BL581" s="210" t="n"/>
      <c r="BM581" s="93" t="n"/>
      <c r="BN581" s="94" t="n"/>
      <c r="BO581" s="93" t="n"/>
      <c r="BP581" s="86" t="n"/>
      <c r="BQ581" s="96" t="n"/>
      <c r="BR581" s="96" t="n"/>
      <c r="BS581" s="97" t="n"/>
      <c r="BT581" s="96" t="n"/>
      <c r="BU581" s="97" t="n"/>
      <c r="BV581" s="96" t="n"/>
      <c r="BW581" s="97" t="n"/>
      <c r="BX581" s="97" t="n"/>
      <c r="BY581" s="97" t="n"/>
      <c r="BZ581" s="97" t="n"/>
      <c r="CH581" s="2" t="n"/>
      <c r="CI581" s="14" t="n"/>
      <c r="CJ581" s="25" t="n"/>
      <c r="CK581" s="25" t="n"/>
      <c r="CL581" s="25" t="n"/>
      <c r="CM581" s="25" t="n"/>
      <c r="CN581" s="25" t="n"/>
      <c r="CO581" s="25" t="n"/>
      <c r="CP581" s="25" t="n"/>
      <c r="CQ581" s="25" t="n"/>
      <c r="CR581" s="25" t="n"/>
      <c r="CS581" s="25" t="n"/>
      <c r="CT581" s="25" t="n"/>
      <c r="CU581" s="25" t="n"/>
      <c r="CV581" s="25" t="n"/>
      <c r="CW581" s="25" t="n"/>
      <c r="CX581" s="25" t="n"/>
      <c r="CY581" s="25" t="n"/>
      <c r="DC581" s="26" t="n"/>
      <c r="DD581" s="26" t="n"/>
      <c r="DE581" s="26" t="n"/>
      <c r="DF581" s="26" t="n"/>
      <c r="DG581" s="26" t="n"/>
      <c r="DH581" s="27" t="n"/>
      <c r="DJ581" s="238" t="inlineStr">
        <is>
          <t>✓ 金额一致</t>
        </is>
      </c>
      <c r="DK581" t="inlineStr">
        <is>
          <t>274.56</t>
        </is>
      </c>
      <c r="DL581" s="239" t="n">
        <v>0</v>
      </c>
    </row>
    <row r="582" ht="15.75" customHeight="1" s="187">
      <c r="A582" s="84" t="n">
        <v>46054</v>
      </c>
      <c r="B582" s="206" t="inlineStr">
        <is>
          <t>已收货</t>
        </is>
      </c>
      <c r="C582" s="86" t="inlineStr">
        <is>
          <t>3220492980714123160</t>
        </is>
      </c>
      <c r="D582" s="86" t="inlineStr">
        <is>
          <t>刘泽超</t>
        </is>
      </c>
      <c r="E582" s="87" t="n"/>
      <c r="F582" s="87" t="n"/>
      <c r="G582" s="87" t="inlineStr">
        <is>
          <t>样块</t>
        </is>
      </c>
      <c r="H582" s="207" t="inlineStr">
        <is>
          <t>样块</t>
        </is>
      </c>
      <c r="I582" s="89" t="n"/>
      <c r="J582" s="87" t="inlineStr">
        <is>
          <t>已结算</t>
        </is>
      </c>
      <c r="K582" s="87" t="inlineStr">
        <is>
          <t>杭州</t>
        </is>
      </c>
      <c r="L582" s="207">
        <f>SUM(M582:AO582)</f>
        <v/>
      </c>
      <c r="M582" s="207" t="n">
        <v>5</v>
      </c>
      <c r="N582" s="207" t="n"/>
      <c r="O582" s="207" t="n"/>
      <c r="P582" s="207" t="n"/>
      <c r="Q582" s="207" t="n"/>
      <c r="R582" s="207" t="n"/>
      <c r="S582" s="207" t="n"/>
      <c r="T582" s="207" t="n"/>
      <c r="U582" s="207" t="n"/>
      <c r="V582" s="207" t="n"/>
      <c r="W582" s="207" t="n"/>
      <c r="X582" s="207" t="n"/>
      <c r="Y582" s="207" t="n"/>
      <c r="Z582" s="207" t="n"/>
      <c r="AA582" s="207" t="n"/>
      <c r="AB582" s="207" t="n"/>
      <c r="AC582" s="207" t="n"/>
      <c r="AD582" s="207" t="n"/>
      <c r="AE582" s="207" t="n"/>
      <c r="AF582" s="207" t="n"/>
      <c r="AG582" s="207" t="n"/>
      <c r="AH582" s="207" t="n"/>
      <c r="AI582" s="207" t="n"/>
      <c r="AJ582" s="207" t="n"/>
      <c r="AK582" s="207" t="n"/>
      <c r="AL582" s="207" t="n"/>
      <c r="AM582" s="207" t="n">
        <v>2</v>
      </c>
      <c r="AN582" s="216" t="n"/>
      <c r="AO582" s="216" t="n"/>
      <c r="AP582" s="207" t="n">
        <v>5</v>
      </c>
      <c r="AQ582" s="207" t="n">
        <v>0</v>
      </c>
      <c r="AR582" s="207" t="n">
        <v>0</v>
      </c>
      <c r="AS582" s="207" t="n">
        <v>0</v>
      </c>
      <c r="AT582" s="207" t="n">
        <v>0</v>
      </c>
      <c r="AU582" s="207" t="n">
        <v>0</v>
      </c>
      <c r="AV582" s="207" t="n">
        <v>0</v>
      </c>
      <c r="AW582" s="207" t="n">
        <v>0</v>
      </c>
      <c r="AX582" s="208" t="n">
        <v>1</v>
      </c>
      <c r="AY582" s="209">
        <f>L582*AX582+AP582+AQ582+AR582+AV582+AW582+AS582+AT582+AU582</f>
        <v/>
      </c>
      <c r="AZ582" s="207" t="n">
        <v>22</v>
      </c>
      <c r="BA582" s="207" t="n">
        <v>0</v>
      </c>
      <c r="BB582" s="207">
        <f>AZ582*0.006</f>
        <v/>
      </c>
      <c r="BC582" s="209">
        <f>AZ582+BA582-BB582</f>
        <v/>
      </c>
      <c r="BD582" s="207" t="n">
        <v>0</v>
      </c>
      <c r="BE582" s="207" t="n">
        <v>0</v>
      </c>
      <c r="BF582" s="209">
        <f>BD582+BE582</f>
        <v/>
      </c>
      <c r="BG582" s="209">
        <f>BC582-AY582+BF582</f>
        <v/>
      </c>
      <c r="BH582" s="86" t="inlineStr">
        <is>
          <t>刘泽超</t>
        </is>
      </c>
      <c r="BI582" s="86" t="inlineStr">
        <is>
          <t>广东省 佛山市 禅城区 石湾镇街道前进路5号泷景花园8期星堤 五座1602</t>
        </is>
      </c>
      <c r="BJ582" s="86" t="inlineStr">
        <is>
          <t>15112953367-7864</t>
        </is>
      </c>
      <c r="BK582" s="86" t="n"/>
      <c r="BL582" s="210" t="n"/>
      <c r="BM582" s="93" t="n"/>
      <c r="BN582" s="94" t="n"/>
      <c r="BO582" s="93" t="n"/>
      <c r="BP582" s="86" t="n"/>
      <c r="BQ582" s="96" t="n"/>
      <c r="BR582" s="96" t="n"/>
      <c r="BS582" s="97" t="n"/>
      <c r="BT582" s="96" t="n"/>
      <c r="BU582" s="97" t="n"/>
      <c r="BV582" s="96" t="n"/>
      <c r="BW582" s="97" t="n"/>
      <c r="BX582" s="97" t="n"/>
      <c r="BY582" s="97" t="n"/>
      <c r="BZ582" s="97" t="n"/>
      <c r="CH582" s="2" t="n"/>
      <c r="CI582" s="14" t="n"/>
      <c r="CJ582" s="25" t="n"/>
      <c r="CK582" s="25" t="n"/>
      <c r="CL582" s="25" t="n"/>
      <c r="CM582" s="25" t="n"/>
      <c r="CN582" s="25" t="n"/>
      <c r="CO582" s="25" t="n"/>
      <c r="CP582" s="25" t="n"/>
      <c r="CQ582" s="25" t="n"/>
      <c r="CR582" s="25" t="n"/>
      <c r="CS582" s="25" t="n"/>
      <c r="CT582" s="25" t="n"/>
      <c r="CU582" s="25" t="n"/>
      <c r="CV582" s="25" t="n"/>
      <c r="CW582" s="25" t="n"/>
      <c r="CX582" s="25" t="n"/>
      <c r="CY582" s="25" t="n"/>
      <c r="DC582" s="26" t="n"/>
      <c r="DD582" s="26" t="n"/>
      <c r="DE582" s="26" t="n"/>
      <c r="DF582" s="26" t="n"/>
      <c r="DG582" s="26" t="n"/>
      <c r="DH582" s="27" t="n"/>
      <c r="DJ582" s="238" t="inlineStr">
        <is>
          <t>✓ 金额一致</t>
        </is>
      </c>
      <c r="DK582" t="inlineStr">
        <is>
          <t>22.00</t>
        </is>
      </c>
      <c r="DL582" s="239" t="n">
        <v>0</v>
      </c>
    </row>
    <row r="583" ht="15.75" customHeight="1" s="187">
      <c r="A583" s="84" t="n">
        <v>46056</v>
      </c>
      <c r="B583" s="206" t="inlineStr">
        <is>
          <t>已收货</t>
        </is>
      </c>
      <c r="C583" s="86" t="inlineStr">
        <is>
          <t>5050714790901666440</t>
        </is>
      </c>
      <c r="D583" s="86" t="inlineStr">
        <is>
          <t>杜文皓</t>
        </is>
      </c>
      <c r="E583" s="87" t="n"/>
      <c r="F583" s="87" t="n"/>
      <c r="G583" s="87" t="inlineStr">
        <is>
          <t>样块</t>
        </is>
      </c>
      <c r="H583" s="207" t="inlineStr">
        <is>
          <t>样块</t>
        </is>
      </c>
      <c r="I583" s="89" t="n"/>
      <c r="J583" s="87" t="inlineStr">
        <is>
          <t>已结算</t>
        </is>
      </c>
      <c r="K583" s="87" t="inlineStr">
        <is>
          <t>杭州</t>
        </is>
      </c>
      <c r="L583" s="207">
        <f>SUM(M583:AO583)</f>
        <v/>
      </c>
      <c r="M583" s="207" t="n">
        <v>5</v>
      </c>
      <c r="N583" s="207" t="n"/>
      <c r="O583" s="207" t="n"/>
      <c r="P583" s="207" t="n"/>
      <c r="Q583" s="207" t="n"/>
      <c r="R583" s="207" t="n"/>
      <c r="S583" s="207" t="n"/>
      <c r="T583" s="207" t="n"/>
      <c r="U583" s="207" t="n"/>
      <c r="V583" s="207" t="n"/>
      <c r="W583" s="207" t="n"/>
      <c r="X583" s="207" t="n"/>
      <c r="Y583" s="207" t="n"/>
      <c r="Z583" s="207" t="n"/>
      <c r="AA583" s="207" t="n"/>
      <c r="AB583" s="207" t="n"/>
      <c r="AC583" s="207" t="n"/>
      <c r="AD583" s="207" t="n"/>
      <c r="AE583" s="207" t="n"/>
      <c r="AF583" s="207" t="n"/>
      <c r="AG583" s="207" t="n"/>
      <c r="AH583" s="207" t="n"/>
      <c r="AI583" s="207" t="n"/>
      <c r="AJ583" s="207" t="n"/>
      <c r="AK583" s="207" t="n"/>
      <c r="AL583" s="207" t="n"/>
      <c r="AM583" s="207" t="n">
        <v>2</v>
      </c>
      <c r="AN583" s="216" t="n"/>
      <c r="AO583" s="216" t="n"/>
      <c r="AP583" s="207" t="n">
        <v>5</v>
      </c>
      <c r="AQ583" s="207" t="n">
        <v>0</v>
      </c>
      <c r="AR583" s="207" t="n">
        <v>0</v>
      </c>
      <c r="AS583" s="207" t="n">
        <v>0</v>
      </c>
      <c r="AT583" s="207" t="n">
        <v>0</v>
      </c>
      <c r="AU583" s="207" t="n">
        <v>0</v>
      </c>
      <c r="AV583" s="207" t="n">
        <v>0</v>
      </c>
      <c r="AW583" s="207" t="n">
        <v>0</v>
      </c>
      <c r="AX583" s="208" t="n">
        <v>1</v>
      </c>
      <c r="AY583" s="209">
        <f>L583*AX583+AP583+AQ583+AR583+AV583+AW583+AS583+AT583+AU583</f>
        <v/>
      </c>
      <c r="AZ583" s="207" t="n">
        <v>22</v>
      </c>
      <c r="BA583" s="207" t="n">
        <v>0</v>
      </c>
      <c r="BB583" s="207">
        <f>AZ583*0.006</f>
        <v/>
      </c>
      <c r="BC583" s="209">
        <f>AZ583+BA583-BB583</f>
        <v/>
      </c>
      <c r="BD583" s="207" t="n">
        <v>0</v>
      </c>
      <c r="BE583" s="207" t="n">
        <v>0</v>
      </c>
      <c r="BF583" s="209">
        <f>BD583+BE583</f>
        <v/>
      </c>
      <c r="BG583" s="209">
        <f>BC583-AY583+BF583</f>
        <v/>
      </c>
      <c r="BH583" s="86" t="inlineStr">
        <is>
          <t>杜文皓</t>
        </is>
      </c>
      <c r="BI583" s="86" t="inlineStr">
        <is>
          <t>安徽省 芜湖市 镜湖区 天门山街道颐景湾畔36栋4单元102</t>
        </is>
      </c>
      <c r="BJ583" s="86" t="inlineStr">
        <is>
          <t>13083261404-2045</t>
        </is>
      </c>
      <c r="BK583" s="86" t="n"/>
      <c r="BL583" s="210" t="n"/>
      <c r="BM583" s="93" t="n"/>
      <c r="BN583" s="94" t="n"/>
      <c r="BO583" s="93" t="n"/>
      <c r="BP583" s="86" t="n"/>
      <c r="BQ583" s="96" t="n"/>
      <c r="BR583" s="96" t="n"/>
      <c r="BS583" s="97" t="n"/>
      <c r="BT583" s="96" t="n"/>
      <c r="BU583" s="97" t="n"/>
      <c r="BV583" s="96" t="n"/>
      <c r="BW583" s="97" t="n"/>
      <c r="BX583" s="97" t="n"/>
      <c r="BY583" s="97" t="n"/>
      <c r="BZ583" s="97" t="n"/>
      <c r="CH583" s="2" t="n"/>
      <c r="CI583" s="14" t="n"/>
      <c r="CJ583" s="25" t="n"/>
      <c r="CK583" s="25" t="n"/>
      <c r="CL583" s="25" t="n"/>
      <c r="CM583" s="25" t="n"/>
      <c r="CN583" s="25" t="n"/>
      <c r="CO583" s="25" t="n"/>
      <c r="CP583" s="25" t="n"/>
      <c r="CQ583" s="25" t="n"/>
      <c r="CR583" s="25" t="n"/>
      <c r="CS583" s="25" t="n"/>
      <c r="CT583" s="25" t="n"/>
      <c r="CU583" s="25" t="n"/>
      <c r="CV583" s="25" t="n"/>
      <c r="CW583" s="25" t="n"/>
      <c r="CX583" s="25" t="n"/>
      <c r="CY583" s="25" t="n"/>
      <c r="DC583" s="26" t="n"/>
      <c r="DD583" s="26" t="n"/>
      <c r="DE583" s="26" t="n"/>
      <c r="DF583" s="26" t="n"/>
      <c r="DG583" s="26" t="n"/>
      <c r="DH583" s="27" t="n"/>
      <c r="DJ583" s="238" t="inlineStr">
        <is>
          <t>✓ 金额一致</t>
        </is>
      </c>
      <c r="DK583" t="inlineStr">
        <is>
          <t>22.00</t>
        </is>
      </c>
      <c r="DL583" s="239" t="n">
        <v>0</v>
      </c>
    </row>
    <row r="584" ht="15.75" customHeight="1" s="187">
      <c r="A584" s="84" t="n">
        <v>46057</v>
      </c>
      <c r="B584" s="206" t="inlineStr">
        <is>
          <t>已收货</t>
        </is>
      </c>
      <c r="C584" s="86" t="inlineStr">
        <is>
          <t>5052881700882748539</t>
        </is>
      </c>
      <c r="D584" s="86" t="inlineStr">
        <is>
          <t>邓施涵</t>
        </is>
      </c>
      <c r="E584" s="87" t="n"/>
      <c r="F584" s="87" t="n"/>
      <c r="G584" s="207" t="inlineStr">
        <is>
          <t>窄柜-整柜洞石背板-0.8米</t>
        </is>
      </c>
      <c r="H584" s="207" t="inlineStr">
        <is>
          <t>樱桃木窄柜</t>
        </is>
      </c>
      <c r="I584" s="89" t="n">
        <v>800</v>
      </c>
      <c r="J584" s="87" t="inlineStr">
        <is>
          <t>已结算</t>
        </is>
      </c>
      <c r="K584" s="86" t="inlineStr">
        <is>
          <t>江西</t>
        </is>
      </c>
      <c r="L584" s="207">
        <f>SUM(M584:AO584)</f>
        <v/>
      </c>
      <c r="M584" s="207">
        <f>3300</f>
        <v/>
      </c>
      <c r="N584" s="207">
        <f>0.758*260+2*55</f>
        <v/>
      </c>
      <c r="O584" s="207" t="n">
        <v>115</v>
      </c>
      <c r="P584" s="207" t="n"/>
      <c r="Q584" s="207">
        <f>76/2</f>
        <v/>
      </c>
      <c r="R584" s="207" t="n">
        <v>180</v>
      </c>
      <c r="S584" s="207" t="n">
        <v>54</v>
      </c>
      <c r="T584" s="207" t="n">
        <v>52</v>
      </c>
      <c r="U584" s="207" t="n"/>
      <c r="V584" s="207" t="n">
        <v>4</v>
      </c>
      <c r="W584" s="207" t="n"/>
      <c r="X584" s="207" t="n"/>
      <c r="Y584" s="207" t="n"/>
      <c r="Z584" s="207" t="n">
        <v>3.5</v>
      </c>
      <c r="AA584" s="207" t="n">
        <v>5</v>
      </c>
      <c r="AB584" s="207" t="n">
        <v>1.1</v>
      </c>
      <c r="AC584" s="207" t="n">
        <v>3.5</v>
      </c>
      <c r="AD584" s="207" t="n"/>
      <c r="AE584" s="207" t="n"/>
      <c r="AF584" s="207" t="n"/>
      <c r="AG584" s="207" t="n"/>
      <c r="AH584" s="207" t="n"/>
      <c r="AI584" s="207" t="n"/>
      <c r="AJ584" s="207" t="n"/>
      <c r="AK584" s="207" t="n"/>
      <c r="AL584" s="207" t="n"/>
      <c r="AM584" s="207" t="n">
        <v>90</v>
      </c>
      <c r="AN584" s="216" t="n"/>
      <c r="AO584" s="216" t="n"/>
      <c r="AP584" s="207" t="n">
        <v>150</v>
      </c>
      <c r="AQ584" s="207" t="n">
        <v>0</v>
      </c>
      <c r="AR584" s="207" t="n">
        <v>300</v>
      </c>
      <c r="AS584" s="207" t="n">
        <v>0</v>
      </c>
      <c r="AT584" s="207" t="n">
        <v>0</v>
      </c>
      <c r="AU584" s="207" t="n">
        <v>0</v>
      </c>
      <c r="AV584" s="207" t="n">
        <v>0</v>
      </c>
      <c r="AW584" s="207" t="n">
        <v>0</v>
      </c>
      <c r="AX584" s="208" t="n">
        <v>1</v>
      </c>
      <c r="AY584" s="209">
        <f>L584*AX584+AP584+AQ584+AR584+AV584+AW584+AS584+AT584+AU584</f>
        <v/>
      </c>
      <c r="AZ584" s="207" t="n">
        <v>5534.16</v>
      </c>
      <c r="BA584" s="207" t="n">
        <v>0</v>
      </c>
      <c r="BB584" s="207">
        <f>AZ584*0.006</f>
        <v/>
      </c>
      <c r="BC584" s="209">
        <f>AZ584+BA584-BB584</f>
        <v/>
      </c>
      <c r="BD584" s="207" t="n">
        <v>0</v>
      </c>
      <c r="BE584" s="207" t="n">
        <v>0</v>
      </c>
      <c r="BF584" s="209">
        <f>BD584+BE584</f>
        <v/>
      </c>
      <c r="BG584" s="209">
        <f>BC584-AY584+BF584</f>
        <v/>
      </c>
      <c r="BH584" s="86" t="inlineStr">
        <is>
          <t>邓施涵</t>
        </is>
      </c>
      <c r="BI584" s="86" t="inlineStr">
        <is>
          <t>上海 上海市 浦东新区 花木街道锦绣路陆家嘴锦绣前城23号楼2304</t>
        </is>
      </c>
      <c r="BJ584" s="86" t="inlineStr">
        <is>
          <t>13162922964-7243</t>
        </is>
      </c>
      <c r="BK584" s="86" t="n"/>
      <c r="BL584" s="210" t="n"/>
      <c r="BM584" s="93" t="n"/>
      <c r="BN584" s="94" t="n"/>
      <c r="BO584" s="93" t="n"/>
      <c r="BP584" s="86" t="n"/>
      <c r="BQ584" s="96" t="n"/>
      <c r="BR584" s="96" t="n"/>
      <c r="BS584" s="97" t="n"/>
      <c r="BT584" s="96" t="n"/>
      <c r="BU584" s="97" t="n"/>
      <c r="BV584" s="96" t="n"/>
      <c r="BW584" s="97" t="n"/>
      <c r="BX584" s="97" t="n"/>
      <c r="BY584" s="97" t="n"/>
      <c r="BZ584" s="97" t="n"/>
      <c r="CH584" s="2" t="n"/>
      <c r="CI584" s="14" t="n"/>
      <c r="CJ584" s="25" t="n"/>
      <c r="CK584" s="25" t="n"/>
      <c r="CL584" s="25" t="n"/>
      <c r="CM584" s="25" t="n"/>
      <c r="CN584" s="25" t="n"/>
      <c r="CO584" s="25" t="n"/>
      <c r="CP584" s="25" t="n"/>
      <c r="CQ584" s="25" t="n"/>
      <c r="CR584" s="25" t="n"/>
      <c r="CS584" s="25" t="n"/>
      <c r="CT584" s="25" t="n"/>
      <c r="CU584" s="25" t="n"/>
      <c r="CV584" s="25" t="n"/>
      <c r="CW584" s="25" t="n"/>
      <c r="CX584" s="25" t="n"/>
      <c r="CY584" s="25" t="n"/>
      <c r="DC584" s="26" t="n"/>
      <c r="DD584" s="26" t="n"/>
      <c r="DE584" s="26" t="n"/>
      <c r="DF584" s="26" t="n"/>
      <c r="DG584" s="26" t="n"/>
      <c r="DH584" s="27" t="n"/>
      <c r="DJ584" s="238" t="inlineStr">
        <is>
          <t>✓ 金额一致</t>
        </is>
      </c>
      <c r="DK584" t="inlineStr">
        <is>
          <t>5534.16</t>
        </is>
      </c>
      <c r="DL584" s="239" t="n">
        <v>0</v>
      </c>
    </row>
    <row r="585" ht="15.75" customHeight="1" s="187">
      <c r="A585" s="84" t="n">
        <v>46057</v>
      </c>
      <c r="B585" s="206" t="inlineStr">
        <is>
          <t>已收货</t>
        </is>
      </c>
      <c r="C585" s="86" t="inlineStr">
        <is>
          <t>3228579588367470981</t>
        </is>
      </c>
      <c r="D585" s="86" t="inlineStr">
        <is>
          <t>马玮铭</t>
        </is>
      </c>
      <c r="E585" s="87" t="n"/>
      <c r="F585" s="87" t="n"/>
      <c r="G585" s="87" t="inlineStr">
        <is>
          <t>样块</t>
        </is>
      </c>
      <c r="H585" s="207" t="inlineStr">
        <is>
          <t>样块</t>
        </is>
      </c>
      <c r="I585" s="89" t="n"/>
      <c r="J585" s="87" t="inlineStr">
        <is>
          <t>已结算</t>
        </is>
      </c>
      <c r="K585" s="87" t="inlineStr">
        <is>
          <t>杭州</t>
        </is>
      </c>
      <c r="L585" s="207">
        <f>SUM(M585:AO585)</f>
        <v/>
      </c>
      <c r="M585" s="207" t="n">
        <v>5</v>
      </c>
      <c r="N585" s="207" t="n"/>
      <c r="O585" s="207" t="n"/>
      <c r="P585" s="207" t="n"/>
      <c r="Q585" s="207" t="n"/>
      <c r="R585" s="207" t="n"/>
      <c r="S585" s="207" t="n"/>
      <c r="T585" s="207" t="n"/>
      <c r="U585" s="207" t="n"/>
      <c r="V585" s="207" t="n"/>
      <c r="W585" s="207" t="n"/>
      <c r="X585" s="207" t="n"/>
      <c r="Y585" s="207" t="n"/>
      <c r="Z585" s="207" t="n"/>
      <c r="AA585" s="207" t="n"/>
      <c r="AB585" s="207" t="n"/>
      <c r="AC585" s="207" t="n"/>
      <c r="AD585" s="207" t="n"/>
      <c r="AE585" s="207" t="n"/>
      <c r="AF585" s="207" t="n"/>
      <c r="AG585" s="207" t="n"/>
      <c r="AH585" s="207" t="n"/>
      <c r="AI585" s="207" t="n"/>
      <c r="AJ585" s="207" t="n"/>
      <c r="AK585" s="207" t="n"/>
      <c r="AL585" s="207" t="n"/>
      <c r="AM585" s="207" t="n">
        <v>2</v>
      </c>
      <c r="AN585" s="216" t="n"/>
      <c r="AO585" s="216" t="n"/>
      <c r="AP585" s="207" t="n">
        <v>5</v>
      </c>
      <c r="AQ585" s="207" t="n">
        <v>0</v>
      </c>
      <c r="AR585" s="207" t="n">
        <v>0</v>
      </c>
      <c r="AS585" s="207" t="n">
        <v>0</v>
      </c>
      <c r="AT585" s="207" t="n">
        <v>0</v>
      </c>
      <c r="AU585" s="207" t="n">
        <v>0</v>
      </c>
      <c r="AV585" s="207" t="n">
        <v>0</v>
      </c>
      <c r="AW585" s="207" t="n">
        <v>0</v>
      </c>
      <c r="AX585" s="208" t="n">
        <v>1</v>
      </c>
      <c r="AY585" s="209">
        <f>L585*AX585+AP585+AQ585+AR585+AV585+AW585+AS585+AT585+AU585</f>
        <v/>
      </c>
      <c r="AZ585" s="207" t="n">
        <v>22</v>
      </c>
      <c r="BA585" s="207" t="n">
        <v>0</v>
      </c>
      <c r="BB585" s="207">
        <f>AZ585*0.006</f>
        <v/>
      </c>
      <c r="BC585" s="209">
        <f>AZ585+BA585-BB585</f>
        <v/>
      </c>
      <c r="BD585" s="207" t="n">
        <v>0</v>
      </c>
      <c r="BE585" s="207" t="n">
        <v>0</v>
      </c>
      <c r="BF585" s="209">
        <f>BD585+BE585</f>
        <v/>
      </c>
      <c r="BG585" s="209">
        <f>BC585-AY585+BF585</f>
        <v/>
      </c>
      <c r="BH585" s="86" t="inlineStr">
        <is>
          <t>马玮铭</t>
        </is>
      </c>
      <c r="BI585" s="86" t="inlineStr">
        <is>
          <t>湖北省 荆门市 东宝区 龙泉街道白云大道88号风华雅庭D2栋</t>
        </is>
      </c>
      <c r="BJ585" s="86" t="inlineStr">
        <is>
          <t>15623465073-6582</t>
        </is>
      </c>
      <c r="BK585" s="86" t="n"/>
      <c r="BL585" s="210" t="n"/>
      <c r="BM585" s="93" t="n"/>
      <c r="BN585" s="94" t="n"/>
      <c r="BO585" s="93" t="n"/>
      <c r="BP585" s="86" t="n"/>
      <c r="BQ585" s="96" t="n"/>
      <c r="BR585" s="96" t="n"/>
      <c r="BS585" s="97" t="n"/>
      <c r="BT585" s="96" t="n"/>
      <c r="BU585" s="97" t="n"/>
      <c r="BV585" s="96" t="n"/>
      <c r="BW585" s="97" t="n"/>
      <c r="BX585" s="97" t="n"/>
      <c r="BY585" s="97" t="n"/>
      <c r="BZ585" s="97" t="n"/>
      <c r="CH585" s="2" t="n"/>
      <c r="CI585" s="14" t="n"/>
      <c r="CJ585" s="25" t="n"/>
      <c r="CK585" s="25" t="n"/>
      <c r="CL585" s="25" t="n"/>
      <c r="CM585" s="25" t="n"/>
      <c r="CN585" s="25" t="n"/>
      <c r="CO585" s="25" t="n"/>
      <c r="CP585" s="25" t="n"/>
      <c r="CQ585" s="25" t="n"/>
      <c r="CR585" s="25" t="n"/>
      <c r="CS585" s="25" t="n"/>
      <c r="CT585" s="25" t="n"/>
      <c r="CU585" s="25" t="n"/>
      <c r="CV585" s="25" t="n"/>
      <c r="CW585" s="25" t="n"/>
      <c r="CX585" s="25" t="n"/>
      <c r="CY585" s="25" t="n"/>
      <c r="DC585" s="26" t="n"/>
      <c r="DD585" s="26" t="n"/>
      <c r="DE585" s="26" t="n"/>
      <c r="DF585" s="26" t="n"/>
      <c r="DG585" s="26" t="n"/>
      <c r="DH585" s="27" t="n"/>
      <c r="DJ585" s="238" t="inlineStr">
        <is>
          <t>✓ 金额一致</t>
        </is>
      </c>
      <c r="DK585" t="inlineStr">
        <is>
          <t>22.00</t>
        </is>
      </c>
      <c r="DL585" s="239" t="n">
        <v>0</v>
      </c>
    </row>
    <row r="586" ht="15.75" customHeight="1" s="187">
      <c r="A586" s="84" t="n">
        <v>46058</v>
      </c>
      <c r="B586" s="206" t="inlineStr">
        <is>
          <t>已收货</t>
        </is>
      </c>
      <c r="C586" s="86" t="inlineStr">
        <is>
          <t>5054605236050522517</t>
        </is>
      </c>
      <c r="D586" s="86" t="inlineStr">
        <is>
          <t>郑元元</t>
        </is>
      </c>
      <c r="E586" s="87" t="n"/>
      <c r="F586" s="87" t="n"/>
      <c r="G586" s="87" t="inlineStr">
        <is>
          <t>样块</t>
        </is>
      </c>
      <c r="H586" s="207" t="inlineStr">
        <is>
          <t>样块</t>
        </is>
      </c>
      <c r="I586" s="89" t="n"/>
      <c r="J586" s="87" t="inlineStr">
        <is>
          <t>已结算</t>
        </is>
      </c>
      <c r="K586" s="87" t="inlineStr">
        <is>
          <t>杭州</t>
        </is>
      </c>
      <c r="L586" s="207">
        <f>SUM(M586:AO586)</f>
        <v/>
      </c>
      <c r="M586" s="207" t="n">
        <v>5</v>
      </c>
      <c r="N586" s="207" t="n"/>
      <c r="O586" s="207" t="n"/>
      <c r="P586" s="207" t="n"/>
      <c r="Q586" s="207" t="n"/>
      <c r="R586" s="207" t="n"/>
      <c r="S586" s="207" t="n"/>
      <c r="T586" s="207" t="n"/>
      <c r="U586" s="207" t="n"/>
      <c r="V586" s="207" t="n"/>
      <c r="W586" s="207" t="n"/>
      <c r="X586" s="207" t="n"/>
      <c r="Y586" s="207" t="n"/>
      <c r="Z586" s="207" t="n"/>
      <c r="AA586" s="207" t="n"/>
      <c r="AB586" s="207" t="n"/>
      <c r="AC586" s="207" t="n"/>
      <c r="AD586" s="207" t="n"/>
      <c r="AE586" s="207" t="n"/>
      <c r="AF586" s="207" t="n"/>
      <c r="AG586" s="207" t="n"/>
      <c r="AH586" s="207" t="n"/>
      <c r="AI586" s="207" t="n"/>
      <c r="AJ586" s="207" t="n"/>
      <c r="AK586" s="207" t="n"/>
      <c r="AL586" s="207" t="n"/>
      <c r="AM586" s="207" t="n">
        <v>2</v>
      </c>
      <c r="AN586" s="216" t="n"/>
      <c r="AO586" s="216" t="n"/>
      <c r="AP586" s="207" t="n">
        <v>5</v>
      </c>
      <c r="AQ586" s="207" t="n">
        <v>0</v>
      </c>
      <c r="AR586" s="207" t="n">
        <v>0</v>
      </c>
      <c r="AS586" s="207" t="n">
        <v>0</v>
      </c>
      <c r="AT586" s="207" t="n">
        <v>0</v>
      </c>
      <c r="AU586" s="207" t="n">
        <v>0</v>
      </c>
      <c r="AV586" s="207" t="n">
        <v>0</v>
      </c>
      <c r="AW586" s="207" t="n">
        <v>0</v>
      </c>
      <c r="AX586" s="208" t="n">
        <v>1</v>
      </c>
      <c r="AY586" s="209">
        <f>L586*AX586+AP586+AQ586+AR586+AV586+AW586+AS586+AT586+AU586</f>
        <v/>
      </c>
      <c r="AZ586" s="207" t="n">
        <v>22</v>
      </c>
      <c r="BA586" s="207" t="n">
        <v>0</v>
      </c>
      <c r="BB586" s="207">
        <f>AZ586*0.006</f>
        <v/>
      </c>
      <c r="BC586" s="209">
        <f>AZ586+BA586-BB586</f>
        <v/>
      </c>
      <c r="BD586" s="207" t="n">
        <v>0</v>
      </c>
      <c r="BE586" s="207" t="n">
        <v>0</v>
      </c>
      <c r="BF586" s="209">
        <f>BD586+BE586</f>
        <v/>
      </c>
      <c r="BG586" s="209">
        <f>BC586-AY586+BF586</f>
        <v/>
      </c>
      <c r="BH586" s="86" t="inlineStr">
        <is>
          <t>郑元元</t>
        </is>
      </c>
      <c r="BI586" s="86" t="inlineStr">
        <is>
          <t>浙江省 杭州市 滨江区 长河街道秋溢路228号国美设计6楼</t>
        </is>
      </c>
      <c r="BJ586" s="86" t="inlineStr">
        <is>
          <t>18413290186-2917</t>
        </is>
      </c>
      <c r="BK586" s="86" t="n"/>
      <c r="BL586" s="210" t="n"/>
      <c r="BM586" s="93" t="n"/>
      <c r="BN586" s="94" t="n"/>
      <c r="BO586" s="93" t="n"/>
      <c r="BP586" s="86" t="n"/>
      <c r="BQ586" s="96" t="n"/>
      <c r="BR586" s="96" t="n"/>
      <c r="BS586" s="97" t="n"/>
      <c r="BT586" s="96" t="n"/>
      <c r="BU586" s="97" t="n"/>
      <c r="BV586" s="96" t="n"/>
      <c r="BW586" s="97" t="n"/>
      <c r="BX586" s="97" t="n"/>
      <c r="BY586" s="97" t="n"/>
      <c r="BZ586" s="97" t="n"/>
      <c r="CH586" s="2" t="n"/>
      <c r="CI586" s="14" t="n"/>
      <c r="CJ586" s="25" t="n"/>
      <c r="CK586" s="25" t="n"/>
      <c r="CL586" s="25" t="n"/>
      <c r="CM586" s="25" t="n"/>
      <c r="CN586" s="25" t="n"/>
      <c r="CO586" s="25" t="n"/>
      <c r="CP586" s="25" t="n"/>
      <c r="CQ586" s="25" t="n"/>
      <c r="CR586" s="25" t="n"/>
      <c r="CS586" s="25" t="n"/>
      <c r="CT586" s="25" t="n"/>
      <c r="CU586" s="25" t="n"/>
      <c r="CV586" s="25" t="n"/>
      <c r="CW586" s="25" t="n"/>
      <c r="CX586" s="25" t="n"/>
      <c r="CY586" s="25" t="n"/>
      <c r="DC586" s="26" t="n"/>
      <c r="DD586" s="26" t="n"/>
      <c r="DE586" s="26" t="n"/>
      <c r="DF586" s="26" t="n"/>
      <c r="DG586" s="26" t="n"/>
      <c r="DH586" s="27" t="n"/>
      <c r="DJ586" s="238" t="inlineStr">
        <is>
          <t>✓ 金额一致</t>
        </is>
      </c>
      <c r="DK586" t="inlineStr">
        <is>
          <t>22.00</t>
        </is>
      </c>
      <c r="DL586" s="239" t="n">
        <v>0</v>
      </c>
    </row>
    <row r="587" ht="15.75" customHeight="1" s="187">
      <c r="A587" s="84" t="n">
        <v>46058</v>
      </c>
      <c r="B587" s="206" t="inlineStr">
        <is>
          <t>已收货</t>
        </is>
      </c>
      <c r="C587" s="86" t="inlineStr">
        <is>
          <t>5055809833074573722</t>
        </is>
      </c>
      <c r="D587" s="86" t="inlineStr">
        <is>
          <t>曾庆锟</t>
        </is>
      </c>
      <c r="E587" s="87" t="n"/>
      <c r="F587" s="87" t="n"/>
      <c r="G587" s="87" t="inlineStr">
        <is>
          <t>样块</t>
        </is>
      </c>
      <c r="H587" s="207" t="inlineStr">
        <is>
          <t>样块</t>
        </is>
      </c>
      <c r="I587" s="89" t="n"/>
      <c r="J587" s="87" t="inlineStr">
        <is>
          <t>已结算</t>
        </is>
      </c>
      <c r="K587" s="87" t="inlineStr">
        <is>
          <t>杭州</t>
        </is>
      </c>
      <c r="L587" s="207">
        <f>SUM(M587:AO587)</f>
        <v/>
      </c>
      <c r="M587" s="207" t="n">
        <v>5</v>
      </c>
      <c r="N587" s="207" t="n"/>
      <c r="O587" s="207" t="n"/>
      <c r="P587" s="207" t="n"/>
      <c r="Q587" s="207" t="n"/>
      <c r="R587" s="207" t="n"/>
      <c r="S587" s="207" t="n"/>
      <c r="T587" s="207" t="n"/>
      <c r="U587" s="207" t="n"/>
      <c r="V587" s="207" t="n"/>
      <c r="W587" s="207" t="n"/>
      <c r="X587" s="207" t="n"/>
      <c r="Y587" s="207" t="n"/>
      <c r="Z587" s="207" t="n"/>
      <c r="AA587" s="207" t="n"/>
      <c r="AB587" s="207" t="n"/>
      <c r="AC587" s="207" t="n"/>
      <c r="AD587" s="207" t="n"/>
      <c r="AE587" s="207" t="n"/>
      <c r="AF587" s="207" t="n"/>
      <c r="AG587" s="207" t="n"/>
      <c r="AH587" s="207" t="n"/>
      <c r="AI587" s="207" t="n"/>
      <c r="AJ587" s="207" t="n"/>
      <c r="AK587" s="207" t="n"/>
      <c r="AL587" s="207" t="n"/>
      <c r="AM587" s="207" t="n">
        <v>2</v>
      </c>
      <c r="AN587" s="216" t="n"/>
      <c r="AO587" s="216" t="n"/>
      <c r="AP587" s="207" t="n">
        <v>5</v>
      </c>
      <c r="AQ587" s="207" t="n">
        <v>0</v>
      </c>
      <c r="AR587" s="207" t="n">
        <v>0</v>
      </c>
      <c r="AS587" s="207" t="n">
        <v>0</v>
      </c>
      <c r="AT587" s="207" t="n">
        <v>0</v>
      </c>
      <c r="AU587" s="207" t="n">
        <v>0</v>
      </c>
      <c r="AV587" s="207" t="n">
        <v>0</v>
      </c>
      <c r="AW587" s="207" t="n">
        <v>0</v>
      </c>
      <c r="AX587" s="208" t="n">
        <v>1</v>
      </c>
      <c r="AY587" s="209">
        <f>L587*AX587+AP587+AQ587+AR587+AV587+AW587+AS587+AT587+AU587</f>
        <v/>
      </c>
      <c r="AZ587" s="207" t="n">
        <v>17</v>
      </c>
      <c r="BA587" s="207" t="n">
        <v>0</v>
      </c>
      <c r="BB587" s="207">
        <f>AZ587*0.006</f>
        <v/>
      </c>
      <c r="BC587" s="209">
        <f>AZ587+BA587-BB587</f>
        <v/>
      </c>
      <c r="BD587" s="207" t="n">
        <v>0</v>
      </c>
      <c r="BE587" s="207" t="n">
        <v>0</v>
      </c>
      <c r="BF587" s="209">
        <f>BD587+BE587</f>
        <v/>
      </c>
      <c r="BG587" s="209">
        <f>BC587-AY587+BF587</f>
        <v/>
      </c>
      <c r="BH587" s="86" t="inlineStr">
        <is>
          <t>曾庆锟</t>
        </is>
      </c>
      <c r="BI587" s="86" t="inlineStr">
        <is>
          <t>广东省 佛山市 南海区 狮山镇罗村街道钜隆风度广场南门</t>
        </is>
      </c>
      <c r="BJ587" s="86" t="inlineStr">
        <is>
          <t>13202480404-8249</t>
        </is>
      </c>
      <c r="BK587" s="86" t="n"/>
      <c r="BL587" s="210" t="n"/>
      <c r="BM587" s="93" t="n"/>
      <c r="BN587" s="94" t="n"/>
      <c r="BO587" s="93" t="n"/>
      <c r="BP587" s="86" t="n"/>
      <c r="BQ587" s="96" t="n"/>
      <c r="BR587" s="96" t="n"/>
      <c r="BS587" s="97" t="n"/>
      <c r="BT587" s="96" t="n"/>
      <c r="BU587" s="97" t="n"/>
      <c r="BV587" s="96" t="n"/>
      <c r="BW587" s="97" t="n"/>
      <c r="BX587" s="97" t="n"/>
      <c r="BY587" s="97" t="n"/>
      <c r="BZ587" s="97" t="n"/>
      <c r="CH587" s="2" t="n"/>
      <c r="CI587" s="14" t="n"/>
      <c r="CJ587" s="25" t="n"/>
      <c r="CK587" s="25" t="n"/>
      <c r="CL587" s="25" t="n"/>
      <c r="CM587" s="25" t="n"/>
      <c r="CN587" s="25" t="n"/>
      <c r="CO587" s="25" t="n"/>
      <c r="CP587" s="25" t="n"/>
      <c r="CQ587" s="25" t="n"/>
      <c r="CR587" s="25" t="n"/>
      <c r="CS587" s="25" t="n"/>
      <c r="CT587" s="25" t="n"/>
      <c r="CU587" s="25" t="n"/>
      <c r="CV587" s="25" t="n"/>
      <c r="CW587" s="25" t="n"/>
      <c r="CX587" s="25" t="n"/>
      <c r="CY587" s="25" t="n"/>
      <c r="DC587" s="26" t="n"/>
      <c r="DD587" s="26" t="n"/>
      <c r="DE587" s="26" t="n"/>
      <c r="DF587" s="26" t="n"/>
      <c r="DG587" s="26" t="n"/>
      <c r="DH587" s="27" t="n"/>
      <c r="DJ587" s="238" t="inlineStr">
        <is>
          <t>✓ 金额一致</t>
        </is>
      </c>
      <c r="DK587" t="inlineStr">
        <is>
          <t>17.00</t>
        </is>
      </c>
      <c r="DL587" s="239" t="n">
        <v>0</v>
      </c>
    </row>
    <row r="588" ht="15.75" customHeight="1" s="187">
      <c r="A588" s="84" t="n">
        <v>46059</v>
      </c>
      <c r="B588" s="206" t="inlineStr">
        <is>
          <t>已发</t>
        </is>
      </c>
      <c r="C588" s="86" t="inlineStr">
        <is>
          <t>3232442641297998281</t>
        </is>
      </c>
      <c r="D588" s="86" t="inlineStr">
        <is>
          <t>Zhao Yang</t>
        </is>
      </c>
      <c r="E588" s="87" t="n"/>
      <c r="F588" s="87" t="n"/>
      <c r="G588" s="207" t="inlineStr">
        <is>
          <t>窄柜-整柜洞石背板-1.0米-万用插座</t>
        </is>
      </c>
      <c r="H588" s="207" t="inlineStr">
        <is>
          <t>樱桃木窄柜</t>
        </is>
      </c>
      <c r="I588" s="89" t="n">
        <v>1000</v>
      </c>
      <c r="J588" s="87" t="n"/>
      <c r="K588" s="86" t="inlineStr">
        <is>
          <t>江西</t>
        </is>
      </c>
      <c r="L588" s="207">
        <f>SUM(M588:AO588)</f>
        <v/>
      </c>
      <c r="M588" s="207" t="n">
        <v>3300</v>
      </c>
      <c r="N588" s="207" t="n"/>
      <c r="O588" s="207" t="n"/>
      <c r="P588" s="207" t="n"/>
      <c r="Q588" s="207" t="n"/>
      <c r="R588" s="207" t="n"/>
      <c r="S588" s="207" t="n"/>
      <c r="T588" s="207" t="n"/>
      <c r="U588" s="207" t="n"/>
      <c r="V588" s="207" t="n"/>
      <c r="W588" s="207" t="n"/>
      <c r="X588" s="207" t="n">
        <v>18</v>
      </c>
      <c r="Y588" s="207" t="n"/>
      <c r="Z588" s="207" t="n"/>
      <c r="AA588" s="207" t="n"/>
      <c r="AB588" s="207" t="n"/>
      <c r="AC588" s="207" t="n"/>
      <c r="AD588" s="207" t="n"/>
      <c r="AE588" s="207" t="n"/>
      <c r="AF588" s="207" t="n"/>
      <c r="AG588" s="207" t="n"/>
      <c r="AH588" s="207" t="n"/>
      <c r="AI588" s="207" t="n"/>
      <c r="AJ588" s="207" t="n"/>
      <c r="AK588" s="207" t="n"/>
      <c r="AL588" s="207" t="n"/>
      <c r="AM588" s="121" t="n">
        <v>170</v>
      </c>
      <c r="AN588" s="216" t="n"/>
      <c r="AO588" s="216" t="n"/>
      <c r="AP588" s="121" t="n">
        <v>350</v>
      </c>
      <c r="AQ588" s="121" t="n">
        <v>60</v>
      </c>
      <c r="AR588" s="121" t="n">
        <v>100</v>
      </c>
      <c r="AS588" s="207" t="n">
        <v>0</v>
      </c>
      <c r="AT588" s="207" t="n">
        <v>0</v>
      </c>
      <c r="AU588" s="207" t="n">
        <v>0</v>
      </c>
      <c r="AV588" s="207" t="n">
        <v>0</v>
      </c>
      <c r="AW588" s="207" t="n">
        <v>0</v>
      </c>
      <c r="AX588" s="208" t="n">
        <v>1</v>
      </c>
      <c r="AY588" s="209">
        <f>L588*AX588+AP588+AQ588+AR588+AV588+AW588+AS588+AT588+AU588</f>
        <v/>
      </c>
      <c r="AZ588" s="207" t="n">
        <v>5738.14</v>
      </c>
      <c r="BA588" s="207" t="n">
        <v>0</v>
      </c>
      <c r="BB588" s="207">
        <f>AZ588*0.006</f>
        <v/>
      </c>
      <c r="BC588" s="209">
        <f>AZ588+BA588-BB588</f>
        <v/>
      </c>
      <c r="BD588" s="207" t="n">
        <v>0</v>
      </c>
      <c r="BE588" s="207" t="n">
        <v>0</v>
      </c>
      <c r="BF588" s="209">
        <f>BD588+BE588</f>
        <v/>
      </c>
      <c r="BG588" s="209">
        <f>BC588-AY588+BF588</f>
        <v/>
      </c>
      <c r="BH588" s="207" t="inlineStr">
        <is>
          <t>Zhao Yang</t>
        </is>
      </c>
      <c r="BI588" s="207" t="inlineStr">
        <is>
          <t>广东省 东莞市 null 沙田镇#RVT8HV4Q#中国/广东省/东莞市/沙田镇穗丰年路启盈二楼C区（澳洲海运集运）@SF1BA7(000000)</t>
        </is>
      </c>
      <c r="BJ588" s="207" t="inlineStr">
        <is>
          <t>15015421102</t>
        </is>
      </c>
      <c r="BK588" s="86" t="n"/>
      <c r="BL588" s="210" t="n"/>
      <c r="BM588" s="93" t="n"/>
      <c r="BN588" s="94" t="n"/>
      <c r="BO588" s="93" t="n"/>
      <c r="BP588" s="86" t="n"/>
      <c r="BQ588" s="96" t="n"/>
      <c r="BR588" s="96" t="n"/>
      <c r="BS588" s="97" t="n"/>
      <c r="BT588" s="96" t="n"/>
      <c r="BU588" s="97" t="n"/>
      <c r="BV588" s="96" t="n"/>
      <c r="BW588" s="97" t="n"/>
      <c r="BX588" s="97" t="n"/>
      <c r="BY588" s="97" t="n"/>
      <c r="BZ588" s="97" t="n"/>
      <c r="CH588" s="2" t="n"/>
      <c r="CI588" s="14" t="n"/>
      <c r="CJ588" s="25" t="n"/>
      <c r="CK588" s="25" t="n"/>
      <c r="CL588" s="25" t="n"/>
      <c r="CM588" s="25" t="n"/>
      <c r="CN588" s="25" t="n"/>
      <c r="CO588" s="25" t="n"/>
      <c r="CP588" s="25" t="n"/>
      <c r="CQ588" s="25" t="n"/>
      <c r="CR588" s="25" t="n"/>
      <c r="CS588" s="25" t="n"/>
      <c r="CT588" s="25" t="n"/>
      <c r="CU588" s="25" t="n"/>
      <c r="CV588" s="25" t="n"/>
      <c r="CW588" s="25" t="n"/>
      <c r="CX588" s="25" t="n"/>
      <c r="CY588" s="25" t="n"/>
      <c r="DC588" s="26" t="n"/>
      <c r="DD588" s="26" t="n"/>
      <c r="DE588" s="26" t="n"/>
      <c r="DF588" s="26" t="n"/>
      <c r="DG588" s="26" t="n"/>
      <c r="DH588" s="27" t="n"/>
      <c r="DJ588" s="238" t="inlineStr">
        <is>
          <t>✓ 金额一致</t>
        </is>
      </c>
      <c r="DK588" t="inlineStr">
        <is>
          <t>5738.14</t>
        </is>
      </c>
      <c r="DL588" s="239" t="n">
        <v>0</v>
      </c>
    </row>
    <row r="589" ht="15.75" customHeight="1" s="187">
      <c r="A589" s="84" t="n">
        <v>46059</v>
      </c>
      <c r="B589" s="206" t="inlineStr">
        <is>
          <t>已收货</t>
        </is>
      </c>
      <c r="C589" s="86" t="inlineStr">
        <is>
          <t>3232689493377181868</t>
        </is>
      </c>
      <c r="D589" s="86" t="inlineStr">
        <is>
          <t>向兴</t>
        </is>
      </c>
      <c r="E589" s="87" t="n"/>
      <c r="F589" s="87" t="n"/>
      <c r="G589" s="87" t="inlineStr">
        <is>
          <t>90*170窄柜</t>
        </is>
      </c>
      <c r="H589" s="207" t="inlineStr">
        <is>
          <t>樱桃木窄柜</t>
        </is>
      </c>
      <c r="I589" s="89" t="n">
        <v>900</v>
      </c>
      <c r="J589" s="87" t="inlineStr">
        <is>
          <t>已结算</t>
        </is>
      </c>
      <c r="K589" s="86" t="inlineStr">
        <is>
          <t>江西</t>
        </is>
      </c>
      <c r="L589" s="121" t="n">
        <v>4418.71</v>
      </c>
      <c r="M589" s="207" t="n">
        <v>3050</v>
      </c>
      <c r="N589" s="207" t="n"/>
      <c r="O589" s="207" t="n"/>
      <c r="P589" s="207" t="n"/>
      <c r="Q589" s="207" t="n"/>
      <c r="R589" s="207" t="n"/>
      <c r="S589" s="207" t="n"/>
      <c r="T589" s="207" t="n"/>
      <c r="U589" s="207" t="n"/>
      <c r="V589" s="207" t="n"/>
      <c r="W589" s="207" t="n"/>
      <c r="X589" s="207" t="n"/>
      <c r="Y589" s="207" t="n"/>
      <c r="Z589" s="207" t="n"/>
      <c r="AA589" s="207" t="n"/>
      <c r="AB589" s="207" t="n"/>
      <c r="AC589" s="207" t="n"/>
      <c r="AD589" s="207" t="n"/>
      <c r="AE589" s="207" t="n"/>
      <c r="AF589" s="207" t="n"/>
      <c r="AG589" s="207" t="n"/>
      <c r="AH589" s="207" t="n"/>
      <c r="AI589" s="207" t="n"/>
      <c r="AJ589" s="207" t="n"/>
      <c r="AK589" s="207" t="n"/>
      <c r="AL589" s="207" t="n"/>
      <c r="AM589" s="121" t="n">
        <v>170</v>
      </c>
      <c r="AN589" s="216" t="n"/>
      <c r="AO589" s="216" t="n"/>
      <c r="AP589" s="121" t="n">
        <v>350</v>
      </c>
      <c r="AQ589" s="121" t="n">
        <v>60</v>
      </c>
      <c r="AR589" s="121" t="n">
        <v>100</v>
      </c>
      <c r="AS589" s="207" t="n">
        <v>0</v>
      </c>
      <c r="AT589" s="207" t="n">
        <v>0</v>
      </c>
      <c r="AU589" s="207" t="n">
        <v>0</v>
      </c>
      <c r="AV589" s="207" t="n">
        <v>0</v>
      </c>
      <c r="AW589" s="207" t="n">
        <v>0</v>
      </c>
      <c r="AX589" s="208" t="n">
        <v>1</v>
      </c>
      <c r="AY589" s="209">
        <f>L589*AX589+AP589+AQ589+AR589+AV589+AW589+AS589+AT589+AU589</f>
        <v/>
      </c>
      <c r="AZ589" s="207" t="n">
        <v>5546</v>
      </c>
      <c r="BA589" s="207" t="n">
        <v>0</v>
      </c>
      <c r="BB589" s="207">
        <f>AZ589*0.006</f>
        <v/>
      </c>
      <c r="BC589" s="209">
        <f>AZ589+BA589-BB589</f>
        <v/>
      </c>
      <c r="BD589" s="207" t="n">
        <v>0</v>
      </c>
      <c r="BE589" s="207" t="n">
        <v>0</v>
      </c>
      <c r="BF589" s="209">
        <f>BD589+BE589</f>
        <v/>
      </c>
      <c r="BG589" s="209">
        <f>BC589-AY589+BF589</f>
        <v/>
      </c>
      <c r="BH589" s="207" t="inlineStr">
        <is>
          <t>向兴</t>
        </is>
      </c>
      <c r="BI589" s="207" t="inlineStr">
        <is>
          <t>四川省 成都市 金牛区 金泉街道黄金东二路399号保利梧桐语速递易(610000)</t>
        </is>
      </c>
      <c r="BJ589" s="207" t="inlineStr">
        <is>
          <t>18423727121-1409</t>
        </is>
      </c>
      <c r="BK589" s="86" t="n"/>
      <c r="BL589" s="210" t="n"/>
      <c r="BM589" s="93" t="n"/>
      <c r="BN589" s="94" t="n"/>
      <c r="BO589" s="93" t="n"/>
      <c r="BP589" s="86" t="n"/>
      <c r="BQ589" s="96" t="n"/>
      <c r="BR589" s="96" t="n"/>
      <c r="BS589" s="97" t="n"/>
      <c r="BT589" s="96" t="n"/>
      <c r="BU589" s="97" t="n"/>
      <c r="BV589" s="96" t="n"/>
      <c r="BW589" s="97" t="n"/>
      <c r="BX589" s="97" t="n"/>
      <c r="BY589" s="97" t="n"/>
      <c r="BZ589" s="97" t="n"/>
      <c r="CH589" s="2" t="n"/>
      <c r="CI589" s="14" t="n"/>
      <c r="CJ589" s="25" t="n"/>
      <c r="CK589" s="25" t="n"/>
      <c r="CL589" s="25" t="n"/>
      <c r="CM589" s="25" t="n"/>
      <c r="CN589" s="25" t="n"/>
      <c r="CO589" s="25" t="n"/>
      <c r="CP589" s="25" t="n"/>
      <c r="CQ589" s="25" t="n"/>
      <c r="CR589" s="25" t="n"/>
      <c r="CS589" s="25" t="n"/>
      <c r="CT589" s="25" t="n"/>
      <c r="CU589" s="25" t="n"/>
      <c r="CV589" s="25" t="n"/>
      <c r="CW589" s="25" t="n"/>
      <c r="CX589" s="25" t="n"/>
      <c r="CY589" s="25" t="n"/>
      <c r="DC589" s="26" t="n"/>
      <c r="DD589" s="26" t="n"/>
      <c r="DE589" s="26" t="n"/>
      <c r="DF589" s="26" t="n"/>
      <c r="DG589" s="26" t="n"/>
      <c r="DH589" s="27" t="n"/>
      <c r="DJ589" s="238" t="inlineStr">
        <is>
          <t>✓ 金额一致</t>
        </is>
      </c>
      <c r="DK589" t="inlineStr">
        <is>
          <t>5546.00</t>
        </is>
      </c>
      <c r="DL589" s="239" t="n">
        <v>0</v>
      </c>
    </row>
    <row r="590" ht="15.75" customHeight="1" s="187">
      <c r="A590" s="84" t="n">
        <v>46060</v>
      </c>
      <c r="B590" s="206" t="inlineStr">
        <is>
          <t>已收货</t>
        </is>
      </c>
      <c r="C590" s="86" t="inlineStr">
        <is>
          <t>5057665887396012427</t>
        </is>
      </c>
      <c r="D590" s="86" t="inlineStr">
        <is>
          <t>杨小姐</t>
        </is>
      </c>
      <c r="E590" s="87" t="n"/>
      <c r="F590" s="87" t="n"/>
      <c r="G590" s="87" t="inlineStr">
        <is>
          <t>1.5米榉木柜</t>
        </is>
      </c>
      <c r="H590" s="207" t="inlineStr">
        <is>
          <t>榉木餐边柜</t>
        </is>
      </c>
      <c r="I590" s="89" t="n">
        <v>1500</v>
      </c>
      <c r="J590" s="87" t="inlineStr">
        <is>
          <t>已结算</t>
        </is>
      </c>
      <c r="K590" s="86" t="inlineStr">
        <is>
          <t>江西</t>
        </is>
      </c>
      <c r="L590" s="207">
        <f>SUM(M590:AO590)</f>
        <v/>
      </c>
      <c r="M590" s="207" t="n">
        <v>3800</v>
      </c>
      <c r="N590" s="207" t="n">
        <v>320</v>
      </c>
      <c r="O590" s="207" t="inlineStr">
        <is>
          <t>22*5</t>
        </is>
      </c>
      <c r="P590" s="207" t="n">
        <v>907</v>
      </c>
      <c r="Q590" s="207" t="n"/>
      <c r="R590" s="207" t="n">
        <v>228</v>
      </c>
      <c r="S590" s="207" t="n">
        <v>300</v>
      </c>
      <c r="T590" s="207" t="n">
        <v>48</v>
      </c>
      <c r="U590" s="207" t="n"/>
      <c r="V590" s="207" t="n"/>
      <c r="W590" s="207" t="n">
        <v>46</v>
      </c>
      <c r="X590" s="207" t="n">
        <v>8</v>
      </c>
      <c r="Y590" s="207" t="n">
        <v>20</v>
      </c>
      <c r="Z590" s="207" t="n"/>
      <c r="AA590" s="207" t="n"/>
      <c r="AB590" s="207" t="n"/>
      <c r="AC590" s="207" t="n"/>
      <c r="AD590" s="207" t="n"/>
      <c r="AE590" s="207" t="n">
        <v>380</v>
      </c>
      <c r="AF590" s="207" t="n"/>
      <c r="AG590" s="207" t="n"/>
      <c r="AH590" s="207" t="n"/>
      <c r="AI590" s="207" t="n"/>
      <c r="AJ590" s="207" t="n"/>
      <c r="AK590" s="207" t="n"/>
      <c r="AL590" s="207" t="n"/>
      <c r="AM590" s="121" t="n">
        <v>380</v>
      </c>
      <c r="AN590" s="216" t="n"/>
      <c r="AO590" s="216" t="n"/>
      <c r="AP590" s="121" t="n">
        <v>550</v>
      </c>
      <c r="AQ590" s="121" t="n">
        <v>50</v>
      </c>
      <c r="AR590" s="121" t="n">
        <v>150</v>
      </c>
      <c r="AS590" s="207" t="n">
        <v>0</v>
      </c>
      <c r="AT590" s="207" t="n">
        <v>0</v>
      </c>
      <c r="AU590" s="207" t="n">
        <v>0</v>
      </c>
      <c r="AV590" s="207" t="n">
        <v>0</v>
      </c>
      <c r="AW590" s="207" t="n">
        <v>50</v>
      </c>
      <c r="AX590" s="208" t="n">
        <v>1</v>
      </c>
      <c r="AY590" s="209">
        <f>L590*AX590+AP590+AQ590+AR590+AV590+AW590+AS590+AT590+AU590</f>
        <v/>
      </c>
      <c r="AZ590" s="207" t="n">
        <v>7512.42</v>
      </c>
      <c r="BA590" s="207" t="n">
        <v>0</v>
      </c>
      <c r="BB590" s="207">
        <f>AZ590*0.006</f>
        <v/>
      </c>
      <c r="BC590" s="209">
        <f>AZ590+BA590-BB590</f>
        <v/>
      </c>
      <c r="BD590" s="207" t="n">
        <v>0</v>
      </c>
      <c r="BE590" s="207" t="n">
        <v>0</v>
      </c>
      <c r="BF590" s="209">
        <f>BD590+BE590</f>
        <v/>
      </c>
      <c r="BG590" s="209">
        <f>BC590-AY590+BF590</f>
        <v/>
      </c>
      <c r="BH590" s="207" t="inlineStr">
        <is>
          <t>杨小姐</t>
        </is>
      </c>
      <c r="BI590" s="207" t="inlineStr">
        <is>
          <t>广东省 珠海市 斗门区 白藤街道湖心金茂悦C1栋1603(000000)</t>
        </is>
      </c>
      <c r="BJ590" s="207" t="inlineStr">
        <is>
          <t>18466383872-4019</t>
        </is>
      </c>
      <c r="BK590" s="86" t="n"/>
      <c r="BL590" s="210" t="n"/>
      <c r="BM590" s="93" t="n"/>
      <c r="BN590" s="94" t="n"/>
      <c r="BO590" s="93" t="n"/>
      <c r="BP590" s="86" t="n"/>
      <c r="BQ590" s="96" t="n"/>
      <c r="BR590" s="96" t="n"/>
      <c r="BS590" s="97" t="n"/>
      <c r="BT590" s="96" t="n"/>
      <c r="BU590" s="97" t="n"/>
      <c r="BV590" s="96" t="n"/>
      <c r="BW590" s="97" t="n"/>
      <c r="BX590" s="97" t="n"/>
      <c r="BY590" s="97" t="n"/>
      <c r="BZ590" s="97" t="n"/>
      <c r="CH590" s="2" t="n"/>
      <c r="CI590" s="14" t="n"/>
      <c r="CJ590" s="25" t="n"/>
      <c r="CK590" s="25" t="n"/>
      <c r="CL590" s="25" t="n"/>
      <c r="CM590" s="25" t="n"/>
      <c r="CN590" s="25" t="n"/>
      <c r="CO590" s="25" t="n"/>
      <c r="CP590" s="25" t="n"/>
      <c r="CQ590" s="25" t="n"/>
      <c r="CR590" s="25" t="n"/>
      <c r="CS590" s="25" t="n"/>
      <c r="CT590" s="25" t="n"/>
      <c r="CU590" s="25" t="n"/>
      <c r="CV590" s="25" t="n"/>
      <c r="CW590" s="25" t="n"/>
      <c r="CX590" s="25" t="n"/>
      <c r="CY590" s="25" t="n"/>
      <c r="DC590" s="26" t="n"/>
      <c r="DD590" s="26" t="n"/>
      <c r="DE590" s="26" t="n"/>
      <c r="DF590" s="26" t="n"/>
      <c r="DG590" s="26" t="n"/>
      <c r="DH590" s="27" t="n"/>
      <c r="DJ590" s="238" t="inlineStr">
        <is>
          <t>✓ 金额一致</t>
        </is>
      </c>
      <c r="DK590" t="inlineStr">
        <is>
          <t>7512.42</t>
        </is>
      </c>
      <c r="DL590" s="239" t="n">
        <v>0</v>
      </c>
    </row>
    <row r="591" ht="15.75" customHeight="1" s="187">
      <c r="A591" s="84" t="n">
        <v>46060</v>
      </c>
      <c r="B591" s="206" t="inlineStr">
        <is>
          <t>已收货</t>
        </is>
      </c>
      <c r="C591" s="86" t="inlineStr">
        <is>
          <t>3235315081363137151</t>
        </is>
      </c>
      <c r="D591" s="86" t="inlineStr">
        <is>
          <t>钱</t>
        </is>
      </c>
      <c r="E591" s="87" t="n"/>
      <c r="F591" s="87" t="n"/>
      <c r="G591" s="87" t="inlineStr">
        <is>
          <t>榉木洞石整柜1.8米（多抽组合）（分类抽屉+玻璃移门+开门）</t>
        </is>
      </c>
      <c r="H591" s="207" t="inlineStr">
        <is>
          <t>洞石餐边柜</t>
        </is>
      </c>
      <c r="I591" s="89" t="n">
        <v>1800</v>
      </c>
      <c r="J591" s="87" t="n"/>
      <c r="K591" s="86" t="inlineStr">
        <is>
          <t>江西</t>
        </is>
      </c>
      <c r="L591" s="207">
        <f>SUM(M591:AO591)</f>
        <v/>
      </c>
      <c r="M591" s="216" t="n">
        <v>5000</v>
      </c>
      <c r="N591" s="207" t="n">
        <v>580</v>
      </c>
      <c r="O591" s="207" t="n">
        <v>80</v>
      </c>
      <c r="P591" s="207" t="n">
        <v>567.08</v>
      </c>
      <c r="Q591" s="207" t="n"/>
      <c r="R591" s="207" t="inlineStr">
        <is>
          <t>2040/6/1.5</t>
        </is>
      </c>
      <c r="S591" s="207" t="n">
        <v>380</v>
      </c>
      <c r="T591" s="207" t="n">
        <v>14</v>
      </c>
      <c r="U591" s="207" t="n"/>
      <c r="V591" s="207" t="n"/>
      <c r="W591" s="207" t="n">
        <v>10</v>
      </c>
      <c r="X591" s="207" t="inlineStr">
        <is>
          <t>22*9</t>
        </is>
      </c>
      <c r="Y591" s="207" t="inlineStr">
        <is>
          <t>52*2</t>
        </is>
      </c>
      <c r="Z591" s="207" t="n"/>
      <c r="AA591" s="207" t="n"/>
      <c r="AB591" s="207" t="n"/>
      <c r="AC591" s="207" t="n"/>
      <c r="AD591" s="207" t="n">
        <v>126</v>
      </c>
      <c r="AE591" s="207" t="n">
        <v>22</v>
      </c>
      <c r="AF591" s="207" t="n"/>
      <c r="AG591" s="207" t="n"/>
      <c r="AH591" s="207" t="n"/>
      <c r="AI591" s="207" t="n"/>
      <c r="AJ591" s="207" t="n"/>
      <c r="AK591" s="207" t="n"/>
      <c r="AL591" s="207" t="n"/>
      <c r="AM591" s="121" t="n">
        <v>380</v>
      </c>
      <c r="AN591" s="216" t="n"/>
      <c r="AO591" s="216" t="n"/>
      <c r="AP591" s="121" t="n">
        <v>550</v>
      </c>
      <c r="AQ591" s="121" t="n">
        <v>50</v>
      </c>
      <c r="AR591" s="121" t="n">
        <v>150</v>
      </c>
      <c r="AS591" s="207" t="n">
        <v>0</v>
      </c>
      <c r="AT591" s="207" t="n">
        <v>0</v>
      </c>
      <c r="AU591" s="207" t="n">
        <v>0</v>
      </c>
      <c r="AV591" s="207" t="n">
        <v>0</v>
      </c>
      <c r="AW591" s="207" t="n">
        <v>50</v>
      </c>
      <c r="AX591" s="208" t="n">
        <v>1</v>
      </c>
      <c r="AY591" s="209">
        <f>L591*AX591+AP591+AQ591+AR591+AV591+AW591+AS591+AT591+AU591</f>
        <v/>
      </c>
      <c r="AZ591" s="207">
        <f>10440.68+100</f>
        <v/>
      </c>
      <c r="BA591" s="207" t="n">
        <v>0</v>
      </c>
      <c r="BB591" s="207">
        <f>AZ591*0.006</f>
        <v/>
      </c>
      <c r="BC591" s="209">
        <f>AZ591+BA591-BB591</f>
        <v/>
      </c>
      <c r="BD591" s="207" t="n">
        <v>0</v>
      </c>
      <c r="BE591" s="207" t="n">
        <v>0</v>
      </c>
      <c r="BF591" s="209">
        <f>BD591+BE591</f>
        <v/>
      </c>
      <c r="BG591" s="209">
        <f>BC591-AY591+BF591</f>
        <v/>
      </c>
      <c r="BH591" s="207" t="inlineStr">
        <is>
          <t>钱</t>
        </is>
      </c>
      <c r="BI591" s="207" t="inlineStr">
        <is>
          <t>广东省 深圳市 龙华区 福城街道万科启城家园8栋二单元901(000000)</t>
        </is>
      </c>
      <c r="BJ591" s="207" t="inlineStr">
        <is>
          <t>15794980538-9158</t>
        </is>
      </c>
      <c r="BK591" s="86" t="n"/>
      <c r="BL591" s="210" t="n"/>
      <c r="BM591" s="93" t="n"/>
      <c r="BN591" s="94" t="n"/>
      <c r="BO591" s="93" t="n"/>
      <c r="BP591" s="86" t="n"/>
      <c r="BQ591" s="96" t="n"/>
      <c r="BR591" s="96" t="n"/>
      <c r="BS591" s="97" t="n"/>
      <c r="BT591" s="96" t="n"/>
      <c r="BU591" s="97" t="n"/>
      <c r="BV591" s="96" t="n"/>
      <c r="BW591" s="97" t="n"/>
      <c r="BX591" s="97" t="n"/>
      <c r="BY591" s="97" t="n"/>
      <c r="BZ591" s="97" t="n"/>
      <c r="CH591" s="2" t="n"/>
      <c r="CI591" s="14" t="n"/>
      <c r="CJ591" s="25" t="n"/>
      <c r="CK591" s="25" t="n"/>
      <c r="CL591" s="25" t="n"/>
      <c r="CM591" s="25" t="n"/>
      <c r="CN591" s="25" t="n"/>
      <c r="CO591" s="25" t="n"/>
      <c r="CP591" s="25" t="n"/>
      <c r="CQ591" s="25" t="n"/>
      <c r="CR591" s="25" t="n"/>
      <c r="CS591" s="25" t="n"/>
      <c r="CT591" s="25" t="n"/>
      <c r="CU591" s="25" t="n"/>
      <c r="CV591" s="25" t="n"/>
      <c r="CW591" s="25" t="n"/>
      <c r="CX591" s="25" t="n"/>
      <c r="CY591" s="25" t="n"/>
      <c r="DC591" s="26" t="n"/>
      <c r="DD591" s="26" t="n"/>
      <c r="DE591" s="26" t="n"/>
      <c r="DF591" s="26" t="n"/>
      <c r="DG591" s="26" t="n"/>
      <c r="DH591" s="27" t="n"/>
      <c r="DJ591" s="241" t="inlineStr">
        <is>
          <t>✗ 金额不符</t>
        </is>
      </c>
      <c r="DK591" t="inlineStr">
        <is>
          <t>10541.00</t>
        </is>
      </c>
      <c r="DL591" s="239" t="n">
        <v>-0.32</v>
      </c>
      <c r="DM591" s="241" t="inlineStr">
        <is>
          <t>订单表整单退款关闭（退款10541元，状态【交易关闭】），佳宝仍记原始成交10540.68元；差额-0.32</t>
        </is>
      </c>
    </row>
    <row r="592" ht="15.75" customHeight="1" s="187">
      <c r="A592" s="84" t="n">
        <v>46061</v>
      </c>
      <c r="B592" s="206" t="inlineStr">
        <is>
          <t>已收货</t>
        </is>
      </c>
      <c r="C592" s="86" t="inlineStr">
        <is>
          <t>3237283527071219897</t>
        </is>
      </c>
      <c r="D592" s="86" t="inlineStr">
        <is>
          <t>张元</t>
        </is>
      </c>
      <c r="E592" s="87" t="n"/>
      <c r="F592" s="87" t="n"/>
      <c r="G592" s="87" t="inlineStr">
        <is>
          <t>样块</t>
        </is>
      </c>
      <c r="H592" s="207" t="inlineStr">
        <is>
          <t>样块</t>
        </is>
      </c>
      <c r="I592" s="89" t="n"/>
      <c r="J592" s="87" t="inlineStr">
        <is>
          <t>已结算</t>
        </is>
      </c>
      <c r="K592" s="86" t="inlineStr">
        <is>
          <t>杭州</t>
        </is>
      </c>
      <c r="L592" s="207">
        <f>SUM(M592:AO592)</f>
        <v/>
      </c>
      <c r="M592" s="207" t="n">
        <v>5</v>
      </c>
      <c r="N592" s="207" t="n"/>
      <c r="O592" s="207" t="n"/>
      <c r="P592" s="207" t="n"/>
      <c r="Q592" s="207" t="n"/>
      <c r="R592" s="207" t="n"/>
      <c r="S592" s="207" t="n"/>
      <c r="T592" s="207" t="n"/>
      <c r="U592" s="207" t="n"/>
      <c r="V592" s="207" t="n"/>
      <c r="W592" s="207" t="n"/>
      <c r="X592" s="207" t="n"/>
      <c r="Y592" s="207" t="n"/>
      <c r="Z592" s="207" t="n"/>
      <c r="AA592" s="207" t="n"/>
      <c r="AB592" s="207" t="n"/>
      <c r="AC592" s="207" t="n"/>
      <c r="AD592" s="207" t="n"/>
      <c r="AE592" s="207" t="n"/>
      <c r="AF592" s="207" t="n"/>
      <c r="AG592" s="207" t="n"/>
      <c r="AH592" s="207" t="n"/>
      <c r="AI592" s="207" t="n"/>
      <c r="AJ592" s="207" t="n"/>
      <c r="AK592" s="207" t="n"/>
      <c r="AL592" s="207" t="n"/>
      <c r="AM592" s="207" t="n">
        <v>2</v>
      </c>
      <c r="AN592" s="216" t="n"/>
      <c r="AO592" s="216" t="n"/>
      <c r="AP592" s="207" t="n">
        <v>5</v>
      </c>
      <c r="AQ592" s="207" t="n">
        <v>0</v>
      </c>
      <c r="AR592" s="207" t="n">
        <v>0</v>
      </c>
      <c r="AS592" s="207" t="n">
        <v>0</v>
      </c>
      <c r="AT592" s="207" t="n">
        <v>0</v>
      </c>
      <c r="AU592" s="207" t="n">
        <v>0</v>
      </c>
      <c r="AV592" s="207" t="n">
        <v>0</v>
      </c>
      <c r="AW592" s="207" t="n">
        <v>0</v>
      </c>
      <c r="AX592" s="208" t="n">
        <v>1</v>
      </c>
      <c r="AY592" s="209">
        <f>L592*AX592+AP592+AQ592+AR592+AV592+AW592+AS592+AT592+AU592</f>
        <v/>
      </c>
      <c r="AZ592" s="207" t="n">
        <v>22</v>
      </c>
      <c r="BA592" s="207" t="n">
        <v>0</v>
      </c>
      <c r="BB592" s="207">
        <f>AZ592*0.006</f>
        <v/>
      </c>
      <c r="BC592" s="209">
        <f>AZ592+BA592-BB592</f>
        <v/>
      </c>
      <c r="BD592" s="207" t="n">
        <v>0</v>
      </c>
      <c r="BE592" s="207" t="n">
        <v>0</v>
      </c>
      <c r="BF592" s="209">
        <f>BD592+BE592</f>
        <v/>
      </c>
      <c r="BG592" s="209">
        <f>BC592-AY592+BF592</f>
        <v/>
      </c>
      <c r="BH592" s="86" t="inlineStr">
        <is>
          <t>张元</t>
        </is>
      </c>
      <c r="BI592" s="86" t="inlineStr">
        <is>
          <t>北京 北京市 朝阳区 左家庄街道三源里街3号楼1408</t>
        </is>
      </c>
      <c r="BJ592" s="86" t="inlineStr">
        <is>
          <t>18401609341-2867</t>
        </is>
      </c>
      <c r="BK592" s="86" t="n"/>
      <c r="BL592" s="210" t="n"/>
      <c r="BM592" s="93" t="n"/>
      <c r="BN592" s="94" t="n"/>
      <c r="BO592" s="93" t="n"/>
      <c r="BP592" s="86" t="n"/>
      <c r="BQ592" s="96" t="n"/>
      <c r="BR592" s="96" t="n"/>
      <c r="BS592" s="97" t="n"/>
      <c r="BT592" s="96" t="n"/>
      <c r="BU592" s="97" t="n"/>
      <c r="BV592" s="96" t="n"/>
      <c r="BW592" s="97" t="n"/>
      <c r="BX592" s="97" t="n"/>
      <c r="BY592" s="97" t="n"/>
      <c r="BZ592" s="97" t="n"/>
      <c r="CH592" s="2" t="n"/>
      <c r="CI592" s="14" t="n"/>
      <c r="CJ592" s="25" t="n"/>
      <c r="CK592" s="25" t="n"/>
      <c r="CL592" s="25" t="n"/>
      <c r="CM592" s="25" t="n"/>
      <c r="CN592" s="25" t="n"/>
      <c r="CO592" s="25" t="n"/>
      <c r="CP592" s="25" t="n"/>
      <c r="CQ592" s="25" t="n"/>
      <c r="CR592" s="25" t="n"/>
      <c r="CS592" s="25" t="n"/>
      <c r="CT592" s="25" t="n"/>
      <c r="CU592" s="25" t="n"/>
      <c r="CV592" s="25" t="n"/>
      <c r="CW592" s="25" t="n"/>
      <c r="CX592" s="25" t="n"/>
      <c r="CY592" s="25" t="n"/>
      <c r="DC592" s="26" t="n"/>
      <c r="DD592" s="26" t="n"/>
      <c r="DE592" s="26" t="n"/>
      <c r="DF592" s="26" t="n"/>
      <c r="DG592" s="26" t="n"/>
      <c r="DH592" s="27" t="n"/>
      <c r="DJ592" s="238" t="inlineStr">
        <is>
          <t>✓ 金额一致</t>
        </is>
      </c>
      <c r="DK592" t="inlineStr">
        <is>
          <t>22.00</t>
        </is>
      </c>
      <c r="DL592" s="239" t="n">
        <v>0</v>
      </c>
    </row>
    <row r="593" ht="15.75" customHeight="1" s="187">
      <c r="A593" s="84" t="n">
        <v>46062</v>
      </c>
      <c r="B593" s="206" t="inlineStr">
        <is>
          <t>已收货</t>
        </is>
      </c>
      <c r="C593" s="86" t="inlineStr">
        <is>
          <t>3237427526674188360</t>
        </is>
      </c>
      <c r="D593" s="86" t="inlineStr">
        <is>
          <t>王可</t>
        </is>
      </c>
      <c r="E593" s="87" t="n"/>
      <c r="F593" s="87" t="n"/>
      <c r="G593" s="87" t="inlineStr">
        <is>
          <t>样块</t>
        </is>
      </c>
      <c r="H593" s="207" t="inlineStr">
        <is>
          <t>样块</t>
        </is>
      </c>
      <c r="I593" s="89" t="n"/>
      <c r="J593" s="87" t="inlineStr">
        <is>
          <t>已结算</t>
        </is>
      </c>
      <c r="K593" s="86" t="inlineStr">
        <is>
          <t>杭州</t>
        </is>
      </c>
      <c r="L593" s="207">
        <f>SUM(M593:AO593)</f>
        <v/>
      </c>
      <c r="M593" s="207" t="n">
        <v>5</v>
      </c>
      <c r="N593" s="207" t="n"/>
      <c r="O593" s="207" t="n"/>
      <c r="P593" s="207" t="n"/>
      <c r="Q593" s="207" t="n"/>
      <c r="R593" s="207" t="n"/>
      <c r="S593" s="207" t="n"/>
      <c r="T593" s="207" t="n"/>
      <c r="U593" s="207" t="n"/>
      <c r="V593" s="207" t="n"/>
      <c r="W593" s="207" t="n"/>
      <c r="X593" s="207" t="n"/>
      <c r="Y593" s="207" t="n"/>
      <c r="Z593" s="207" t="n"/>
      <c r="AA593" s="207" t="n"/>
      <c r="AB593" s="207" t="n"/>
      <c r="AC593" s="207" t="n"/>
      <c r="AD593" s="207" t="n"/>
      <c r="AE593" s="207" t="n"/>
      <c r="AF593" s="207" t="n"/>
      <c r="AG593" s="207" t="n"/>
      <c r="AH593" s="207" t="n"/>
      <c r="AI593" s="207" t="n"/>
      <c r="AJ593" s="207" t="n"/>
      <c r="AK593" s="207" t="n"/>
      <c r="AL593" s="207" t="n"/>
      <c r="AM593" s="207" t="n">
        <v>2</v>
      </c>
      <c r="AN593" s="207" t="n"/>
      <c r="AO593" s="207" t="n"/>
      <c r="AP593" s="207" t="n">
        <v>5</v>
      </c>
      <c r="AQ593" s="207" t="n">
        <v>0</v>
      </c>
      <c r="AR593" s="207" t="n">
        <v>0</v>
      </c>
      <c r="AS593" s="207" t="n">
        <v>0</v>
      </c>
      <c r="AT593" s="207" t="n">
        <v>0</v>
      </c>
      <c r="AU593" s="207" t="n">
        <v>0</v>
      </c>
      <c r="AV593" s="207" t="n">
        <v>0</v>
      </c>
      <c r="AW593" s="207" t="n">
        <v>0</v>
      </c>
      <c r="AX593" s="208" t="n">
        <v>1</v>
      </c>
      <c r="AY593" s="209">
        <f>L593*AX593+AP593+AQ593+AR593+AV593+AW593+AS593+AT593+AU593</f>
        <v/>
      </c>
      <c r="AZ593" s="207" t="n">
        <v>22</v>
      </c>
      <c r="BA593" s="207" t="n">
        <v>0</v>
      </c>
      <c r="BB593" s="207">
        <f>AZ593*0.006</f>
        <v/>
      </c>
      <c r="BC593" s="209">
        <f>AZ593+BA593-BB593</f>
        <v/>
      </c>
      <c r="BD593" s="207" t="n">
        <v>0</v>
      </c>
      <c r="BE593" s="207" t="n">
        <v>0</v>
      </c>
      <c r="BF593" s="209">
        <f>BD593+BE593</f>
        <v/>
      </c>
      <c r="BG593" s="209">
        <f>BC593-AY593+BF593</f>
        <v/>
      </c>
      <c r="BH593" s="86" t="inlineStr">
        <is>
          <t>王可</t>
        </is>
      </c>
      <c r="BI593" s="86" t="inlineStr">
        <is>
          <t>上海 上海市 普陀区 石泉路街道石川春晓南区4号604室</t>
        </is>
      </c>
      <c r="BJ593" s="86" t="inlineStr">
        <is>
          <t>13162842154-1770</t>
        </is>
      </c>
      <c r="BK593" s="86" t="n"/>
      <c r="BL593" s="210" t="n"/>
      <c r="BM593" s="93" t="n"/>
      <c r="BN593" s="94" t="n"/>
      <c r="BO593" s="93" t="n"/>
      <c r="BP593" s="86" t="n"/>
      <c r="BQ593" s="96" t="n"/>
      <c r="BR593" s="96" t="n"/>
      <c r="BS593" s="97" t="n"/>
      <c r="BT593" s="96" t="n"/>
      <c r="BU593" s="97" t="n"/>
      <c r="BV593" s="96" t="n"/>
      <c r="BW593" s="97" t="n"/>
      <c r="BX593" s="97" t="n"/>
      <c r="BY593" s="97" t="n"/>
      <c r="BZ593" s="97" t="n"/>
      <c r="CH593" s="2" t="n"/>
      <c r="CI593" s="14" t="n"/>
      <c r="CJ593" s="25" t="n"/>
      <c r="CK593" s="25" t="n"/>
      <c r="CL593" s="25" t="n"/>
      <c r="CM593" s="25" t="n"/>
      <c r="CN593" s="25" t="n"/>
      <c r="CO593" s="25" t="n"/>
      <c r="CP593" s="25" t="n"/>
      <c r="CQ593" s="25" t="n"/>
      <c r="CR593" s="25" t="n"/>
      <c r="CS593" s="25" t="n"/>
      <c r="CT593" s="25" t="n"/>
      <c r="CU593" s="25" t="n"/>
      <c r="CV593" s="25" t="n"/>
      <c r="CW593" s="25" t="n"/>
      <c r="CX593" s="25" t="n"/>
      <c r="CY593" s="25" t="n"/>
      <c r="DC593" s="26" t="n"/>
      <c r="DD593" s="26" t="n"/>
      <c r="DE593" s="26" t="n"/>
      <c r="DF593" s="26" t="n"/>
      <c r="DG593" s="26" t="n"/>
      <c r="DH593" s="27" t="n"/>
      <c r="DJ593" s="238" t="inlineStr">
        <is>
          <t>✓ 金额一致</t>
        </is>
      </c>
      <c r="DK593" t="inlineStr">
        <is>
          <t>22.00</t>
        </is>
      </c>
      <c r="DL593" s="239" t="n">
        <v>0</v>
      </c>
    </row>
    <row r="594" ht="15.75" customHeight="1" s="187">
      <c r="A594" s="84" t="n">
        <v>46062</v>
      </c>
      <c r="B594" s="206" t="inlineStr">
        <is>
          <t>已收货</t>
        </is>
      </c>
      <c r="C594" s="86" t="inlineStr">
        <is>
          <t>3238671434751243175</t>
        </is>
      </c>
      <c r="D594" s="86" t="inlineStr">
        <is>
          <t>赵伟</t>
        </is>
      </c>
      <c r="E594" s="87" t="n"/>
      <c r="F594" s="87" t="n"/>
      <c r="G594" s="87" t="inlineStr">
        <is>
          <t>样块</t>
        </is>
      </c>
      <c r="H594" s="207" t="inlineStr">
        <is>
          <t>样块</t>
        </is>
      </c>
      <c r="I594" s="89" t="n"/>
      <c r="J594" s="87" t="inlineStr">
        <is>
          <t>已结算</t>
        </is>
      </c>
      <c r="K594" s="86" t="inlineStr">
        <is>
          <t>杭州</t>
        </is>
      </c>
      <c r="L594" s="207">
        <f>SUM(M594:AO594)</f>
        <v/>
      </c>
      <c r="M594" s="207" t="n">
        <v>5</v>
      </c>
      <c r="N594" s="207" t="n"/>
      <c r="O594" s="207" t="n"/>
      <c r="P594" s="207" t="n"/>
      <c r="Q594" s="207" t="n"/>
      <c r="R594" s="207" t="n"/>
      <c r="S594" s="207" t="n"/>
      <c r="T594" s="207" t="n"/>
      <c r="U594" s="207" t="n"/>
      <c r="V594" s="207" t="n"/>
      <c r="W594" s="207" t="n"/>
      <c r="X594" s="207" t="n"/>
      <c r="Y594" s="207" t="n"/>
      <c r="Z594" s="207" t="n"/>
      <c r="AA594" s="207" t="n"/>
      <c r="AB594" s="207" t="n"/>
      <c r="AC594" s="207" t="n"/>
      <c r="AD594" s="207" t="n"/>
      <c r="AE594" s="207" t="n"/>
      <c r="AF594" s="207" t="n"/>
      <c r="AG594" s="207" t="n"/>
      <c r="AH594" s="207" t="n"/>
      <c r="AI594" s="207" t="n"/>
      <c r="AJ594" s="207" t="n"/>
      <c r="AK594" s="207" t="n"/>
      <c r="AL594" s="207" t="n"/>
      <c r="AM594" s="207" t="n">
        <v>2</v>
      </c>
      <c r="AN594" s="207" t="n"/>
      <c r="AO594" s="207" t="n"/>
      <c r="AP594" s="207" t="n">
        <v>5</v>
      </c>
      <c r="AQ594" s="207" t="n">
        <v>0</v>
      </c>
      <c r="AR594" s="207" t="n">
        <v>0</v>
      </c>
      <c r="AS594" s="207" t="n">
        <v>0</v>
      </c>
      <c r="AT594" s="207" t="n">
        <v>0</v>
      </c>
      <c r="AU594" s="207" t="n">
        <v>0</v>
      </c>
      <c r="AV594" s="207" t="n">
        <v>0</v>
      </c>
      <c r="AW594" s="207" t="n">
        <v>0</v>
      </c>
      <c r="AX594" s="208" t="n">
        <v>1</v>
      </c>
      <c r="AY594" s="209">
        <f>L594*AX594+AP594+AQ594+AR594+AV594+AW594+AS594+AT594+AU594</f>
        <v/>
      </c>
      <c r="AZ594" s="207" t="n">
        <v>44</v>
      </c>
      <c r="BA594" s="207" t="n">
        <v>0</v>
      </c>
      <c r="BB594" s="207">
        <f>AZ594*0.006</f>
        <v/>
      </c>
      <c r="BC594" s="209">
        <f>AZ594+BA594-BB594</f>
        <v/>
      </c>
      <c r="BD594" s="207" t="n">
        <v>0</v>
      </c>
      <c r="BE594" s="207" t="n">
        <v>0</v>
      </c>
      <c r="BF594" s="209">
        <f>BD594+BE594</f>
        <v/>
      </c>
      <c r="BG594" s="209">
        <f>BC594-AY594+BF594</f>
        <v/>
      </c>
      <c r="BH594" s="86" t="inlineStr">
        <is>
          <t>赵伟</t>
        </is>
      </c>
      <c r="BI594" s="86" t="inlineStr">
        <is>
          <t>安徽省 合肥市 巢湖市 半汤街道琥珀新天地东苑5幢</t>
        </is>
      </c>
      <c r="BJ594" s="86" t="inlineStr">
        <is>
          <t>18430787160-4256</t>
        </is>
      </c>
      <c r="BK594" s="86" t="n"/>
      <c r="BL594" s="210" t="n"/>
      <c r="BM594" s="93" t="n"/>
      <c r="BN594" s="94" t="n"/>
      <c r="BO594" s="93" t="n"/>
      <c r="BP594" s="86" t="n"/>
      <c r="BQ594" s="96" t="n"/>
      <c r="BR594" s="96" t="n"/>
      <c r="BS594" s="97" t="n"/>
      <c r="BT594" s="96" t="n"/>
      <c r="BU594" s="97" t="n"/>
      <c r="BV594" s="96" t="n"/>
      <c r="BW594" s="97" t="n"/>
      <c r="BX594" s="97" t="n"/>
      <c r="BY594" s="97" t="n"/>
      <c r="BZ594" s="97" t="n"/>
      <c r="CH594" s="2" t="n"/>
      <c r="CI594" s="14" t="n"/>
      <c r="CJ594" s="25" t="n"/>
      <c r="CK594" s="25" t="n"/>
      <c r="CL594" s="25" t="n"/>
      <c r="CM594" s="25" t="n"/>
      <c r="CN594" s="25" t="n"/>
      <c r="CO594" s="25" t="n"/>
      <c r="CP594" s="25" t="n"/>
      <c r="CQ594" s="25" t="n"/>
      <c r="CR594" s="25" t="n"/>
      <c r="CS594" s="25" t="n"/>
      <c r="CT594" s="25" t="n"/>
      <c r="CU594" s="25" t="n"/>
      <c r="CV594" s="25" t="n"/>
      <c r="CW594" s="25" t="n"/>
      <c r="CX594" s="25" t="n"/>
      <c r="CY594" s="25" t="n"/>
      <c r="DC594" s="26" t="n"/>
      <c r="DD594" s="26" t="n"/>
      <c r="DE594" s="26" t="n"/>
      <c r="DF594" s="26" t="n"/>
      <c r="DG594" s="26" t="n"/>
      <c r="DH594" s="27" t="n"/>
      <c r="DJ594" s="211" t="inlineStr">
        <is>
          <t>订单表中未找到</t>
        </is>
      </c>
      <c r="DK594" t="inlineStr">
        <is>
          <t>—</t>
        </is>
      </c>
      <c r="DL594" t="inlineStr">
        <is>
          <t>—</t>
        </is>
      </c>
    </row>
    <row r="595" ht="15.75" customHeight="1" s="187">
      <c r="A595" s="84" t="n">
        <v>46064</v>
      </c>
      <c r="B595" s="206" t="inlineStr">
        <is>
          <t>已收货</t>
        </is>
      </c>
      <c r="C595" s="86" t="inlineStr">
        <is>
          <t>5066556590318232018</t>
        </is>
      </c>
      <c r="D595" s="86" t="inlineStr">
        <is>
          <t>刘晓宇</t>
        </is>
      </c>
      <c r="E595" s="87" t="n"/>
      <c r="F595" s="87" t="n"/>
      <c r="G595" s="87" t="inlineStr">
        <is>
          <t>样块*2</t>
        </is>
      </c>
      <c r="H595" s="207" t="inlineStr">
        <is>
          <t>样块</t>
        </is>
      </c>
      <c r="I595" s="89" t="n"/>
      <c r="J595" s="87" t="inlineStr">
        <is>
          <t>已结算</t>
        </is>
      </c>
      <c r="K595" s="86" t="inlineStr">
        <is>
          <t>杭州</t>
        </is>
      </c>
      <c r="L595" s="207">
        <f>SUM(M595:AO595)</f>
        <v/>
      </c>
      <c r="M595" s="207" t="n">
        <v>10</v>
      </c>
      <c r="N595" s="207" t="n"/>
      <c r="O595" s="207" t="n"/>
      <c r="P595" s="207" t="n"/>
      <c r="Q595" s="207" t="n"/>
      <c r="R595" s="207" t="n"/>
      <c r="S595" s="207" t="n"/>
      <c r="T595" s="207" t="n"/>
      <c r="U595" s="207" t="n"/>
      <c r="V595" s="207" t="n"/>
      <c r="W595" s="207" t="n"/>
      <c r="X595" s="207" t="n"/>
      <c r="Y595" s="207" t="n"/>
      <c r="Z595" s="207" t="n"/>
      <c r="AA595" s="207" t="n"/>
      <c r="AB595" s="207" t="n"/>
      <c r="AC595" s="207" t="n"/>
      <c r="AD595" s="207" t="n"/>
      <c r="AE595" s="207" t="n"/>
      <c r="AF595" s="207" t="n"/>
      <c r="AG595" s="207" t="n"/>
      <c r="AH595" s="207" t="n"/>
      <c r="AI595" s="207" t="n"/>
      <c r="AJ595" s="207" t="n"/>
      <c r="AK595" s="207" t="n"/>
      <c r="AL595" s="207" t="n"/>
      <c r="AM595" s="207" t="n">
        <v>2</v>
      </c>
      <c r="AN595" s="207" t="n"/>
      <c r="AO595" s="207" t="n"/>
      <c r="AP595" s="207" t="n">
        <v>5</v>
      </c>
      <c r="AQ595" s="207" t="n">
        <v>0</v>
      </c>
      <c r="AR595" s="207" t="n">
        <v>0</v>
      </c>
      <c r="AS595" s="207" t="n">
        <v>0</v>
      </c>
      <c r="AT595" s="207" t="n">
        <v>0</v>
      </c>
      <c r="AU595" s="207" t="n">
        <v>0</v>
      </c>
      <c r="AV595" s="207" t="n">
        <v>0</v>
      </c>
      <c r="AW595" s="207" t="n">
        <v>0</v>
      </c>
      <c r="AX595" s="208" t="n">
        <v>1</v>
      </c>
      <c r="AY595" s="209">
        <f>L595*AX595+AP595+AQ595+AR595+AV595+AW595+AS595+AT595+AU595</f>
        <v/>
      </c>
      <c r="AZ595" s="207" t="n">
        <v>44</v>
      </c>
      <c r="BA595" s="207" t="n">
        <v>0</v>
      </c>
      <c r="BB595" s="207">
        <f>AZ595*0.006</f>
        <v/>
      </c>
      <c r="BC595" s="209">
        <f>AZ595+BA595-BB595</f>
        <v/>
      </c>
      <c r="BD595" s="207" t="n">
        <v>0</v>
      </c>
      <c r="BE595" s="207" t="n">
        <v>0</v>
      </c>
      <c r="BF595" s="209">
        <f>BD595+BE595</f>
        <v/>
      </c>
      <c r="BG595" s="209">
        <f>BC595-AY595+BF595</f>
        <v/>
      </c>
      <c r="BH595" s="86" t="inlineStr">
        <is>
          <t>刘晓宇</t>
        </is>
      </c>
      <c r="BI595" s="86" t="inlineStr">
        <is>
          <t>重庆 重庆市 沙坪坝区 虎溪街道龙湖U城1组团3栋</t>
        </is>
      </c>
      <c r="BJ595" s="86" t="inlineStr">
        <is>
          <t>14727234415-2964</t>
        </is>
      </c>
      <c r="BK595" s="86" t="n"/>
      <c r="BL595" s="210" t="n"/>
      <c r="BM595" s="93" t="n"/>
      <c r="BN595" s="94" t="n"/>
      <c r="BO595" s="93" t="n"/>
      <c r="BP595" s="86" t="n"/>
      <c r="BQ595" s="96" t="n"/>
      <c r="BR595" s="96" t="n"/>
      <c r="BS595" s="97" t="n"/>
      <c r="BT595" s="96" t="n"/>
      <c r="BU595" s="97" t="n"/>
      <c r="BV595" s="96" t="n"/>
      <c r="BW595" s="97" t="n"/>
      <c r="BX595" s="97" t="n"/>
      <c r="BY595" s="97" t="n"/>
      <c r="BZ595" s="97" t="n"/>
      <c r="CH595" s="2" t="n"/>
      <c r="CI595" s="14" t="n"/>
      <c r="CJ595" s="25" t="n"/>
      <c r="CK595" s="25" t="n"/>
      <c r="CL595" s="25" t="n"/>
      <c r="CM595" s="25" t="n"/>
      <c r="CN595" s="25" t="n"/>
      <c r="CO595" s="25" t="n"/>
      <c r="CP595" s="25" t="n"/>
      <c r="CQ595" s="25" t="n"/>
      <c r="CR595" s="25" t="n"/>
      <c r="CS595" s="25" t="n"/>
      <c r="CT595" s="25" t="n"/>
      <c r="CU595" s="25" t="n"/>
      <c r="CV595" s="25" t="n"/>
      <c r="CW595" s="25" t="n"/>
      <c r="CX595" s="25" t="n"/>
      <c r="CY595" s="25" t="n"/>
      <c r="DC595" s="26" t="n"/>
      <c r="DD595" s="26" t="n"/>
      <c r="DE595" s="26" t="n"/>
      <c r="DF595" s="26" t="n"/>
      <c r="DG595" s="26" t="n"/>
      <c r="DH595" s="27" t="n"/>
      <c r="DJ595" s="211" t="inlineStr">
        <is>
          <t>订单表中未找到</t>
        </is>
      </c>
      <c r="DK595" t="inlineStr">
        <is>
          <t>—</t>
        </is>
      </c>
      <c r="DL595" t="inlineStr">
        <is>
          <t>—</t>
        </is>
      </c>
    </row>
    <row r="596" ht="15.75" customHeight="1" s="187">
      <c r="A596" s="99" t="n">
        <v>46064</v>
      </c>
      <c r="B596" s="100" t="inlineStr">
        <is>
          <t>退货</t>
        </is>
      </c>
      <c r="C596" s="101" t="inlineStr">
        <is>
          <t>5067945110722719629</t>
        </is>
      </c>
      <c r="D596" s="100" t="inlineStr">
        <is>
          <t>燕子</t>
        </is>
      </c>
      <c r="E596" s="100" t="n"/>
      <c r="F596" s="100" t="n"/>
      <c r="G596" s="102" t="inlineStr">
        <is>
          <t>砂白色1.4米岩板餐桌，定制</t>
        </is>
      </c>
      <c r="H596" s="100" t="inlineStr">
        <is>
          <t>榉木餐桌</t>
        </is>
      </c>
      <c r="I596" s="100" t="inlineStr">
        <is>
          <t>140cm*70cm</t>
        </is>
      </c>
      <c r="J596" s="212" t="inlineStr">
        <is>
          <t>已结算</t>
        </is>
      </c>
      <c r="K596" s="86" t="inlineStr">
        <is>
          <t>江西</t>
        </is>
      </c>
      <c r="L596" s="207">
        <f>SUM(M596:AO596)</f>
        <v/>
      </c>
      <c r="M596" s="216">
        <f>1300</f>
        <v/>
      </c>
      <c r="N596" s="207" t="n"/>
      <c r="O596" s="216" t="n"/>
      <c r="P596" s="216" t="n"/>
      <c r="Q596" s="216" t="n"/>
      <c r="R596" s="121" t="n">
        <v>220</v>
      </c>
      <c r="S596" s="207" t="n"/>
      <c r="T596" s="207" t="n"/>
      <c r="U596" s="207" t="n"/>
      <c r="V596" s="207" t="n"/>
      <c r="W596" s="207" t="n"/>
      <c r="X596" s="207" t="n"/>
      <c r="Y596" s="207" t="n"/>
      <c r="Z596" s="207" t="n"/>
      <c r="AA596" s="207" t="n"/>
      <c r="AB596" s="216" t="n"/>
      <c r="AC596" s="216" t="n"/>
      <c r="AD596" s="121" t="n">
        <v>2.5</v>
      </c>
      <c r="AE596" s="207" t="n"/>
      <c r="AF596" s="216" t="n"/>
      <c r="AG596" s="216" t="n"/>
      <c r="AH596" s="216" t="n"/>
      <c r="AI596" s="216" t="n"/>
      <c r="AJ596" s="216" t="n"/>
      <c r="AK596" s="216" t="n"/>
      <c r="AL596" s="216" t="n"/>
      <c r="AM596" s="121" t="n">
        <v>190</v>
      </c>
      <c r="AN596" s="207" t="n"/>
      <c r="AO596" s="207" t="n"/>
      <c r="AP596" s="121" t="n">
        <v>300</v>
      </c>
      <c r="AQ596" s="121" t="n">
        <v>30</v>
      </c>
      <c r="AR596" s="121" t="n">
        <v>70</v>
      </c>
      <c r="AS596" s="207" t="n">
        <v>0</v>
      </c>
      <c r="AT596" s="207" t="n">
        <v>0</v>
      </c>
      <c r="AU596" s="207" t="n">
        <v>0</v>
      </c>
      <c r="AV596" s="207" t="n">
        <v>0</v>
      </c>
      <c r="AW596" s="207" t="n">
        <v>0</v>
      </c>
      <c r="AX596" s="208" t="n">
        <v>1</v>
      </c>
      <c r="AY596" s="209">
        <f>L596*AX596+AP596+AQ596+AR596+AV596+AW596+AS596+AT596+AU596</f>
        <v/>
      </c>
      <c r="AZ596" s="207" t="n">
        <v>0</v>
      </c>
      <c r="BA596" s="207" t="n">
        <v>0</v>
      </c>
      <c r="BB596" s="207">
        <f>AZ596*0.006</f>
        <v/>
      </c>
      <c r="BC596" s="209">
        <f>AZ596+BA596-BB596</f>
        <v/>
      </c>
      <c r="BD596" s="207" t="n">
        <v>0</v>
      </c>
      <c r="BE596" s="207" t="n">
        <v>0</v>
      </c>
      <c r="BF596" s="209">
        <f>BD596+BE596</f>
        <v/>
      </c>
      <c r="BG596" s="209">
        <f>BC596-AY596+BF596</f>
        <v/>
      </c>
      <c r="BH596" s="207" t="inlineStr">
        <is>
          <t>燕子</t>
        </is>
      </c>
      <c r="BI596" s="207" t="inlineStr">
        <is>
          <t>河南省 郑州市 中原区 汝河路街道沁河路28号沁河苑2号院(000000)</t>
        </is>
      </c>
      <c r="BJ596" s="207" t="inlineStr">
        <is>
          <t>18430795763-4236</t>
        </is>
      </c>
      <c r="BK596" s="86" t="n"/>
      <c r="BL596" s="210" t="n"/>
      <c r="BM596" s="93" t="n"/>
      <c r="BN596" s="94" t="n"/>
      <c r="BO596" s="93" t="n"/>
      <c r="BP596" s="86" t="n"/>
      <c r="BQ596" s="96" t="n"/>
      <c r="BR596" s="96" t="n"/>
      <c r="BS596" s="97" t="n"/>
      <c r="BT596" s="96" t="n"/>
      <c r="BU596" s="97" t="n"/>
      <c r="BV596" s="96" t="n"/>
      <c r="BW596" s="97" t="n"/>
      <c r="BX596" s="97" t="n"/>
      <c r="BY596" s="97" t="n"/>
      <c r="BZ596" s="97" t="n"/>
      <c r="CH596" s="2" t="n"/>
      <c r="CI596" s="14" t="n"/>
      <c r="CJ596" s="25" t="n"/>
      <c r="CK596" s="25" t="n"/>
      <c r="CL596" s="25" t="n"/>
      <c r="CM596" s="25" t="n"/>
      <c r="CN596" s="25" t="n"/>
      <c r="CO596" s="25" t="n"/>
      <c r="CP596" s="25" t="n"/>
      <c r="CQ596" s="25" t="n"/>
      <c r="CR596" s="25" t="n"/>
      <c r="CS596" s="25" t="n"/>
      <c r="CT596" s="25" t="n"/>
      <c r="CU596" s="25" t="n"/>
      <c r="CV596" s="25" t="n"/>
      <c r="CW596" s="25" t="n"/>
      <c r="CX596" s="25" t="n"/>
      <c r="CY596" s="25" t="n"/>
      <c r="DC596" s="26" t="n"/>
      <c r="DD596" s="26" t="n"/>
      <c r="DE596" s="26" t="n"/>
      <c r="DF596" s="26" t="n"/>
      <c r="DG596" s="26" t="n"/>
      <c r="DH596" s="27" t="n"/>
      <c r="DJ596" s="241" t="inlineStr">
        <is>
          <t>✗ 金额不符</t>
        </is>
      </c>
      <c r="DK596" t="inlineStr">
        <is>
          <t>2487.20</t>
        </is>
      </c>
      <c r="DL596" s="239" t="n">
        <v>-2487.2</v>
      </c>
      <c r="DM596" s="241" t="inlineStr">
        <is>
          <t>佳宝按【退货】记为0元，订单表仍保留原应付2487.20元；差额-2,487.20（整单退货/退款，两表口径不同）</t>
        </is>
      </c>
    </row>
    <row r="597" ht="15.75" customHeight="1" s="187">
      <c r="A597" s="84" t="n">
        <v>46067</v>
      </c>
      <c r="B597" s="206" t="inlineStr">
        <is>
          <t>已收货</t>
        </is>
      </c>
      <c r="C597" s="86" t="inlineStr">
        <is>
          <t>3248154662394180074</t>
        </is>
      </c>
      <c r="D597" s="110" t="inlineStr">
        <is>
          <t>林旭艳</t>
        </is>
      </c>
      <c r="E597" s="87" t="inlineStr">
        <is>
          <t>样块</t>
        </is>
      </c>
      <c r="F597" s="87" t="inlineStr">
        <is>
          <t>样块</t>
        </is>
      </c>
      <c r="G597" s="87" t="inlineStr">
        <is>
          <t>样块</t>
        </is>
      </c>
      <c r="H597" s="87" t="inlineStr">
        <is>
          <t>样块</t>
        </is>
      </c>
      <c r="I597" s="89" t="n"/>
      <c r="J597" s="87" t="inlineStr">
        <is>
          <t>已结算</t>
        </is>
      </c>
      <c r="K597" s="87" t="inlineStr">
        <is>
          <t>杭州</t>
        </is>
      </c>
      <c r="L597" s="216" t="n">
        <v>7</v>
      </c>
      <c r="M597" s="216" t="n"/>
      <c r="N597" s="216" t="n"/>
      <c r="O597" s="216" t="n"/>
      <c r="P597" s="216" t="n"/>
      <c r="Q597" s="216" t="n"/>
      <c r="R597" s="216" t="n"/>
      <c r="S597" s="216" t="n"/>
      <c r="T597" s="216" t="n"/>
      <c r="U597" s="216" t="n"/>
      <c r="V597" s="216" t="n"/>
      <c r="W597" s="216" t="n"/>
      <c r="X597" s="216" t="n"/>
      <c r="Y597" s="216" t="n"/>
      <c r="Z597" s="216" t="n"/>
      <c r="AA597" s="216" t="n"/>
      <c r="AB597" s="216" t="n"/>
      <c r="AC597" s="216" t="n"/>
      <c r="AD597" s="216" t="n"/>
      <c r="AE597" s="216" t="n"/>
      <c r="AF597" s="216" t="n"/>
      <c r="AG597" s="216" t="n"/>
      <c r="AH597" s="216" t="n"/>
      <c r="AI597" s="216" t="n"/>
      <c r="AJ597" s="216" t="n"/>
      <c r="AK597" s="216" t="n"/>
      <c r="AL597" s="216" t="n"/>
      <c r="AM597" s="207" t="n"/>
      <c r="AN597" s="207" t="n"/>
      <c r="AO597" s="207" t="n"/>
      <c r="AP597" s="207" t="n">
        <v>5</v>
      </c>
      <c r="AQ597" s="207" t="n">
        <v>0</v>
      </c>
      <c r="AR597" s="207" t="n">
        <v>0</v>
      </c>
      <c r="AS597" s="207" t="n">
        <v>0</v>
      </c>
      <c r="AT597" s="207" t="n">
        <v>0</v>
      </c>
      <c r="AU597" s="207" t="n">
        <v>0</v>
      </c>
      <c r="AV597" s="207" t="n">
        <v>0</v>
      </c>
      <c r="AW597" s="207" t="n">
        <v>0</v>
      </c>
      <c r="AX597" s="208" t="n">
        <v>1</v>
      </c>
      <c r="AY597" s="209">
        <f>L597*AX597+AP597+AQ597+AR597+AV597+AW597+AS597+AT597+AU597</f>
        <v/>
      </c>
      <c r="AZ597" s="207" t="n">
        <v>22.5</v>
      </c>
      <c r="BA597" s="207" t="n">
        <v>0</v>
      </c>
      <c r="BB597" s="207">
        <f>AZ597*0.006</f>
        <v/>
      </c>
      <c r="BC597" s="209">
        <f>AZ597+BA597-BB597</f>
        <v/>
      </c>
      <c r="BD597" s="207" t="n">
        <v>0</v>
      </c>
      <c r="BE597" s="207" t="n">
        <v>0</v>
      </c>
      <c r="BF597" s="209">
        <f>BD597+BE597</f>
        <v/>
      </c>
      <c r="BG597" s="209">
        <f>BC597-AY597+BF597</f>
        <v/>
      </c>
      <c r="BH597" s="87" t="inlineStr">
        <is>
          <t>林旭艳</t>
        </is>
      </c>
      <c r="BI597" s="210" t="inlineStr">
        <is>
          <t>浙江省 温州市 鹿城区 南汇街道上田小区20栋2101室</t>
        </is>
      </c>
      <c r="BJ597" s="86" t="inlineStr">
        <is>
          <t>18413516409-9042</t>
        </is>
      </c>
      <c r="BK597" s="86" t="n"/>
      <c r="BL597" s="210" t="n"/>
      <c r="BM597" s="93" t="n"/>
      <c r="BN597" s="94" t="n"/>
      <c r="BO597" s="93" t="n"/>
      <c r="BP597" s="86" t="n"/>
      <c r="BQ597" s="96" t="n"/>
      <c r="BR597" s="96" t="n"/>
      <c r="BS597" s="97" t="n"/>
      <c r="BT597" s="96" t="n"/>
      <c r="BU597" s="97" t="n"/>
      <c r="BV597" s="96" t="n"/>
      <c r="BW597" s="97" t="n"/>
      <c r="BX597" s="97" t="n"/>
      <c r="BY597" s="97" t="n"/>
      <c r="BZ597" s="97" t="n"/>
      <c r="CH597" s="2" t="n"/>
      <c r="CI597" s="14">
        <f>CJ597&amp;CK597</f>
        <v/>
      </c>
      <c r="CJ597" s="25" t="n"/>
      <c r="CK597" s="25" t="n"/>
      <c r="CL597" s="25" t="n"/>
      <c r="CM597" s="25" t="n"/>
      <c r="CN597" s="25" t="n"/>
      <c r="CO597" s="25" t="n"/>
      <c r="CP597" s="25" t="n"/>
      <c r="CQ597" s="25" t="n"/>
      <c r="CR597" s="25" t="n"/>
      <c r="CS597" s="25" t="n"/>
      <c r="CT597" s="25" t="n"/>
      <c r="CU597" s="25" t="n"/>
      <c r="CV597" s="25" t="n"/>
      <c r="CW597" s="25" t="n"/>
      <c r="CX597" s="25" t="n"/>
      <c r="CY597" s="25" t="n"/>
      <c r="DC597" s="26" t="n"/>
      <c r="DD597" s="26" t="n"/>
      <c r="DE597" s="26" t="n"/>
      <c r="DF597" s="26" t="n"/>
      <c r="DG597" s="26" t="n"/>
      <c r="DH597" s="27" t="n"/>
      <c r="DJ597" s="238" t="inlineStr">
        <is>
          <t>✓ 金额一致</t>
        </is>
      </c>
      <c r="DK597" t="inlineStr">
        <is>
          <t>22.50</t>
        </is>
      </c>
      <c r="DL597" s="239" t="n">
        <v>0</v>
      </c>
    </row>
    <row r="598" ht="15.75" customHeight="1" s="187">
      <c r="A598" s="84" t="n">
        <v>46076</v>
      </c>
      <c r="B598" s="206" t="inlineStr">
        <is>
          <t>已收货</t>
        </is>
      </c>
      <c r="C598" s="86" t="inlineStr">
        <is>
          <t>3257202795193869669</t>
        </is>
      </c>
      <c r="D598" s="110" t="inlineStr">
        <is>
          <t>王艳</t>
        </is>
      </c>
      <c r="E598" s="87" t="n"/>
      <c r="F598" s="87" t="n"/>
      <c r="G598" s="87" t="inlineStr">
        <is>
          <t>定制160*70 榉木桌</t>
        </is>
      </c>
      <c r="H598" s="87" t="inlineStr">
        <is>
          <t>榉木餐桌</t>
        </is>
      </c>
      <c r="I598" s="89" t="inlineStr">
        <is>
          <t>180cm*80cm</t>
        </is>
      </c>
      <c r="J598" s="87" t="n"/>
      <c r="K598" s="87" t="inlineStr">
        <is>
          <t>江西</t>
        </is>
      </c>
      <c r="L598" s="216" t="n">
        <v>1522.5</v>
      </c>
      <c r="M598" s="216" t="n">
        <v>1400</v>
      </c>
      <c r="N598" s="216" t="n"/>
      <c r="O598" s="216" t="n"/>
      <c r="P598" s="216" t="n"/>
      <c r="Q598" s="216" t="n"/>
      <c r="R598" s="216" t="n">
        <v>220</v>
      </c>
      <c r="S598" s="216" t="n"/>
      <c r="T598" s="216" t="n"/>
      <c r="U598" s="216" t="n"/>
      <c r="V598" s="216" t="n"/>
      <c r="W598" s="216" t="n"/>
      <c r="X598" s="216" t="n"/>
      <c r="Y598" s="216" t="n"/>
      <c r="Z598" s="216" t="n"/>
      <c r="AA598" s="216" t="n"/>
      <c r="AB598" s="216" t="n"/>
      <c r="AC598" s="216" t="n"/>
      <c r="AD598" s="216" t="n"/>
      <c r="AE598" s="216" t="n"/>
      <c r="AF598" s="216" t="n"/>
      <c r="AG598" s="216" t="n"/>
      <c r="AH598" s="216" t="n"/>
      <c r="AI598" s="216" t="n"/>
      <c r="AJ598" s="216" t="n"/>
      <c r="AK598" s="216" t="n"/>
      <c r="AL598" s="216" t="n"/>
      <c r="AM598" s="207" t="n"/>
      <c r="AN598" s="207" t="n"/>
      <c r="AO598" s="207" t="n"/>
      <c r="AP598" s="207" t="n"/>
      <c r="AQ598" s="207" t="n"/>
      <c r="AR598" s="207" t="n">
        <v>0</v>
      </c>
      <c r="AS598" s="207" t="n"/>
      <c r="AT598" s="207" t="n"/>
      <c r="AU598" s="207" t="n"/>
      <c r="AV598" s="207" t="n"/>
      <c r="AW598" s="207" t="n"/>
      <c r="AX598" s="208" t="n">
        <v>1</v>
      </c>
      <c r="AY598" s="209">
        <f>L598*AX598+AP598+AQ598+AR598+AV598+AW598+AS598+AT598+AU598</f>
        <v/>
      </c>
      <c r="AZ598" s="207" t="n">
        <v>2836</v>
      </c>
      <c r="BA598" s="207" t="n">
        <v>0</v>
      </c>
      <c r="BB598" s="207">
        <f>AZ598*0.006</f>
        <v/>
      </c>
      <c r="BC598" s="209">
        <f>AZ598+BA598-BB598</f>
        <v/>
      </c>
      <c r="BD598" s="207" t="n">
        <v>0</v>
      </c>
      <c r="BE598" s="207" t="n">
        <v>0</v>
      </c>
      <c r="BF598" s="209">
        <f>BD598+BE598</f>
        <v/>
      </c>
      <c r="BG598" s="209">
        <f>BC598-AY598+BF598</f>
        <v/>
      </c>
      <c r="BH598" s="87" t="inlineStr">
        <is>
          <t>王艳</t>
        </is>
      </c>
      <c r="BI598" s="210" t="inlineStr">
        <is>
          <t>江苏省 苏州市 昆山市 花桥镇绿地21城A区55弄11号</t>
        </is>
      </c>
      <c r="BJ598" s="86" t="inlineStr">
        <is>
          <t>17851494913-6540</t>
        </is>
      </c>
      <c r="BK598" s="86" t="n"/>
      <c r="BL598" s="210" t="n"/>
      <c r="BM598" s="93" t="n"/>
      <c r="BN598" s="94" t="n"/>
      <c r="BO598" s="93" t="n"/>
      <c r="BP598" s="86" t="n"/>
      <c r="BQ598" s="96" t="n"/>
      <c r="BR598" s="96" t="n"/>
      <c r="BS598" s="97" t="n"/>
      <c r="BT598" s="96" t="n"/>
      <c r="BU598" s="97" t="n"/>
      <c r="BV598" s="96" t="n"/>
      <c r="BW598" s="97" t="n"/>
      <c r="BX598" s="97" t="n"/>
      <c r="BY598" s="97" t="n"/>
      <c r="BZ598" s="97" t="n"/>
      <c r="CH598" s="2" t="n"/>
      <c r="CI598" s="14" t="n"/>
      <c r="CJ598" s="25" t="n"/>
      <c r="CK598" s="25" t="n"/>
      <c r="CL598" s="25" t="n"/>
      <c r="CM598" s="25" t="n"/>
      <c r="CN598" s="25" t="n"/>
      <c r="CO598" s="25" t="n"/>
      <c r="CP598" s="25" t="n"/>
      <c r="CQ598" s="25" t="n"/>
      <c r="CR598" s="25" t="n"/>
      <c r="CS598" s="25" t="n"/>
      <c r="CT598" s="25" t="n"/>
      <c r="CU598" s="25" t="n"/>
      <c r="CV598" s="25" t="n"/>
      <c r="CW598" s="25" t="n"/>
      <c r="CX598" s="25" t="n"/>
      <c r="CY598" s="25" t="n"/>
      <c r="DC598" s="26" t="n"/>
      <c r="DD598" s="26" t="n"/>
      <c r="DE598" s="26" t="n"/>
      <c r="DF598" s="26" t="n"/>
      <c r="DG598" s="26" t="n"/>
      <c r="DH598" s="27" t="n"/>
      <c r="DJ598" s="238" t="inlineStr">
        <is>
          <t>✓ 金额一致</t>
        </is>
      </c>
      <c r="DK598" t="inlineStr">
        <is>
          <t>2836.00</t>
        </is>
      </c>
      <c r="DL598" s="239" t="n">
        <v>0</v>
      </c>
    </row>
    <row r="599" ht="15.75" customHeight="1" s="187">
      <c r="A599" s="84" t="n">
        <v>46077</v>
      </c>
      <c r="B599" s="206" t="inlineStr">
        <is>
          <t>已收货</t>
        </is>
      </c>
      <c r="C599" s="86" t="inlineStr">
        <is>
          <t>5081789124695917014</t>
        </is>
      </c>
      <c r="D599" s="110" t="inlineStr">
        <is>
          <t>赵文燕</t>
        </is>
      </c>
      <c r="E599" s="87" t="n"/>
      <c r="F599" s="87" t="n"/>
      <c r="G599" s="87" t="inlineStr">
        <is>
          <t>定制1.1米窄柜，水波纹</t>
        </is>
      </c>
      <c r="H599" s="87" t="inlineStr">
        <is>
          <t>窄柜</t>
        </is>
      </c>
      <c r="I599" s="89" t="n"/>
      <c r="J599" s="87" t="n"/>
      <c r="K599" s="87" t="inlineStr">
        <is>
          <t>江西</t>
        </is>
      </c>
      <c r="L599" s="216" t="n">
        <v>4158.28</v>
      </c>
      <c r="M599" s="216" t="n">
        <v>3200</v>
      </c>
      <c r="N599" s="216" t="n"/>
      <c r="O599" s="216" t="n"/>
      <c r="P599" s="216" t="n"/>
      <c r="Q599" s="216" t="n"/>
      <c r="R599" s="216" t="n">
        <v>210</v>
      </c>
      <c r="S599" s="216" t="n">
        <v>42.5</v>
      </c>
      <c r="T599" s="216" t="n">
        <v>31</v>
      </c>
      <c r="U599" s="216" t="n"/>
      <c r="V599" s="216" t="n"/>
      <c r="W599" s="216" t="n"/>
      <c r="X599" s="216" t="n">
        <v>18</v>
      </c>
      <c r="Y599" s="216" t="n"/>
      <c r="Z599" s="216" t="n"/>
      <c r="AA599" s="216" t="n"/>
      <c r="AB599" s="216" t="n"/>
      <c r="AC599" s="216" t="n"/>
      <c r="AD599" s="216" t="n"/>
      <c r="AE599" s="216" t="n"/>
      <c r="AF599" s="216" t="n"/>
      <c r="AG599" s="216" t="n"/>
      <c r="AH599" s="216" t="n"/>
      <c r="AI599" s="216" t="n"/>
      <c r="AJ599" s="216" t="n"/>
      <c r="AK599" s="216" t="n"/>
      <c r="AL599" s="216" t="n"/>
      <c r="AM599" s="207" t="n"/>
      <c r="AN599" s="207" t="n"/>
      <c r="AO599" s="207" t="n"/>
      <c r="AP599" s="207" t="n"/>
      <c r="AQ599" s="207" t="n"/>
      <c r="AR599" s="207" t="n">
        <v>90</v>
      </c>
      <c r="AS599" s="207" t="n"/>
      <c r="AT599" s="207" t="n"/>
      <c r="AU599" s="207" t="n"/>
      <c r="AV599" s="207" t="n"/>
      <c r="AW599" s="207" t="n">
        <v>30</v>
      </c>
      <c r="AX599" s="208" t="n">
        <v>1</v>
      </c>
      <c r="AY599" s="209">
        <f>L599*AX599+AP599+AQ599+AR599+AV599+AW599+AS599+AT599+AU599</f>
        <v/>
      </c>
      <c r="AZ599" s="207" t="n">
        <v>5800</v>
      </c>
      <c r="BA599" s="207" t="n">
        <v>0</v>
      </c>
      <c r="BB599" s="207">
        <f>AZ599*0.006</f>
        <v/>
      </c>
      <c r="BC599" s="209">
        <f>AZ599+BA599-BB599</f>
        <v/>
      </c>
      <c r="BD599" s="207" t="n">
        <v>0</v>
      </c>
      <c r="BE599" s="207" t="n">
        <v>0</v>
      </c>
      <c r="BF599" s="209">
        <f>BD599+BE599</f>
        <v/>
      </c>
      <c r="BG599" s="209">
        <f>BC599-AY599+BF599</f>
        <v/>
      </c>
      <c r="BH599" s="87" t="inlineStr">
        <is>
          <t>赵文燕</t>
        </is>
      </c>
      <c r="BI599" s="210" t="inlineStr">
        <is>
          <t>河北省 沧州市 黄骅市 黄骅港开发区正康·中梁渤海壹品1-3-302</t>
        </is>
      </c>
      <c r="BJ599" s="86" t="inlineStr">
        <is>
          <t>18433979494-7222</t>
        </is>
      </c>
      <c r="BK599" s="86" t="n"/>
      <c r="BL599" s="210" t="n"/>
      <c r="BM599" s="93" t="n"/>
      <c r="BN599" s="94" t="n"/>
      <c r="BO599" s="93" t="n"/>
      <c r="BP599" s="86" t="n"/>
      <c r="BQ599" s="96" t="n"/>
      <c r="BR599" s="96" t="n"/>
      <c r="BS599" s="97" t="n"/>
      <c r="BT599" s="96" t="n"/>
      <c r="BU599" s="97" t="n"/>
      <c r="BV599" s="96" t="n"/>
      <c r="BW599" s="97" t="n"/>
      <c r="BX599" s="97" t="n"/>
      <c r="BY599" s="97" t="n"/>
      <c r="BZ599" s="97" t="n"/>
      <c r="CH599" s="2" t="n"/>
      <c r="CI599" s="14" t="n"/>
      <c r="CJ599" s="25" t="n"/>
      <c r="CK599" s="25" t="n"/>
      <c r="CL599" s="25" t="n"/>
      <c r="CM599" s="25" t="n"/>
      <c r="CN599" s="25" t="n"/>
      <c r="CO599" s="25" t="n"/>
      <c r="CP599" s="25" t="n"/>
      <c r="CQ599" s="25" t="n"/>
      <c r="CR599" s="25" t="n"/>
      <c r="CS599" s="25" t="n"/>
      <c r="CT599" s="25" t="n"/>
      <c r="CU599" s="25" t="n"/>
      <c r="CV599" s="25" t="n"/>
      <c r="CW599" s="25" t="n"/>
      <c r="CX599" s="25" t="n"/>
      <c r="CY599" s="25" t="n"/>
      <c r="DC599" s="26" t="n"/>
      <c r="DD599" s="26" t="n"/>
      <c r="DE599" s="26" t="n"/>
      <c r="DF599" s="26" t="n"/>
      <c r="DG599" s="26" t="n"/>
      <c r="DH599" s="27" t="n"/>
      <c r="DJ599" s="238" t="inlineStr">
        <is>
          <t>✓ 金额一致</t>
        </is>
      </c>
      <c r="DK599" t="inlineStr">
        <is>
          <t>5800.00</t>
        </is>
      </c>
      <c r="DL599" s="239" t="n">
        <v>0</v>
      </c>
    </row>
    <row r="600" ht="15.75" customHeight="1" s="187">
      <c r="A600" s="84" t="n">
        <v>46078</v>
      </c>
      <c r="B600" s="206" t="inlineStr">
        <is>
          <t>已收货</t>
        </is>
      </c>
      <c r="C600" s="86" t="inlineStr">
        <is>
          <t>5083434002324457345</t>
        </is>
      </c>
      <c r="D600" s="110" t="inlineStr">
        <is>
          <t>李响</t>
        </is>
      </c>
      <c r="E600" s="87" t="n"/>
      <c r="F600" s="87" t="n"/>
      <c r="G600" s="87" t="inlineStr">
        <is>
          <t>2米榉木餐桌</t>
        </is>
      </c>
      <c r="H600" s="87" t="inlineStr">
        <is>
          <t>榉木餐桌</t>
        </is>
      </c>
      <c r="I600" s="89" t="inlineStr">
        <is>
          <t>200cm*85cm</t>
        </is>
      </c>
      <c r="J600" s="87" t="inlineStr">
        <is>
          <t>已结算</t>
        </is>
      </c>
      <c r="K600" s="87" t="inlineStr">
        <is>
          <t>江西</t>
        </is>
      </c>
      <c r="L600" s="216" t="n">
        <v>1832.5</v>
      </c>
      <c r="M600" s="216" t="n">
        <v>1450</v>
      </c>
      <c r="N600" s="216" t="n"/>
      <c r="O600" s="216" t="n"/>
      <c r="P600" s="216" t="n"/>
      <c r="Q600" s="216" t="n"/>
      <c r="R600" s="216" t="n">
        <v>290</v>
      </c>
      <c r="S600" s="216" t="n"/>
      <c r="T600" s="216" t="n"/>
      <c r="U600" s="216" t="n"/>
      <c r="V600" s="216" t="n"/>
      <c r="W600" s="216" t="n"/>
      <c r="X600" s="216" t="n"/>
      <c r="Y600" s="216" t="n"/>
      <c r="Z600" s="216" t="n"/>
      <c r="AA600" s="216" t="n"/>
      <c r="AB600" s="216" t="n"/>
      <c r="AC600" s="216" t="n"/>
      <c r="AD600" s="216" t="n"/>
      <c r="AE600" s="216" t="n"/>
      <c r="AF600" s="216" t="n"/>
      <c r="AG600" s="216" t="n"/>
      <c r="AH600" s="216" t="n"/>
      <c r="AI600" s="216" t="n"/>
      <c r="AJ600" s="216" t="n"/>
      <c r="AK600" s="216" t="n"/>
      <c r="AL600" s="216" t="n"/>
      <c r="AM600" s="207" t="n">
        <v>90</v>
      </c>
      <c r="AN600" s="207" t="n"/>
      <c r="AO600" s="207" t="n"/>
      <c r="AP600" s="207" t="n">
        <v>249</v>
      </c>
      <c r="AQ600" s="207" t="n"/>
      <c r="AR600" s="207" t="n">
        <v>61</v>
      </c>
      <c r="AS600" s="207" t="n"/>
      <c r="AT600" s="207" t="n"/>
      <c r="AU600" s="207" t="n"/>
      <c r="AV600" s="207" t="n"/>
      <c r="AW600" s="207" t="n"/>
      <c r="AX600" s="208" t="n">
        <v>1</v>
      </c>
      <c r="AY600" s="209">
        <f>L600*AX600+AP600+AQ600+AR600+AV600+AW600+AS600+AT600+AU600</f>
        <v/>
      </c>
      <c r="AZ600" s="207" t="n">
        <v>2928.78</v>
      </c>
      <c r="BA600" s="207" t="n">
        <v>0</v>
      </c>
      <c r="BB600" s="207">
        <f>AZ600*0.006</f>
        <v/>
      </c>
      <c r="BC600" s="209">
        <f>AZ600+BA600-BB600</f>
        <v/>
      </c>
      <c r="BD600" s="207" t="n">
        <v>0</v>
      </c>
      <c r="BE600" s="207" t="n">
        <v>0</v>
      </c>
      <c r="BF600" s="209">
        <f>BD600+BE600</f>
        <v/>
      </c>
      <c r="BG600" s="209">
        <f>BC600-AY600+BF600</f>
        <v/>
      </c>
      <c r="BH600" s="87" t="inlineStr">
        <is>
          <t>李响</t>
        </is>
      </c>
      <c r="BI600" s="210" t="inlineStr">
        <is>
          <t>河北省 秦皇岛市 昌黎县 大蒲河镇阿那亚北岸三期38-4-301</t>
        </is>
      </c>
      <c r="BJ600" s="86" t="inlineStr">
        <is>
          <t>17531191694-2939</t>
        </is>
      </c>
      <c r="BK600" s="86" t="n"/>
      <c r="BL600" s="210" t="n"/>
      <c r="BM600" s="93" t="n"/>
      <c r="BN600" s="94" t="n"/>
      <c r="BO600" s="93" t="n"/>
      <c r="BP600" s="86" t="n"/>
      <c r="BQ600" s="96" t="n"/>
      <c r="BR600" s="96" t="n"/>
      <c r="BS600" s="97" t="n"/>
      <c r="BT600" s="96" t="n"/>
      <c r="BU600" s="97" t="n"/>
      <c r="BV600" s="96" t="n"/>
      <c r="BW600" s="97" t="n"/>
      <c r="BX600" s="97" t="n"/>
      <c r="BY600" s="97" t="n"/>
      <c r="BZ600" s="97" t="n"/>
      <c r="CH600" s="2" t="n"/>
      <c r="CI600" s="14" t="n"/>
      <c r="CJ600" s="25" t="n"/>
      <c r="CK600" s="25" t="n"/>
      <c r="CL600" s="25" t="n"/>
      <c r="CM600" s="25" t="n"/>
      <c r="CN600" s="25" t="n"/>
      <c r="CO600" s="25" t="n"/>
      <c r="CP600" s="25" t="n"/>
      <c r="CQ600" s="25" t="n"/>
      <c r="CR600" s="25" t="n"/>
      <c r="CS600" s="25" t="n"/>
      <c r="CT600" s="25" t="n"/>
      <c r="CU600" s="25" t="n"/>
      <c r="CV600" s="25" t="n"/>
      <c r="CW600" s="25" t="n"/>
      <c r="CX600" s="25" t="n"/>
      <c r="CY600" s="25" t="n"/>
      <c r="DC600" s="26" t="n"/>
      <c r="DD600" s="26" t="n"/>
      <c r="DE600" s="26" t="n"/>
      <c r="DF600" s="26" t="n"/>
      <c r="DG600" s="26" t="n"/>
      <c r="DH600" s="27" t="n"/>
      <c r="DJ600" s="241" t="inlineStr">
        <is>
          <t>✗ 金额不符</t>
        </is>
      </c>
      <c r="DK600" t="inlineStr">
        <is>
          <t>2723.77</t>
        </is>
      </c>
      <c r="DL600" s="239" t="n">
        <v>205.01</v>
      </c>
      <c r="DM600" s="241" t="inlineStr">
        <is>
          <t>买家应付金额不一致，差额+205.01元（订单表2723.77 vs 佳宝2928.78，疑似改价/补邮费/上楼费等手工调整，需人工核对）</t>
        </is>
      </c>
    </row>
    <row r="601" ht="15.75" customHeight="1" s="187">
      <c r="A601" s="84" t="n">
        <v>46079</v>
      </c>
      <c r="B601" s="206" t="inlineStr">
        <is>
          <t>已收货</t>
        </is>
      </c>
      <c r="C601" s="86" t="inlineStr">
        <is>
          <t>5084240367586752233</t>
        </is>
      </c>
      <c r="D601" s="110" t="inlineStr">
        <is>
          <t>姚程</t>
        </is>
      </c>
      <c r="E601" s="87" t="n"/>
      <c r="F601" s="87" t="n"/>
      <c r="G601" s="87" t="inlineStr">
        <is>
          <t>定制110*70白色岩板榉木餐桌</t>
        </is>
      </c>
      <c r="H601" s="87" t="inlineStr">
        <is>
          <t>榉木餐桌</t>
        </is>
      </c>
      <c r="I601" s="89" t="n"/>
      <c r="J601" s="87" t="n"/>
      <c r="K601" s="87" t="inlineStr">
        <is>
          <t>江西</t>
        </is>
      </c>
      <c r="L601" s="216" t="n">
        <v>1462.5</v>
      </c>
      <c r="M601" s="216" t="n">
        <v>1260</v>
      </c>
      <c r="N601" s="216" t="n"/>
      <c r="O601" s="216" t="n"/>
      <c r="P601" s="216" t="n"/>
      <c r="Q601" s="216" t="n"/>
      <c r="R601" s="216" t="n">
        <v>140</v>
      </c>
      <c r="S601" s="216" t="n"/>
      <c r="T601" s="216" t="n"/>
      <c r="U601" s="216" t="n"/>
      <c r="V601" s="216" t="n"/>
      <c r="W601" s="216" t="n"/>
      <c r="X601" s="216" t="n"/>
      <c r="Y601" s="216" t="n"/>
      <c r="Z601" s="216" t="n"/>
      <c r="AA601" s="216" t="n"/>
      <c r="AB601" s="216" t="n"/>
      <c r="AC601" s="216" t="n"/>
      <c r="AD601" s="216" t="n"/>
      <c r="AE601" s="216" t="n"/>
      <c r="AF601" s="216" t="n"/>
      <c r="AG601" s="216" t="n"/>
      <c r="AH601" s="216" t="n"/>
      <c r="AI601" s="216" t="n"/>
      <c r="AJ601" s="216" t="n"/>
      <c r="AK601" s="216" t="n"/>
      <c r="AL601" s="216" t="n"/>
      <c r="AM601" s="207" t="n">
        <v>60</v>
      </c>
      <c r="AN601" s="207" t="n"/>
      <c r="AO601" s="207" t="n"/>
      <c r="AP601" s="207" t="n">
        <v>188</v>
      </c>
      <c r="AQ601" s="207" t="n"/>
      <c r="AR601" s="207" t="n">
        <v>70</v>
      </c>
      <c r="AS601" s="207" t="n"/>
      <c r="AT601" s="207" t="n"/>
      <c r="AU601" s="207" t="n"/>
      <c r="AV601" s="207" t="n"/>
      <c r="AW601" s="207" t="n"/>
      <c r="AX601" s="208" t="n">
        <v>1</v>
      </c>
      <c r="AY601" s="209">
        <f>L601*AX601+AP601+AQ601+AR601+AV601+AW601+AS601+AT601+AU601</f>
        <v/>
      </c>
      <c r="AZ601" s="207" t="n">
        <v>2524</v>
      </c>
      <c r="BA601" s="207" t="n">
        <v>0</v>
      </c>
      <c r="BB601" s="207">
        <f>AZ601*0.006</f>
        <v/>
      </c>
      <c r="BC601" s="209">
        <f>AZ601+BA601-BB601</f>
        <v/>
      </c>
      <c r="BD601" s="207" t="n">
        <v>0</v>
      </c>
      <c r="BE601" s="207" t="n">
        <v>0</v>
      </c>
      <c r="BF601" s="209">
        <f>BD601+BE601</f>
        <v/>
      </c>
      <c r="BG601" s="209">
        <f>BC601-AY601+BF601</f>
        <v/>
      </c>
      <c r="BH601" s="87" t="inlineStr">
        <is>
          <t>有福气</t>
        </is>
      </c>
      <c r="BI601" s="210" t="inlineStr">
        <is>
          <t>山东省 菏泽市 巨野县 凤凰街道招商街文苑花园A区南门东侧有福气面包店</t>
        </is>
      </c>
      <c r="BJ601" s="86" t="inlineStr">
        <is>
          <t>17854180410-9541</t>
        </is>
      </c>
      <c r="BK601" s="86" t="n"/>
      <c r="BL601" s="210" t="n"/>
      <c r="BM601" s="93" t="n"/>
      <c r="BN601" s="94" t="n"/>
      <c r="BO601" s="93" t="n"/>
      <c r="BP601" s="86" t="n"/>
      <c r="BQ601" s="96" t="n"/>
      <c r="BR601" s="96" t="n"/>
      <c r="BS601" s="97" t="n"/>
      <c r="BT601" s="96" t="n"/>
      <c r="BU601" s="97" t="n"/>
      <c r="BV601" s="96" t="n"/>
      <c r="BW601" s="97" t="n"/>
      <c r="BX601" s="97" t="n"/>
      <c r="BY601" s="97" t="n"/>
      <c r="BZ601" s="97" t="n"/>
      <c r="CH601" s="2" t="n"/>
      <c r="CI601" s="14" t="n"/>
      <c r="CJ601" s="25" t="n"/>
      <c r="CK601" s="25" t="n"/>
      <c r="CL601" s="25" t="n"/>
      <c r="CM601" s="25" t="n"/>
      <c r="CN601" s="25" t="n"/>
      <c r="CO601" s="25" t="n"/>
      <c r="CP601" s="25" t="n"/>
      <c r="CQ601" s="25" t="n"/>
      <c r="CR601" s="25" t="n"/>
      <c r="CS601" s="25" t="n"/>
      <c r="CT601" s="25" t="n"/>
      <c r="CU601" s="25" t="n"/>
      <c r="CV601" s="25" t="n"/>
      <c r="CW601" s="25" t="n"/>
      <c r="CX601" s="25" t="n"/>
      <c r="CY601" s="25" t="n"/>
      <c r="DC601" s="26" t="n"/>
      <c r="DD601" s="26" t="n"/>
      <c r="DE601" s="26" t="n"/>
      <c r="DF601" s="26" t="n"/>
      <c r="DG601" s="26" t="n"/>
      <c r="DH601" s="27" t="n"/>
      <c r="DJ601" s="238" t="inlineStr">
        <is>
          <t>✓ 金额一致</t>
        </is>
      </c>
      <c r="DK601" t="inlineStr">
        <is>
          <t>2524.00</t>
        </is>
      </c>
      <c r="DL601" s="239" t="n">
        <v>0</v>
      </c>
    </row>
    <row r="602" ht="15.75" customHeight="1" s="187">
      <c r="A602" s="84" t="n">
        <v>46081</v>
      </c>
      <c r="B602" s="206" t="inlineStr">
        <is>
          <t>已收货</t>
        </is>
      </c>
      <c r="C602" s="86" t="inlineStr">
        <is>
          <t>3266810259621794192</t>
        </is>
      </c>
      <c r="D602" s="110" t="inlineStr">
        <is>
          <t>小苟</t>
        </is>
      </c>
      <c r="E602" s="87" t="n"/>
      <c r="F602" s="87" t="n"/>
      <c r="G602" s="87" t="inlineStr">
        <is>
          <t>定制1800*800白色岩板</t>
        </is>
      </c>
      <c r="H602" s="87" t="inlineStr">
        <is>
          <t>榉木餐桌</t>
        </is>
      </c>
      <c r="I602" s="89" t="inlineStr">
        <is>
          <t>180cm*80cm</t>
        </is>
      </c>
      <c r="J602" s="87" t="inlineStr">
        <is>
          <t>已结算</t>
        </is>
      </c>
      <c r="K602" s="87" t="inlineStr">
        <is>
          <t>江西</t>
        </is>
      </c>
      <c r="L602" s="216" t="n">
        <v>1762.5</v>
      </c>
      <c r="M602" s="216" t="n">
        <v>1400</v>
      </c>
      <c r="N602" s="216" t="n"/>
      <c r="O602" s="216" t="n"/>
      <c r="P602" s="216" t="n"/>
      <c r="Q602" s="216" t="n"/>
      <c r="R602" s="216" t="n">
        <v>270</v>
      </c>
      <c r="S602" s="216" t="n"/>
      <c r="T602" s="216" t="n"/>
      <c r="U602" s="216" t="n"/>
      <c r="V602" s="216" t="n"/>
      <c r="W602" s="216" t="n"/>
      <c r="X602" s="216" t="n"/>
      <c r="Y602" s="216" t="n"/>
      <c r="Z602" s="216" t="n"/>
      <c r="AA602" s="216" t="n"/>
      <c r="AB602" s="216" t="n"/>
      <c r="AC602" s="216" t="n"/>
      <c r="AD602" s="216" t="n"/>
      <c r="AE602" s="216" t="n"/>
      <c r="AF602" s="216" t="n"/>
      <c r="AG602" s="216" t="n"/>
      <c r="AH602" s="216" t="n"/>
      <c r="AI602" s="216" t="n"/>
      <c r="AJ602" s="216" t="n"/>
      <c r="AK602" s="216" t="n"/>
      <c r="AL602" s="216" t="n"/>
      <c r="AM602" s="207" t="n">
        <v>90</v>
      </c>
      <c r="AN602" s="207" t="n"/>
      <c r="AO602" s="207" t="n"/>
      <c r="AP602" s="207" t="n">
        <v>185</v>
      </c>
      <c r="AQ602" s="207" t="n"/>
      <c r="AR602" s="207" t="n">
        <v>70</v>
      </c>
      <c r="AS602" s="207" t="n"/>
      <c r="AT602" s="207" t="n"/>
      <c r="AU602" s="207" t="n"/>
      <c r="AV602" s="207" t="n"/>
      <c r="AW602" s="207" t="n"/>
      <c r="AX602" s="208" t="n">
        <v>1</v>
      </c>
      <c r="AY602" s="209">
        <f>L602*AX602+AP602+AQ602+AR602+AV602+AW602+AS602+AT602+AU602</f>
        <v/>
      </c>
      <c r="AZ602" s="207" t="n">
        <v>2876.25</v>
      </c>
      <c r="BA602" s="207" t="n">
        <v>0</v>
      </c>
      <c r="BB602" s="207">
        <f>AZ602*0.006</f>
        <v/>
      </c>
      <c r="BC602" s="209">
        <f>AZ602+BA602-BB602</f>
        <v/>
      </c>
      <c r="BD602" s="207" t="n">
        <v>0</v>
      </c>
      <c r="BE602" s="207" t="n">
        <v>0</v>
      </c>
      <c r="BF602" s="209">
        <f>BD602+BE602</f>
        <v/>
      </c>
      <c r="BG602" s="209">
        <f>BC602-AY602+BF602</f>
        <v/>
      </c>
      <c r="BH602" s="87" t="inlineStr">
        <is>
          <t>小苟</t>
        </is>
      </c>
      <c r="BI602" s="210" t="inlineStr">
        <is>
          <t>湖北省 武汉市 洪山区 珞南街道 雄楚大街350号幸福路武警龙港小区3-1-702</t>
        </is>
      </c>
      <c r="BJ602" s="86" t="inlineStr">
        <is>
          <t>15783461230-8318</t>
        </is>
      </c>
      <c r="BK602" s="86" t="n"/>
      <c r="BL602" s="210" t="n"/>
      <c r="BM602" s="93" t="n"/>
      <c r="BN602" s="94" t="n"/>
      <c r="BO602" s="93" t="n"/>
      <c r="BP602" s="86" t="n"/>
      <c r="BQ602" s="96" t="n"/>
      <c r="BR602" s="96" t="n"/>
      <c r="BS602" s="97" t="n"/>
      <c r="BT602" s="96" t="n"/>
      <c r="BU602" s="97" t="n"/>
      <c r="BV602" s="96" t="n"/>
      <c r="BW602" s="97" t="n"/>
      <c r="BX602" s="97" t="n"/>
      <c r="BY602" s="97" t="n"/>
      <c r="BZ602" s="97" t="n"/>
      <c r="CH602" s="2" t="n"/>
      <c r="CI602" s="14" t="n"/>
      <c r="CJ602" s="25" t="n"/>
      <c r="CK602" s="25" t="n"/>
      <c r="CL602" s="25" t="n"/>
      <c r="CM602" s="25" t="n"/>
      <c r="CN602" s="25" t="n"/>
      <c r="CO602" s="25" t="n"/>
      <c r="CP602" s="25" t="n"/>
      <c r="CQ602" s="25" t="n"/>
      <c r="CR602" s="25" t="n"/>
      <c r="CS602" s="25" t="n"/>
      <c r="CT602" s="25" t="n"/>
      <c r="CU602" s="25" t="n"/>
      <c r="CV602" s="25" t="n"/>
      <c r="CW602" s="25" t="n"/>
      <c r="CX602" s="25" t="n"/>
      <c r="CY602" s="25" t="n"/>
      <c r="DC602" s="26" t="n"/>
      <c r="DD602" s="26" t="n"/>
      <c r="DE602" s="26" t="n"/>
      <c r="DF602" s="26" t="n"/>
      <c r="DG602" s="26" t="n"/>
      <c r="DH602" s="27" t="n"/>
      <c r="DJ602" s="241" t="inlineStr">
        <is>
          <t>✗ 金额不符</t>
        </is>
      </c>
      <c r="DK602" t="inlineStr">
        <is>
          <t>2871.25</t>
        </is>
      </c>
      <c r="DL602" s="239" t="n">
        <v>5</v>
      </c>
      <c r="DM602" s="241" t="inlineStr">
        <is>
          <t>订单表整单退款关闭（退款2871.25元，状态【交易关闭】），佳宝仍记原始成交2876.25元；差额+5.00</t>
        </is>
      </c>
    </row>
    <row r="603" ht="15.75" customHeight="1" s="187">
      <c r="A603" s="84" t="n">
        <v>46082</v>
      </c>
      <c r="B603" s="206" t="inlineStr">
        <is>
          <t>已收货</t>
        </is>
      </c>
      <c r="C603" s="86" t="inlineStr">
        <is>
          <t>3268154210078181868</t>
        </is>
      </c>
      <c r="D603" s="110" t="inlineStr">
        <is>
          <t>向兴</t>
        </is>
      </c>
      <c r="E603" s="87" t="n"/>
      <c r="F603" s="87" t="n"/>
      <c r="G603" s="87" t="inlineStr">
        <is>
          <t>0.9*1.8窄柜，补差价</t>
        </is>
      </c>
      <c r="H603" s="87" t="inlineStr">
        <is>
          <t>窄柜</t>
        </is>
      </c>
      <c r="I603" s="89" t="n"/>
      <c r="J603" s="87" t="inlineStr">
        <is>
          <t>已结算</t>
        </is>
      </c>
      <c r="K603" s="87" t="inlineStr">
        <is>
          <t>江西</t>
        </is>
      </c>
      <c r="L603" s="216" t="n">
        <v>0</v>
      </c>
      <c r="M603" s="216" t="n">
        <v>0</v>
      </c>
      <c r="N603" s="216" t="n">
        <v>0</v>
      </c>
      <c r="O603" s="216" t="n"/>
      <c r="P603" s="216" t="n"/>
      <c r="Q603" s="216" t="n"/>
      <c r="R603" s="216" t="n">
        <v>0</v>
      </c>
      <c r="S603" s="216" t="n"/>
      <c r="T603" s="216" t="n"/>
      <c r="U603" s="216" t="n"/>
      <c r="V603" s="216" t="n"/>
      <c r="W603" s="216" t="n"/>
      <c r="X603" s="216" t="n"/>
      <c r="Y603" s="216" t="n"/>
      <c r="Z603" s="216" t="n"/>
      <c r="AA603" s="216" t="n"/>
      <c r="AB603" s="216" t="n"/>
      <c r="AC603" s="216" t="n"/>
      <c r="AD603" s="216" t="n"/>
      <c r="AE603" s="216" t="n"/>
      <c r="AF603" s="216" t="n"/>
      <c r="AG603" s="216" t="n"/>
      <c r="AH603" s="216" t="n"/>
      <c r="AI603" s="216" t="n"/>
      <c r="AJ603" s="216" t="n"/>
      <c r="AK603" s="216" t="n"/>
      <c r="AL603" s="216" t="n"/>
      <c r="AM603" s="207" t="n">
        <v>0</v>
      </c>
      <c r="AN603" s="207" t="n"/>
      <c r="AO603" s="207" t="n"/>
      <c r="AP603" s="207" t="n"/>
      <c r="AQ603" s="207" t="n"/>
      <c r="AR603" s="207" t="n"/>
      <c r="AS603" s="207" t="n"/>
      <c r="AT603" s="207" t="n"/>
      <c r="AU603" s="207" t="n"/>
      <c r="AV603" s="207" t="n"/>
      <c r="AW603" s="207" t="n"/>
      <c r="AX603" s="208" t="n">
        <v>1</v>
      </c>
      <c r="AY603" s="209">
        <f>L603*AX603+AP603+AQ603+AR603+AV603+AW603+AS603+AT603+AU603</f>
        <v/>
      </c>
      <c r="AZ603" s="207" t="n">
        <v>85</v>
      </c>
      <c r="BA603" s="207" t="n">
        <v>0</v>
      </c>
      <c r="BB603" s="207">
        <f>AZ603*0.006</f>
        <v/>
      </c>
      <c r="BC603" s="209">
        <f>AZ603+BA603-BB603</f>
        <v/>
      </c>
      <c r="BD603" s="207" t="n">
        <v>0</v>
      </c>
      <c r="BE603" s="207" t="n">
        <v>0</v>
      </c>
      <c r="BF603" s="209">
        <f>BD603+BE603</f>
        <v/>
      </c>
      <c r="BG603" s="209">
        <f>BC603-AY603+BF603</f>
        <v/>
      </c>
      <c r="BH603" s="87" t="inlineStr">
        <is>
          <t>向兴</t>
        </is>
      </c>
      <c r="BI603" s="210" t="inlineStr">
        <is>
          <t>四川省 成都市 金牛区 金泉街道黄金东二路399号保利梧桐语速递易</t>
        </is>
      </c>
      <c r="BJ603" s="86" t="inlineStr">
        <is>
          <t>18423727121-1409</t>
        </is>
      </c>
      <c r="BK603" s="86" t="n"/>
      <c r="BL603" s="210" t="n"/>
      <c r="BM603" s="93" t="n"/>
      <c r="BN603" s="94" t="n"/>
      <c r="BO603" s="93" t="n"/>
      <c r="BP603" s="86" t="n"/>
      <c r="BQ603" s="96" t="n"/>
      <c r="BR603" s="96" t="n"/>
      <c r="BS603" s="97" t="n"/>
      <c r="BT603" s="96" t="n"/>
      <c r="BU603" s="97" t="n"/>
      <c r="BV603" s="96" t="n"/>
      <c r="BW603" s="97" t="n"/>
      <c r="BX603" s="97" t="n"/>
      <c r="BY603" s="97" t="n"/>
      <c r="BZ603" s="97" t="n"/>
      <c r="CH603" s="2" t="n"/>
      <c r="CI603" s="14" t="n"/>
      <c r="CJ603" s="25" t="n"/>
      <c r="CK603" s="25" t="n"/>
      <c r="CL603" s="25" t="n"/>
      <c r="CM603" s="25" t="n"/>
      <c r="CN603" s="25" t="n"/>
      <c r="CO603" s="25" t="n"/>
      <c r="CP603" s="25" t="n"/>
      <c r="CQ603" s="25" t="n"/>
      <c r="CR603" s="25" t="n"/>
      <c r="CS603" s="25" t="n"/>
      <c r="CT603" s="25" t="n"/>
      <c r="CU603" s="25" t="n"/>
      <c r="CV603" s="25" t="n"/>
      <c r="CW603" s="25" t="n"/>
      <c r="CX603" s="25" t="n"/>
      <c r="CY603" s="25" t="n"/>
      <c r="DC603" s="26" t="n"/>
      <c r="DD603" s="26" t="n"/>
      <c r="DE603" s="26" t="n"/>
      <c r="DF603" s="26" t="n"/>
      <c r="DG603" s="26" t="n"/>
      <c r="DH603" s="27" t="n"/>
      <c r="DJ603" s="238" t="inlineStr">
        <is>
          <t>✓ 金额一致</t>
        </is>
      </c>
      <c r="DK603" t="inlineStr">
        <is>
          <t>85.00</t>
        </is>
      </c>
      <c r="DL603" s="239" t="n">
        <v>0</v>
      </c>
    </row>
    <row r="604" ht="15.75" customHeight="1" s="187">
      <c r="A604" s="84" t="n">
        <v>46082</v>
      </c>
      <c r="B604" s="206" t="inlineStr">
        <is>
          <t>已发</t>
        </is>
      </c>
      <c r="C604" s="86" t="inlineStr">
        <is>
          <t>5067510123159336731</t>
        </is>
      </c>
      <c r="D604" s="110" t="inlineStr">
        <is>
          <t>陈</t>
        </is>
      </c>
      <c r="E604" s="87" t="n"/>
      <c r="F604" s="87" t="n"/>
      <c r="G604" s="87" t="inlineStr">
        <is>
          <t>1.6岩板桌常规，延迟4月</t>
        </is>
      </c>
      <c r="H604" s="87" t="inlineStr">
        <is>
          <t>榉木餐桌</t>
        </is>
      </c>
      <c r="I604" s="89" t="n"/>
      <c r="J604" s="87" t="inlineStr">
        <is>
          <t>已结算</t>
        </is>
      </c>
      <c r="K604" s="87" t="inlineStr">
        <is>
          <t>江西</t>
        </is>
      </c>
      <c r="L604" s="216" t="n">
        <v>1762.5</v>
      </c>
      <c r="M604" s="216" t="n">
        <v>1350</v>
      </c>
      <c r="N604" s="216" t="n"/>
      <c r="O604" s="216" t="n"/>
      <c r="P604" s="216" t="n"/>
      <c r="Q604" s="216" t="n"/>
      <c r="R604" s="216" t="n">
        <v>220</v>
      </c>
      <c r="S604" s="216" t="n"/>
      <c r="T604" s="216" t="n"/>
      <c r="U604" s="216" t="n"/>
      <c r="V604" s="216" t="n"/>
      <c r="W604" s="216" t="n"/>
      <c r="X604" s="216" t="n"/>
      <c r="Y604" s="216" t="n"/>
      <c r="Z604" s="216" t="n"/>
      <c r="AA604" s="216" t="n"/>
      <c r="AB604" s="216" t="n"/>
      <c r="AC604" s="216" t="n"/>
      <c r="AD604" s="216" t="n"/>
      <c r="AE604" s="216" t="n"/>
      <c r="AF604" s="216" t="n"/>
      <c r="AG604" s="216" t="n"/>
      <c r="AH604" s="216" t="n"/>
      <c r="AI604" s="216" t="n"/>
      <c r="AJ604" s="216" t="n"/>
      <c r="AK604" s="216" t="n"/>
      <c r="AL604" s="216" t="n"/>
      <c r="AM604" s="207" t="n">
        <v>190</v>
      </c>
      <c r="AN604" s="207" t="n"/>
      <c r="AO604" s="207" t="n"/>
      <c r="AP604" s="207" t="n">
        <v>103</v>
      </c>
      <c r="AQ604" s="207" t="n">
        <v>30</v>
      </c>
      <c r="AR604" s="207" t="n">
        <v>78</v>
      </c>
      <c r="AS604" s="207" t="n"/>
      <c r="AT604" s="207" t="n"/>
      <c r="AU604" s="207" t="n"/>
      <c r="AV604" s="207" t="n"/>
      <c r="AW604" s="207" t="n"/>
      <c r="AX604" s="208" t="n">
        <v>1</v>
      </c>
      <c r="AY604" s="209">
        <f>L604*AX604+AP604+AQ604+AR604+AV604+AW604+AS604+AT604+AU604</f>
        <v/>
      </c>
      <c r="AZ604" s="207" t="n">
        <v>2754.55</v>
      </c>
      <c r="BA604" s="207" t="n">
        <v>0</v>
      </c>
      <c r="BB604" s="207">
        <f>AZ604*0.006</f>
        <v/>
      </c>
      <c r="BC604" s="209">
        <f>AZ604+BA604-BB604</f>
        <v/>
      </c>
      <c r="BD604" s="207" t="n">
        <v>0</v>
      </c>
      <c r="BE604" s="207" t="n">
        <v>0</v>
      </c>
      <c r="BF604" s="209">
        <f>BD604+BE604</f>
        <v/>
      </c>
      <c r="BG604" s="209">
        <f>BC604-AY604+BF604</f>
        <v/>
      </c>
      <c r="BH604" s="87" t="inlineStr">
        <is>
          <t>陈</t>
        </is>
      </c>
      <c r="BI604" s="210" t="inlineStr">
        <is>
          <t>湖南省 长沙市 岳麓区 洋湖街道中海·阅山府6栋1单元1302</t>
        </is>
      </c>
      <c r="BJ604" s="86" t="inlineStr">
        <is>
          <t>14749570952-1278</t>
        </is>
      </c>
      <c r="BK604" s="86" t="n"/>
      <c r="BL604" s="210" t="n"/>
      <c r="BM604" s="93" t="n"/>
      <c r="BN604" s="94" t="n"/>
      <c r="BO604" s="93" t="n"/>
      <c r="BP604" s="86" t="n"/>
      <c r="BQ604" s="96" t="n"/>
      <c r="BR604" s="96" t="n"/>
      <c r="BS604" s="97" t="n"/>
      <c r="BT604" s="96" t="n"/>
      <c r="BU604" s="97" t="n"/>
      <c r="BV604" s="96" t="n"/>
      <c r="BW604" s="97" t="n"/>
      <c r="BX604" s="97" t="n"/>
      <c r="BY604" s="97" t="n"/>
      <c r="BZ604" s="97" t="n"/>
      <c r="CH604" s="2" t="n"/>
      <c r="CI604" s="14" t="n"/>
      <c r="CJ604" s="25" t="n"/>
      <c r="CK604" s="25" t="n"/>
      <c r="CL604" s="25" t="n"/>
      <c r="CM604" s="25" t="n"/>
      <c r="CN604" s="25" t="n"/>
      <c r="CO604" s="25" t="n"/>
      <c r="CP604" s="25" t="n"/>
      <c r="CQ604" s="25" t="n"/>
      <c r="CR604" s="25" t="n"/>
      <c r="CS604" s="25" t="n"/>
      <c r="CT604" s="25" t="n"/>
      <c r="CU604" s="25" t="n"/>
      <c r="CV604" s="25" t="n"/>
      <c r="CW604" s="25" t="n"/>
      <c r="CX604" s="25" t="n"/>
      <c r="CY604" s="25" t="n"/>
      <c r="DC604" s="26" t="n"/>
      <c r="DD604" s="26" t="n"/>
      <c r="DE604" s="26" t="n"/>
      <c r="DF604" s="26" t="n"/>
      <c r="DG604" s="26" t="n"/>
      <c r="DH604" s="27" t="n"/>
      <c r="DJ604" s="241" t="inlineStr">
        <is>
          <t>✗ 金额不符</t>
        </is>
      </c>
      <c r="DK604" t="inlineStr">
        <is>
          <t>2548.54</t>
        </is>
      </c>
      <c r="DL604" s="239" t="n">
        <v>206.01</v>
      </c>
      <c r="DM604" s="241" t="inlineStr">
        <is>
          <t>该单订单表有部分退款2754.55元（状态【交易关闭】）；两表买家应付不一致，差额+206.01元</t>
        </is>
      </c>
    </row>
    <row r="605" ht="15.75" customHeight="1" s="187">
      <c r="A605" s="84" t="n">
        <v>46082</v>
      </c>
      <c r="B605" s="206" t="inlineStr">
        <is>
          <t>已收货</t>
        </is>
      </c>
      <c r="C605" s="86" t="inlineStr">
        <is>
          <t>4502100350037038917</t>
        </is>
      </c>
      <c r="D605" s="110" t="inlineStr">
        <is>
          <t>欧阳</t>
        </is>
      </c>
      <c r="E605" s="87" t="n"/>
      <c r="F605" s="87" t="n"/>
      <c r="G605" s="87" t="inlineStr">
        <is>
          <t>1.8常规榉木岩板桌</t>
        </is>
      </c>
      <c r="H605" s="87" t="inlineStr">
        <is>
          <t>榉木餐桌</t>
        </is>
      </c>
      <c r="I605" s="89" t="n"/>
      <c r="J605" s="87" t="inlineStr">
        <is>
          <t>已结算</t>
        </is>
      </c>
      <c r="K605" s="87" t="inlineStr">
        <is>
          <t>江西</t>
        </is>
      </c>
      <c r="L605" s="216" t="n">
        <v>1792.5</v>
      </c>
      <c r="M605" s="216" t="n">
        <v>1400</v>
      </c>
      <c r="N605" s="216" t="n"/>
      <c r="O605" s="216" t="n"/>
      <c r="P605" s="216" t="n"/>
      <c r="Q605" s="216" t="n"/>
      <c r="R605" s="216" t="n">
        <v>220</v>
      </c>
      <c r="S605" s="216" t="n"/>
      <c r="T605" s="216" t="n"/>
      <c r="U605" s="216" t="n"/>
      <c r="V605" s="216" t="n"/>
      <c r="W605" s="216" t="n"/>
      <c r="X605" s="216" t="n"/>
      <c r="Y605" s="216" t="n"/>
      <c r="Z605" s="216" t="n"/>
      <c r="AA605" s="216" t="n"/>
      <c r="AB605" s="216" t="n"/>
      <c r="AC605" s="216" t="n"/>
      <c r="AD605" s="216" t="n"/>
      <c r="AE605" s="216" t="n"/>
      <c r="AF605" s="216" t="n"/>
      <c r="AG605" s="216" t="n"/>
      <c r="AH605" s="216" t="n"/>
      <c r="AI605" s="216" t="n"/>
      <c r="AJ605" s="216" t="n"/>
      <c r="AK605" s="216" t="n"/>
      <c r="AL605" s="216" t="n"/>
      <c r="AM605" s="207" t="n"/>
      <c r="AN605" s="207" t="n"/>
      <c r="AO605" s="207" t="n"/>
      <c r="AP605" s="207" t="n">
        <v>100</v>
      </c>
      <c r="AQ605" s="207" t="n">
        <v>30</v>
      </c>
      <c r="AR605" s="207" t="n">
        <v>65</v>
      </c>
      <c r="AS605" s="207" t="n">
        <v>301.5</v>
      </c>
      <c r="AT605" s="207" t="n"/>
      <c r="AU605" s="207" t="n"/>
      <c r="AV605" s="207" t="n"/>
      <c r="AW605" s="207" t="n"/>
      <c r="AX605" s="208" t="n">
        <v>1</v>
      </c>
      <c r="AY605" s="209">
        <f>L605*AX605+AP605+AQ605+AR605+AV605+AW605+AS605+AT605+AU605</f>
        <v/>
      </c>
      <c r="AZ605" s="207" t="n">
        <v>2876.25</v>
      </c>
      <c r="BA605" s="207" t="n">
        <v>0</v>
      </c>
      <c r="BB605" s="207">
        <f>AZ605*0.006</f>
        <v/>
      </c>
      <c r="BC605" s="209">
        <f>AZ605+BA605-BB605</f>
        <v/>
      </c>
      <c r="BD605" s="207" t="n">
        <v>0</v>
      </c>
      <c r="BE605" s="207" t="n">
        <v>0</v>
      </c>
      <c r="BF605" s="209">
        <f>BD605+BE605</f>
        <v/>
      </c>
      <c r="BG605" s="209">
        <f>BC605-AY605+BF605</f>
        <v/>
      </c>
      <c r="BH605" s="87" t="inlineStr">
        <is>
          <t>欧阳</t>
        </is>
      </c>
      <c r="BI605" s="210" t="inlineStr">
        <is>
          <t>湖南省 长沙市 浏阳市 集里街道天阔5栋902</t>
        </is>
      </c>
      <c r="BJ605" s="86" t="inlineStr">
        <is>
          <t>15578943204-3064</t>
        </is>
      </c>
      <c r="BK605" s="86" t="n"/>
      <c r="BL605" s="210" t="n"/>
      <c r="BM605" s="93" t="n"/>
      <c r="BN605" s="94" t="n"/>
      <c r="BO605" s="93" t="n"/>
      <c r="BP605" s="86" t="n"/>
      <c r="BQ605" s="96" t="n"/>
      <c r="BR605" s="96" t="n"/>
      <c r="BS605" s="97" t="n"/>
      <c r="BT605" s="96" t="n"/>
      <c r="BU605" s="97" t="n"/>
      <c r="BV605" s="96" t="n"/>
      <c r="BW605" s="97" t="n"/>
      <c r="BX605" s="97" t="n"/>
      <c r="BY605" s="97" t="n"/>
      <c r="BZ605" s="97" t="n"/>
      <c r="CH605" s="2" t="n"/>
      <c r="CI605" s="14" t="n"/>
      <c r="CJ605" s="25" t="n"/>
      <c r="CK605" s="25" t="n"/>
      <c r="CL605" s="25" t="n"/>
      <c r="CM605" s="25" t="n"/>
      <c r="CN605" s="25" t="n"/>
      <c r="CO605" s="25" t="n"/>
      <c r="CP605" s="25" t="n"/>
      <c r="CQ605" s="25" t="n"/>
      <c r="CR605" s="25" t="n"/>
      <c r="CS605" s="25" t="n"/>
      <c r="CT605" s="25" t="n"/>
      <c r="CU605" s="25" t="n"/>
      <c r="CV605" s="25" t="n"/>
      <c r="CW605" s="25" t="n"/>
      <c r="CX605" s="25" t="n"/>
      <c r="CY605" s="25" t="n"/>
      <c r="DC605" s="26" t="n"/>
      <c r="DD605" s="26" t="n"/>
      <c r="DE605" s="26" t="n"/>
      <c r="DF605" s="26" t="n"/>
      <c r="DG605" s="26" t="n"/>
      <c r="DH605" s="27" t="n"/>
      <c r="DJ605" s="241" t="inlineStr">
        <is>
          <t>✗ 金额不符</t>
        </is>
      </c>
      <c r="DK605" t="inlineStr">
        <is>
          <t>2866.25</t>
        </is>
      </c>
      <c r="DL605" s="239" t="n">
        <v>10</v>
      </c>
      <c r="DM605" s="241" t="inlineStr">
        <is>
          <t>该单订单表有部分退款301.05元（状态【交易成功】）；两表买家应付不一致，差额+10.00元</t>
        </is>
      </c>
    </row>
    <row r="606" ht="15.75" customHeight="1" s="187">
      <c r="A606" s="84" t="n">
        <v>45975</v>
      </c>
      <c r="B606" s="226" t="inlineStr">
        <is>
          <t>已发，灯带变压器有问题</t>
        </is>
      </c>
      <c r="C606" s="86" t="inlineStr">
        <is>
          <t>3053342172697207296</t>
        </is>
      </c>
      <c r="D606" s="110" t="inlineStr">
        <is>
          <t>舟舟</t>
        </is>
      </c>
      <c r="E606" s="87" t="n"/>
      <c r="F606" s="87" t="n"/>
      <c r="G606" s="87" t="inlineStr">
        <is>
          <t>1.3米带高台</t>
        </is>
      </c>
      <c r="H606" s="87" t="inlineStr">
        <is>
          <t>升降桌</t>
        </is>
      </c>
      <c r="I606" s="89" t="n"/>
      <c r="J606" s="87" t="n"/>
      <c r="K606" s="87" t="inlineStr">
        <is>
          <t>江西</t>
        </is>
      </c>
      <c r="L606" s="216" t="n">
        <v>2200.87</v>
      </c>
      <c r="M606" s="216" t="n">
        <v>1700</v>
      </c>
      <c r="N606" s="216" t="n"/>
      <c r="O606" s="216" t="n"/>
      <c r="P606" s="216" t="n"/>
      <c r="Q606" s="216" t="n"/>
      <c r="R606" s="216" t="n">
        <v>0</v>
      </c>
      <c r="S606" s="216" t="n">
        <v>94</v>
      </c>
      <c r="T606" s="216" t="n"/>
      <c r="U606" s="216" t="n"/>
      <c r="V606" s="216" t="n"/>
      <c r="W606" s="216" t="n"/>
      <c r="X606" s="216" t="n"/>
      <c r="Y606" s="216" t="n"/>
      <c r="Z606" s="216" t="n"/>
      <c r="AA606" s="216" t="n"/>
      <c r="AB606" s="216" t="n"/>
      <c r="AC606" s="216" t="n"/>
      <c r="AD606" s="216" t="n"/>
      <c r="AE606" s="216" t="n"/>
      <c r="AF606" s="216" t="n"/>
      <c r="AG606" s="216" t="n"/>
      <c r="AH606" s="216" t="n"/>
      <c r="AI606" s="216" t="n"/>
      <c r="AJ606" s="216" t="n"/>
      <c r="AK606" s="216" t="n"/>
      <c r="AL606" s="216" t="n"/>
      <c r="AM606" s="207" t="n">
        <v>120</v>
      </c>
      <c r="AN606" s="207" t="n"/>
      <c r="AO606" s="207" t="n"/>
      <c r="AP606" s="207" t="n">
        <v>280</v>
      </c>
      <c r="AQ606" s="207" t="n"/>
      <c r="AR606" s="207" t="n">
        <v>300</v>
      </c>
      <c r="AS606" s="207" t="n"/>
      <c r="AT606" s="207" t="n"/>
      <c r="AU606" s="207" t="n"/>
      <c r="AV606" s="207" t="n"/>
      <c r="AW606" s="207" t="n"/>
      <c r="AX606" s="208" t="n"/>
      <c r="AY606" s="209" t="n"/>
      <c r="AZ606" s="207" t="n"/>
      <c r="BA606" s="207" t="n">
        <v>0</v>
      </c>
      <c r="BB606" s="207">
        <f>AZ606*0.006</f>
        <v/>
      </c>
      <c r="BC606" s="209">
        <f>AZ606+BA606-BB606</f>
        <v/>
      </c>
      <c r="BD606" s="207" t="n">
        <v>0</v>
      </c>
      <c r="BE606" s="207" t="n">
        <v>0</v>
      </c>
      <c r="BF606" s="209" t="n"/>
      <c r="BG606" s="209" t="n"/>
      <c r="BH606" s="87" t="inlineStr">
        <is>
          <t>舟舟</t>
        </is>
      </c>
      <c r="BI606" s="210" t="inlineStr">
        <is>
          <t>上海 上海市 长宁区 新华路街道法华镇路751弄西镇小区18号楼601室</t>
        </is>
      </c>
      <c r="BJ606" s="86" t="inlineStr">
        <is>
          <t>18466658942-6583</t>
        </is>
      </c>
      <c r="BK606" s="86" t="n"/>
      <c r="BL606" s="210" t="n"/>
      <c r="BM606" s="93" t="n"/>
      <c r="BN606" s="94" t="n"/>
      <c r="BO606" s="93" t="n"/>
      <c r="BP606" s="86" t="n"/>
      <c r="BQ606" s="96" t="n"/>
      <c r="BR606" s="96" t="n"/>
      <c r="BS606" s="97" t="n"/>
      <c r="BT606" s="96" t="n"/>
      <c r="BU606" s="97" t="n"/>
      <c r="BV606" s="96" t="n"/>
      <c r="BW606" s="97" t="n"/>
      <c r="BX606" s="97" t="n"/>
      <c r="BY606" s="97" t="n"/>
      <c r="BZ606" s="97" t="n"/>
      <c r="CH606" s="2" t="n"/>
      <c r="CI606" s="14" t="n"/>
      <c r="CJ606" s="25" t="n"/>
      <c r="CK606" s="25" t="n"/>
      <c r="CL606" s="25" t="n"/>
      <c r="CM606" s="25" t="n"/>
      <c r="CN606" s="25" t="n"/>
      <c r="CO606" s="25" t="n"/>
      <c r="CP606" s="25" t="n"/>
      <c r="CQ606" s="25" t="n"/>
      <c r="CR606" s="25" t="n"/>
      <c r="CS606" s="25" t="n"/>
      <c r="CT606" s="25" t="n"/>
      <c r="CU606" s="25" t="n"/>
      <c r="CV606" s="25" t="n"/>
      <c r="CW606" s="25" t="n"/>
      <c r="CX606" s="25" t="n"/>
      <c r="CY606" s="25" t="n"/>
      <c r="DC606" s="26" t="n"/>
      <c r="DD606" s="26" t="n"/>
      <c r="DE606" s="26" t="n"/>
      <c r="DF606" s="26" t="n"/>
      <c r="DG606" s="26" t="n"/>
      <c r="DH606" s="27" t="n"/>
      <c r="DJ606" s="211" t="inlineStr">
        <is>
          <t>订单表中未找到</t>
        </is>
      </c>
      <c r="DK606" t="inlineStr">
        <is>
          <t>—</t>
        </is>
      </c>
      <c r="DL606" t="inlineStr">
        <is>
          <t>—</t>
        </is>
      </c>
    </row>
    <row r="607" ht="15.75" customHeight="1" s="187">
      <c r="A607" s="84" t="n">
        <v>46083</v>
      </c>
      <c r="B607" s="206" t="inlineStr">
        <is>
          <t>已发</t>
        </is>
      </c>
      <c r="C607" s="86" t="inlineStr">
        <is>
          <t>3055054080688207296</t>
        </is>
      </c>
      <c r="D607" s="110" t="inlineStr">
        <is>
          <t>舟舟</t>
        </is>
      </c>
      <c r="E607" s="87" t="n"/>
      <c r="F607" s="87" t="n"/>
      <c r="G607" s="87" t="inlineStr">
        <is>
          <t>1.2米洞石窄柜</t>
        </is>
      </c>
      <c r="H607" s="87" t="inlineStr">
        <is>
          <t>窄柜</t>
        </is>
      </c>
      <c r="I607" s="89" t="n"/>
      <c r="J607" s="87" t="inlineStr">
        <is>
          <t>已结算</t>
        </is>
      </c>
      <c r="K607" s="87" t="inlineStr">
        <is>
          <t>江西</t>
        </is>
      </c>
      <c r="L607" s="216" t="n">
        <v>3836.2</v>
      </c>
      <c r="M607" s="216" t="n">
        <v>3200</v>
      </c>
      <c r="N607" s="216" t="n">
        <v>411.08</v>
      </c>
      <c r="O607" s="216" t="n"/>
      <c r="P607" s="216" t="n"/>
      <c r="Q607" s="216" t="n"/>
      <c r="R607" s="216" t="n">
        <v>230</v>
      </c>
      <c r="S607" s="216" t="n">
        <v>43.5</v>
      </c>
      <c r="T607" s="216" t="n">
        <v>60</v>
      </c>
      <c r="U607" s="216" t="n"/>
      <c r="V607" s="216" t="n"/>
      <c r="W607" s="216" t="n"/>
      <c r="X607" s="216" t="n">
        <v>18</v>
      </c>
      <c r="Y607" s="216" t="n"/>
      <c r="Z607" s="216" t="n"/>
      <c r="AA607" s="216" t="n"/>
      <c r="AB607" s="216" t="n"/>
      <c r="AC607" s="216" t="n"/>
      <c r="AD607" s="216" t="n"/>
      <c r="AE607" s="216" t="n"/>
      <c r="AF607" s="216" t="n"/>
      <c r="AG607" s="216" t="n"/>
      <c r="AH607" s="216" t="n"/>
      <c r="AI607" s="216" t="n"/>
      <c r="AJ607" s="216" t="n"/>
      <c r="AK607" s="216" t="n"/>
      <c r="AL607" s="216" t="n"/>
      <c r="AM607" s="207" t="n">
        <v>220</v>
      </c>
      <c r="AN607" s="207" t="n"/>
      <c r="AO607" s="207" t="n"/>
      <c r="AP607" s="207" t="n">
        <v>280</v>
      </c>
      <c r="AQ607" s="207" t="n"/>
      <c r="AR607" s="207" t="n"/>
      <c r="AS607" s="207" t="n"/>
      <c r="AT607" s="207" t="n"/>
      <c r="AU607" s="207" t="n"/>
      <c r="AV607" s="207" t="n"/>
      <c r="AW607" s="207" t="n"/>
      <c r="AX607" s="208" t="n">
        <v>1</v>
      </c>
      <c r="AY607" s="209">
        <f>L607*AX607+AP607+AQ607+AR607+AV607+AW607+AS607+AT607+AU607</f>
        <v/>
      </c>
      <c r="AZ607" s="207" t="n"/>
      <c r="BA607" s="207" t="n">
        <v>0</v>
      </c>
      <c r="BB607" s="207">
        <f>AZ607*0.006</f>
        <v/>
      </c>
      <c r="BC607" s="209">
        <f>AZ607+BA607-BB607</f>
        <v/>
      </c>
      <c r="BD607" s="207" t="n">
        <v>0</v>
      </c>
      <c r="BE607" s="207" t="n">
        <v>0</v>
      </c>
      <c r="BF607" s="209">
        <f>BD607+BE607</f>
        <v/>
      </c>
      <c r="BG607" s="209">
        <f>BC607-AY607+BF607</f>
        <v/>
      </c>
      <c r="BH607" s="87" t="inlineStr">
        <is>
          <t>舟舟</t>
        </is>
      </c>
      <c r="BI607" s="210" t="inlineStr">
        <is>
          <t>上海 上海市 长宁区 新华路街道法华镇路751弄西镇小区18号楼601室</t>
        </is>
      </c>
      <c r="BJ607" s="86" t="inlineStr">
        <is>
          <t>18466658942-6583</t>
        </is>
      </c>
      <c r="BK607" s="86" t="n"/>
      <c r="BL607" s="210" t="n"/>
      <c r="BM607" s="93" t="n"/>
      <c r="BN607" s="94" t="n"/>
      <c r="BO607" s="93" t="n"/>
      <c r="BP607" s="86" t="n"/>
      <c r="BQ607" s="96" t="n"/>
      <c r="BR607" s="96" t="n"/>
      <c r="BS607" s="97" t="n"/>
      <c r="BT607" s="96" t="n"/>
      <c r="BU607" s="97" t="n"/>
      <c r="BV607" s="96" t="n"/>
      <c r="BW607" s="97" t="n"/>
      <c r="BX607" s="97" t="n"/>
      <c r="BY607" s="97" t="n"/>
      <c r="BZ607" s="97" t="n"/>
      <c r="CH607" s="2" t="n"/>
      <c r="CI607" s="14" t="n"/>
      <c r="CJ607" s="25" t="n"/>
      <c r="CK607" s="25" t="n"/>
      <c r="CL607" s="25" t="n"/>
      <c r="CM607" s="25" t="n"/>
      <c r="CN607" s="25" t="n"/>
      <c r="CO607" s="25" t="n"/>
      <c r="CP607" s="25" t="n"/>
      <c r="CQ607" s="25" t="n"/>
      <c r="CR607" s="25" t="n"/>
      <c r="CS607" s="25" t="n"/>
      <c r="CT607" s="25" t="n"/>
      <c r="CU607" s="25" t="n"/>
      <c r="CV607" s="25" t="n"/>
      <c r="CW607" s="25" t="n"/>
      <c r="CX607" s="25" t="n"/>
      <c r="CY607" s="25" t="n"/>
      <c r="DC607" s="26" t="n"/>
      <c r="DD607" s="26" t="n"/>
      <c r="DE607" s="26" t="n"/>
      <c r="DF607" s="26" t="n"/>
      <c r="DG607" s="26" t="n"/>
      <c r="DH607" s="27" t="n"/>
      <c r="DJ607" s="211" t="inlineStr">
        <is>
          <t>订单表中未找到</t>
        </is>
      </c>
      <c r="DK607" t="inlineStr">
        <is>
          <t>—</t>
        </is>
      </c>
      <c r="DL607" t="inlineStr">
        <is>
          <t>—</t>
        </is>
      </c>
    </row>
    <row r="608" ht="15.75" customHeight="1" s="187">
      <c r="A608" s="84" t="n">
        <v>46084</v>
      </c>
      <c r="B608" s="206" t="inlineStr">
        <is>
          <t>已发</t>
        </is>
      </c>
      <c r="C608" s="86" t="inlineStr">
        <is>
          <t>3272741655326142166</t>
        </is>
      </c>
      <c r="D608" s="110" t="inlineStr">
        <is>
          <t>羊羊羊</t>
        </is>
      </c>
      <c r="E608" s="87" t="n"/>
      <c r="F608" s="87" t="n"/>
      <c r="G608" s="87" t="inlineStr">
        <is>
          <t>2000*850*750</t>
        </is>
      </c>
      <c r="H608" s="87" t="inlineStr">
        <is>
          <t>榉木餐桌</t>
        </is>
      </c>
      <c r="I608" s="89" t="inlineStr">
        <is>
          <t>200cm*85cm</t>
        </is>
      </c>
      <c r="J608" s="87" t="inlineStr">
        <is>
          <t>已结算</t>
        </is>
      </c>
      <c r="K608" s="87" t="inlineStr">
        <is>
          <t>江西</t>
        </is>
      </c>
      <c r="L608" s="216" t="n">
        <v>1832.5</v>
      </c>
      <c r="M608" s="216" t="n">
        <v>1450</v>
      </c>
      <c r="N608" s="216" t="n"/>
      <c r="O608" s="216" t="n"/>
      <c r="P608" s="216" t="n"/>
      <c r="Q608" s="216" t="n"/>
      <c r="R608" s="216" t="n">
        <v>290</v>
      </c>
      <c r="S608" s="216" t="n"/>
      <c r="T608" s="216" t="n"/>
      <c r="U608" s="216" t="n"/>
      <c r="V608" s="216" t="n"/>
      <c r="W608" s="216" t="n"/>
      <c r="X608" s="216" t="n"/>
      <c r="Y608" s="216" t="n"/>
      <c r="Z608" s="216" t="n"/>
      <c r="AA608" s="216" t="n"/>
      <c r="AB608" s="216" t="n"/>
      <c r="AC608" s="216" t="n"/>
      <c r="AD608" s="216" t="n"/>
      <c r="AE608" s="216" t="n"/>
      <c r="AF608" s="216" t="n"/>
      <c r="AG608" s="216" t="n"/>
      <c r="AH608" s="216" t="n"/>
      <c r="AI608" s="216" t="n"/>
      <c r="AJ608" s="216" t="n"/>
      <c r="AK608" s="216" t="n"/>
      <c r="AL608" s="216" t="n"/>
      <c r="AM608" s="207" t="n">
        <v>90</v>
      </c>
      <c r="AN608" s="207" t="n"/>
      <c r="AO608" s="207" t="n"/>
      <c r="AP608" s="207" t="n">
        <v>287</v>
      </c>
      <c r="AQ608" s="207" t="n"/>
      <c r="AR608" s="207" t="n">
        <v>60</v>
      </c>
      <c r="AS608" s="207" t="n"/>
      <c r="AT608" s="207" t="n">
        <v>138</v>
      </c>
      <c r="AU608" s="207" t="n"/>
      <c r="AV608" s="207" t="n"/>
      <c r="AW608" s="207" t="n"/>
      <c r="AX608" s="208" t="n">
        <v>1</v>
      </c>
      <c r="AY608" s="209">
        <f>L608*AX608+AP608+AQ608+AR608+AV608+AW608+AS608+AT608+AU608</f>
        <v/>
      </c>
      <c r="AZ608" s="207" t="n">
        <v>2933.78</v>
      </c>
      <c r="BA608" s="207" t="n">
        <v>0</v>
      </c>
      <c r="BB608" s="207">
        <f>AZ608*0.006</f>
        <v/>
      </c>
      <c r="BC608" s="209">
        <f>AZ608+BA608-BB608</f>
        <v/>
      </c>
      <c r="BD608" s="207" t="n">
        <v>0</v>
      </c>
      <c r="BE608" s="207" t="n">
        <v>0</v>
      </c>
      <c r="BF608" s="209">
        <f>BD608+BE608</f>
        <v/>
      </c>
      <c r="BG608" s="209">
        <f>BC608-AY608+BF608</f>
        <v/>
      </c>
      <c r="BH608" s="87" t="inlineStr">
        <is>
          <t>羊羊羊</t>
        </is>
      </c>
      <c r="BI608" s="210" t="inlineStr">
        <is>
          <t>云南省 昆明市 五华区 龙翔街道红菱路云南建投春城华府6栋1602</t>
        </is>
      </c>
      <c r="BJ608" s="86" t="inlineStr">
        <is>
          <t>17898757089-9740</t>
        </is>
      </c>
      <c r="BK608" s="86" t="n"/>
      <c r="BL608" s="210" t="n"/>
      <c r="BM608" s="93" t="n"/>
      <c r="BN608" s="94" t="n"/>
      <c r="BO608" s="93" t="n"/>
      <c r="BP608" s="86" t="n"/>
      <c r="BQ608" s="96" t="n"/>
      <c r="BR608" s="96" t="n"/>
      <c r="BS608" s="97" t="n"/>
      <c r="BT608" s="96" t="n"/>
      <c r="BU608" s="97" t="n"/>
      <c r="BV608" s="96" t="n"/>
      <c r="BW608" s="97" t="n"/>
      <c r="BX608" s="97" t="n"/>
      <c r="BY608" s="97" t="n"/>
      <c r="BZ608" s="97" t="n"/>
      <c r="CH608" s="2" t="n"/>
      <c r="CI608" s="14" t="n"/>
      <c r="CJ608" s="25" t="n"/>
      <c r="CK608" s="25" t="n"/>
      <c r="CL608" s="25" t="n"/>
      <c r="CM608" s="25" t="n"/>
      <c r="CN608" s="25" t="n"/>
      <c r="CO608" s="25" t="n"/>
      <c r="CP608" s="25" t="n"/>
      <c r="CQ608" s="25" t="n"/>
      <c r="CR608" s="25" t="n"/>
      <c r="CS608" s="25" t="n"/>
      <c r="CT608" s="25" t="n"/>
      <c r="CU608" s="25" t="n"/>
      <c r="CV608" s="25" t="n"/>
      <c r="CW608" s="25" t="n"/>
      <c r="CX608" s="25" t="n"/>
      <c r="CY608" s="25" t="n"/>
      <c r="DC608" s="26" t="n"/>
      <c r="DD608" s="26" t="n"/>
      <c r="DE608" s="26" t="n"/>
      <c r="DF608" s="26" t="n"/>
      <c r="DG608" s="26" t="n"/>
      <c r="DH608" s="27" t="n"/>
      <c r="DJ608" s="238" t="inlineStr">
        <is>
          <t>✓ 金额一致</t>
        </is>
      </c>
      <c r="DK608" t="inlineStr">
        <is>
          <t>2933.78</t>
        </is>
      </c>
      <c r="DL608" s="239" t="n">
        <v>0</v>
      </c>
    </row>
    <row r="609" ht="15" customHeight="1" s="187">
      <c r="A609" s="84" t="n">
        <v>46085</v>
      </c>
      <c r="B609" s="206" t="inlineStr">
        <is>
          <t>岩板歪的，换岩板，赔付150，自己安装</t>
        </is>
      </c>
      <c r="C609" s="86" t="inlineStr">
        <is>
          <t>3274413278563132798</t>
        </is>
      </c>
      <c r="D609" s="110" t="inlineStr">
        <is>
          <t>刘晓萌</t>
        </is>
      </c>
      <c r="E609" s="87" t="n"/>
      <c r="F609" s="87" t="n"/>
      <c r="G609" s="87" t="inlineStr">
        <is>
          <t>1600*750*750</t>
        </is>
      </c>
      <c r="H609" s="87" t="inlineStr">
        <is>
          <t>榉木餐桌</t>
        </is>
      </c>
      <c r="I609" s="89" t="inlineStr">
        <is>
          <t>160cm*75cm</t>
        </is>
      </c>
      <c r="J609" s="87" t="inlineStr">
        <is>
          <t>已结算</t>
        </is>
      </c>
      <c r="K609" s="87" t="inlineStr">
        <is>
          <t>江西</t>
        </is>
      </c>
      <c r="L609" s="216" t="n">
        <v>1602.5</v>
      </c>
      <c r="M609" s="216" t="n">
        <v>1350</v>
      </c>
      <c r="N609" s="216" t="n"/>
      <c r="O609" s="216" t="n"/>
      <c r="P609" s="216" t="n"/>
      <c r="Q609" s="216" t="n"/>
      <c r="R609" s="216" t="n">
        <v>170</v>
      </c>
      <c r="S609" s="216" t="n"/>
      <c r="T609" s="216" t="n"/>
      <c r="U609" s="216" t="n"/>
      <c r="V609" s="216" t="n"/>
      <c r="W609" s="216" t="n"/>
      <c r="X609" s="216" t="n"/>
      <c r="Y609" s="216" t="n"/>
      <c r="Z609" s="216" t="n"/>
      <c r="AA609" s="216" t="n"/>
      <c r="AB609" s="216" t="n"/>
      <c r="AC609" s="216" t="n"/>
      <c r="AD609" s="216" t="n"/>
      <c r="AE609" s="216" t="n"/>
      <c r="AF609" s="216" t="n"/>
      <c r="AG609" s="216" t="n"/>
      <c r="AH609" s="216" t="n"/>
      <c r="AI609" s="216" t="n"/>
      <c r="AJ609" s="216" t="n"/>
      <c r="AK609" s="216" t="n"/>
      <c r="AL609" s="216" t="n"/>
      <c r="AM609" s="207" t="n">
        <v>80</v>
      </c>
      <c r="AN609" s="207" t="n"/>
      <c r="AO609" s="207" t="n"/>
      <c r="AP609" s="207" t="n">
        <v>216</v>
      </c>
      <c r="AQ609" s="207" t="n"/>
      <c r="AR609" s="207" t="n"/>
      <c r="AS609" s="207" t="n"/>
      <c r="AT609" s="207" t="n"/>
      <c r="AU609" s="207" t="n"/>
      <c r="AV609" s="207" t="n"/>
      <c r="AW609" s="207" t="n">
        <v>150</v>
      </c>
      <c r="AX609" s="208" t="n">
        <v>1</v>
      </c>
      <c r="AY609" s="209">
        <f>L609*AX609+AP609+AQ609+AR609+AV609+AW609+AS609+AT609+AU609</f>
        <v/>
      </c>
      <c r="AZ609" s="207" t="n">
        <v>2754.55</v>
      </c>
      <c r="BA609" s="207" t="n">
        <v>0</v>
      </c>
      <c r="BB609" s="207">
        <f>AZ609*0.006</f>
        <v/>
      </c>
      <c r="BC609" s="209">
        <f>AZ609+BA609-BB609</f>
        <v/>
      </c>
      <c r="BD609" s="207" t="n">
        <v>0</v>
      </c>
      <c r="BE609" s="207" t="n">
        <v>0</v>
      </c>
      <c r="BF609" s="209">
        <f>BD609+BE609</f>
        <v/>
      </c>
      <c r="BG609" s="209">
        <f>BC609-AY609+BF609</f>
        <v/>
      </c>
      <c r="BH609" s="87" t="inlineStr">
        <is>
          <t>刘晓萌</t>
        </is>
      </c>
      <c r="BI609" s="210" t="inlineStr">
        <is>
          <t>北京 北京市 朝阳区 高碑店乡兴隆家园北区11号楼2410（请送到家门口）</t>
        </is>
      </c>
      <c r="BJ609" s="86" t="inlineStr">
        <is>
          <t>15501078144-9117</t>
        </is>
      </c>
      <c r="BK609" s="86" t="n"/>
      <c r="BL609" s="210" t="n"/>
      <c r="BM609" s="93" t="n"/>
      <c r="BN609" s="94" t="n"/>
      <c r="BO609" s="93" t="n"/>
      <c r="BP609" s="86" t="n"/>
      <c r="BQ609" s="96" t="n"/>
      <c r="BR609" s="96" t="n"/>
      <c r="BS609" s="97" t="n"/>
      <c r="BT609" s="96" t="n"/>
      <c r="BU609" s="97" t="n"/>
      <c r="BV609" s="96" t="n"/>
      <c r="BW609" s="97" t="n"/>
      <c r="BX609" s="97" t="n"/>
      <c r="BY609" s="97" t="n"/>
      <c r="BZ609" s="97" t="n"/>
      <c r="CH609" s="2" t="n"/>
      <c r="CI609" s="14" t="n"/>
      <c r="CJ609" s="25" t="n"/>
      <c r="CK609" s="25" t="n"/>
      <c r="CL609" s="25" t="n"/>
      <c r="CM609" s="25" t="n"/>
      <c r="CN609" s="25" t="n"/>
      <c r="CO609" s="25" t="n"/>
      <c r="CP609" s="25" t="n"/>
      <c r="CQ609" s="25" t="n"/>
      <c r="CR609" s="25" t="n"/>
      <c r="CS609" s="25" t="n"/>
      <c r="CT609" s="25" t="n"/>
      <c r="CU609" s="25" t="n"/>
      <c r="CV609" s="25" t="n"/>
      <c r="CW609" s="25" t="n"/>
      <c r="CX609" s="25" t="n"/>
      <c r="CY609" s="25" t="n"/>
      <c r="DC609" s="26" t="n"/>
      <c r="DD609" s="26" t="n"/>
      <c r="DE609" s="26" t="n"/>
      <c r="DF609" s="26" t="n"/>
      <c r="DG609" s="26" t="n"/>
      <c r="DH609" s="27" t="n"/>
      <c r="DJ609" s="238" t="inlineStr">
        <is>
          <t>✓ 金额一致</t>
        </is>
      </c>
      <c r="DK609" t="inlineStr">
        <is>
          <t>2754.55</t>
        </is>
      </c>
      <c r="DL609" s="239" t="n">
        <v>0</v>
      </c>
    </row>
    <row r="610" ht="15.75" customHeight="1" s="187">
      <c r="A610" s="84" t="n">
        <v>46087</v>
      </c>
      <c r="B610" s="206" t="inlineStr">
        <is>
          <t>已发</t>
        </is>
      </c>
      <c r="C610" s="86" t="inlineStr">
        <is>
          <t>3279834589882916087</t>
        </is>
      </c>
      <c r="D610" s="110" t="inlineStr">
        <is>
          <t>黄小马</t>
        </is>
      </c>
      <c r="E610" s="87" t="n"/>
      <c r="F610" s="87" t="n"/>
      <c r="G610" s="87" t="inlineStr">
        <is>
          <t>1600*850*750</t>
        </is>
      </c>
      <c r="H610" s="87" t="inlineStr">
        <is>
          <t>榉木餐桌</t>
        </is>
      </c>
      <c r="I610" s="89" t="inlineStr">
        <is>
          <t>160cm*85cm</t>
        </is>
      </c>
      <c r="J610" s="87" t="inlineStr">
        <is>
          <t>已结算</t>
        </is>
      </c>
      <c r="K610" s="87" t="inlineStr">
        <is>
          <t>江西</t>
        </is>
      </c>
      <c r="L610" s="216" t="n">
        <v>1762.5</v>
      </c>
      <c r="M610" s="216" t="n">
        <v>1350</v>
      </c>
      <c r="N610" s="216" t="n"/>
      <c r="O610" s="216" t="n"/>
      <c r="P610" s="216" t="n"/>
      <c r="Q610" s="216" t="n"/>
      <c r="R610" s="216" t="n">
        <v>220</v>
      </c>
      <c r="S610" s="216" t="n"/>
      <c r="T610" s="216" t="n"/>
      <c r="U610" s="216" t="n"/>
      <c r="V610" s="216" t="n"/>
      <c r="W610" s="216" t="n"/>
      <c r="X610" s="216" t="n"/>
      <c r="Y610" s="216" t="n"/>
      <c r="Z610" s="216" t="n"/>
      <c r="AA610" s="216" t="n"/>
      <c r="AB610" s="216" t="n"/>
      <c r="AC610" s="216" t="n"/>
      <c r="AD610" s="216" t="n"/>
      <c r="AE610" s="216" t="n"/>
      <c r="AF610" s="216" t="n"/>
      <c r="AG610" s="216" t="n"/>
      <c r="AH610" s="216" t="n"/>
      <c r="AI610" s="216" t="n"/>
      <c r="AJ610" s="216" t="n"/>
      <c r="AK610" s="216" t="n"/>
      <c r="AL610" s="216" t="n"/>
      <c r="AM610" s="207" t="n">
        <v>190</v>
      </c>
      <c r="AN610" s="207" t="n"/>
      <c r="AO610" s="207" t="n"/>
      <c r="AP610" s="207" t="n">
        <v>103</v>
      </c>
      <c r="AQ610" s="207" t="n">
        <v>30</v>
      </c>
      <c r="AR610" s="207" t="n">
        <v>74</v>
      </c>
      <c r="AS610" s="207" t="n"/>
      <c r="AT610" s="207" t="n"/>
      <c r="AU610" s="207" t="n"/>
      <c r="AV610" s="207" t="n"/>
      <c r="AW610" s="207" t="n">
        <v>44.47</v>
      </c>
      <c r="AX610" s="208" t="n">
        <v>1</v>
      </c>
      <c r="AY610" s="209">
        <f>L610*AX610+AP610+AQ610+AR610+AV610+AW610+AS610+AT610+AU610</f>
        <v/>
      </c>
      <c r="AZ610" s="207" t="n">
        <v>2821.55</v>
      </c>
      <c r="BA610" s="207" t="n">
        <v>0</v>
      </c>
      <c r="BB610" s="207">
        <f>AZ610*0.006</f>
        <v/>
      </c>
      <c r="BC610" s="209">
        <f>AZ610+BA610-BB610</f>
        <v/>
      </c>
      <c r="BD610" s="207" t="n">
        <v>0</v>
      </c>
      <c r="BE610" s="207" t="n">
        <v>0</v>
      </c>
      <c r="BF610" s="209">
        <f>BD610+BE610</f>
        <v/>
      </c>
      <c r="BG610" s="209">
        <f>BC610-AY610+BF610</f>
        <v/>
      </c>
      <c r="BH610" s="87" t="inlineStr">
        <is>
          <t>黄小马</t>
        </is>
      </c>
      <c r="BI610" s="210" t="inlineStr">
        <is>
          <t>广东省 广州市 黄埔区 鱼珠街道富颐华庭r区9栋3602</t>
        </is>
      </c>
      <c r="BJ610" s="86" t="inlineStr">
        <is>
          <t>14739047620-9533</t>
        </is>
      </c>
      <c r="BK610" s="86" t="n"/>
      <c r="BL610" s="210" t="n"/>
      <c r="BM610" s="93" t="n"/>
      <c r="BN610" s="94" t="n"/>
      <c r="BO610" s="93" t="n"/>
      <c r="BP610" s="86" t="n"/>
      <c r="BQ610" s="96" t="n"/>
      <c r="BR610" s="96" t="n"/>
      <c r="BS610" s="97" t="n"/>
      <c r="BT610" s="96" t="n"/>
      <c r="BU610" s="97" t="n"/>
      <c r="BV610" s="96" t="n"/>
      <c r="BW610" s="97" t="n"/>
      <c r="BX610" s="97" t="n"/>
      <c r="BY610" s="97" t="n"/>
      <c r="BZ610" s="97" t="n"/>
      <c r="CH610" s="2" t="n"/>
      <c r="CI610" s="14" t="n"/>
      <c r="CJ610" s="25" t="n"/>
      <c r="CK610" s="25" t="n"/>
      <c r="CL610" s="25" t="n"/>
      <c r="CM610" s="25" t="n"/>
      <c r="CN610" s="25" t="n"/>
      <c r="CO610" s="25" t="n"/>
      <c r="CP610" s="25" t="n"/>
      <c r="CQ610" s="25" t="n"/>
      <c r="CR610" s="25" t="n"/>
      <c r="CS610" s="25" t="n"/>
      <c r="CT610" s="25" t="n"/>
      <c r="CU610" s="25" t="n"/>
      <c r="CV610" s="25" t="n"/>
      <c r="CW610" s="25" t="n"/>
      <c r="CX610" s="25" t="n"/>
      <c r="CY610" s="25" t="n"/>
      <c r="DC610" s="26" t="n"/>
      <c r="DD610" s="26" t="n"/>
      <c r="DE610" s="26" t="n"/>
      <c r="DF610" s="26" t="n"/>
      <c r="DG610" s="26" t="n"/>
      <c r="DH610" s="27" t="n"/>
      <c r="DJ610" s="241" t="inlineStr">
        <is>
          <t>✗ 金额不符</t>
        </is>
      </c>
      <c r="DK610" t="inlineStr">
        <is>
          <t>2791.55</t>
        </is>
      </c>
      <c r="DL610" s="239" t="n">
        <v>30</v>
      </c>
      <c r="DM610" s="241" t="inlineStr">
        <is>
          <t>买家应付金额不一致，差额+30.00元（订单表2791.55 vs 佳宝2821.55，疑似改价/补邮费/上楼费等手工调整，需人工核对）</t>
        </is>
      </c>
    </row>
    <row r="611" ht="15.75" customHeight="1" s="187">
      <c r="A611" s="84" t="n">
        <v>46088</v>
      </c>
      <c r="B611" s="206" t="inlineStr">
        <is>
          <t>已发</t>
        </is>
      </c>
      <c r="C611" s="86" t="inlineStr">
        <is>
          <t>4502117883011106046</t>
        </is>
      </c>
      <c r="D611" s="110" t="inlineStr">
        <is>
          <t>刘小姐</t>
        </is>
      </c>
      <c r="E611" s="87" t="n"/>
      <c r="F611" s="87" t="n"/>
      <c r="G611" s="87" t="inlineStr">
        <is>
          <t>0.83米洞石窄柜
下柜加高10cm，顶柜追高13cm，背板追高13cm
右边顶柜无玻璃隔板</t>
        </is>
      </c>
      <c r="H611" s="87" t="inlineStr">
        <is>
          <t>窄柜</t>
        </is>
      </c>
      <c r="I611" s="89" t="n"/>
      <c r="J611" s="87" t="inlineStr">
        <is>
          <t>已结算</t>
        </is>
      </c>
      <c r="K611" s="87" t="inlineStr">
        <is>
          <t>江西</t>
        </is>
      </c>
      <c r="L611" s="207">
        <f>SUM(M611:AO611)</f>
        <v/>
      </c>
      <c r="M611" s="216" t="n">
        <v>3100</v>
      </c>
      <c r="N611" s="216" t="n">
        <v>335</v>
      </c>
      <c r="O611" s="216" t="n"/>
      <c r="P611" s="216" t="n"/>
      <c r="Q611" s="216" t="n"/>
      <c r="R611" s="216" t="n">
        <v>180</v>
      </c>
      <c r="S611" s="216" t="n">
        <v>39.85</v>
      </c>
      <c r="T611" s="216" t="n">
        <v>31</v>
      </c>
      <c r="U611" s="216" t="n"/>
      <c r="V611" s="216" t="n"/>
      <c r="W611" s="216" t="n"/>
      <c r="X611" s="216" t="n">
        <v>18</v>
      </c>
      <c r="Y611" s="216" t="n"/>
      <c r="Z611" s="216" t="n"/>
      <c r="AA611" s="216" t="n"/>
      <c r="AB611" s="216" t="n"/>
      <c r="AC611" s="216" t="n"/>
      <c r="AD611" s="216" t="n"/>
      <c r="AE611" s="216" t="n"/>
      <c r="AF611" s="216" t="n"/>
      <c r="AG611" s="216" t="n"/>
      <c r="AH611" s="216" t="n"/>
      <c r="AI611" s="216" t="n"/>
      <c r="AJ611" s="216" t="n"/>
      <c r="AK611" s="216" t="n"/>
      <c r="AL611" s="216" t="n"/>
      <c r="AM611" s="207" t="n"/>
      <c r="AN611" s="207" t="n"/>
      <c r="AO611" s="207" t="n"/>
      <c r="AP611" s="207" t="n"/>
      <c r="AQ611" s="207" t="n"/>
      <c r="AR611" s="207" t="n">
        <v>84</v>
      </c>
      <c r="AS611" s="207" t="n"/>
      <c r="AT611" s="207" t="n"/>
      <c r="AU611" s="207" t="n"/>
      <c r="AV611" s="207" t="n"/>
      <c r="AW611" s="207" t="n"/>
      <c r="AX611" s="208" t="n">
        <v>1</v>
      </c>
      <c r="AY611" s="209">
        <f>L611*AX611+AP611+AQ611+AR611+AV611+AW611+AS611+AT611+AU611</f>
        <v/>
      </c>
      <c r="AZ611" s="207" t="n">
        <v>5975</v>
      </c>
      <c r="BA611" s="207" t="n">
        <v>0</v>
      </c>
      <c r="BB611" s="207">
        <f>AZ611*0.006</f>
        <v/>
      </c>
      <c r="BC611" s="209">
        <f>AZ611+BA611-BB611</f>
        <v/>
      </c>
      <c r="BD611" s="207" t="n">
        <v>0</v>
      </c>
      <c r="BE611" s="207" t="n">
        <v>0</v>
      </c>
      <c r="BF611" s="209">
        <f>BD611+BE611</f>
        <v/>
      </c>
      <c r="BG611" s="209">
        <f>BC611-AY611+BF611</f>
        <v/>
      </c>
      <c r="BH611" s="87" t="inlineStr">
        <is>
          <t>刘小姐</t>
        </is>
      </c>
      <c r="BI611" s="210" t="inlineStr">
        <is>
          <t>广东省 肇庆市 端州区 城东街道 天鹅堡2期1栋1704</t>
        </is>
      </c>
      <c r="BJ611" s="86" t="inlineStr">
        <is>
          <t>14716067305-1664</t>
        </is>
      </c>
      <c r="BK611" s="86" t="n"/>
      <c r="BL611" s="210" t="n"/>
      <c r="BM611" s="93" t="n"/>
      <c r="BN611" s="94" t="n"/>
      <c r="BO611" s="93" t="n"/>
      <c r="BP611" s="86" t="n"/>
      <c r="BQ611" s="96" t="n"/>
      <c r="BR611" s="96" t="n"/>
      <c r="BS611" s="97" t="n"/>
      <c r="BT611" s="96" t="n"/>
      <c r="BU611" s="97" t="n"/>
      <c r="BV611" s="96" t="n"/>
      <c r="BW611" s="97" t="n"/>
      <c r="BX611" s="97" t="n"/>
      <c r="BY611" s="97" t="n"/>
      <c r="BZ611" s="97" t="n"/>
      <c r="CH611" s="2" t="n"/>
      <c r="CI611" s="14" t="n"/>
      <c r="CJ611" s="25" t="n"/>
      <c r="CK611" s="25" t="n"/>
      <c r="CL611" s="25" t="n"/>
      <c r="CM611" s="25" t="n"/>
      <c r="CN611" s="25" t="n"/>
      <c r="CO611" s="25" t="n"/>
      <c r="CP611" s="25" t="n"/>
      <c r="CQ611" s="25" t="n"/>
      <c r="CR611" s="25" t="n"/>
      <c r="CS611" s="25" t="n"/>
      <c r="CT611" s="25" t="n"/>
      <c r="CU611" s="25" t="n"/>
      <c r="CV611" s="25" t="n"/>
      <c r="CW611" s="25" t="n"/>
      <c r="CX611" s="25" t="n"/>
      <c r="CY611" s="25" t="n"/>
      <c r="DC611" s="26" t="n"/>
      <c r="DD611" s="26" t="n"/>
      <c r="DE611" s="26" t="n"/>
      <c r="DF611" s="26" t="n"/>
      <c r="DG611" s="26" t="n"/>
      <c r="DH611" s="27" t="n"/>
      <c r="DJ611" s="238" t="inlineStr">
        <is>
          <t>✓ 金额一致</t>
        </is>
      </c>
      <c r="DK611" t="inlineStr">
        <is>
          <t>5975.00</t>
        </is>
      </c>
      <c r="DL611" s="239" t="n">
        <v>0</v>
      </c>
    </row>
    <row r="612" ht="15.75" customHeight="1" s="187">
      <c r="A612" s="84" t="n">
        <v>46086</v>
      </c>
      <c r="B612" s="206" t="inlineStr">
        <is>
          <t>已发</t>
        </is>
      </c>
      <c r="C612" s="86" t="inlineStr">
        <is>
          <t>4502092320085015720</t>
        </is>
      </c>
      <c r="D612" s="110" t="inlineStr">
        <is>
          <t>袁晓园</t>
        </is>
      </c>
      <c r="E612" s="87" t="n"/>
      <c r="F612" s="87" t="n"/>
      <c r="G612" s="87" t="inlineStr">
        <is>
          <t>1米窄柜，下柜深度43，上柜38</t>
        </is>
      </c>
      <c r="H612" s="87" t="inlineStr">
        <is>
          <t>窄柜</t>
        </is>
      </c>
      <c r="I612" s="89" t="n"/>
      <c r="J612" s="87" t="inlineStr">
        <is>
          <t>已结算</t>
        </is>
      </c>
      <c r="K612" s="87" t="inlineStr">
        <is>
          <t>江西</t>
        </is>
      </c>
      <c r="L612" s="207">
        <f>SUM(M612:AO612)</f>
        <v/>
      </c>
      <c r="M612" s="216" t="n">
        <v>3100</v>
      </c>
      <c r="N612" s="216" t="n">
        <v>359.08</v>
      </c>
      <c r="O612" s="216" t="n"/>
      <c r="P612" s="216" t="n"/>
      <c r="Q612" s="216" t="n"/>
      <c r="R612" s="216" t="n">
        <v>180</v>
      </c>
      <c r="S612" s="216" t="n">
        <v>49</v>
      </c>
      <c r="T612" s="216" t="n">
        <v>31</v>
      </c>
      <c r="U612" s="216" t="n"/>
      <c r="V612" s="216" t="n"/>
      <c r="W612" s="216" t="n"/>
      <c r="X612" s="216" t="n">
        <v>17</v>
      </c>
      <c r="Y612" s="216" t="n"/>
      <c r="Z612" s="216" t="n"/>
      <c r="AA612" s="216" t="n"/>
      <c r="AB612" s="216" t="n"/>
      <c r="AC612" s="216" t="n"/>
      <c r="AD612" s="216" t="n"/>
      <c r="AE612" s="216" t="n"/>
      <c r="AF612" s="216" t="n"/>
      <c r="AG612" s="216" t="n"/>
      <c r="AH612" s="216" t="n"/>
      <c r="AI612" s="216" t="n"/>
      <c r="AJ612" s="216" t="n"/>
      <c r="AK612" s="216" t="n"/>
      <c r="AL612" s="216" t="n"/>
      <c r="AM612" s="207" t="n"/>
      <c r="AN612" s="207" t="n"/>
      <c r="AO612" s="207" t="n"/>
      <c r="AP612" s="207" t="n"/>
      <c r="AQ612" s="207" t="n"/>
      <c r="AR612" s="207" t="n">
        <v>100</v>
      </c>
      <c r="AS612" s="207" t="n"/>
      <c r="AT612" s="207" t="n"/>
      <c r="AU612" s="207" t="n"/>
      <c r="AV612" s="207" t="n"/>
      <c r="AW612" s="207" t="n"/>
      <c r="AX612" s="208" t="n">
        <v>1</v>
      </c>
      <c r="AY612" s="209">
        <f>L612*AX612+AP612+AQ612+AR612+AV612+AW612+AS612+AT612+AU612</f>
        <v/>
      </c>
      <c r="AZ612" s="207" t="n">
        <v>5738.14</v>
      </c>
      <c r="BA612" s="207" t="n">
        <v>0</v>
      </c>
      <c r="BB612" s="207">
        <f>AZ612*0.006</f>
        <v/>
      </c>
      <c r="BC612" s="209">
        <f>AZ612+BA612-BB612</f>
        <v/>
      </c>
      <c r="BD612" s="207" t="n">
        <v>0</v>
      </c>
      <c r="BE612" s="207" t="n">
        <v>0</v>
      </c>
      <c r="BF612" s="209">
        <f>BD612+BE612</f>
        <v/>
      </c>
      <c r="BG612" s="209">
        <f>BC612-AY612+BF612</f>
        <v/>
      </c>
      <c r="BH612" s="87" t="inlineStr">
        <is>
          <t>袁晓园</t>
        </is>
      </c>
      <c r="BI612" s="210" t="inlineStr">
        <is>
          <t>北京 北京市 朝阳区 六里屯街道北京市朝阳区甜水园北里13号楼902</t>
        </is>
      </c>
      <c r="BJ612" s="86" t="inlineStr">
        <is>
          <t>18400680275-1293</t>
        </is>
      </c>
      <c r="BK612" s="86" t="n"/>
      <c r="BL612" s="210" t="n"/>
      <c r="BM612" s="93" t="n"/>
      <c r="BN612" s="94" t="n"/>
      <c r="BO612" s="93" t="n"/>
      <c r="BP612" s="86" t="n"/>
      <c r="BQ612" s="96" t="n"/>
      <c r="BR612" s="96" t="n"/>
      <c r="BS612" s="97" t="n"/>
      <c r="BT612" s="96" t="n"/>
      <c r="BU612" s="97" t="n"/>
      <c r="BV612" s="96" t="n"/>
      <c r="BW612" s="97" t="n"/>
      <c r="BX612" s="97" t="n"/>
      <c r="BY612" s="97" t="n"/>
      <c r="BZ612" s="97" t="n"/>
      <c r="CH612" s="2" t="n"/>
      <c r="CI612" s="14" t="n"/>
      <c r="CJ612" s="25" t="n"/>
      <c r="CK612" s="25" t="n"/>
      <c r="CL612" s="25" t="n"/>
      <c r="CM612" s="25" t="n"/>
      <c r="CN612" s="25" t="n"/>
      <c r="CO612" s="25" t="n"/>
      <c r="CP612" s="25" t="n"/>
      <c r="CQ612" s="25" t="n"/>
      <c r="CR612" s="25" t="n"/>
      <c r="CS612" s="25" t="n"/>
      <c r="CT612" s="25" t="n"/>
      <c r="CU612" s="25" t="n"/>
      <c r="CV612" s="25" t="n"/>
      <c r="CW612" s="25" t="n"/>
      <c r="CX612" s="25" t="n"/>
      <c r="CY612" s="25" t="n"/>
      <c r="DC612" s="26" t="n"/>
      <c r="DD612" s="26" t="n"/>
      <c r="DE612" s="26" t="n"/>
      <c r="DF612" s="26" t="n"/>
      <c r="DG612" s="26" t="n"/>
      <c r="DH612" s="27" t="n"/>
      <c r="DJ612" s="241" t="inlineStr">
        <is>
          <t>✗ 金额不符</t>
        </is>
      </c>
      <c r="DK612" t="inlineStr">
        <is>
          <t>5728.14</t>
        </is>
      </c>
      <c r="DL612" s="239" t="n">
        <v>10</v>
      </c>
      <c r="DM612" s="241" t="inlineStr">
        <is>
          <t>买家应付金额不一致，差额+10.00元（订单表5728.14 vs 佳宝5738.14，疑似改价/补邮费/上楼费等手工调整，需人工核对）</t>
        </is>
      </c>
    </row>
    <row r="613" ht="15.75" customHeight="1" s="187">
      <c r="A613" s="84" t="n">
        <v>46089</v>
      </c>
      <c r="B613" s="206" t="inlineStr">
        <is>
          <t>已发</t>
        </is>
      </c>
      <c r="C613" s="86" t="inlineStr">
        <is>
          <t>3284205097563943655</t>
        </is>
      </c>
      <c r="D613" s="110" t="inlineStr">
        <is>
          <t>钱向华</t>
        </is>
      </c>
      <c r="E613" s="87" t="n"/>
      <c r="F613" s="87" t="n"/>
      <c r="G613" s="87" t="inlineStr">
        <is>
          <t>1.2米洞石窄柜</t>
        </is>
      </c>
      <c r="H613" s="87" t="inlineStr">
        <is>
          <t>窄柜</t>
        </is>
      </c>
      <c r="I613" s="89" t="n"/>
      <c r="J613" s="87" t="inlineStr">
        <is>
          <t>已结算</t>
        </is>
      </c>
      <c r="K613" s="87" t="inlineStr">
        <is>
          <t>江西</t>
        </is>
      </c>
      <c r="L613" s="216" t="n">
        <v>1762.5</v>
      </c>
      <c r="M613" s="216" t="n">
        <v>3200</v>
      </c>
      <c r="N613" s="216" t="n">
        <v>411.08</v>
      </c>
      <c r="O613" s="216" t="n"/>
      <c r="P613" s="216" t="n"/>
      <c r="Q613" s="216" t="n"/>
      <c r="R613" s="216" t="n">
        <v>230</v>
      </c>
      <c r="S613" s="216" t="n">
        <v>43.5</v>
      </c>
      <c r="T613" s="216" t="n">
        <v>31</v>
      </c>
      <c r="U613" s="216" t="n"/>
      <c r="V613" s="216" t="n"/>
      <c r="W613" s="216" t="n"/>
      <c r="X613" s="216" t="n">
        <v>18</v>
      </c>
      <c r="Y613" s="216" t="n"/>
      <c r="Z613" s="216" t="n"/>
      <c r="AA613" s="216" t="n"/>
      <c r="AB613" s="216" t="n"/>
      <c r="AC613" s="216" t="n"/>
      <c r="AD613" s="216" t="n"/>
      <c r="AE613" s="216" t="n"/>
      <c r="AF613" s="216" t="n"/>
      <c r="AG613" s="216" t="n"/>
      <c r="AH613" s="216" t="n"/>
      <c r="AI613" s="216" t="n"/>
      <c r="AJ613" s="216" t="n"/>
      <c r="AK613" s="216" t="n"/>
      <c r="AL613" s="216" t="n"/>
      <c r="AM613" s="207" t="n"/>
      <c r="AN613" s="207" t="n"/>
      <c r="AO613" s="207" t="n"/>
      <c r="AP613" s="207" t="n">
        <v>210</v>
      </c>
      <c r="AQ613" s="207" t="n"/>
      <c r="AR613" s="207" t="n">
        <v>240</v>
      </c>
      <c r="AS613" s="207" t="n"/>
      <c r="AT613" s="207" t="n"/>
      <c r="AU613" s="207" t="n"/>
      <c r="AV613" s="207" t="n"/>
      <c r="AW613" s="207" t="n"/>
      <c r="AX613" s="208" t="n">
        <v>1</v>
      </c>
      <c r="AY613" s="209">
        <f>L613*AX613+AP613+AQ613+AR613+AV613+AW613+AS613+AT613+AU613</f>
        <v/>
      </c>
      <c r="AZ613" s="207" t="n">
        <v>5978.95</v>
      </c>
      <c r="BA613" s="207" t="n">
        <v>0</v>
      </c>
      <c r="BB613" s="207">
        <f>AZ613*0.006</f>
        <v/>
      </c>
      <c r="BC613" s="209">
        <f>AZ613+BA613-BB613</f>
        <v/>
      </c>
      <c r="BD613" s="207" t="n">
        <v>0</v>
      </c>
      <c r="BE613" s="207" t="n">
        <v>0</v>
      </c>
      <c r="BF613" s="209">
        <f>BD613+BE613</f>
        <v/>
      </c>
      <c r="BG613" s="209">
        <f>BC613-AY613+BF613</f>
        <v/>
      </c>
      <c r="BH613" s="87" t="inlineStr">
        <is>
          <t>钱向华</t>
        </is>
      </c>
      <c r="BI613" s="210" t="inlineStr">
        <is>
          <t>上海 上海市 宝山区 杨行镇镇泰路111弄11号202</t>
        </is>
      </c>
      <c r="BJ613" s="86" t="inlineStr">
        <is>
          <t>18466835861-1000</t>
        </is>
      </c>
      <c r="BK613" s="86" t="n"/>
      <c r="BL613" s="210" t="n"/>
      <c r="BM613" s="93" t="n"/>
      <c r="BN613" s="94" t="n"/>
      <c r="BO613" s="93" t="n"/>
      <c r="BP613" s="86" t="n"/>
      <c r="BQ613" s="96" t="n"/>
      <c r="BR613" s="96" t="n"/>
      <c r="BS613" s="97" t="n"/>
      <c r="BT613" s="96" t="n"/>
      <c r="BU613" s="97" t="n"/>
      <c r="BV613" s="96" t="n"/>
      <c r="BW613" s="97" t="n"/>
      <c r="BX613" s="97" t="n"/>
      <c r="BY613" s="97" t="n"/>
      <c r="BZ613" s="97" t="n"/>
      <c r="CH613" s="2" t="n"/>
      <c r="CI613" s="14" t="n"/>
      <c r="CJ613" s="25" t="n"/>
      <c r="CK613" s="25" t="n"/>
      <c r="CL613" s="25" t="n"/>
      <c r="CM613" s="25" t="n"/>
      <c r="CN613" s="25" t="n"/>
      <c r="CO613" s="25" t="n"/>
      <c r="CP613" s="25" t="n"/>
      <c r="CQ613" s="25" t="n"/>
      <c r="CR613" s="25" t="n"/>
      <c r="CS613" s="25" t="n"/>
      <c r="CT613" s="25" t="n"/>
      <c r="CU613" s="25" t="n"/>
      <c r="CV613" s="25" t="n"/>
      <c r="CW613" s="25" t="n"/>
      <c r="CX613" s="25" t="n"/>
      <c r="CY613" s="25" t="n"/>
      <c r="DC613" s="26" t="n"/>
      <c r="DD613" s="26" t="n"/>
      <c r="DE613" s="26" t="n"/>
      <c r="DF613" s="26" t="n"/>
      <c r="DG613" s="26" t="n"/>
      <c r="DH613" s="27" t="n"/>
      <c r="DJ613" s="241" t="inlineStr">
        <is>
          <t>✗ 金额不符</t>
        </is>
      </c>
      <c r="DK613" t="inlineStr">
        <is>
          <t>5958.95</t>
        </is>
      </c>
      <c r="DL613" s="239" t="n">
        <v>20</v>
      </c>
      <c r="DM613" s="241" t="inlineStr">
        <is>
          <t>该单订单表有部分退款5978.95元（状态【交易关闭】）；两表买家应付不一致，差额+20.00元</t>
        </is>
      </c>
    </row>
    <row r="614" ht="15.75" customHeight="1" s="187">
      <c r="A614" s="84" t="n">
        <v>45999</v>
      </c>
      <c r="B614" s="226" t="inlineStr">
        <is>
          <t>未发货</t>
        </is>
      </c>
      <c r="C614" s="86" t="inlineStr">
        <is>
          <t>4931308621633047840</t>
        </is>
      </c>
      <c r="D614" s="110" t="inlineStr">
        <is>
          <t>种璐瑶</t>
        </is>
      </c>
      <c r="E614" s="87" t="n"/>
      <c r="F614" s="87" t="n"/>
      <c r="G614" s="87" t="inlineStr">
        <is>
          <t>2.1洞石柜</t>
        </is>
      </c>
      <c r="H614" s="87" t="inlineStr">
        <is>
          <t>洞石柜</t>
        </is>
      </c>
      <c r="I614" s="89" t="n"/>
      <c r="J614" s="87" t="inlineStr">
        <is>
          <t>已结算</t>
        </is>
      </c>
      <c r="K614" s="87" t="inlineStr">
        <is>
          <t>江西</t>
        </is>
      </c>
      <c r="L614" s="207">
        <f>SUM(M614:AO614)</f>
        <v/>
      </c>
      <c r="M614" s="216" t="n">
        <v>5700</v>
      </c>
      <c r="N614" s="216" t="n"/>
      <c r="O614" s="216" t="n"/>
      <c r="P614" s="216" t="n"/>
      <c r="Q614" s="216" t="n"/>
      <c r="R614" s="216" t="n">
        <v>660</v>
      </c>
      <c r="S614" s="216" t="n"/>
      <c r="T614" s="216" t="n">
        <v>31</v>
      </c>
      <c r="U614" s="216" t="n"/>
      <c r="V614" s="216" t="n"/>
      <c r="W614" s="216" t="n"/>
      <c r="X614" s="216" t="n"/>
      <c r="Y614" s="216" t="n"/>
      <c r="Z614" s="216" t="n"/>
      <c r="AA614" s="216" t="n"/>
      <c r="AB614" s="216" t="n"/>
      <c r="AC614" s="216" t="n"/>
      <c r="AD614" s="216" t="n"/>
      <c r="AE614" s="216" t="n"/>
      <c r="AF614" s="216" t="n"/>
      <c r="AG614" s="216" t="n"/>
      <c r="AH614" s="216" t="n"/>
      <c r="AI614" s="216" t="n"/>
      <c r="AJ614" s="216" t="n"/>
      <c r="AK614" s="216" t="n"/>
      <c r="AL614" s="216" t="n"/>
      <c r="AM614" s="207" t="n"/>
      <c r="AN614" s="207" t="n"/>
      <c r="AO614" s="207" t="n"/>
      <c r="AP614" s="207" t="n"/>
      <c r="AQ614" s="207" t="n"/>
      <c r="AR614" s="207" t="n"/>
      <c r="AS614" s="207" t="n"/>
      <c r="AT614" s="207" t="n"/>
      <c r="AU614" s="207" t="n"/>
      <c r="AV614" s="207" t="n"/>
      <c r="AW614" s="207" t="n"/>
      <c r="AX614" s="208" t="n"/>
      <c r="AY614" s="209" t="n"/>
      <c r="AZ614" s="207" t="n"/>
      <c r="BA614" s="207" t="n">
        <v>0</v>
      </c>
      <c r="BB614" s="207">
        <f>AZ614*0.006</f>
        <v/>
      </c>
      <c r="BC614" s="209">
        <f>AZ614+BA614-BB614</f>
        <v/>
      </c>
      <c r="BD614" s="207" t="n">
        <v>0</v>
      </c>
      <c r="BE614" s="207" t="n">
        <v>0</v>
      </c>
      <c r="BF614" s="209">
        <f>BD614+BE614</f>
        <v/>
      </c>
      <c r="BG614" s="209">
        <f>BC614-AY614+BF614</f>
        <v/>
      </c>
      <c r="BH614" s="87" t="n"/>
      <c r="BI614" s="210" t="n"/>
      <c r="BJ614" s="86" t="n"/>
      <c r="BK614" s="86" t="n"/>
      <c r="BL614" s="210" t="n"/>
      <c r="BM614" s="93" t="n"/>
      <c r="BN614" s="94" t="n"/>
      <c r="BO614" s="93" t="n"/>
      <c r="BP614" s="86" t="n"/>
      <c r="BQ614" s="96" t="n"/>
      <c r="BR614" s="96" t="n"/>
      <c r="BS614" s="97" t="n"/>
      <c r="BT614" s="96" t="n"/>
      <c r="BU614" s="97" t="n"/>
      <c r="BV614" s="96" t="n"/>
      <c r="BW614" s="97" t="n"/>
      <c r="BX614" s="97" t="n"/>
      <c r="BY614" s="97" t="n"/>
      <c r="BZ614" s="97" t="n"/>
      <c r="CH614" s="2" t="n"/>
      <c r="CI614" s="14" t="n"/>
      <c r="CJ614" s="25" t="n"/>
      <c r="CK614" s="25" t="n"/>
      <c r="CL614" s="25" t="n"/>
      <c r="CM614" s="25" t="n"/>
      <c r="CN614" s="25" t="n"/>
      <c r="CO614" s="25" t="n"/>
      <c r="CP614" s="25" t="n"/>
      <c r="CQ614" s="25" t="n"/>
      <c r="CR614" s="25" t="n"/>
      <c r="CS614" s="25" t="n"/>
      <c r="CT614" s="25" t="n"/>
      <c r="CU614" s="25" t="n"/>
      <c r="CV614" s="25" t="n"/>
      <c r="CW614" s="25" t="n"/>
      <c r="CX614" s="25" t="n"/>
      <c r="CY614" s="25" t="n"/>
      <c r="DC614" s="26" t="n"/>
      <c r="DD614" s="26" t="n"/>
      <c r="DE614" s="26" t="n"/>
      <c r="DF614" s="26" t="n"/>
      <c r="DG614" s="26" t="n"/>
      <c r="DH614" s="27" t="n"/>
      <c r="DJ614" s="211" t="inlineStr">
        <is>
          <t>订单表中未找到</t>
        </is>
      </c>
      <c r="DK614" t="inlineStr">
        <is>
          <t>—</t>
        </is>
      </c>
      <c r="DL614" t="inlineStr">
        <is>
          <t>—</t>
        </is>
      </c>
    </row>
    <row r="615" ht="15.75" customHeight="1" s="187">
      <c r="A615" s="84" t="n">
        <v>45957</v>
      </c>
      <c r="B615" s="206" t="inlineStr">
        <is>
          <t>售后：岩板擦不干净130上门</t>
        </is>
      </c>
      <c r="C615" s="86" t="inlineStr">
        <is>
          <t>3022982508210329895</t>
        </is>
      </c>
      <c r="D615" s="110" t="inlineStr">
        <is>
          <t>苩震子</t>
        </is>
      </c>
      <c r="E615" s="87" t="n"/>
      <c r="F615" s="87" t="n"/>
      <c r="G615" s="87" t="inlineStr">
        <is>
          <t>140*80黑色岩板餐桌</t>
        </is>
      </c>
      <c r="H615" s="87" t="inlineStr">
        <is>
          <t>榉木餐桌</t>
        </is>
      </c>
      <c r="I615" s="89" t="n"/>
      <c r="J615" s="87" t="inlineStr">
        <is>
          <t>已结算</t>
        </is>
      </c>
      <c r="K615" s="87" t="inlineStr">
        <is>
          <t>江西</t>
        </is>
      </c>
      <c r="L615" s="207">
        <f>SUM(M615:AO615)</f>
        <v/>
      </c>
      <c r="M615" s="216" t="n">
        <v>1300</v>
      </c>
      <c r="N615" s="216" t="n"/>
      <c r="O615" s="216" t="n"/>
      <c r="P615" s="216" t="n"/>
      <c r="Q615" s="216" t="n"/>
      <c r="R615" s="216" t="n">
        <v>160</v>
      </c>
      <c r="S615" s="216" t="n"/>
      <c r="T615" s="216" t="n"/>
      <c r="U615" s="216" t="n"/>
      <c r="V615" s="216" t="n"/>
      <c r="W615" s="216" t="n"/>
      <c r="X615" s="216" t="n"/>
      <c r="Y615" s="216" t="n"/>
      <c r="Z615" s="216" t="n"/>
      <c r="AA615" s="216" t="n"/>
      <c r="AB615" s="216" t="n"/>
      <c r="AC615" s="216" t="n"/>
      <c r="AD615" s="216" t="n"/>
      <c r="AE615" s="216" t="n"/>
      <c r="AF615" s="216" t="n"/>
      <c r="AG615" s="216" t="n"/>
      <c r="AH615" s="216" t="n"/>
      <c r="AI615" s="216" t="n"/>
      <c r="AJ615" s="216" t="n"/>
      <c r="AK615" s="216" t="n"/>
      <c r="AL615" s="216" t="n"/>
      <c r="AM615" s="207" t="n">
        <v>80</v>
      </c>
      <c r="AN615" s="207" t="n"/>
      <c r="AO615" s="207" t="n"/>
      <c r="AP615" s="207" t="n">
        <v>187</v>
      </c>
      <c r="AQ615" s="207" t="n"/>
      <c r="AR615" s="207" t="n">
        <v>68</v>
      </c>
      <c r="AS615" s="207" t="n"/>
      <c r="AT615" s="207" t="n">
        <v>130</v>
      </c>
      <c r="AU615" s="207" t="n"/>
      <c r="AV615" s="207" t="n"/>
      <c r="AW615" s="207" t="n"/>
      <c r="AX615" s="208" t="n"/>
      <c r="AY615" s="209" t="n"/>
      <c r="AZ615" s="207" t="n"/>
      <c r="BA615" s="207" t="n">
        <v>0</v>
      </c>
      <c r="BB615" s="207">
        <f>AZ615*0.006</f>
        <v/>
      </c>
      <c r="BC615" s="209">
        <f>AZ615+BA615-BB615</f>
        <v/>
      </c>
      <c r="BD615" s="207" t="n">
        <v>0</v>
      </c>
      <c r="BE615" s="207" t="n">
        <v>0</v>
      </c>
      <c r="BF615" s="209">
        <f>BD615+BE615</f>
        <v/>
      </c>
      <c r="BG615" s="209">
        <f>BC615-AY615+BF615</f>
        <v/>
      </c>
      <c r="BH615" s="87" t="n"/>
      <c r="BI615" s="210" t="n"/>
      <c r="BJ615" s="86" t="n"/>
      <c r="BK615" s="86" t="n"/>
      <c r="BL615" s="210" t="n"/>
      <c r="BM615" s="93" t="n"/>
      <c r="BN615" s="94" t="n"/>
      <c r="BO615" s="93" t="n"/>
      <c r="BP615" s="86" t="n"/>
      <c r="BQ615" s="96" t="n"/>
      <c r="BR615" s="96" t="n"/>
      <c r="BS615" s="97" t="n"/>
      <c r="BT615" s="96" t="n"/>
      <c r="BU615" s="97" t="n"/>
      <c r="BV615" s="96" t="n"/>
      <c r="BW615" s="97" t="n"/>
      <c r="BX615" s="97" t="n"/>
      <c r="BY615" s="97" t="n"/>
      <c r="BZ615" s="97" t="n"/>
      <c r="CH615" s="2" t="n"/>
      <c r="CI615" s="14" t="n"/>
      <c r="CJ615" s="25" t="n"/>
      <c r="CK615" s="25" t="n"/>
      <c r="CL615" s="25" t="n"/>
      <c r="CM615" s="25" t="n"/>
      <c r="CN615" s="25" t="n"/>
      <c r="CO615" s="25" t="n"/>
      <c r="CP615" s="25" t="n"/>
      <c r="CQ615" s="25" t="n"/>
      <c r="CR615" s="25" t="n"/>
      <c r="CS615" s="25" t="n"/>
      <c r="CT615" s="25" t="n"/>
      <c r="CU615" s="25" t="n"/>
      <c r="CV615" s="25" t="n"/>
      <c r="CW615" s="25" t="n"/>
      <c r="CX615" s="25" t="n"/>
      <c r="CY615" s="25" t="n"/>
      <c r="DC615" s="26" t="n"/>
      <c r="DD615" s="26" t="n"/>
      <c r="DE615" s="26" t="n"/>
      <c r="DF615" s="26" t="n"/>
      <c r="DG615" s="26" t="n"/>
      <c r="DH615" s="27" t="n"/>
      <c r="DJ615" s="211" t="inlineStr">
        <is>
          <t>订单表中未找到</t>
        </is>
      </c>
      <c r="DK615" t="inlineStr">
        <is>
          <t>—</t>
        </is>
      </c>
      <c r="DL615" t="inlineStr">
        <is>
          <t>—</t>
        </is>
      </c>
    </row>
    <row r="616" ht="15.75" customHeight="1" s="187">
      <c r="A616" s="84" t="n"/>
      <c r="B616" s="226" t="n"/>
      <c r="C616" s="86" t="inlineStr">
        <is>
          <t>4502136961008037825</t>
        </is>
      </c>
      <c r="D616" s="110" t="inlineStr">
        <is>
          <t>章莉萍</t>
        </is>
      </c>
      <c r="E616" s="87" t="n"/>
      <c r="F616" s="87" t="n"/>
      <c r="G616" s="87" t="inlineStr">
        <is>
          <t>1600*850*750</t>
        </is>
      </c>
      <c r="H616" s="87" t="inlineStr">
        <is>
          <t>榉木餐桌</t>
        </is>
      </c>
      <c r="I616" s="89" t="n"/>
      <c r="J616" s="87" t="n"/>
      <c r="K616" s="87" t="n"/>
      <c r="L616" s="216" t="n"/>
      <c r="M616" s="216" t="n"/>
      <c r="N616" s="216" t="n"/>
      <c r="O616" s="216" t="n"/>
      <c r="P616" s="216" t="n"/>
      <c r="Q616" s="216" t="n"/>
      <c r="R616" s="216" t="n"/>
      <c r="S616" s="216" t="n"/>
      <c r="T616" s="216" t="n"/>
      <c r="U616" s="216" t="n"/>
      <c r="V616" s="216" t="n"/>
      <c r="W616" s="216" t="n"/>
      <c r="X616" s="216" t="n"/>
      <c r="Y616" s="216" t="n"/>
      <c r="Z616" s="216" t="n"/>
      <c r="AA616" s="216" t="n"/>
      <c r="AB616" s="216" t="n"/>
      <c r="AC616" s="216" t="n"/>
      <c r="AD616" s="216" t="n"/>
      <c r="AE616" s="216" t="n"/>
      <c r="AF616" s="216" t="n"/>
      <c r="AG616" s="216" t="n"/>
      <c r="AH616" s="216" t="n"/>
      <c r="AI616" s="216" t="n"/>
      <c r="AJ616" s="216" t="n"/>
      <c r="AK616" s="216" t="n"/>
      <c r="AL616" s="216" t="n"/>
      <c r="AM616" s="207" t="n"/>
      <c r="AN616" s="207" t="n"/>
      <c r="AO616" s="207" t="n"/>
      <c r="AP616" s="207" t="n"/>
      <c r="AQ616" s="207" t="n"/>
      <c r="AR616" s="207" t="n"/>
      <c r="AS616" s="207" t="n"/>
      <c r="AT616" s="207" t="n"/>
      <c r="AU616" s="207" t="n"/>
      <c r="AV616" s="207" t="n"/>
      <c r="AW616" s="207" t="n"/>
      <c r="AX616" s="208" t="n">
        <v>1</v>
      </c>
      <c r="AY616" s="209">
        <f>L616*AX616+AP616+AQ616+AR616+AV616+AW616+AS616+AT616+AU616</f>
        <v/>
      </c>
      <c r="AZ616" s="207" t="n"/>
      <c r="BA616" s="207" t="n">
        <v>0</v>
      </c>
      <c r="BB616" s="207">
        <f>AZ616*0.006</f>
        <v/>
      </c>
      <c r="BC616" s="209">
        <f>AZ616+BA616-BB616</f>
        <v/>
      </c>
      <c r="BD616" s="207" t="n">
        <v>0</v>
      </c>
      <c r="BE616" s="207" t="n">
        <v>0</v>
      </c>
      <c r="BF616" s="209" t="n"/>
      <c r="BG616" s="209" t="n"/>
      <c r="BH616" s="87" t="n"/>
      <c r="BI616" s="210" t="n"/>
      <c r="BJ616" s="86" t="n"/>
      <c r="BK616" s="86" t="n"/>
      <c r="BL616" s="210" t="n"/>
      <c r="BM616" s="93" t="n"/>
      <c r="BN616" s="94" t="n"/>
      <c r="BO616" s="93" t="n"/>
      <c r="BP616" s="86" t="n"/>
      <c r="BQ616" s="96" t="n"/>
      <c r="BR616" s="96" t="n"/>
      <c r="BS616" s="97" t="n"/>
      <c r="BT616" s="96" t="n"/>
      <c r="BU616" s="97" t="n"/>
      <c r="BV616" s="96" t="n"/>
      <c r="BW616" s="97" t="n"/>
      <c r="BX616" s="97" t="n"/>
      <c r="BY616" s="97" t="n"/>
      <c r="BZ616" s="97" t="n"/>
      <c r="CH616" s="2" t="n"/>
      <c r="CI616" s="14" t="n"/>
      <c r="CJ616" s="25" t="n"/>
      <c r="CK616" s="25" t="n"/>
      <c r="CL616" s="25" t="n"/>
      <c r="CM616" s="25" t="n"/>
      <c r="CN616" s="25" t="n"/>
      <c r="CO616" s="25" t="n"/>
      <c r="CP616" s="25" t="n"/>
      <c r="CQ616" s="25" t="n"/>
      <c r="CR616" s="25" t="n"/>
      <c r="CS616" s="25" t="n"/>
      <c r="CT616" s="25" t="n"/>
      <c r="CU616" s="25" t="n"/>
      <c r="CV616" s="25" t="n"/>
      <c r="CW616" s="25" t="n"/>
      <c r="CX616" s="25" t="n"/>
      <c r="CY616" s="25" t="n"/>
      <c r="DC616" s="26" t="n"/>
      <c r="DD616" s="26" t="n"/>
      <c r="DE616" s="26" t="n"/>
      <c r="DF616" s="26" t="n"/>
      <c r="DG616" s="26" t="n"/>
      <c r="DH616" s="27" t="n"/>
      <c r="DJ616" s="211" t="inlineStr">
        <is>
          <t>已找到(金额含空值)</t>
        </is>
      </c>
      <c r="DK616" t="inlineStr">
        <is>
          <t>2830.08</t>
        </is>
      </c>
      <c r="DL616" t="inlineStr">
        <is>
          <t>—</t>
        </is>
      </c>
    </row>
    <row r="617" ht="15.75" customHeight="1" s="187">
      <c r="A617" s="84" t="n">
        <v>46094</v>
      </c>
      <c r="B617" s="206" t="inlineStr">
        <is>
          <t>售后：岩板边缘不平打磨150</t>
        </is>
      </c>
      <c r="C617" s="86" t="inlineStr">
        <is>
          <t>2701720670055012279</t>
        </is>
      </c>
      <c r="D617" s="110" t="inlineStr">
        <is>
          <t>周女士</t>
        </is>
      </c>
      <c r="E617" s="87" t="n"/>
      <c r="F617" s="87" t="n"/>
      <c r="G617" s="87" t="inlineStr">
        <is>
          <t>1600*850*750</t>
        </is>
      </c>
      <c r="H617" s="87" t="inlineStr">
        <is>
          <t>黑胡桃岩板餐桌</t>
        </is>
      </c>
      <c r="I617" s="89" t="n"/>
      <c r="J617" s="87" t="inlineStr">
        <is>
          <t>已结算</t>
        </is>
      </c>
      <c r="K617" s="87" t="inlineStr">
        <is>
          <t>江西</t>
        </is>
      </c>
      <c r="L617" s="207">
        <f>SUM(M617:AO617)</f>
        <v/>
      </c>
      <c r="M617" s="216" t="n">
        <v>2200</v>
      </c>
      <c r="N617" s="216" t="n"/>
      <c r="O617" s="216" t="n"/>
      <c r="P617" s="216" t="n"/>
      <c r="Q617" s="216" t="n"/>
      <c r="R617" s="216" t="n">
        <v>160</v>
      </c>
      <c r="S617" s="216" t="n"/>
      <c r="T617" s="216" t="n"/>
      <c r="U617" s="216" t="n"/>
      <c r="V617" s="216" t="n"/>
      <c r="W617" s="216" t="n"/>
      <c r="X617" s="216" t="n"/>
      <c r="Y617" s="216" t="n"/>
      <c r="Z617" s="216" t="n"/>
      <c r="AA617" s="216" t="n"/>
      <c r="AB617" s="216" t="n"/>
      <c r="AC617" s="216" t="n"/>
      <c r="AD617" s="216" t="n"/>
      <c r="AE617" s="216" t="n"/>
      <c r="AF617" s="216" t="n"/>
      <c r="AG617" s="216" t="n"/>
      <c r="AH617" s="216" t="n"/>
      <c r="AI617" s="216" t="n"/>
      <c r="AJ617" s="216" t="n"/>
      <c r="AK617" s="216" t="n"/>
      <c r="AL617" s="216" t="n"/>
      <c r="AM617" s="207" t="n">
        <v>80</v>
      </c>
      <c r="AN617" s="207" t="n"/>
      <c r="AO617" s="207" t="n"/>
      <c r="AP617" s="207" t="n">
        <v>252</v>
      </c>
      <c r="AQ617" s="207" t="n"/>
      <c r="AR617" s="207" t="n">
        <v>69</v>
      </c>
      <c r="AS617" s="207" t="n"/>
      <c r="AT617" s="207" t="n">
        <v>150</v>
      </c>
      <c r="AU617" s="207" t="n"/>
      <c r="AV617" s="207" t="n"/>
      <c r="AW617" s="207" t="n"/>
      <c r="AX617" s="208" t="n">
        <v>1</v>
      </c>
      <c r="AY617" s="209">
        <f>L617*AX617+AP617+AQ617+AR617+AV617+AW617+AS617+AT617+AU617</f>
        <v/>
      </c>
      <c r="AZ617" s="207" t="n">
        <v>3406.63</v>
      </c>
      <c r="BA617" s="207" t="n">
        <v>0</v>
      </c>
      <c r="BB617" s="207">
        <f>AZ617*0.006</f>
        <v/>
      </c>
      <c r="BC617" s="209">
        <f>AZ617+BA617-BB617</f>
        <v/>
      </c>
      <c r="BD617" s="207" t="n">
        <v>0</v>
      </c>
      <c r="BE617" s="207" t="n">
        <v>0</v>
      </c>
      <c r="BF617" s="209">
        <f>BD617+BE617</f>
        <v/>
      </c>
      <c r="BG617" s="209">
        <f>BC617-AY617+BF617</f>
        <v/>
      </c>
      <c r="BH617" s="87" t="inlineStr">
        <is>
          <t>周女士</t>
        </is>
      </c>
      <c r="BI617" s="210" t="inlineStr">
        <is>
          <t>四川省 成都市 武侯区 桂溪街道天泰路47号御府花都B区1栋-1-1-601</t>
        </is>
      </c>
      <c r="BJ617" s="86" t="inlineStr">
        <is>
          <t>14727233887-6786</t>
        </is>
      </c>
      <c r="BK617" s="86" t="n"/>
      <c r="BL617" s="210" t="n"/>
      <c r="BM617" s="93" t="n"/>
      <c r="BN617" s="94" t="n"/>
      <c r="BO617" s="93" t="n"/>
      <c r="BP617" s="86" t="n"/>
      <c r="BQ617" s="96" t="n"/>
      <c r="BR617" s="96" t="n"/>
      <c r="BS617" s="97" t="n"/>
      <c r="BT617" s="96" t="n"/>
      <c r="BU617" s="97" t="n"/>
      <c r="BV617" s="96" t="n"/>
      <c r="BW617" s="97" t="n"/>
      <c r="BX617" s="97" t="n"/>
      <c r="BY617" s="97" t="n"/>
      <c r="BZ617" s="97" t="n"/>
      <c r="CH617" s="2" t="n"/>
      <c r="CI617" s="14" t="n"/>
      <c r="CJ617" s="25" t="n"/>
      <c r="CK617" s="25" t="n"/>
      <c r="CL617" s="25" t="n"/>
      <c r="CM617" s="25" t="n"/>
      <c r="CN617" s="25" t="n"/>
      <c r="CO617" s="25" t="n"/>
      <c r="CP617" s="25" t="n"/>
      <c r="CQ617" s="25" t="n"/>
      <c r="CR617" s="25" t="n"/>
      <c r="CS617" s="25" t="n"/>
      <c r="CT617" s="25" t="n"/>
      <c r="CU617" s="25" t="n"/>
      <c r="CV617" s="25" t="n"/>
      <c r="CW617" s="25" t="n"/>
      <c r="CX617" s="25" t="n"/>
      <c r="CY617" s="25" t="n"/>
      <c r="DC617" s="26" t="n"/>
      <c r="DD617" s="26" t="n"/>
      <c r="DE617" s="26" t="n"/>
      <c r="DF617" s="26" t="n"/>
      <c r="DG617" s="26" t="n"/>
      <c r="DH617" s="27" t="n"/>
      <c r="DJ617" s="241" t="inlineStr">
        <is>
          <t>✗ 金额不符</t>
        </is>
      </c>
      <c r="DK617" t="inlineStr">
        <is>
          <t>3326.63</t>
        </is>
      </c>
      <c r="DL617" s="239" t="n">
        <v>80</v>
      </c>
      <c r="DM617" s="241" t="inlineStr">
        <is>
          <t>该单订单表有部分退款3406.63元（状态【交易关闭】）；两表买家应付不一致，差额+80.00元</t>
        </is>
      </c>
    </row>
    <row r="618" ht="15.75" customHeight="1" s="187">
      <c r="A618" s="84" t="n">
        <v>46096.79631944445</v>
      </c>
      <c r="B618" s="206" t="inlineStr">
        <is>
          <t>已发，直达</t>
        </is>
      </c>
      <c r="C618" s="86" t="inlineStr">
        <is>
          <t>3284279186334888852</t>
        </is>
      </c>
      <c r="D618" s="110" t="inlineStr">
        <is>
          <t>方菲</t>
        </is>
      </c>
      <c r="E618" s="87" t="n"/>
      <c r="F618" s="87" t="n"/>
      <c r="G618" s="87" t="inlineStr">
        <is>
          <t>1.6柜+1.2单腿桌</t>
        </is>
      </c>
      <c r="H618" s="87" t="inlineStr">
        <is>
          <t>旋转柜</t>
        </is>
      </c>
      <c r="I618" s="89" t="n"/>
      <c r="J618" s="87" t="inlineStr">
        <is>
          <t>已结算</t>
        </is>
      </c>
      <c r="K618" s="87" t="inlineStr">
        <is>
          <t>江西</t>
        </is>
      </c>
      <c r="L618" s="207">
        <f>SUM(M618:AO618)</f>
        <v/>
      </c>
      <c r="M618" s="216" t="n">
        <v>4280</v>
      </c>
      <c r="N618" s="216" t="n"/>
      <c r="O618" s="216" t="n"/>
      <c r="P618" s="216" t="n"/>
      <c r="Q618" s="216" t="n"/>
      <c r="R618" s="121" t="n">
        <v>220</v>
      </c>
      <c r="S618" s="121" t="n">
        <v>52</v>
      </c>
      <c r="T618" s="216" t="n">
        <v>31</v>
      </c>
      <c r="U618" s="216" t="n"/>
      <c r="V618" s="216" t="n"/>
      <c r="W618" s="216" t="n"/>
      <c r="X618" s="216" t="n"/>
      <c r="Y618" s="216" t="n"/>
      <c r="Z618" s="216" t="n"/>
      <c r="AA618" s="216" t="n"/>
      <c r="AB618" s="216" t="n"/>
      <c r="AC618" s="216" t="n"/>
      <c r="AD618" s="216" t="n"/>
      <c r="AE618" s="216" t="n"/>
      <c r="AF618" s="216" t="n"/>
      <c r="AG618" s="216" t="n"/>
      <c r="AH618" s="216" t="n"/>
      <c r="AI618" s="216" t="n"/>
      <c r="AJ618" s="216" t="n"/>
      <c r="AK618" s="216" t="n"/>
      <c r="AL618" s="216" t="n"/>
      <c r="AM618" s="121" t="n">
        <v>380</v>
      </c>
      <c r="AN618" s="207" t="n"/>
      <c r="AO618" s="207" t="n"/>
      <c r="AP618" s="121" t="n">
        <v>500</v>
      </c>
      <c r="AQ618" s="207" t="n"/>
      <c r="AR618" s="207" t="n">
        <v>268</v>
      </c>
      <c r="AS618" s="207" t="n"/>
      <c r="AT618" s="207" t="n">
        <v>90</v>
      </c>
      <c r="AU618" s="207" t="n"/>
      <c r="AV618" s="207" t="n"/>
      <c r="AW618" s="207" t="n"/>
      <c r="AX618" s="208" t="n">
        <v>1</v>
      </c>
      <c r="AY618" s="209">
        <f>L618*AX618+AP618+AQ618+AR618+AV618+AW618+AS618+AT618+AU618</f>
        <v/>
      </c>
      <c r="AZ618" s="207" t="n">
        <v>8096.3</v>
      </c>
      <c r="BA618" s="207" t="n">
        <v>0</v>
      </c>
      <c r="BB618" s="207">
        <f>AZ618*0.006</f>
        <v/>
      </c>
      <c r="BC618" s="209">
        <f>AZ618+BA618-BB618</f>
        <v/>
      </c>
      <c r="BD618" s="207" t="n">
        <v>0</v>
      </c>
      <c r="BE618" s="207" t="n">
        <v>0</v>
      </c>
      <c r="BF618" s="209">
        <f>BD618+BE618</f>
        <v/>
      </c>
      <c r="BG618" s="209">
        <f>BC618-AY618+BF618</f>
        <v/>
      </c>
      <c r="BH618" s="87" t="inlineStr">
        <is>
          <t>方菲</t>
        </is>
      </c>
      <c r="BI618" s="210" t="inlineStr">
        <is>
          <t>浙江省 杭州市 桐庐县 江南镇万星悦城燕庐1号楼4单元1303</t>
        </is>
      </c>
      <c r="BJ618" s="86" t="inlineStr">
        <is>
          <t>18413253022-4292</t>
        </is>
      </c>
      <c r="BK618" s="86" t="n"/>
      <c r="BL618" s="210" t="n"/>
      <c r="BM618" s="93" t="n"/>
      <c r="BN618" s="94" t="n"/>
      <c r="BO618" s="93" t="n"/>
      <c r="BP618" s="86" t="n"/>
      <c r="BQ618" s="96" t="n"/>
      <c r="BR618" s="96" t="n"/>
      <c r="BS618" s="97" t="n"/>
      <c r="BT618" s="96" t="n"/>
      <c r="BU618" s="97" t="n"/>
      <c r="BV618" s="96" t="n"/>
      <c r="BW618" s="97" t="n"/>
      <c r="BX618" s="97" t="n"/>
      <c r="BY618" s="97" t="n"/>
      <c r="BZ618" s="97" t="n"/>
      <c r="CH618" s="2" t="n"/>
      <c r="CI618" s="14" t="n"/>
      <c r="CJ618" s="25" t="n"/>
      <c r="CK618" s="25" t="n"/>
      <c r="CL618" s="25" t="n"/>
      <c r="CM618" s="25" t="n"/>
      <c r="CN618" s="25" t="n"/>
      <c r="CO618" s="25" t="n"/>
      <c r="CP618" s="25" t="n"/>
      <c r="CQ618" s="25" t="n"/>
      <c r="CR618" s="25" t="n"/>
      <c r="CS618" s="25" t="n"/>
      <c r="CT618" s="25" t="n"/>
      <c r="CU618" s="25" t="n"/>
      <c r="CV618" s="25" t="n"/>
      <c r="CW618" s="25" t="n"/>
      <c r="CX618" s="25" t="n"/>
      <c r="CY618" s="25" t="n"/>
      <c r="DC618" s="26" t="n"/>
      <c r="DD618" s="26" t="n"/>
      <c r="DE618" s="26" t="n"/>
      <c r="DF618" s="26" t="n"/>
      <c r="DG618" s="26" t="n"/>
      <c r="DH618" s="27" t="n"/>
      <c r="DJ618" s="211" t="inlineStr">
        <is>
          <t>订单表中未找到</t>
        </is>
      </c>
      <c r="DK618" t="inlineStr">
        <is>
          <t>—</t>
        </is>
      </c>
      <c r="DL618" t="inlineStr">
        <is>
          <t>—</t>
        </is>
      </c>
    </row>
    <row r="619" ht="15.75" customHeight="1" s="187">
      <c r="A619" s="84" t="n">
        <v>46096</v>
      </c>
      <c r="B619" s="206" t="inlineStr">
        <is>
          <t>已发，顶柜开裂，赔付50+插座</t>
        </is>
      </c>
      <c r="C619" s="86" t="inlineStr">
        <is>
          <t>4502117053076082343</t>
        </is>
      </c>
      <c r="D619" s="110" t="inlineStr">
        <is>
          <t>张先生</t>
        </is>
      </c>
      <c r="E619" s="87" t="n"/>
      <c r="F619" s="87" t="n"/>
      <c r="G619" s="87" t="inlineStr">
        <is>
          <t>定制2.8米柜，分独立1.8米柜+1米柜，下柜高度追加到1米，总高度2.22米；上柜顶柜做木板翻门柜，洞石背板+黑色隔板槽+黑色平板岩板</t>
        </is>
      </c>
      <c r="H619" s="87" t="inlineStr">
        <is>
          <t>洞石柜</t>
        </is>
      </c>
      <c r="I619" s="89" t="n"/>
      <c r="J619" s="87" t="inlineStr">
        <is>
          <t>已结算</t>
        </is>
      </c>
      <c r="K619" s="87" t="inlineStr">
        <is>
          <t>江西</t>
        </is>
      </c>
      <c r="L619" s="207">
        <f>SUM(M619:AO619)</f>
        <v/>
      </c>
      <c r="M619" s="216" t="n">
        <v>9700</v>
      </c>
      <c r="N619" s="121" t="n">
        <v>926.16</v>
      </c>
      <c r="O619" s="216" t="n"/>
      <c r="P619" s="216" t="n"/>
      <c r="Q619" s="216" t="n"/>
      <c r="R619" s="216" t="n">
        <v>440</v>
      </c>
      <c r="S619" s="216" t="n">
        <v>75</v>
      </c>
      <c r="T619" s="121">
        <f>95+31</f>
        <v/>
      </c>
      <c r="U619" s="216" t="n"/>
      <c r="V619" s="216" t="n"/>
      <c r="W619" s="216" t="n"/>
      <c r="X619" s="216" t="n"/>
      <c r="Y619" s="216" t="n"/>
      <c r="Z619" s="216" t="n"/>
      <c r="AA619" s="216" t="n"/>
      <c r="AB619" s="216" t="n"/>
      <c r="AC619" s="216" t="n"/>
      <c r="AD619" s="216" t="n"/>
      <c r="AE619" s="216" t="n"/>
      <c r="AF619" s="216" t="n"/>
      <c r="AG619" s="216" t="n"/>
      <c r="AH619" s="216" t="n"/>
      <c r="AI619" s="216" t="n"/>
      <c r="AJ619" s="216" t="n"/>
      <c r="AK619" s="216" t="n"/>
      <c r="AL619" s="216" t="n"/>
      <c r="AM619" s="207" t="n"/>
      <c r="AN619" s="207" t="n"/>
      <c r="AO619" s="207" t="n"/>
      <c r="AP619" s="207">
        <f>1640-AQ619</f>
        <v/>
      </c>
      <c r="AQ619" s="207" t="n">
        <v>205</v>
      </c>
      <c r="AR619" s="207" t="n">
        <v>268</v>
      </c>
      <c r="AS619" s="158">
        <f>50+55</f>
        <v/>
      </c>
      <c r="AT619" s="207" t="n">
        <v>90</v>
      </c>
      <c r="AU619" s="207" t="n"/>
      <c r="AV619" s="207" t="n"/>
      <c r="AW619" s="207" t="n"/>
      <c r="AX619" s="208" t="n">
        <v>1</v>
      </c>
      <c r="AY619" s="209">
        <f>L619*AX619+AP619+AQ619+AR619+AV619+AW619+AS619+AT619+AU619</f>
        <v/>
      </c>
      <c r="AZ619" s="207" t="n">
        <v>17498</v>
      </c>
      <c r="BA619" s="207" t="n">
        <v>0</v>
      </c>
      <c r="BB619" s="207">
        <f>AZ619*0.006</f>
        <v/>
      </c>
      <c r="BC619" s="209">
        <f>AZ619+BA619-BB619</f>
        <v/>
      </c>
      <c r="BD619" s="207" t="n">
        <v>0</v>
      </c>
      <c r="BE619" s="207" t="n">
        <v>0</v>
      </c>
      <c r="BF619" s="209">
        <f>BD619+BE619</f>
        <v/>
      </c>
      <c r="BG619" s="209">
        <f>BC619-AY619+BF619</f>
        <v/>
      </c>
      <c r="BH619" s="87" t="inlineStr">
        <is>
          <t>张先生</t>
        </is>
      </c>
      <c r="BI619" s="210" t="inlineStr">
        <is>
          <t>黑龙江省 大庆市 让胡路区 银浪街道 黑龙江省大庆市让胡路区创业城14-30-1-2102</t>
        </is>
      </c>
      <c r="BJ619" s="86" t="inlineStr">
        <is>
          <t>18445787607-7813</t>
        </is>
      </c>
      <c r="BK619" s="86" t="n"/>
      <c r="BL619" s="210" t="n"/>
      <c r="BM619" s="93" t="n"/>
      <c r="BN619" s="94" t="n"/>
      <c r="BO619" s="93" t="n"/>
      <c r="BP619" s="86" t="n"/>
      <c r="BQ619" s="96" t="n"/>
      <c r="BR619" s="96" t="n"/>
      <c r="BS619" s="97" t="n"/>
      <c r="BT619" s="96" t="n"/>
      <c r="BU619" s="97" t="n"/>
      <c r="BV619" s="96" t="n"/>
      <c r="BW619" s="97" t="n"/>
      <c r="BX619" s="97" t="n"/>
      <c r="BY619" s="97" t="n"/>
      <c r="BZ619" s="97" t="n"/>
      <c r="CH619" s="2" t="n"/>
      <c r="CI619" s="14" t="n"/>
      <c r="CJ619" s="25" t="n"/>
      <c r="CK619" s="25" t="n"/>
      <c r="CL619" s="25" t="n"/>
      <c r="CM619" s="25" t="n"/>
      <c r="CN619" s="25" t="n"/>
      <c r="CO619" s="25" t="n"/>
      <c r="CP619" s="25" t="n"/>
      <c r="CQ619" s="25" t="n"/>
      <c r="CR619" s="25" t="n"/>
      <c r="CS619" s="25" t="n"/>
      <c r="CT619" s="25" t="n"/>
      <c r="CU619" s="25" t="n"/>
      <c r="CV619" s="25" t="n"/>
      <c r="CW619" s="25" t="n"/>
      <c r="CX619" s="25" t="n"/>
      <c r="CY619" s="25" t="n"/>
      <c r="DC619" s="26" t="n"/>
      <c r="DD619" s="26" t="n"/>
      <c r="DE619" s="26" t="n"/>
      <c r="DF619" s="26" t="n"/>
      <c r="DG619" s="26" t="n"/>
      <c r="DH619" s="27" t="n"/>
      <c r="DJ619" s="238" t="inlineStr">
        <is>
          <t>✓ 金额一致</t>
        </is>
      </c>
      <c r="DK619" t="inlineStr">
        <is>
          <t>17498.00</t>
        </is>
      </c>
      <c r="DL619" s="239" t="n">
        <v>0</v>
      </c>
    </row>
    <row r="620" ht="15.75" customHeight="1" s="187">
      <c r="A620" s="84" t="n">
        <v>46096</v>
      </c>
      <c r="B620" s="206" t="inlineStr">
        <is>
          <t>已发</t>
        </is>
      </c>
      <c r="C620" s="86" t="inlineStr">
        <is>
          <t>2701731578017177085</t>
        </is>
      </c>
      <c r="D620" s="110" t="inlineStr">
        <is>
          <t>张玲玮</t>
        </is>
      </c>
      <c r="E620" s="87" t="n"/>
      <c r="F620" s="87" t="n"/>
      <c r="G620" s="87" t="inlineStr">
        <is>
          <t>1.2米洞石窄柜</t>
        </is>
      </c>
      <c r="H620" s="87" t="inlineStr">
        <is>
          <t>窄柜</t>
        </is>
      </c>
      <c r="I620" s="89" t="n"/>
      <c r="J620" s="87" t="inlineStr">
        <is>
          <t>已结算</t>
        </is>
      </c>
      <c r="K620" s="87" t="inlineStr">
        <is>
          <t>江西</t>
        </is>
      </c>
      <c r="L620" s="207">
        <f>SUM(M620:AO620)</f>
        <v/>
      </c>
      <c r="M620" s="216" t="n">
        <v>3200</v>
      </c>
      <c r="N620" s="216" t="n">
        <v>411.08</v>
      </c>
      <c r="O620" s="216" t="n"/>
      <c r="P620" s="216" t="n"/>
      <c r="Q620" s="216" t="n"/>
      <c r="R620" s="216" t="n">
        <v>230</v>
      </c>
      <c r="S620" s="216" t="n">
        <v>43.5</v>
      </c>
      <c r="T620" s="216" t="n">
        <v>31</v>
      </c>
      <c r="U620" s="216" t="n"/>
      <c r="V620" s="216" t="n"/>
      <c r="W620" s="216" t="n"/>
      <c r="X620" s="216" t="n">
        <v>18</v>
      </c>
      <c r="Y620" s="216" t="n"/>
      <c r="Z620" s="216" t="n"/>
      <c r="AA620" s="216" t="n"/>
      <c r="AB620" s="216" t="n"/>
      <c r="AC620" s="216" t="n"/>
      <c r="AD620" s="216" t="n"/>
      <c r="AE620" s="216" t="n"/>
      <c r="AF620" s="216" t="n"/>
      <c r="AG620" s="216" t="n"/>
      <c r="AH620" s="216" t="n"/>
      <c r="AI620" s="216" t="n"/>
      <c r="AJ620" s="216" t="n"/>
      <c r="AK620" s="216" t="n"/>
      <c r="AL620" s="216" t="n"/>
      <c r="AM620" s="207" t="n"/>
      <c r="AN620" s="243">
        <f>60+115+1.2+3.5+2.5+3.5</f>
        <v/>
      </c>
      <c r="AO620" s="207" t="n"/>
      <c r="AP620" s="207">
        <f>309-AQ620</f>
        <v/>
      </c>
      <c r="AQ620" s="207" t="n">
        <v>74</v>
      </c>
      <c r="AR620" s="207" t="n">
        <v>119</v>
      </c>
      <c r="AS620" s="207" t="n"/>
      <c r="AT620" s="207" t="n"/>
      <c r="AU620" s="207" t="n"/>
      <c r="AV620" s="207" t="n"/>
      <c r="AW620" s="207" t="n"/>
      <c r="AX620" s="208" t="n">
        <v>1</v>
      </c>
      <c r="AY620" s="209">
        <f>L620*AX620+AP620+AQ620+AR620+AV620+AW620+AS620+AT620+AU620</f>
        <v/>
      </c>
      <c r="AZ620" s="207" t="n">
        <v>6130.21</v>
      </c>
      <c r="BA620" s="207" t="n">
        <v>0</v>
      </c>
      <c r="BB620" s="207">
        <f>AZ620*0.006</f>
        <v/>
      </c>
      <c r="BC620" s="209">
        <f>AZ620+BA620-BB620</f>
        <v/>
      </c>
      <c r="BD620" s="207" t="n">
        <v>0</v>
      </c>
      <c r="BE620" s="207" t="n">
        <v>0</v>
      </c>
      <c r="BF620" s="209">
        <f>BD620+BE620</f>
        <v/>
      </c>
      <c r="BG620" s="209">
        <f>BC620-AY620+BF620</f>
        <v/>
      </c>
      <c r="BH620" s="87" t="inlineStr">
        <is>
          <t>张玲玮</t>
        </is>
      </c>
      <c r="BI620" s="210" t="inlineStr">
        <is>
          <t>浙江省 嘉兴市 南湖区 东栅街道文贤路东方普罗旺斯141幢1单元2801室</t>
        </is>
      </c>
      <c r="BJ620" s="86" t="inlineStr">
        <is>
          <t>18413441673-2828</t>
        </is>
      </c>
      <c r="BK620" s="86" t="n"/>
      <c r="BL620" s="210" t="n"/>
      <c r="BM620" s="93" t="n"/>
      <c r="BN620" s="94" t="n"/>
      <c r="BO620" s="93" t="n"/>
      <c r="BP620" s="86" t="n"/>
      <c r="BQ620" s="96" t="n"/>
      <c r="BR620" s="96" t="n"/>
      <c r="BS620" s="97" t="n"/>
      <c r="BT620" s="96" t="n"/>
      <c r="BU620" s="97" t="n"/>
      <c r="BV620" s="96" t="n"/>
      <c r="BW620" s="97" t="n"/>
      <c r="BX620" s="97" t="n"/>
      <c r="BY620" s="97" t="n"/>
      <c r="BZ620" s="97" t="n"/>
      <c r="CH620" s="2" t="n"/>
      <c r="CI620" s="14" t="n"/>
      <c r="CJ620" s="25" t="n"/>
      <c r="CK620" s="25" t="n"/>
      <c r="CL620" s="25" t="n"/>
      <c r="CM620" s="25" t="n"/>
      <c r="CN620" s="25" t="n"/>
      <c r="CO620" s="25" t="n"/>
      <c r="CP620" s="25" t="n"/>
      <c r="CQ620" s="25" t="n"/>
      <c r="CR620" s="25" t="n"/>
      <c r="CS620" s="25" t="n"/>
      <c r="CT620" s="25" t="n"/>
      <c r="CU620" s="25" t="n"/>
      <c r="CV620" s="25" t="n"/>
      <c r="CW620" s="25" t="n"/>
      <c r="CX620" s="25" t="n"/>
      <c r="CY620" s="25" t="n"/>
      <c r="DC620" s="26" t="n"/>
      <c r="DD620" s="26" t="n"/>
      <c r="DE620" s="26" t="n"/>
      <c r="DF620" s="26" t="n"/>
      <c r="DG620" s="26" t="n"/>
      <c r="DH620" s="27" t="n"/>
      <c r="DJ620" s="238" t="inlineStr">
        <is>
          <t>✓ 金额一致</t>
        </is>
      </c>
      <c r="DK620" t="inlineStr">
        <is>
          <t>6130.21</t>
        </is>
      </c>
      <c r="DL620" s="239" t="n">
        <v>0</v>
      </c>
    </row>
    <row r="621" ht="15.75" customHeight="1" s="187">
      <c r="A621" s="84" t="n">
        <v>46099</v>
      </c>
      <c r="B621" s="206" t="inlineStr">
        <is>
          <t>已发</t>
        </is>
      </c>
      <c r="C621" s="86" t="inlineStr">
        <is>
          <t>2701765705060014262</t>
        </is>
      </c>
      <c r="D621" s="110" t="inlineStr">
        <is>
          <t>张雨桐</t>
        </is>
      </c>
      <c r="E621" s="87" t="n"/>
      <c r="F621" s="87" t="n"/>
      <c r="G621" s="87" t="inlineStr">
        <is>
          <t>1600*850*750</t>
        </is>
      </c>
      <c r="H621" s="87" t="inlineStr">
        <is>
          <t>榉木餐桌</t>
        </is>
      </c>
      <c r="I621" s="89" t="n"/>
      <c r="J621" s="87" t="inlineStr">
        <is>
          <t>已结算</t>
        </is>
      </c>
      <c r="K621" s="87" t="inlineStr">
        <is>
          <t>江西</t>
        </is>
      </c>
      <c r="L621" s="207">
        <f>SUM(M621:AO621)</f>
        <v/>
      </c>
      <c r="M621" s="216" t="n">
        <v>1350</v>
      </c>
      <c r="N621" s="216" t="n"/>
      <c r="O621" s="216" t="n"/>
      <c r="P621" s="216" t="n"/>
      <c r="Q621" s="216" t="n"/>
      <c r="R621" s="216" t="n">
        <v>220</v>
      </c>
      <c r="S621" s="216" t="n"/>
      <c r="T621" s="216" t="n"/>
      <c r="U621" s="216" t="n"/>
      <c r="V621" s="216" t="n"/>
      <c r="W621" s="216" t="n"/>
      <c r="X621" s="216" t="n"/>
      <c r="Y621" s="216" t="n"/>
      <c r="Z621" s="216" t="n"/>
      <c r="AA621" s="216" t="n"/>
      <c r="AB621" s="216" t="n"/>
      <c r="AC621" s="216" t="n"/>
      <c r="AD621" s="216" t="n">
        <v>2.5</v>
      </c>
      <c r="AE621" s="216" t="n"/>
      <c r="AF621" s="216" t="n"/>
      <c r="AG621" s="216" t="n"/>
      <c r="AH621" s="216" t="n"/>
      <c r="AI621" s="216" t="n"/>
      <c r="AJ621" s="216" t="n"/>
      <c r="AK621" s="216" t="n"/>
      <c r="AL621" s="216" t="n"/>
      <c r="AM621" s="207" t="n">
        <v>130</v>
      </c>
      <c r="AN621" s="207" t="n"/>
      <c r="AO621" s="207" t="n"/>
      <c r="AP621" s="207">
        <f>226-AQ621</f>
        <v/>
      </c>
      <c r="AQ621" s="207" t="n">
        <v>35</v>
      </c>
      <c r="AR621" s="207" t="n">
        <v>80</v>
      </c>
      <c r="AS621" s="207" t="n"/>
      <c r="AT621" s="207" t="n"/>
      <c r="AU621" s="207" t="n"/>
      <c r="AV621" s="207" t="n"/>
      <c r="AW621" s="207" t="n"/>
      <c r="AX621" s="208" t="n">
        <v>1</v>
      </c>
      <c r="AY621" s="209">
        <f>L621*AX621+AP621+AQ621+AR621+AV621+AW621+AS621+AT621+AU621</f>
        <v/>
      </c>
      <c r="AZ621" s="207" t="n">
        <v>2767.92</v>
      </c>
      <c r="BA621" s="207" t="n">
        <v>0</v>
      </c>
      <c r="BB621" s="207">
        <f>AZ621*0.006</f>
        <v/>
      </c>
      <c r="BC621" s="209">
        <f>AZ621+BA621-BB621</f>
        <v/>
      </c>
      <c r="BD621" s="207" t="n">
        <v>0</v>
      </c>
      <c r="BE621" s="207" t="n">
        <v>0</v>
      </c>
      <c r="BF621" s="209">
        <f>BD621+BE621</f>
        <v/>
      </c>
      <c r="BG621" s="209">
        <f>BC621-AY621+BF621</f>
        <v/>
      </c>
      <c r="BH621" s="87" t="inlineStr">
        <is>
          <t>张雨桐</t>
        </is>
      </c>
      <c r="BI621" s="210" t="inlineStr">
        <is>
          <t>山西省 运城市 盐湖区 北城街道天宝四季春城·郎园2-2-802</t>
        </is>
      </c>
      <c r="BJ621" s="86" t="inlineStr">
        <is>
          <t>18400718799-5264</t>
        </is>
      </c>
      <c r="BK621" s="86" t="n"/>
      <c r="BL621" s="210" t="n"/>
      <c r="BM621" s="93" t="n"/>
      <c r="BN621" s="94" t="n"/>
      <c r="BO621" s="93" t="n"/>
      <c r="BP621" s="86" t="n"/>
      <c r="BQ621" s="96" t="n"/>
      <c r="BR621" s="96" t="n"/>
      <c r="BS621" s="97" t="n"/>
      <c r="BT621" s="96" t="n"/>
      <c r="BU621" s="97" t="n"/>
      <c r="BV621" s="96" t="n"/>
      <c r="BW621" s="97" t="n"/>
      <c r="BX621" s="97" t="n"/>
      <c r="BY621" s="97" t="n"/>
      <c r="BZ621" s="97" t="n"/>
      <c r="CH621" s="2" t="n"/>
      <c r="CI621" s="14" t="n"/>
      <c r="CJ621" s="25" t="n"/>
      <c r="CK621" s="25" t="n"/>
      <c r="CL621" s="25" t="n"/>
      <c r="CM621" s="25" t="n"/>
      <c r="CN621" s="25" t="n"/>
      <c r="CO621" s="25" t="n"/>
      <c r="CP621" s="25" t="n"/>
      <c r="CQ621" s="25" t="n"/>
      <c r="CR621" s="25" t="n"/>
      <c r="CS621" s="25" t="n"/>
      <c r="CT621" s="25" t="n"/>
      <c r="CU621" s="25" t="n"/>
      <c r="CV621" s="25" t="n"/>
      <c r="CW621" s="25" t="n"/>
      <c r="CX621" s="25" t="n"/>
      <c r="CY621" s="25" t="n"/>
      <c r="DC621" s="26" t="n"/>
      <c r="DD621" s="26" t="n"/>
      <c r="DE621" s="26" t="n"/>
      <c r="DF621" s="26" t="n"/>
      <c r="DG621" s="26" t="n"/>
      <c r="DH621" s="27" t="n"/>
      <c r="DJ621" s="238" t="inlineStr">
        <is>
          <t>✓ 金额一致</t>
        </is>
      </c>
      <c r="DK621" t="inlineStr">
        <is>
          <t>2767.92</t>
        </is>
      </c>
      <c r="DL621" s="239" t="n">
        <v>0</v>
      </c>
    </row>
    <row r="622" ht="15.75" customHeight="1" s="187">
      <c r="A622" s="84" t="n">
        <v>46099</v>
      </c>
      <c r="B622" s="206" t="inlineStr">
        <is>
          <t>已发</t>
        </is>
      </c>
      <c r="C622" s="86" t="inlineStr">
        <is>
          <t>4502164863031117545</t>
        </is>
      </c>
      <c r="D622" s="110" t="inlineStr">
        <is>
          <t>巴晓元</t>
        </is>
      </c>
      <c r="E622" s="87" t="n"/>
      <c r="F622" s="87" t="n"/>
      <c r="G622" s="87" t="inlineStr">
        <is>
          <t>2000*850*750</t>
        </is>
      </c>
      <c r="H622" s="87" t="inlineStr">
        <is>
          <t>榉木餐桌</t>
        </is>
      </c>
      <c r="I622" s="89" t="n"/>
      <c r="J622" s="87" t="inlineStr">
        <is>
          <t>已结算</t>
        </is>
      </c>
      <c r="K622" s="87" t="inlineStr">
        <is>
          <t>江西</t>
        </is>
      </c>
      <c r="L622" s="207">
        <f>SUM(M622:AO622)</f>
        <v/>
      </c>
      <c r="M622" s="216" t="n">
        <v>1400</v>
      </c>
      <c r="N622" s="216" t="n"/>
      <c r="O622" s="216" t="n"/>
      <c r="P622" s="216" t="n"/>
      <c r="Q622" s="216" t="n"/>
      <c r="R622" s="216" t="n">
        <v>290</v>
      </c>
      <c r="S622" s="216" t="n"/>
      <c r="T622" s="216" t="n"/>
      <c r="U622" s="216" t="n"/>
      <c r="V622" s="216" t="n"/>
      <c r="W622" s="216" t="n"/>
      <c r="X622" s="216" t="n"/>
      <c r="Y622" s="216" t="n"/>
      <c r="Z622" s="216" t="n"/>
      <c r="AA622" s="216" t="n"/>
      <c r="AB622" s="216" t="n"/>
      <c r="AC622" s="216" t="n"/>
      <c r="AD622" s="216" t="n">
        <v>2.5</v>
      </c>
      <c r="AE622" s="216" t="n"/>
      <c r="AF622" s="216" t="n"/>
      <c r="AG622" s="216" t="n"/>
      <c r="AH622" s="216" t="n"/>
      <c r="AI622" s="216" t="n"/>
      <c r="AJ622" s="216" t="n"/>
      <c r="AK622" s="216" t="n"/>
      <c r="AL622" s="216" t="n"/>
      <c r="AM622" s="121" t="n">
        <v>200</v>
      </c>
      <c r="AN622" s="207" t="n"/>
      <c r="AO622" s="207" t="n"/>
      <c r="AP622" s="207" t="n"/>
      <c r="AQ622" s="207" t="n"/>
      <c r="AR622" s="207" t="n">
        <v>80</v>
      </c>
      <c r="AS622" s="207" t="n"/>
      <c r="AT622" s="207" t="n"/>
      <c r="AU622" s="207" t="n"/>
      <c r="AV622" s="207" t="n"/>
      <c r="AW622" s="207" t="n"/>
      <c r="AX622" s="208" t="n">
        <v>1</v>
      </c>
      <c r="AY622" s="209">
        <f>L622*AX622+AP622+AQ622+AR622+AV622+AW622+AS622+AT622+AU622</f>
        <v/>
      </c>
      <c r="AZ622" s="207" t="n">
        <v>2952.67</v>
      </c>
      <c r="BA622" s="207" t="n">
        <v>0</v>
      </c>
      <c r="BB622" s="207">
        <f>AZ622*0.006</f>
        <v/>
      </c>
      <c r="BC622" s="209">
        <f>AZ622+BA622-BB622</f>
        <v/>
      </c>
      <c r="BD622" s="207" t="n">
        <v>0</v>
      </c>
      <c r="BE622" s="207" t="n">
        <v>0</v>
      </c>
      <c r="BF622" s="209">
        <f>BD622+BE622</f>
        <v/>
      </c>
      <c r="BG622" s="209">
        <f>BC622-AY622+BF622</f>
        <v/>
      </c>
      <c r="BH622" s="87" t="inlineStr">
        <is>
          <t>巴晓元</t>
        </is>
      </c>
      <c r="BI622" s="210" t="inlineStr">
        <is>
          <t>江苏省 苏州市 虎丘区 浒墅关镇首开金茂熙和悦花园15幢2单元403</t>
        </is>
      </c>
      <c r="BJ622" s="86" t="inlineStr">
        <is>
          <t>18468544520-4029</t>
        </is>
      </c>
      <c r="BK622" s="86" t="n"/>
      <c r="BL622" s="210" t="n"/>
      <c r="BM622" s="93" t="n"/>
      <c r="BN622" s="94" t="n"/>
      <c r="BO622" s="93" t="n"/>
      <c r="BP622" s="86" t="n"/>
      <c r="BQ622" s="96" t="n"/>
      <c r="BR622" s="96" t="n"/>
      <c r="BS622" s="97" t="n"/>
      <c r="BT622" s="96" t="n"/>
      <c r="BU622" s="97" t="n"/>
      <c r="BV622" s="96" t="n"/>
      <c r="BW622" s="97" t="n"/>
      <c r="BX622" s="97" t="n"/>
      <c r="BY622" s="97" t="n"/>
      <c r="BZ622" s="97" t="n"/>
      <c r="CH622" s="2" t="n"/>
      <c r="CI622" s="14" t="n"/>
      <c r="CJ622" s="25" t="n"/>
      <c r="CK622" s="25" t="n"/>
      <c r="CL622" s="25" t="n"/>
      <c r="CM622" s="25" t="n"/>
      <c r="CN622" s="25" t="n"/>
      <c r="CO622" s="25" t="n"/>
      <c r="CP622" s="25" t="n"/>
      <c r="CQ622" s="25" t="n"/>
      <c r="CR622" s="25" t="n"/>
      <c r="CS622" s="25" t="n"/>
      <c r="CT622" s="25" t="n"/>
      <c r="CU622" s="25" t="n"/>
      <c r="CV622" s="25" t="n"/>
      <c r="CW622" s="25" t="n"/>
      <c r="CX622" s="25" t="n"/>
      <c r="CY622" s="25" t="n"/>
      <c r="DC622" s="26" t="n"/>
      <c r="DD622" s="26" t="n"/>
      <c r="DE622" s="26" t="n"/>
      <c r="DF622" s="26" t="n"/>
      <c r="DG622" s="26" t="n"/>
      <c r="DH622" s="27" t="n"/>
      <c r="DJ622" s="238" t="inlineStr">
        <is>
          <t>✓ 金额一致</t>
        </is>
      </c>
      <c r="DK622" t="inlineStr">
        <is>
          <t>2952.67</t>
        </is>
      </c>
      <c r="DL622" s="239" t="n">
        <v>0</v>
      </c>
    </row>
    <row r="623" ht="15.75" customHeight="1" s="187">
      <c r="A623" s="84" t="n">
        <v>46104</v>
      </c>
      <c r="B623" s="226" t="inlineStr">
        <is>
          <t>售后中</t>
        </is>
      </c>
      <c r="C623" s="86" t="inlineStr">
        <is>
          <t>2701764732105174571</t>
        </is>
      </c>
      <c r="D623" s="110" t="inlineStr">
        <is>
          <t>汪凡丁</t>
        </is>
      </c>
      <c r="E623" s="87" t="n"/>
      <c r="F623" s="87" t="n"/>
      <c r="G623" s="87" t="inlineStr">
        <is>
          <t>1600*750*750</t>
        </is>
      </c>
      <c r="H623" s="87" t="inlineStr">
        <is>
          <t>榉木大板餐桌</t>
        </is>
      </c>
      <c r="I623" s="89" t="n"/>
      <c r="J623" s="87" t="inlineStr">
        <is>
          <t>已结算</t>
        </is>
      </c>
      <c r="K623" s="87" t="inlineStr">
        <is>
          <t>江西</t>
        </is>
      </c>
      <c r="L623" s="207">
        <f>SUM(M623:AO623)</f>
        <v/>
      </c>
      <c r="M623" s="216" t="n">
        <v>1700</v>
      </c>
      <c r="N623" s="216" t="n"/>
      <c r="O623" s="216" t="n"/>
      <c r="P623" s="216" t="n"/>
      <c r="Q623" s="216" t="n"/>
      <c r="R623" s="216" t="n">
        <v>0</v>
      </c>
      <c r="S623" s="216" t="n"/>
      <c r="T623" s="216" t="n"/>
      <c r="U623" s="216" t="n"/>
      <c r="V623" s="216" t="n"/>
      <c r="W623" s="216" t="n"/>
      <c r="X623" s="216" t="n"/>
      <c r="Y623" s="216" t="n"/>
      <c r="Z623" s="216" t="n"/>
      <c r="AA623" s="216" t="n"/>
      <c r="AB623" s="216" t="n"/>
      <c r="AC623" s="216" t="n"/>
      <c r="AD623" s="216" t="n"/>
      <c r="AE623" s="216" t="n"/>
      <c r="AF623" s="216" t="n"/>
      <c r="AG623" s="216" t="n"/>
      <c r="AH623" s="216" t="n"/>
      <c r="AI623" s="216" t="n"/>
      <c r="AJ623" s="216" t="n"/>
      <c r="AK623" s="216" t="n"/>
      <c r="AL623" s="216" t="n"/>
      <c r="AM623" s="116" t="n">
        <v>200</v>
      </c>
      <c r="AN623" s="207" t="n"/>
      <c r="AO623" s="207" t="n"/>
      <c r="AP623" s="207" t="n"/>
      <c r="AQ623" s="207" t="n"/>
      <c r="AR623" s="207" t="n"/>
      <c r="AS623" s="207" t="n"/>
      <c r="AT623" s="207" t="n"/>
      <c r="AU623" s="207" t="n"/>
      <c r="AV623" s="207" t="n"/>
      <c r="AW623" s="207" t="n"/>
      <c r="AX623" s="208" t="n">
        <v>1</v>
      </c>
      <c r="AY623" s="209">
        <f>L623*AX623+AP623+AQ623+AR623+AV623+AW623+AS623+AT623+AU623</f>
        <v/>
      </c>
      <c r="AZ623" s="207" t="n">
        <v>3020</v>
      </c>
      <c r="BA623" s="207" t="n">
        <v>0</v>
      </c>
      <c r="BB623" s="207">
        <f>AZ623*0.006</f>
        <v/>
      </c>
      <c r="BC623" s="209">
        <f>AZ623+BA623-BB623</f>
        <v/>
      </c>
      <c r="BD623" s="207" t="n">
        <v>0</v>
      </c>
      <c r="BE623" s="207" t="n">
        <v>0</v>
      </c>
      <c r="BF623" s="209">
        <f>BD623+BE623</f>
        <v/>
      </c>
      <c r="BG623" s="209">
        <f>BC623-AY623+BF623</f>
        <v/>
      </c>
      <c r="BH623" s="87" t="inlineStr">
        <is>
          <t>汪凡丁</t>
        </is>
      </c>
      <c r="BI623" s="210" t="inlineStr">
        <is>
          <t>江苏省 苏州市 吴中区 香山街道中海寰湖时代506幢305室</t>
        </is>
      </c>
      <c r="BJ623" s="86" t="inlineStr">
        <is>
          <t>18468597671-7411</t>
        </is>
      </c>
      <c r="BK623" s="86" t="n"/>
      <c r="BL623" s="210" t="n"/>
      <c r="BM623" s="93" t="n"/>
      <c r="BN623" s="94" t="n"/>
      <c r="BO623" s="93" t="n"/>
      <c r="BP623" s="86" t="n"/>
      <c r="BQ623" s="96" t="n"/>
      <c r="BR623" s="96" t="n"/>
      <c r="BS623" s="97" t="n"/>
      <c r="BT623" s="96" t="n"/>
      <c r="BU623" s="97" t="n"/>
      <c r="BV623" s="96" t="n"/>
      <c r="BW623" s="97" t="n"/>
      <c r="BX623" s="97" t="n"/>
      <c r="BY623" s="97" t="n"/>
      <c r="BZ623" s="97" t="n"/>
      <c r="CH623" s="2" t="n"/>
      <c r="CI623" s="14" t="n"/>
      <c r="CJ623" s="25" t="n"/>
      <c r="CK623" s="25" t="n"/>
      <c r="CL623" s="25" t="n"/>
      <c r="CM623" s="25" t="n"/>
      <c r="CN623" s="25" t="n"/>
      <c r="CO623" s="25" t="n"/>
      <c r="CP623" s="25" t="n"/>
      <c r="CQ623" s="25" t="n"/>
      <c r="CR623" s="25" t="n"/>
      <c r="CS623" s="25" t="n"/>
      <c r="CT623" s="25" t="n"/>
      <c r="CU623" s="25" t="n"/>
      <c r="CV623" s="25" t="n"/>
      <c r="CW623" s="25" t="n"/>
      <c r="CX623" s="25" t="n"/>
      <c r="CY623" s="25" t="n"/>
      <c r="DC623" s="26" t="n"/>
      <c r="DD623" s="26" t="n"/>
      <c r="DE623" s="26" t="n"/>
      <c r="DF623" s="26" t="n"/>
      <c r="DG623" s="26" t="n"/>
      <c r="DH623" s="27" t="n"/>
      <c r="DJ623" s="238" t="inlineStr">
        <is>
          <t>✓ 金额一致</t>
        </is>
      </c>
      <c r="DK623" t="inlineStr">
        <is>
          <t>3020.00</t>
        </is>
      </c>
      <c r="DL623" s="239" t="n">
        <v>0</v>
      </c>
    </row>
    <row r="624" ht="15.75" customHeight="1" s="187">
      <c r="A624" s="84" t="n">
        <v>46104</v>
      </c>
      <c r="B624" s="206" t="inlineStr">
        <is>
          <t>已发</t>
        </is>
      </c>
      <c r="C624" s="86" t="inlineStr">
        <is>
          <t>4502194095129027306</t>
        </is>
      </c>
      <c r="D624" s="110" t="inlineStr">
        <is>
          <t>胡敏洁</t>
        </is>
      </c>
      <c r="E624" s="87" t="n"/>
      <c r="F624" s="87" t="n"/>
      <c r="G624" s="87" t="inlineStr">
        <is>
          <t>1800*750*750</t>
        </is>
      </c>
      <c r="H624" s="87" t="inlineStr">
        <is>
          <t>榉木餐桌</t>
        </is>
      </c>
      <c r="I624" s="89" t="n"/>
      <c r="J624" s="87" t="inlineStr">
        <is>
          <t>已结算</t>
        </is>
      </c>
      <c r="K624" s="87" t="inlineStr">
        <is>
          <t>江西</t>
        </is>
      </c>
      <c r="L624" s="207">
        <f>SUM(M624:AO624)</f>
        <v/>
      </c>
      <c r="M624" s="216" t="n">
        <v>1350</v>
      </c>
      <c r="N624" s="216" t="n"/>
      <c r="O624" s="216" t="n"/>
      <c r="P624" s="216" t="n"/>
      <c r="Q624" s="216" t="n"/>
      <c r="R624" s="216" t="n">
        <v>220</v>
      </c>
      <c r="S624" s="216" t="n"/>
      <c r="T624" s="216" t="n"/>
      <c r="U624" s="216" t="n"/>
      <c r="V624" s="216" t="n"/>
      <c r="W624" s="216" t="n"/>
      <c r="X624" s="216" t="n"/>
      <c r="Y624" s="216" t="n"/>
      <c r="Z624" s="216" t="n"/>
      <c r="AA624" s="216" t="n"/>
      <c r="AB624" s="216" t="n"/>
      <c r="AC624" s="216" t="n"/>
      <c r="AD624" s="216" t="n">
        <v>2.5</v>
      </c>
      <c r="AE624" s="216" t="n"/>
      <c r="AF624" s="216" t="n"/>
      <c r="AG624" s="216" t="n"/>
      <c r="AH624" s="216" t="n"/>
      <c r="AI624" s="216" t="n"/>
      <c r="AJ624" s="216" t="n"/>
      <c r="AK624" s="216" t="n"/>
      <c r="AL624" s="216" t="n"/>
      <c r="AM624" s="121" t="n">
        <v>200</v>
      </c>
      <c r="AN624" s="207" t="n"/>
      <c r="AO624" s="207" t="n"/>
      <c r="AP624" s="207" t="n"/>
      <c r="AQ624" s="207" t="n"/>
      <c r="AR624" s="207" t="n">
        <v>70</v>
      </c>
      <c r="AS624" s="207" t="n"/>
      <c r="AT624" s="207" t="n"/>
      <c r="AU624" s="207" t="n"/>
      <c r="AV624" s="207" t="n"/>
      <c r="AW624" s="207" t="n"/>
      <c r="AX624" s="208" t="n">
        <v>1</v>
      </c>
      <c r="AY624" s="209">
        <f>L624*AX624+AP624+AQ624+AR624+AV624+AW624+AS624+AT624+AU624</f>
        <v/>
      </c>
      <c r="AZ624" s="207" t="n">
        <v>2820.63</v>
      </c>
      <c r="BA624" s="207" t="n">
        <v>0</v>
      </c>
      <c r="BB624" s="207">
        <f>AZ624*0.006</f>
        <v/>
      </c>
      <c r="BC624" s="209">
        <f>AZ624+BA624-BB624</f>
        <v/>
      </c>
      <c r="BD624" s="207" t="n">
        <v>0</v>
      </c>
      <c r="BE624" s="207" t="n">
        <v>0</v>
      </c>
      <c r="BF624" s="209">
        <f>BD624+BE624</f>
        <v/>
      </c>
      <c r="BG624" s="209">
        <f>BC624-AY624+BF624</f>
        <v/>
      </c>
      <c r="BH624" s="87" t="inlineStr">
        <is>
          <t>胡敏洁</t>
        </is>
      </c>
      <c r="BI624" s="210" t="inlineStr">
        <is>
          <t>湖南省 长沙市 开福区 秀峰街道北城周南学府3栋801</t>
        </is>
      </c>
      <c r="BJ624" s="86" t="inlineStr">
        <is>
          <t>13126485515-1711</t>
        </is>
      </c>
      <c r="BK624" s="86" t="n"/>
      <c r="BL624" s="210" t="n"/>
      <c r="BM624" s="93" t="n"/>
      <c r="BN624" s="94" t="n"/>
      <c r="BO624" s="93" t="n"/>
      <c r="BP624" s="86" t="n"/>
      <c r="BQ624" s="96" t="n"/>
      <c r="BR624" s="96" t="n"/>
      <c r="BS624" s="97" t="n"/>
      <c r="BT624" s="96" t="n"/>
      <c r="BU624" s="97" t="n"/>
      <c r="BV624" s="96" t="n"/>
      <c r="BW624" s="97" t="n"/>
      <c r="BX624" s="97" t="n"/>
      <c r="BY624" s="97" t="n"/>
      <c r="BZ624" s="97" t="n"/>
      <c r="CH624" s="2" t="n"/>
      <c r="CI624" s="14" t="n"/>
      <c r="CJ624" s="25" t="n"/>
      <c r="CK624" s="25" t="n"/>
      <c r="CL624" s="25" t="n"/>
      <c r="CM624" s="25" t="n"/>
      <c r="CN624" s="25" t="n"/>
      <c r="CO624" s="25" t="n"/>
      <c r="CP624" s="25" t="n"/>
      <c r="CQ624" s="25" t="n"/>
      <c r="CR624" s="25" t="n"/>
      <c r="CS624" s="25" t="n"/>
      <c r="CT624" s="25" t="n"/>
      <c r="CU624" s="25" t="n"/>
      <c r="CV624" s="25" t="n"/>
      <c r="CW624" s="25" t="n"/>
      <c r="CX624" s="25" t="n"/>
      <c r="CY624" s="25" t="n"/>
      <c r="DC624" s="26" t="n"/>
      <c r="DD624" s="26" t="n"/>
      <c r="DE624" s="26" t="n"/>
      <c r="DF624" s="26" t="n"/>
      <c r="DG624" s="26" t="n"/>
      <c r="DH624" s="27" t="n"/>
      <c r="DJ624" s="238" t="inlineStr">
        <is>
          <t>✓ 金额一致</t>
        </is>
      </c>
      <c r="DK624" t="inlineStr">
        <is>
          <t>2820.63</t>
        </is>
      </c>
      <c r="DL624" s="239" t="n">
        <v>0</v>
      </c>
    </row>
    <row r="625" ht="15.75" customHeight="1" s="187">
      <c r="A625" s="84" t="n">
        <v>46104</v>
      </c>
      <c r="B625" s="206" t="inlineStr">
        <is>
          <t>已发</t>
        </is>
      </c>
      <c r="C625" s="86" t="inlineStr">
        <is>
          <t>2701820065192001871</t>
        </is>
      </c>
      <c r="D625" s="110" t="inlineStr">
        <is>
          <t>卢女士</t>
        </is>
      </c>
      <c r="E625" s="87" t="n"/>
      <c r="F625" s="87" t="n"/>
      <c r="G625" s="87" t="inlineStr">
        <is>
          <t>1.2米洞石窄柜</t>
        </is>
      </c>
      <c r="H625" s="87" t="inlineStr">
        <is>
          <t>窄柜</t>
        </is>
      </c>
      <c r="I625" s="89" t="n"/>
      <c r="J625" s="87" t="inlineStr">
        <is>
          <t>已结算</t>
        </is>
      </c>
      <c r="K625" s="87" t="inlineStr">
        <is>
          <t>江西</t>
        </is>
      </c>
      <c r="L625" s="207">
        <f>SUM(M625:AO625)</f>
        <v/>
      </c>
      <c r="M625" s="216" t="n">
        <v>3000</v>
      </c>
      <c r="N625" s="216" t="n">
        <v>411.08</v>
      </c>
      <c r="O625" s="216" t="n"/>
      <c r="P625" s="216" t="n"/>
      <c r="Q625" s="216" t="n"/>
      <c r="R625" s="216" t="n">
        <v>220</v>
      </c>
      <c r="S625" s="216" t="n">
        <v>43.5</v>
      </c>
      <c r="T625" s="216" t="n">
        <v>31</v>
      </c>
      <c r="U625" s="216" t="n"/>
      <c r="V625" s="216" t="n"/>
      <c r="W625" s="216" t="n"/>
      <c r="X625" s="216" t="n">
        <v>18</v>
      </c>
      <c r="Y625" s="216" t="n"/>
      <c r="Z625" s="216" t="n"/>
      <c r="AA625" s="216" t="n"/>
      <c r="AB625" s="216" t="n"/>
      <c r="AC625" s="216" t="n"/>
      <c r="AD625" s="216" t="n"/>
      <c r="AE625" s="216" t="n"/>
      <c r="AF625" s="216" t="n"/>
      <c r="AG625" s="216" t="n"/>
      <c r="AH625" s="216" t="n"/>
      <c r="AI625" s="216" t="n"/>
      <c r="AJ625" s="216" t="n"/>
      <c r="AK625" s="216" t="n"/>
      <c r="AL625" s="216" t="n"/>
      <c r="AM625" s="121" t="n">
        <v>170</v>
      </c>
      <c r="AN625" s="243">
        <f>60+115+1.2+3.5+2.5+3.5</f>
        <v/>
      </c>
      <c r="AO625" s="207" t="n"/>
      <c r="AP625" s="207">
        <f>475-AQ625</f>
        <v/>
      </c>
      <c r="AQ625" s="207" t="n">
        <v>73</v>
      </c>
      <c r="AR625" s="207" t="n">
        <v>65</v>
      </c>
      <c r="AS625" s="207" t="n"/>
      <c r="AT625" s="207" t="n"/>
      <c r="AU625" s="207" t="n"/>
      <c r="AV625" s="207" t="n"/>
      <c r="AW625" s="207" t="n"/>
      <c r="AX625" s="208" t="n">
        <v>1</v>
      </c>
      <c r="AY625" s="209">
        <f>L625*AX625+AP625+AQ625+AR625+AV625+AW625+AS625+AT625+AU625</f>
        <v/>
      </c>
      <c r="AZ625" s="207" t="n">
        <v>5853.4</v>
      </c>
      <c r="BA625" s="207" t="n">
        <v>0</v>
      </c>
      <c r="BB625" s="207">
        <f>AZ625*0.006</f>
        <v/>
      </c>
      <c r="BC625" s="209">
        <f>AZ625+BA625-BB625</f>
        <v/>
      </c>
      <c r="BD625" s="207" t="n">
        <v>0</v>
      </c>
      <c r="BE625" s="207" t="n">
        <v>0</v>
      </c>
      <c r="BF625" s="209">
        <f>BD625+BE625</f>
        <v/>
      </c>
      <c r="BG625" s="209">
        <f>BC625-AY625+BF625</f>
        <v/>
      </c>
      <c r="BH625" s="87" t="inlineStr">
        <is>
          <t>卢女士</t>
        </is>
      </c>
      <c r="BI625" s="210" t="inlineStr">
        <is>
          <t>四川省 成都市 锦江区 柳江街道锦江区白鹭湾天府养云12栋2单元-402</t>
        </is>
      </c>
      <c r="BJ625" s="86" t="inlineStr">
        <is>
          <t>15520815844-5705</t>
        </is>
      </c>
      <c r="BK625" s="86" t="n"/>
      <c r="BL625" s="210" t="n"/>
      <c r="BM625" s="93" t="n"/>
      <c r="BN625" s="94" t="n"/>
      <c r="BO625" s="93" t="n"/>
      <c r="BP625" s="86" t="n"/>
      <c r="BQ625" s="96" t="n"/>
      <c r="BR625" s="96" t="n"/>
      <c r="BS625" s="97" t="n"/>
      <c r="BT625" s="96" t="n"/>
      <c r="BU625" s="97" t="n"/>
      <c r="BV625" s="96" t="n"/>
      <c r="BW625" s="97" t="n"/>
      <c r="BX625" s="97" t="n"/>
      <c r="BY625" s="97" t="n"/>
      <c r="BZ625" s="97" t="n"/>
      <c r="CH625" s="2" t="n"/>
      <c r="CI625" s="14" t="n"/>
      <c r="CJ625" s="25" t="n"/>
      <c r="CK625" s="25" t="n"/>
      <c r="CL625" s="25" t="n"/>
      <c r="CM625" s="25" t="n"/>
      <c r="CN625" s="25" t="n"/>
      <c r="CO625" s="25" t="n"/>
      <c r="CP625" s="25" t="n"/>
      <c r="CQ625" s="25" t="n"/>
      <c r="CR625" s="25" t="n"/>
      <c r="CS625" s="25" t="n"/>
      <c r="CT625" s="25" t="n"/>
      <c r="CU625" s="25" t="n"/>
      <c r="CV625" s="25" t="n"/>
      <c r="CW625" s="25" t="n"/>
      <c r="CX625" s="25" t="n"/>
      <c r="CY625" s="25" t="n"/>
      <c r="DC625" s="26" t="n"/>
      <c r="DD625" s="26" t="n"/>
      <c r="DE625" s="26" t="n"/>
      <c r="DF625" s="26" t="n"/>
      <c r="DG625" s="26" t="n"/>
      <c r="DH625" s="27" t="n"/>
      <c r="DJ625" s="241" t="inlineStr">
        <is>
          <t>✗ 金额不符</t>
        </is>
      </c>
      <c r="DK625" t="inlineStr">
        <is>
          <t>5858.40</t>
        </is>
      </c>
      <c r="DL625" s="239" t="n">
        <v>-5</v>
      </c>
      <c r="DM625" s="241" t="inlineStr">
        <is>
          <t>买家应付金额不一致，差额-5.00元（订单表5858.40 vs 佳宝5853.4，疑似改价/补邮费/上楼费等手工调整，需人工核对）</t>
        </is>
      </c>
    </row>
    <row r="626" ht="15.75" customHeight="1" s="187">
      <c r="A626" s="84" t="n">
        <v>46104</v>
      </c>
      <c r="B626" s="206" t="inlineStr">
        <is>
          <t>已发</t>
        </is>
      </c>
      <c r="C626" s="86" t="inlineStr">
        <is>
          <t>2701761996112039168</t>
        </is>
      </c>
      <c r="D626" s="110" t="inlineStr">
        <is>
          <t>刘晓悦</t>
        </is>
      </c>
      <c r="E626" s="87" t="n"/>
      <c r="F626" s="87" t="n"/>
      <c r="G626" s="87" t="inlineStr">
        <is>
          <t>1400*800*750</t>
        </is>
      </c>
      <c r="H626" s="87" t="inlineStr">
        <is>
          <t>榉木餐桌</t>
        </is>
      </c>
      <c r="I626" s="89" t="n"/>
      <c r="J626" s="87" t="inlineStr">
        <is>
          <t>已结算</t>
        </is>
      </c>
      <c r="K626" s="87" t="inlineStr">
        <is>
          <t>江西</t>
        </is>
      </c>
      <c r="L626" s="207">
        <f>SUM(M626:AO626)</f>
        <v/>
      </c>
      <c r="M626" s="216" t="n">
        <v>1250</v>
      </c>
      <c r="N626" s="216" t="n"/>
      <c r="O626" s="216" t="n"/>
      <c r="P626" s="216" t="n"/>
      <c r="Q626" s="216" t="n"/>
      <c r="R626" s="216" t="n">
        <v>420</v>
      </c>
      <c r="S626" s="216" t="n"/>
      <c r="T626" s="216" t="n"/>
      <c r="U626" s="216" t="n"/>
      <c r="V626" s="216" t="n"/>
      <c r="W626" s="216" t="n"/>
      <c r="X626" s="216" t="n"/>
      <c r="Y626" s="216" t="n"/>
      <c r="Z626" s="216" t="n"/>
      <c r="AA626" s="216" t="n"/>
      <c r="AB626" s="216" t="n"/>
      <c r="AC626" s="216" t="n"/>
      <c r="AD626" s="216" t="n">
        <v>2.5</v>
      </c>
      <c r="AE626" s="216" t="n"/>
      <c r="AF626" s="216" t="n"/>
      <c r="AG626" s="216" t="n"/>
      <c r="AH626" s="216" t="n"/>
      <c r="AI626" s="216" t="n"/>
      <c r="AJ626" s="216" t="n"/>
      <c r="AK626" s="216" t="n"/>
      <c r="AL626" s="216" t="n"/>
      <c r="AM626" s="121" t="n">
        <v>160</v>
      </c>
      <c r="AN626" s="207" t="n"/>
      <c r="AO626" s="207" t="n"/>
      <c r="AP626" s="207" t="n"/>
      <c r="AQ626" s="207" t="n"/>
      <c r="AR626" s="207" t="n">
        <v>60</v>
      </c>
      <c r="AS626" s="207" t="n"/>
      <c r="AT626" s="207" t="n"/>
      <c r="AU626" s="207" t="n"/>
      <c r="AV626" s="207" t="n"/>
      <c r="AW626" s="207" t="n"/>
      <c r="AX626" s="208" t="n">
        <v>1</v>
      </c>
      <c r="AY626" s="209">
        <f>L626*AX626+AP626+AQ626+AR626+AV626+AW626+AS626+AT626+AU626</f>
        <v/>
      </c>
      <c r="AZ626" s="207" t="n">
        <v>2799</v>
      </c>
      <c r="BA626" s="207" t="n">
        <v>0</v>
      </c>
      <c r="BB626" s="207">
        <f>AZ626*0.006</f>
        <v/>
      </c>
      <c r="BC626" s="209">
        <f>AZ626+BA626-BB626</f>
        <v/>
      </c>
      <c r="BD626" s="207" t="n">
        <v>0</v>
      </c>
      <c r="BE626" s="207" t="n">
        <v>0</v>
      </c>
      <c r="BF626" s="209">
        <f>BD626+BE626</f>
        <v/>
      </c>
      <c r="BG626" s="209">
        <f>BC626-AY626+BF626</f>
        <v/>
      </c>
      <c r="BH626" s="87" t="inlineStr">
        <is>
          <t>刘晓悦</t>
        </is>
      </c>
      <c r="BI626" s="210" t="inlineStr">
        <is>
          <t>广东省 韶关市 武江区 惠民街道金桂城8栋1702</t>
        </is>
      </c>
      <c r="BJ626" s="86" t="inlineStr">
        <is>
          <t>17896425992-8279</t>
        </is>
      </c>
      <c r="BK626" s="86" t="n"/>
      <c r="BL626" s="210" t="n"/>
      <c r="BM626" s="93" t="n"/>
      <c r="BN626" s="94" t="n"/>
      <c r="BO626" s="93" t="n"/>
      <c r="BP626" s="86" t="n"/>
      <c r="BQ626" s="96" t="n"/>
      <c r="BR626" s="96" t="n"/>
      <c r="BS626" s="97" t="n"/>
      <c r="BT626" s="96" t="n"/>
      <c r="BU626" s="97" t="n"/>
      <c r="BV626" s="96" t="n"/>
      <c r="BW626" s="97" t="n"/>
      <c r="BX626" s="97" t="n"/>
      <c r="BY626" s="97" t="n"/>
      <c r="BZ626" s="97" t="n"/>
      <c r="CH626" s="2" t="n"/>
      <c r="CI626" s="14" t="n"/>
      <c r="CJ626" s="25" t="n"/>
      <c r="CK626" s="25" t="n"/>
      <c r="CL626" s="25" t="n"/>
      <c r="CM626" s="25" t="n"/>
      <c r="CN626" s="25" t="n"/>
      <c r="CO626" s="25" t="n"/>
      <c r="CP626" s="25" t="n"/>
      <c r="CQ626" s="25" t="n"/>
      <c r="CR626" s="25" t="n"/>
      <c r="CS626" s="25" t="n"/>
      <c r="CT626" s="25" t="n"/>
      <c r="CU626" s="25" t="n"/>
      <c r="CV626" s="25" t="n"/>
      <c r="CW626" s="25" t="n"/>
      <c r="CX626" s="25" t="n"/>
      <c r="CY626" s="25" t="n"/>
      <c r="DC626" s="26" t="n"/>
      <c r="DD626" s="26" t="n"/>
      <c r="DE626" s="26" t="n"/>
      <c r="DF626" s="26" t="n"/>
      <c r="DG626" s="26" t="n"/>
      <c r="DH626" s="27" t="n"/>
      <c r="DJ626" s="238" t="inlineStr">
        <is>
          <t>✓ 金额一致</t>
        </is>
      </c>
      <c r="DK626" t="inlineStr">
        <is>
          <t>2799.00</t>
        </is>
      </c>
      <c r="DL626" s="239" t="n">
        <v>0</v>
      </c>
    </row>
    <row r="627" ht="15.75" customHeight="1" s="187">
      <c r="A627" s="84" t="n">
        <v>46104</v>
      </c>
      <c r="B627" s="206" t="inlineStr">
        <is>
          <t>已发</t>
        </is>
      </c>
      <c r="C627" s="86" t="inlineStr">
        <is>
          <t>2701763150105115054</t>
        </is>
      </c>
      <c r="D627" s="110" t="inlineStr">
        <is>
          <t>杨先生</t>
        </is>
      </c>
      <c r="E627" s="87" t="n"/>
      <c r="F627" s="87" t="n"/>
      <c r="G627" s="87" t="inlineStr">
        <is>
          <t>1.2米洞洞板窄柜</t>
        </is>
      </c>
      <c r="H627" s="87" t="inlineStr">
        <is>
          <t>窄柜</t>
        </is>
      </c>
      <c r="I627" s="89" t="n"/>
      <c r="J627" s="87" t="inlineStr">
        <is>
          <t>已结算</t>
        </is>
      </c>
      <c r="K627" s="87" t="inlineStr">
        <is>
          <t>江西</t>
        </is>
      </c>
      <c r="L627" s="207">
        <f>SUM(M627:AO627)</f>
        <v/>
      </c>
      <c r="M627" s="216" t="n">
        <v>3000</v>
      </c>
      <c r="N627" s="216" t="n">
        <v>411.08</v>
      </c>
      <c r="O627" s="216" t="n"/>
      <c r="P627" s="216" t="n"/>
      <c r="Q627" s="216" t="n"/>
      <c r="R627" s="216" t="n">
        <v>220</v>
      </c>
      <c r="S627" s="216" t="n">
        <v>43.5</v>
      </c>
      <c r="T627" s="216" t="n">
        <v>31</v>
      </c>
      <c r="U627" s="216" t="n"/>
      <c r="V627" s="216" t="n"/>
      <c r="W627" s="216" t="n"/>
      <c r="X627" s="216" t="n">
        <v>18</v>
      </c>
      <c r="Y627" s="216" t="n"/>
      <c r="Z627" s="216" t="n"/>
      <c r="AA627" s="216" t="n"/>
      <c r="AB627" s="216" t="n"/>
      <c r="AC627" s="216" t="n"/>
      <c r="AD627" s="216" t="n"/>
      <c r="AE627" s="216" t="n"/>
      <c r="AF627" s="216" t="n"/>
      <c r="AG627" s="216" t="n"/>
      <c r="AH627" s="216" t="n"/>
      <c r="AI627" s="216" t="n"/>
      <c r="AJ627" s="216" t="n"/>
      <c r="AK627" s="216" t="n"/>
      <c r="AL627" s="216" t="n"/>
      <c r="AM627" s="121" t="n">
        <v>170</v>
      </c>
      <c r="AN627" s="207" t="n"/>
      <c r="AO627" s="207" t="n"/>
      <c r="AP627" s="207" t="n"/>
      <c r="AQ627" s="207" t="n"/>
      <c r="AR627" s="207" t="n">
        <v>99</v>
      </c>
      <c r="AS627" s="207" t="n"/>
      <c r="AT627" s="207" t="n"/>
      <c r="AU627" s="207" t="n"/>
      <c r="AV627" s="207" t="n"/>
      <c r="AW627" s="207" t="n"/>
      <c r="AX627" s="208" t="n">
        <v>1</v>
      </c>
      <c r="AY627" s="209">
        <f>L627*AX627+AP627+AQ627+AR627+AV627+AW627+AS627+AT627+AU627</f>
        <v/>
      </c>
      <c r="AZ627" s="207" t="n">
        <v>5370.6</v>
      </c>
      <c r="BA627" s="207" t="n">
        <v>0</v>
      </c>
      <c r="BB627" s="207">
        <f>AZ627*0.006</f>
        <v/>
      </c>
      <c r="BC627" s="209">
        <f>AZ627+BA627-BB627</f>
        <v/>
      </c>
      <c r="BD627" s="207" t="n">
        <v>0</v>
      </c>
      <c r="BE627" s="207" t="n">
        <v>0</v>
      </c>
      <c r="BF627" s="209">
        <f>BD627+BE627</f>
        <v/>
      </c>
      <c r="BG627" s="209">
        <f>BC627-AY627+BF627</f>
        <v/>
      </c>
      <c r="BH627" s="87" t="inlineStr">
        <is>
          <t>杨先生</t>
        </is>
      </c>
      <c r="BI627" s="210" t="inlineStr">
        <is>
          <t>湖北省 武汉市 武昌区 中南路街道 百瑞景1期1栋503室</t>
        </is>
      </c>
      <c r="BJ627" s="86" t="inlineStr">
        <is>
          <t>18472269147-2444，</t>
        </is>
      </c>
      <c r="BK627" s="86" t="n"/>
      <c r="BL627" s="210" t="n"/>
      <c r="BM627" s="93" t="n"/>
      <c r="BN627" s="94" t="n"/>
      <c r="BO627" s="93" t="n"/>
      <c r="BP627" s="86" t="n"/>
      <c r="BQ627" s="96" t="n"/>
      <c r="BR627" s="96" t="n"/>
      <c r="BS627" s="97" t="n"/>
      <c r="BT627" s="96" t="n"/>
      <c r="BU627" s="97" t="n"/>
      <c r="BV627" s="96" t="n"/>
      <c r="BW627" s="97" t="n"/>
      <c r="BX627" s="97" t="n"/>
      <c r="BY627" s="97" t="n"/>
      <c r="BZ627" s="97" t="n"/>
      <c r="CH627" s="2" t="n"/>
      <c r="CI627" s="14" t="n"/>
      <c r="CJ627" s="25" t="n"/>
      <c r="CK627" s="25" t="n"/>
      <c r="CL627" s="25" t="n"/>
      <c r="CM627" s="25" t="n"/>
      <c r="CN627" s="25" t="n"/>
      <c r="CO627" s="25" t="n"/>
      <c r="CP627" s="25" t="n"/>
      <c r="CQ627" s="25" t="n"/>
      <c r="CR627" s="25" t="n"/>
      <c r="CS627" s="25" t="n"/>
      <c r="CT627" s="25" t="n"/>
      <c r="CU627" s="25" t="n"/>
      <c r="CV627" s="25" t="n"/>
      <c r="CW627" s="25" t="n"/>
      <c r="CX627" s="25" t="n"/>
      <c r="CY627" s="25" t="n"/>
      <c r="DC627" s="26" t="n"/>
      <c r="DD627" s="26" t="n"/>
      <c r="DE627" s="26" t="n"/>
      <c r="DF627" s="26" t="n"/>
      <c r="DG627" s="26" t="n"/>
      <c r="DH627" s="27" t="n"/>
      <c r="DJ627" s="238" t="inlineStr">
        <is>
          <t>✓ 金额一致</t>
        </is>
      </c>
      <c r="DK627" t="inlineStr">
        <is>
          <t>5370.60</t>
        </is>
      </c>
      <c r="DL627" s="239" t="n">
        <v>0</v>
      </c>
    </row>
    <row r="628" ht="15.75" customHeight="1" s="187">
      <c r="A628" s="84" t="n">
        <v>46104</v>
      </c>
      <c r="B628" s="206" t="inlineStr">
        <is>
          <t>已发</t>
        </is>
      </c>
      <c r="C628" s="86" t="inlineStr">
        <is>
          <t>4502191826181029839</t>
        </is>
      </c>
      <c r="D628" s="110" t="inlineStr">
        <is>
          <t>花花</t>
        </is>
      </c>
      <c r="E628" s="87" t="n"/>
      <c r="F628" s="87" t="n"/>
      <c r="G628" s="87" t="inlineStr">
        <is>
          <t>1800*850*750</t>
        </is>
      </c>
      <c r="H628" s="87" t="inlineStr">
        <is>
          <t>榉木餐桌</t>
        </is>
      </c>
      <c r="I628" s="89" t="n"/>
      <c r="J628" s="87" t="inlineStr">
        <is>
          <t>已结算</t>
        </is>
      </c>
      <c r="K628" s="87" t="inlineStr">
        <is>
          <t>江西</t>
        </is>
      </c>
      <c r="L628" s="207">
        <f>SUM(M628:AO628)</f>
        <v/>
      </c>
      <c r="M628" s="216" t="n">
        <v>1400</v>
      </c>
      <c r="N628" s="216" t="n"/>
      <c r="O628" s="216" t="n"/>
      <c r="P628" s="216" t="n"/>
      <c r="Q628" s="216" t="n"/>
      <c r="R628" s="216" t="n">
        <v>220</v>
      </c>
      <c r="S628" s="216" t="n"/>
      <c r="T628" s="216" t="n"/>
      <c r="U628" s="216" t="n"/>
      <c r="V628" s="216" t="n"/>
      <c r="W628" s="216" t="n"/>
      <c r="X628" s="216" t="n"/>
      <c r="Y628" s="216" t="n"/>
      <c r="Z628" s="216" t="n"/>
      <c r="AA628" s="216" t="n"/>
      <c r="AB628" s="216" t="n"/>
      <c r="AC628" s="216" t="n"/>
      <c r="AD628" s="216" t="n">
        <v>2.5</v>
      </c>
      <c r="AE628" s="216" t="n"/>
      <c r="AF628" s="216" t="n"/>
      <c r="AG628" s="216" t="n"/>
      <c r="AH628" s="216" t="n"/>
      <c r="AI628" s="216" t="n"/>
      <c r="AJ628" s="216" t="n"/>
      <c r="AK628" s="216" t="n"/>
      <c r="AL628" s="216" t="n"/>
      <c r="AM628" s="121" t="n">
        <v>170</v>
      </c>
      <c r="AN628" s="207" t="n"/>
      <c r="AO628" s="207" t="n"/>
      <c r="AP628" s="207" t="n">
        <v>151</v>
      </c>
      <c r="AQ628" s="207" t="n">
        <v>30</v>
      </c>
      <c r="AR628" s="207" t="n">
        <v>80</v>
      </c>
      <c r="AS628" s="207" t="n"/>
      <c r="AT628" s="207" t="n"/>
      <c r="AU628" s="207" t="n"/>
      <c r="AV628" s="207" t="n"/>
      <c r="AW628" s="207" t="n"/>
      <c r="AX628" s="208" t="n">
        <v>1</v>
      </c>
      <c r="AY628" s="209">
        <f>L628*AX628+AP628+AQ628+AR628+AV628+AW628+AS628+AT628+AU628</f>
        <v/>
      </c>
      <c r="AZ628" s="207" t="n">
        <v>2986.93</v>
      </c>
      <c r="BA628" s="207" t="n">
        <v>0</v>
      </c>
      <c r="BB628" s="207">
        <f>AZ628*0.006</f>
        <v/>
      </c>
      <c r="BC628" s="209">
        <f>AZ628+BA628-BB628</f>
        <v/>
      </c>
      <c r="BD628" s="207" t="n">
        <v>0</v>
      </c>
      <c r="BE628" s="207" t="n">
        <v>0</v>
      </c>
      <c r="BF628" s="209">
        <f>BD628+BE628</f>
        <v/>
      </c>
      <c r="BG628" s="209">
        <f>BC628-AY628+BF628</f>
        <v/>
      </c>
      <c r="BH628" s="87" t="inlineStr">
        <is>
          <t>花花</t>
        </is>
      </c>
      <c r="BI628" s="210" t="inlineStr">
        <is>
          <t>陕西省 西安市 雁塔区 杜城街道雁南朗境13号楼2单元8楼1号</t>
        </is>
      </c>
      <c r="BJ628" s="86" t="inlineStr">
        <is>
          <t>15664724101-6918</t>
        </is>
      </c>
      <c r="BK628" s="86" t="n"/>
      <c r="BL628" s="210" t="n"/>
      <c r="BM628" s="93" t="n"/>
      <c r="BN628" s="94" t="n"/>
      <c r="BO628" s="93" t="n"/>
      <c r="BP628" s="86" t="n"/>
      <c r="BQ628" s="96" t="n"/>
      <c r="BR628" s="96" t="n"/>
      <c r="BS628" s="97" t="n"/>
      <c r="BT628" s="96" t="n"/>
      <c r="BU628" s="97" t="n"/>
      <c r="BV628" s="96" t="n"/>
      <c r="BW628" s="97" t="n"/>
      <c r="BX628" s="97" t="n"/>
      <c r="BY628" s="97" t="n"/>
      <c r="BZ628" s="97" t="n"/>
      <c r="CH628" s="2" t="n"/>
      <c r="CI628" s="14" t="n"/>
      <c r="CJ628" s="25" t="n"/>
      <c r="CK628" s="25" t="n"/>
      <c r="CL628" s="25" t="n"/>
      <c r="CM628" s="25" t="n"/>
      <c r="CN628" s="25" t="n"/>
      <c r="CO628" s="25" t="n"/>
      <c r="CP628" s="25" t="n"/>
      <c r="CQ628" s="25" t="n"/>
      <c r="CR628" s="25" t="n"/>
      <c r="CS628" s="25" t="n"/>
      <c r="CT628" s="25" t="n"/>
      <c r="CU628" s="25" t="n"/>
      <c r="CV628" s="25" t="n"/>
      <c r="CW628" s="25" t="n"/>
      <c r="CX628" s="25" t="n"/>
      <c r="CY628" s="25" t="n"/>
      <c r="DC628" s="26" t="n"/>
      <c r="DD628" s="26" t="n"/>
      <c r="DE628" s="26" t="n"/>
      <c r="DF628" s="26" t="n"/>
      <c r="DG628" s="26" t="n"/>
      <c r="DH628" s="27" t="n"/>
      <c r="DJ628" s="238" t="inlineStr">
        <is>
          <t>✓ 金额一致</t>
        </is>
      </c>
      <c r="DK628" t="inlineStr">
        <is>
          <t>2986.93</t>
        </is>
      </c>
      <c r="DL628" s="239" t="n">
        <v>0</v>
      </c>
    </row>
    <row r="629" ht="15.75" customHeight="1" s="187">
      <c r="A629" s="84" t="n">
        <v>46105</v>
      </c>
      <c r="B629" s="226" t="inlineStr">
        <is>
          <t>已发</t>
        </is>
      </c>
      <c r="C629" s="86" t="inlineStr">
        <is>
          <t>4502177316184015146</t>
        </is>
      </c>
      <c r="D629" s="110" t="inlineStr">
        <is>
          <t>徐77</t>
        </is>
      </c>
      <c r="E629" s="87" t="n"/>
      <c r="F629" s="87" t="n"/>
      <c r="G629" s="87" t="n"/>
      <c r="H629" s="87" t="inlineStr">
        <is>
          <t>样块</t>
        </is>
      </c>
      <c r="I629" s="89" t="n"/>
      <c r="J629" s="87" t="n"/>
      <c r="K629" s="87" t="inlineStr">
        <is>
          <t>江西</t>
        </is>
      </c>
      <c r="L629" s="216" t="n"/>
      <c r="M629" s="216" t="n">
        <v>10</v>
      </c>
      <c r="N629" s="216" t="n"/>
      <c r="O629" s="216" t="n"/>
      <c r="P629" s="216" t="n"/>
      <c r="Q629" s="216" t="n"/>
      <c r="R629" s="216" t="n"/>
      <c r="S629" s="216" t="n"/>
      <c r="T629" s="216" t="n"/>
      <c r="U629" s="216" t="n"/>
      <c r="V629" s="216" t="n"/>
      <c r="W629" s="216" t="n"/>
      <c r="X629" s="216" t="n"/>
      <c r="Y629" s="216" t="n"/>
      <c r="Z629" s="216" t="n"/>
      <c r="AA629" s="216" t="n"/>
      <c r="AB629" s="216" t="n"/>
      <c r="AC629" s="216" t="n"/>
      <c r="AD629" s="216" t="n"/>
      <c r="AE629" s="216" t="n"/>
      <c r="AF629" s="216" t="n"/>
      <c r="AG629" s="216" t="n"/>
      <c r="AH629" s="216" t="n"/>
      <c r="AI629" s="216" t="n"/>
      <c r="AJ629" s="216" t="n"/>
      <c r="AK629" s="216" t="n"/>
      <c r="AL629" s="216" t="n"/>
      <c r="AM629" s="207" t="n"/>
      <c r="AN629" s="207" t="n"/>
      <c r="AO629" s="207" t="n"/>
      <c r="AP629" s="207" t="n"/>
      <c r="AQ629" s="207" t="n"/>
      <c r="AR629" s="207" t="n">
        <v>78</v>
      </c>
      <c r="AS629" s="207" t="n"/>
      <c r="AT629" s="207" t="n"/>
      <c r="AU629" s="207" t="n"/>
      <c r="AV629" s="207" t="n"/>
      <c r="AW629" s="207" t="n"/>
      <c r="AX629" s="208" t="n">
        <v>1</v>
      </c>
      <c r="AY629" s="209">
        <f>L629*AX629+AP629+AQ629+AR629+AV629+AW629+AS629+AT629+AU629</f>
        <v/>
      </c>
      <c r="AZ629" s="207" t="n">
        <v>39</v>
      </c>
      <c r="BA629" s="207" t="n">
        <v>0</v>
      </c>
      <c r="BB629" s="207">
        <f>AZ629*0.006</f>
        <v/>
      </c>
      <c r="BC629" s="209">
        <f>AZ629+BA629-BB629</f>
        <v/>
      </c>
      <c r="BD629" s="207" t="n">
        <v>0</v>
      </c>
      <c r="BE629" s="207" t="n">
        <v>0</v>
      </c>
      <c r="BF629" s="209" t="n"/>
      <c r="BG629" s="209" t="n"/>
      <c r="BH629" s="87" t="inlineStr">
        <is>
          <t>徐77</t>
        </is>
      </c>
      <c r="BI629" s="210" t="inlineStr">
        <is>
          <t>广东省 广州市 荔湾区 白鹤洞街道广钢新城中海锦御华庭B1栋517房</t>
        </is>
      </c>
      <c r="BJ629" s="86" t="inlineStr">
        <is>
          <t>18466101780-7737</t>
        </is>
      </c>
      <c r="BK629" s="86" t="n"/>
      <c r="BL629" s="210" t="n"/>
      <c r="BM629" s="93" t="n"/>
      <c r="BN629" s="94" t="n"/>
      <c r="BO629" s="93" t="n"/>
      <c r="BP629" s="86" t="n"/>
      <c r="BQ629" s="96" t="n"/>
      <c r="BR629" s="96" t="n"/>
      <c r="BS629" s="97" t="n"/>
      <c r="BT629" s="96" t="n"/>
      <c r="BU629" s="97" t="n"/>
      <c r="BV629" s="96" t="n"/>
      <c r="BW629" s="97" t="n"/>
      <c r="BX629" s="97" t="n"/>
      <c r="BY629" s="97" t="n"/>
      <c r="BZ629" s="97" t="n"/>
      <c r="CH629" s="2" t="n"/>
      <c r="CI629" s="14" t="n"/>
      <c r="CJ629" s="25" t="n"/>
      <c r="CK629" s="25" t="n"/>
      <c r="CL629" s="25" t="n"/>
      <c r="CM629" s="25" t="n"/>
      <c r="CN629" s="25" t="n"/>
      <c r="CO629" s="25" t="n"/>
      <c r="CP629" s="25" t="n"/>
      <c r="CQ629" s="25" t="n"/>
      <c r="CR629" s="25" t="n"/>
      <c r="CS629" s="25" t="n"/>
      <c r="CT629" s="25" t="n"/>
      <c r="CU629" s="25" t="n"/>
      <c r="CV629" s="25" t="n"/>
      <c r="CW629" s="25" t="n"/>
      <c r="CX629" s="25" t="n"/>
      <c r="CY629" s="25" t="n"/>
      <c r="DC629" s="26" t="n"/>
      <c r="DD629" s="26" t="n"/>
      <c r="DE629" s="26" t="n"/>
      <c r="DF629" s="26" t="n"/>
      <c r="DG629" s="26" t="n"/>
      <c r="DH629" s="27" t="n"/>
      <c r="DJ629" s="211" t="inlineStr">
        <is>
          <t>订单表中未找到</t>
        </is>
      </c>
      <c r="DK629" t="inlineStr">
        <is>
          <t>—</t>
        </is>
      </c>
      <c r="DL629" t="inlineStr">
        <is>
          <t>—</t>
        </is>
      </c>
    </row>
    <row r="630" ht="15.75" customHeight="1" s="187">
      <c r="A630" s="84" t="n">
        <v>46105</v>
      </c>
      <c r="B630" s="206" t="inlineStr">
        <is>
          <t>已发</t>
        </is>
      </c>
      <c r="C630" s="86" t="inlineStr">
        <is>
          <t>2701791878046047055</t>
        </is>
      </c>
      <c r="D630" s="110" t="inlineStr">
        <is>
          <t>屈野</t>
        </is>
      </c>
      <c r="E630" s="87" t="n"/>
      <c r="F630" s="87" t="n"/>
      <c r="G630" s="87" t="inlineStr">
        <is>
          <t>榉木常规2cm板材2.1×0.8大板桌+1.6*0.8榉木岩板餐桌</t>
        </is>
      </c>
      <c r="H630" s="87" t="inlineStr">
        <is>
          <t>榉木大板+岩板餐桌</t>
        </is>
      </c>
      <c r="I630" s="89" t="n"/>
      <c r="J630" s="87" t="inlineStr">
        <is>
          <t>已结算</t>
        </is>
      </c>
      <c r="K630" s="87" t="inlineStr">
        <is>
          <t>江西</t>
        </is>
      </c>
      <c r="L630" s="207">
        <f>SUM(M630:AO630)</f>
        <v/>
      </c>
      <c r="M630" s="216" t="n">
        <v>2600</v>
      </c>
      <c r="N630" s="216" t="n"/>
      <c r="O630" s="216" t="n"/>
      <c r="P630" s="216" t="n"/>
      <c r="Q630" s="216" t="n"/>
      <c r="R630" s="216" t="n">
        <v>220</v>
      </c>
      <c r="S630" s="216" t="n"/>
      <c r="T630" s="216" t="n"/>
      <c r="U630" s="216" t="n"/>
      <c r="V630" s="216" t="n"/>
      <c r="W630" s="216" t="n"/>
      <c r="X630" s="216" t="n"/>
      <c r="Y630" s="216" t="n"/>
      <c r="Z630" s="216" t="n"/>
      <c r="AA630" s="216" t="n"/>
      <c r="AB630" s="216" t="n"/>
      <c r="AC630" s="216" t="n"/>
      <c r="AD630" s="216" t="n"/>
      <c r="AE630" s="216" t="n"/>
      <c r="AF630" s="216" t="n"/>
      <c r="AG630" s="216" t="n"/>
      <c r="AH630" s="216" t="n"/>
      <c r="AI630" s="216" t="n"/>
      <c r="AJ630" s="216" t="n"/>
      <c r="AK630" s="216" t="n"/>
      <c r="AL630" s="216" t="n"/>
      <c r="AM630" s="207" t="n"/>
      <c r="AN630" s="207" t="n"/>
      <c r="AO630" s="207" t="n"/>
      <c r="AP630" s="207" t="n"/>
      <c r="AQ630" s="207" t="n"/>
      <c r="AR630" s="207" t="n"/>
      <c r="AS630" s="207" t="n"/>
      <c r="AT630" s="207" t="n"/>
      <c r="AU630" s="207" t="n"/>
      <c r="AV630" s="207" t="n"/>
      <c r="AW630" s="207" t="n"/>
      <c r="AX630" s="208" t="n">
        <v>1</v>
      </c>
      <c r="AY630" s="209">
        <f>L630*AX630+AP630+AQ630+AR630+AV630+AW630+AS630+AT630+AU630</f>
        <v/>
      </c>
      <c r="AZ630" s="207" t="n">
        <v>2704.74</v>
      </c>
      <c r="BA630" s="207" t="n">
        <v>0</v>
      </c>
      <c r="BB630" s="207">
        <f>AZ630*0.006</f>
        <v/>
      </c>
      <c r="BC630" s="209">
        <f>AZ630+BA630-BB630</f>
        <v/>
      </c>
      <c r="BD630" s="207" t="n">
        <v>0</v>
      </c>
      <c r="BE630" s="207" t="n">
        <v>0</v>
      </c>
      <c r="BF630" s="209">
        <f>BD630+BE630</f>
        <v/>
      </c>
      <c r="BG630" s="209">
        <f>BC630-AY630+BF630</f>
        <v/>
      </c>
      <c r="BH630" s="87" t="inlineStr">
        <is>
          <t>屈野</t>
        </is>
      </c>
      <c r="BI630" s="210" t="inlineStr">
        <is>
          <t>湖南省 长沙市 天心区 友谊路332号友谊路青园5栋2单元4楼西户（405）</t>
        </is>
      </c>
      <c r="BJ630" s="86" t="inlineStr">
        <is>
          <t>17896414017-5291</t>
        </is>
      </c>
      <c r="BK630" s="86" t="n"/>
      <c r="BL630" s="210" t="n"/>
      <c r="BM630" s="93" t="n"/>
      <c r="BN630" s="94" t="n"/>
      <c r="BO630" s="93" t="n"/>
      <c r="BP630" s="86" t="n"/>
      <c r="BQ630" s="96" t="n"/>
      <c r="BR630" s="96" t="n"/>
      <c r="BS630" s="97" t="n"/>
      <c r="BT630" s="96" t="n"/>
      <c r="BU630" s="97" t="n"/>
      <c r="BV630" s="96" t="n"/>
      <c r="BW630" s="97" t="n"/>
      <c r="BX630" s="97" t="n"/>
      <c r="BY630" s="97" t="n"/>
      <c r="BZ630" s="97" t="n"/>
      <c r="CH630" s="2" t="n"/>
      <c r="CI630" s="14" t="n"/>
      <c r="CJ630" s="25" t="n"/>
      <c r="CK630" s="25" t="n"/>
      <c r="CL630" s="25" t="n"/>
      <c r="CM630" s="25" t="n"/>
      <c r="CN630" s="25" t="n"/>
      <c r="CO630" s="25" t="n"/>
      <c r="CP630" s="25" t="n"/>
      <c r="CQ630" s="25" t="n"/>
      <c r="CR630" s="25" t="n"/>
      <c r="CS630" s="25" t="n"/>
      <c r="CT630" s="25" t="n"/>
      <c r="CU630" s="25" t="n"/>
      <c r="CV630" s="25" t="n"/>
      <c r="CW630" s="25" t="n"/>
      <c r="CX630" s="25" t="n"/>
      <c r="CY630" s="25" t="n"/>
      <c r="DC630" s="26" t="n"/>
      <c r="DD630" s="26" t="n"/>
      <c r="DE630" s="26" t="n"/>
      <c r="DF630" s="26" t="n"/>
      <c r="DG630" s="26" t="n"/>
      <c r="DH630" s="27" t="n"/>
      <c r="DJ630" s="238" t="inlineStr">
        <is>
          <t>✓ 金额一致</t>
        </is>
      </c>
      <c r="DK630" t="inlineStr">
        <is>
          <t>2704.74</t>
        </is>
      </c>
      <c r="DL630" s="239" t="n">
        <v>0</v>
      </c>
    </row>
    <row r="631" ht="15.75" customHeight="1" s="187">
      <c r="A631" s="84" t="n">
        <v>46106</v>
      </c>
      <c r="B631" s="226" t="inlineStr">
        <is>
          <t>已发</t>
        </is>
      </c>
      <c r="C631" s="86" t="inlineStr">
        <is>
          <t>2701780466041081656</t>
        </is>
      </c>
      <c r="D631" s="110" t="inlineStr">
        <is>
          <t xml:space="preserve">徒爷 </t>
        </is>
      </c>
      <c r="E631" s="87" t="n"/>
      <c r="F631" s="87" t="n"/>
      <c r="G631" s="87" t="n"/>
      <c r="H631" s="87" t="inlineStr">
        <is>
          <t>样块</t>
        </is>
      </c>
      <c r="I631" s="89" t="n"/>
      <c r="J631" s="87" t="n"/>
      <c r="K631" s="87" t="inlineStr">
        <is>
          <t>江西</t>
        </is>
      </c>
      <c r="L631" s="216" t="n"/>
      <c r="M631" s="216" t="n">
        <v>10</v>
      </c>
      <c r="N631" s="216" t="n"/>
      <c r="O631" s="216" t="n"/>
      <c r="P631" s="216" t="n"/>
      <c r="Q631" s="216" t="n"/>
      <c r="R631" s="216" t="n"/>
      <c r="S631" s="216" t="n"/>
      <c r="T631" s="216" t="n"/>
      <c r="U631" s="216" t="n"/>
      <c r="V631" s="216" t="n"/>
      <c r="W631" s="216" t="n"/>
      <c r="X631" s="216" t="n"/>
      <c r="Y631" s="216" t="n"/>
      <c r="Z631" s="216" t="n"/>
      <c r="AA631" s="216" t="n"/>
      <c r="AB631" s="216" t="n"/>
      <c r="AC631" s="216" t="n"/>
      <c r="AD631" s="216" t="n"/>
      <c r="AE631" s="216" t="n"/>
      <c r="AF631" s="216" t="n"/>
      <c r="AG631" s="216" t="n"/>
      <c r="AH631" s="216" t="n"/>
      <c r="AI631" s="216" t="n"/>
      <c r="AJ631" s="216" t="n"/>
      <c r="AK631" s="216" t="n"/>
      <c r="AL631" s="216" t="n"/>
      <c r="AM631" s="207" t="n"/>
      <c r="AN631" s="207" t="n"/>
      <c r="AO631" s="207" t="n"/>
      <c r="AP631" s="207" t="n"/>
      <c r="AQ631" s="207" t="n"/>
      <c r="AR631" s="207" t="n"/>
      <c r="AS631" s="207" t="n"/>
      <c r="AT631" s="207" t="n"/>
      <c r="AU631" s="207" t="n"/>
      <c r="AV631" s="207" t="n"/>
      <c r="AW631" s="207" t="n"/>
      <c r="AX631" s="208" t="n">
        <v>1</v>
      </c>
      <c r="AY631" s="209">
        <f>L631*AX631+AP631+AQ631+AR631+AV631+AW631+AS631+AT631+AU631</f>
        <v/>
      </c>
      <c r="AZ631" s="207" t="n">
        <v>22</v>
      </c>
      <c r="BA631" s="207" t="n">
        <v>0</v>
      </c>
      <c r="BB631" s="207">
        <f>AZ631*0.006</f>
        <v/>
      </c>
      <c r="BC631" s="209">
        <f>AZ631+BA631-BB631</f>
        <v/>
      </c>
      <c r="BD631" s="207" t="n">
        <v>0</v>
      </c>
      <c r="BE631" s="207" t="n">
        <v>0</v>
      </c>
      <c r="BF631" s="209" t="n"/>
      <c r="BG631" s="209" t="n"/>
      <c r="BH631" s="87" t="inlineStr">
        <is>
          <t>徒爷</t>
        </is>
      </c>
      <c r="BI631" s="210" t="inlineStr">
        <is>
          <t>海南省 海口市 龙华区 城西镇迎宾大道恒大文化旅游城四期20栋一单元1308房</t>
        </is>
      </c>
      <c r="BJ631" s="86" t="inlineStr">
        <is>
          <t>17898966713-1048</t>
        </is>
      </c>
      <c r="BK631" s="86" t="n"/>
      <c r="BL631" s="210" t="n"/>
      <c r="BM631" s="93" t="n"/>
      <c r="BN631" s="94" t="n"/>
      <c r="BO631" s="93" t="n"/>
      <c r="BP631" s="86" t="n"/>
      <c r="BQ631" s="96" t="n"/>
      <c r="BR631" s="96" t="n"/>
      <c r="BS631" s="97" t="n"/>
      <c r="BT631" s="96" t="n"/>
      <c r="BU631" s="97" t="n"/>
      <c r="BV631" s="96" t="n"/>
      <c r="BW631" s="97" t="n"/>
      <c r="BX631" s="97" t="n"/>
      <c r="BY631" s="97" t="n"/>
      <c r="BZ631" s="97" t="n"/>
      <c r="CH631" s="2" t="n"/>
      <c r="CI631" s="14" t="n"/>
      <c r="CJ631" s="25" t="n"/>
      <c r="CK631" s="25" t="n"/>
      <c r="CL631" s="25" t="n"/>
      <c r="CM631" s="25" t="n"/>
      <c r="CN631" s="25" t="n"/>
      <c r="CO631" s="25" t="n"/>
      <c r="CP631" s="25" t="n"/>
      <c r="CQ631" s="25" t="n"/>
      <c r="CR631" s="25" t="n"/>
      <c r="CS631" s="25" t="n"/>
      <c r="CT631" s="25" t="n"/>
      <c r="CU631" s="25" t="n"/>
      <c r="CV631" s="25" t="n"/>
      <c r="CW631" s="25" t="n"/>
      <c r="CX631" s="25" t="n"/>
      <c r="CY631" s="25" t="n"/>
      <c r="DC631" s="26" t="n"/>
      <c r="DD631" s="26" t="n"/>
      <c r="DE631" s="26" t="n"/>
      <c r="DF631" s="26" t="n"/>
      <c r="DG631" s="26" t="n"/>
      <c r="DH631" s="27" t="n"/>
      <c r="DJ631" s="238" t="inlineStr">
        <is>
          <t>✓ 金额一致</t>
        </is>
      </c>
      <c r="DK631" t="inlineStr">
        <is>
          <t>22.00</t>
        </is>
      </c>
      <c r="DL631" s="239" t="n">
        <v>0</v>
      </c>
    </row>
    <row r="632" ht="15.75" customHeight="1" s="187">
      <c r="A632" s="84" t="n">
        <v>46106</v>
      </c>
      <c r="B632" s="206" t="inlineStr">
        <is>
          <t>改尺寸，1米做备货</t>
        </is>
      </c>
      <c r="C632" s="86" t="inlineStr">
        <is>
          <t>4502196684031016909</t>
        </is>
      </c>
      <c r="D632" s="110" t="inlineStr">
        <is>
          <t>KK</t>
        </is>
      </c>
      <c r="E632" s="87" t="n"/>
      <c r="F632" s="87" t="n"/>
      <c r="G632" s="87" t="inlineStr">
        <is>
          <t>0.88米洞石板窄柜</t>
        </is>
      </c>
      <c r="H632" s="87" t="inlineStr">
        <is>
          <t>窄柜</t>
        </is>
      </c>
      <c r="I632" s="89" t="n"/>
      <c r="J632" s="87" t="inlineStr">
        <is>
          <t>已结算</t>
        </is>
      </c>
      <c r="K632" s="87" t="inlineStr">
        <is>
          <t>江西</t>
        </is>
      </c>
      <c r="L632" s="207">
        <f>SUM(M632:AO632)</f>
        <v/>
      </c>
      <c r="M632" s="216" t="n">
        <v>2850</v>
      </c>
      <c r="N632" s="216" t="n">
        <v>335</v>
      </c>
      <c r="O632" s="216" t="n"/>
      <c r="P632" s="216" t="n"/>
      <c r="Q632" s="216" t="n"/>
      <c r="R632" s="216" t="n">
        <v>190</v>
      </c>
      <c r="S632" s="216" t="n">
        <v>33</v>
      </c>
      <c r="T632" s="216" t="n">
        <v>31</v>
      </c>
      <c r="U632" s="216" t="n"/>
      <c r="V632" s="216" t="n"/>
      <c r="W632" s="216" t="n"/>
      <c r="X632" s="216" t="n">
        <v>17</v>
      </c>
      <c r="Y632" s="216" t="n"/>
      <c r="Z632" s="216" t="n"/>
      <c r="AA632" s="216" t="n"/>
      <c r="AB632" s="216" t="n"/>
      <c r="AC632" s="216" t="n"/>
      <c r="AD632" s="216" t="n"/>
      <c r="AE632" s="216" t="n"/>
      <c r="AF632" s="216" t="n"/>
      <c r="AG632" s="216" t="n"/>
      <c r="AH632" s="216" t="n"/>
      <c r="AI632" s="216" t="n"/>
      <c r="AJ632" s="216" t="n"/>
      <c r="AK632" s="216" t="n"/>
      <c r="AL632" s="216" t="n"/>
      <c r="AM632" s="207" t="n"/>
      <c r="AN632" s="207" t="n"/>
      <c r="AO632" s="207" t="n"/>
      <c r="AP632" s="207" t="n"/>
      <c r="AQ632" s="207" t="n"/>
      <c r="AR632" s="207" t="n"/>
      <c r="AS632" s="207" t="n"/>
      <c r="AT632" s="207" t="n"/>
      <c r="AU632" s="207" t="n"/>
      <c r="AV632" s="207" t="n"/>
      <c r="AW632" s="207" t="n"/>
      <c r="AX632" s="208" t="n">
        <v>1</v>
      </c>
      <c r="AY632" s="209">
        <f>L632*AX632+AP632+AQ632+AR632+AV632+AW632+AS632+AT632+AU632</f>
        <v/>
      </c>
      <c r="AZ632" s="207" t="n">
        <v>5615.6</v>
      </c>
      <c r="BA632" s="207" t="n">
        <v>0</v>
      </c>
      <c r="BB632" s="207">
        <f>AZ632*0.006</f>
        <v/>
      </c>
      <c r="BC632" s="209">
        <f>AZ632+BA632-BB632</f>
        <v/>
      </c>
      <c r="BD632" s="207" t="n">
        <v>0</v>
      </c>
      <c r="BE632" s="207" t="n">
        <v>0</v>
      </c>
      <c r="BF632" s="209">
        <f>BD632+BE632</f>
        <v/>
      </c>
      <c r="BG632" s="209">
        <f>BC632-AY632+BF632</f>
        <v/>
      </c>
      <c r="BH632" s="87" t="inlineStr">
        <is>
          <t>KK</t>
        </is>
      </c>
      <c r="BI632" s="210" t="inlineStr">
        <is>
          <t>上海 上海市 普陀区 长征镇上河湾34号701</t>
        </is>
      </c>
      <c r="BJ632" s="86" t="inlineStr">
        <is>
          <t>18466943634-9347</t>
        </is>
      </c>
      <c r="BK632" s="86" t="n"/>
      <c r="BL632" s="210" t="n"/>
      <c r="BM632" s="93" t="n"/>
      <c r="BN632" s="94" t="n"/>
      <c r="BO632" s="93" t="n"/>
      <c r="BP632" s="86" t="n"/>
      <c r="BQ632" s="96" t="n"/>
      <c r="BR632" s="96" t="n"/>
      <c r="BS632" s="97" t="n"/>
      <c r="BT632" s="96" t="n"/>
      <c r="BU632" s="97" t="n"/>
      <c r="BV632" s="96" t="n"/>
      <c r="BW632" s="97" t="n"/>
      <c r="BX632" s="97" t="n"/>
      <c r="BY632" s="97" t="n"/>
      <c r="BZ632" s="97" t="n"/>
      <c r="CH632" s="2" t="n"/>
      <c r="CI632" s="14" t="n"/>
      <c r="CJ632" s="25" t="n"/>
      <c r="CK632" s="25" t="n"/>
      <c r="CL632" s="25" t="n"/>
      <c r="CM632" s="25" t="n"/>
      <c r="CN632" s="25" t="n"/>
      <c r="CO632" s="25" t="n"/>
      <c r="CP632" s="25" t="n"/>
      <c r="CQ632" s="25" t="n"/>
      <c r="CR632" s="25" t="n"/>
      <c r="CS632" s="25" t="n"/>
      <c r="CT632" s="25" t="n"/>
      <c r="CU632" s="25" t="n"/>
      <c r="CV632" s="25" t="n"/>
      <c r="CW632" s="25" t="n"/>
      <c r="CX632" s="25" t="n"/>
      <c r="CY632" s="25" t="n"/>
      <c r="DC632" s="26" t="n"/>
      <c r="DD632" s="26" t="n"/>
      <c r="DE632" s="26" t="n"/>
      <c r="DF632" s="26" t="n"/>
      <c r="DG632" s="26" t="n"/>
      <c r="DH632" s="27" t="n"/>
      <c r="DJ632" s="238" t="inlineStr">
        <is>
          <t>✓ 金额一致</t>
        </is>
      </c>
      <c r="DK632" t="inlineStr">
        <is>
          <t>5615.60</t>
        </is>
      </c>
      <c r="DL632" s="239" t="n">
        <v>0</v>
      </c>
    </row>
    <row r="633" ht="15.75" customHeight="1" s="187">
      <c r="A633" s="84" t="n">
        <v>46106</v>
      </c>
      <c r="B633" s="206" t="inlineStr">
        <is>
          <t>已发</t>
        </is>
      </c>
      <c r="C633" s="86" t="inlineStr">
        <is>
          <t>2701782483053020292</t>
        </is>
      </c>
      <c r="D633" s="110" t="inlineStr">
        <is>
          <t>钱丹妮</t>
        </is>
      </c>
      <c r="E633" s="87" t="n"/>
      <c r="F633" s="87" t="n"/>
      <c r="G633" s="87" t="inlineStr">
        <is>
          <t>樱桃木 组合柜72*38*36【730+680+680</t>
        </is>
      </c>
      <c r="H633" s="87" t="inlineStr">
        <is>
          <t>组合柜</t>
        </is>
      </c>
      <c r="I633" s="89" t="n"/>
      <c r="J633" s="87" t="inlineStr">
        <is>
          <t>已结算</t>
        </is>
      </c>
      <c r="K633" s="87" t="inlineStr">
        <is>
          <t>江西</t>
        </is>
      </c>
      <c r="L633" s="207">
        <f>SUM(M633:AO633)</f>
        <v/>
      </c>
      <c r="M633" s="216" t="n">
        <v>2090</v>
      </c>
      <c r="N633" s="216" t="n"/>
      <c r="O633" s="216" t="n"/>
      <c r="P633" s="216" t="n"/>
      <c r="Q633" s="216" t="n"/>
      <c r="R633" s="216" t="n"/>
      <c r="S633" s="216" t="n"/>
      <c r="T633" s="216" t="n"/>
      <c r="U633" s="216" t="n"/>
      <c r="V633" s="216" t="n"/>
      <c r="W633" s="216" t="n"/>
      <c r="X633" s="216" t="n"/>
      <c r="Y633" s="216" t="n"/>
      <c r="Z633" s="216" t="n"/>
      <c r="AA633" s="216" t="n"/>
      <c r="AB633" s="216" t="n"/>
      <c r="AC633" s="216" t="n"/>
      <c r="AD633" s="216" t="n"/>
      <c r="AE633" s="216" t="n"/>
      <c r="AF633" s="216" t="n"/>
      <c r="AG633" s="216" t="n"/>
      <c r="AH633" s="216" t="n"/>
      <c r="AI633" s="216" t="n"/>
      <c r="AJ633" s="216" t="n"/>
      <c r="AK633" s="216" t="n"/>
      <c r="AL633" s="216" t="n"/>
      <c r="AM633" s="207" t="n"/>
      <c r="AN633" s="207" t="n"/>
      <c r="AO633" s="207" t="n"/>
      <c r="AP633" s="207" t="n"/>
      <c r="AQ633" s="207" t="n"/>
      <c r="AR633" s="207" t="n"/>
      <c r="AS633" s="207" t="n"/>
      <c r="AT633" s="207" t="n"/>
      <c r="AU633" s="207" t="n"/>
      <c r="AV633" s="207" t="n"/>
      <c r="AW633" s="207" t="n"/>
      <c r="AX633" s="208" t="n">
        <v>1</v>
      </c>
      <c r="AY633" s="209">
        <f>L633*AX633+AP633+AQ633+AR633+AV633+AW633+AS633+AT633+AU633</f>
        <v/>
      </c>
      <c r="AZ633" s="207" t="n">
        <v>3669</v>
      </c>
      <c r="BA633" s="207" t="n">
        <v>0</v>
      </c>
      <c r="BB633" s="207">
        <f>AZ633*0.006</f>
        <v/>
      </c>
      <c r="BC633" s="209">
        <f>AZ633+BA633-BB633</f>
        <v/>
      </c>
      <c r="BD633" s="207" t="n">
        <v>0</v>
      </c>
      <c r="BE633" s="207" t="n">
        <v>0</v>
      </c>
      <c r="BF633" s="209">
        <f>BD633+BE633</f>
        <v/>
      </c>
      <c r="BG633" s="209">
        <f>BC633-AY633+BF633</f>
        <v/>
      </c>
      <c r="BH633" s="87" t="inlineStr">
        <is>
          <t>钱女士</t>
        </is>
      </c>
      <c r="BI633" s="210" t="inlineStr">
        <is>
          <t>上海 上海市 青浦区  金字圩路436弄绿城春晓园28-702</t>
        </is>
      </c>
      <c r="BJ633" s="86" t="inlineStr">
        <is>
          <t>18466666200-6306</t>
        </is>
      </c>
      <c r="BK633" s="86" t="n"/>
      <c r="BL633" s="210" t="n"/>
      <c r="BM633" s="93" t="n"/>
      <c r="BN633" s="94" t="n"/>
      <c r="BO633" s="93" t="n"/>
      <c r="BP633" s="86" t="n"/>
      <c r="BQ633" s="96" t="n"/>
      <c r="BR633" s="96" t="n"/>
      <c r="BS633" s="97" t="n"/>
      <c r="BT633" s="96" t="n"/>
      <c r="BU633" s="97" t="n"/>
      <c r="BV633" s="96" t="n"/>
      <c r="BW633" s="97" t="n"/>
      <c r="BX633" s="97" t="n"/>
      <c r="BY633" s="97" t="n"/>
      <c r="BZ633" s="97" t="n"/>
      <c r="CH633" s="2" t="n"/>
      <c r="CI633" s="14" t="n"/>
      <c r="CJ633" s="25" t="n"/>
      <c r="CK633" s="25" t="n"/>
      <c r="CL633" s="25" t="n"/>
      <c r="CM633" s="25" t="n"/>
      <c r="CN633" s="25" t="n"/>
      <c r="CO633" s="25" t="n"/>
      <c r="CP633" s="25" t="n"/>
      <c r="CQ633" s="25" t="n"/>
      <c r="CR633" s="25" t="n"/>
      <c r="CS633" s="25" t="n"/>
      <c r="CT633" s="25" t="n"/>
      <c r="CU633" s="25" t="n"/>
      <c r="CV633" s="25" t="n"/>
      <c r="CW633" s="25" t="n"/>
      <c r="CX633" s="25" t="n"/>
      <c r="CY633" s="25" t="n"/>
      <c r="DC633" s="26" t="n"/>
      <c r="DD633" s="26" t="n"/>
      <c r="DE633" s="26" t="n"/>
      <c r="DF633" s="26" t="n"/>
      <c r="DG633" s="26" t="n"/>
      <c r="DH633" s="27" t="n"/>
      <c r="DJ633" s="211" t="inlineStr">
        <is>
          <t>订单表中未找到</t>
        </is>
      </c>
      <c r="DK633" t="inlineStr">
        <is>
          <t>—</t>
        </is>
      </c>
      <c r="DL633" t="inlineStr">
        <is>
          <t>—</t>
        </is>
      </c>
    </row>
    <row r="634" ht="15.75" customHeight="1" s="187">
      <c r="A634" s="84" t="n">
        <v>46109</v>
      </c>
      <c r="B634" s="206" t="inlineStr">
        <is>
          <t>已收货,岩板不擦不掉，找师傅</t>
        </is>
      </c>
      <c r="C634" s="86" t="inlineStr">
        <is>
          <t>2701790688076021583</t>
        </is>
      </c>
      <c r="D634" s="110" t="inlineStr">
        <is>
          <t>卢小姐</t>
        </is>
      </c>
      <c r="E634" s="87" t="n"/>
      <c r="F634" s="87" t="n"/>
      <c r="G634" s="87" t="inlineStr">
        <is>
          <t>1400*850*750</t>
        </is>
      </c>
      <c r="H634" s="87" t="inlineStr">
        <is>
          <t>榉木餐桌</t>
        </is>
      </c>
      <c r="I634" s="89" t="n"/>
      <c r="J634" s="87" t="inlineStr">
        <is>
          <t>已结算</t>
        </is>
      </c>
      <c r="K634" s="87" t="inlineStr">
        <is>
          <t>江西</t>
        </is>
      </c>
      <c r="L634" s="207">
        <f>SUM(M634:AO634)</f>
        <v/>
      </c>
      <c r="M634" s="216" t="n">
        <v>1300</v>
      </c>
      <c r="N634" s="216" t="n"/>
      <c r="O634" s="216" t="n"/>
      <c r="P634" s="216" t="n"/>
      <c r="Q634" s="216" t="n"/>
      <c r="R634" s="216" t="n">
        <v>220</v>
      </c>
      <c r="S634" s="216" t="n"/>
      <c r="T634" s="216" t="n"/>
      <c r="U634" s="216" t="n"/>
      <c r="V634" s="216" t="n"/>
      <c r="W634" s="216" t="n"/>
      <c r="X634" s="216" t="n"/>
      <c r="Y634" s="216" t="n"/>
      <c r="Z634" s="216" t="n"/>
      <c r="AA634" s="216" t="n"/>
      <c r="AB634" s="216" t="n"/>
      <c r="AC634" s="216" t="n"/>
      <c r="AD634" s="216" t="n"/>
      <c r="AE634" s="216" t="n"/>
      <c r="AF634" s="216" t="n"/>
      <c r="AG634" s="216" t="n"/>
      <c r="AH634" s="216" t="n"/>
      <c r="AI634" s="216" t="n"/>
      <c r="AJ634" s="216" t="n"/>
      <c r="AK634" s="216" t="n"/>
      <c r="AL634" s="216" t="n"/>
      <c r="AM634" s="207" t="n">
        <v>130</v>
      </c>
      <c r="AN634" s="207" t="n"/>
      <c r="AO634" s="207" t="n"/>
      <c r="AP634" s="207" t="n"/>
      <c r="AQ634" s="207" t="n"/>
      <c r="AR634" s="207" t="n">
        <v>108</v>
      </c>
      <c r="AS634" s="207" t="n">
        <v>10</v>
      </c>
      <c r="AT634" s="207" t="n">
        <v>135</v>
      </c>
      <c r="AU634" s="207" t="n"/>
      <c r="AV634" s="207" t="n">
        <v>156</v>
      </c>
      <c r="AW634" s="207" t="n"/>
      <c r="AX634" s="208" t="n">
        <v>1</v>
      </c>
      <c r="AY634" s="209">
        <f>L634*AX634+AP634+AQ634+AR634+AV634+AW634+AS634+AT634+AU634</f>
        <v/>
      </c>
      <c r="AZ634" s="207" t="n">
        <v>2624.6</v>
      </c>
      <c r="BA634" s="207" t="n">
        <v>0</v>
      </c>
      <c r="BB634" s="207">
        <f>AZ634*0.006</f>
        <v/>
      </c>
      <c r="BC634" s="209">
        <f>AZ634+BA634-BB634</f>
        <v/>
      </c>
      <c r="BD634" s="207" t="n">
        <v>0</v>
      </c>
      <c r="BE634" s="207" t="n">
        <v>0</v>
      </c>
      <c r="BF634" s="209">
        <f>BD634+BE634</f>
        <v/>
      </c>
      <c r="BG634" s="209">
        <f>BC634-AY634+BF634</f>
        <v/>
      </c>
      <c r="BH634" s="87" t="inlineStr">
        <is>
          <t>卢小姐</t>
        </is>
      </c>
      <c r="BI634" s="210" t="inlineStr">
        <is>
          <t>浙江省 杭州市 萧山区 宁围街道中天大家悦潮云望府2幢1903</t>
        </is>
      </c>
      <c r="BJ634" s="86" t="inlineStr">
        <is>
          <t>18413246573-5536</t>
        </is>
      </c>
      <c r="BK634" s="86" t="n"/>
      <c r="BL634" s="210" t="n"/>
      <c r="BM634" s="93" t="n"/>
      <c r="BN634" s="94" t="n"/>
      <c r="BO634" s="93" t="n"/>
      <c r="BP634" s="86" t="n"/>
      <c r="BQ634" s="96" t="n"/>
      <c r="BR634" s="96" t="n"/>
      <c r="BS634" s="97" t="n"/>
      <c r="BT634" s="96" t="n"/>
      <c r="BU634" s="97" t="n"/>
      <c r="BV634" s="96" t="n"/>
      <c r="BW634" s="97" t="n"/>
      <c r="BX634" s="97" t="n"/>
      <c r="BY634" s="97" t="n"/>
      <c r="BZ634" s="97" t="n"/>
      <c r="CH634" s="2" t="n"/>
      <c r="CI634" s="14" t="n"/>
      <c r="CJ634" s="25" t="n"/>
      <c r="CK634" s="25" t="n"/>
      <c r="CL634" s="25" t="n"/>
      <c r="CM634" s="25" t="n"/>
      <c r="CN634" s="25" t="n"/>
      <c r="CO634" s="25" t="n"/>
      <c r="CP634" s="25" t="n"/>
      <c r="CQ634" s="25" t="n"/>
      <c r="CR634" s="25" t="n"/>
      <c r="CS634" s="25" t="n"/>
      <c r="CT634" s="25" t="n"/>
      <c r="CU634" s="25" t="n"/>
      <c r="CV634" s="25" t="n"/>
      <c r="CW634" s="25" t="n"/>
      <c r="CX634" s="25" t="n"/>
      <c r="CY634" s="25" t="n"/>
      <c r="DC634" s="26" t="n"/>
      <c r="DD634" s="26" t="n"/>
      <c r="DE634" s="26" t="n"/>
      <c r="DF634" s="26" t="n"/>
      <c r="DG634" s="26" t="n"/>
      <c r="DH634" s="27" t="n"/>
      <c r="DJ634" s="238" t="inlineStr">
        <is>
          <t>✓ 金额一致</t>
        </is>
      </c>
      <c r="DK634" t="inlineStr">
        <is>
          <t>2624.60</t>
        </is>
      </c>
      <c r="DL634" s="239" t="n">
        <v>0</v>
      </c>
    </row>
    <row r="635" ht="15.75" customHeight="1" s="187">
      <c r="A635" s="84" t="n">
        <v>46109</v>
      </c>
      <c r="B635" s="206" t="inlineStr">
        <is>
          <t>已发</t>
        </is>
      </c>
      <c r="C635" s="86" t="inlineStr">
        <is>
          <t>3301125783549079861</t>
        </is>
      </c>
      <c r="D635" s="110" t="inlineStr">
        <is>
          <t>周陈虹</t>
        </is>
      </c>
      <c r="E635" s="87" t="n"/>
      <c r="F635" s="87" t="n"/>
      <c r="G635" s="87" t="inlineStr">
        <is>
          <t>1.2米洞石窄柜+书柜</t>
        </is>
      </c>
      <c r="H635" s="87" t="inlineStr">
        <is>
          <t>窄柜</t>
        </is>
      </c>
      <c r="I635" s="89" t="n"/>
      <c r="J635" s="87" t="inlineStr">
        <is>
          <t>已结算</t>
        </is>
      </c>
      <c r="K635" s="87" t="inlineStr">
        <is>
          <t>江西</t>
        </is>
      </c>
      <c r="L635" s="207">
        <f>SUM(M635:AO635)</f>
        <v/>
      </c>
      <c r="M635" s="216" t="n">
        <v>3000</v>
      </c>
      <c r="N635" s="216" t="n">
        <v>411.08</v>
      </c>
      <c r="O635" s="216" t="n"/>
      <c r="P635" s="216" t="n"/>
      <c r="Q635" s="216" t="n"/>
      <c r="R635" s="216" t="n">
        <v>150</v>
      </c>
      <c r="S635" s="216" t="n">
        <v>43.5</v>
      </c>
      <c r="T635" s="216" t="n">
        <v>31</v>
      </c>
      <c r="U635" s="216" t="n"/>
      <c r="V635" s="216" t="n"/>
      <c r="W635" s="216" t="n"/>
      <c r="X635" s="216" t="n">
        <v>18</v>
      </c>
      <c r="Y635" s="216" t="n"/>
      <c r="Z635" s="216" t="n"/>
      <c r="AA635" s="216" t="n"/>
      <c r="AB635" s="216" t="n"/>
      <c r="AC635" s="216" t="n"/>
      <c r="AD635" s="216" t="n"/>
      <c r="AE635" s="216" t="n"/>
      <c r="AF635" s="216" t="n"/>
      <c r="AG635" s="216" t="n"/>
      <c r="AH635" s="216" t="n"/>
      <c r="AI635" s="216" t="n"/>
      <c r="AJ635" s="216" t="n"/>
      <c r="AK635" s="216" t="n"/>
      <c r="AL635" s="216" t="n"/>
      <c r="AM635" s="207" t="n"/>
      <c r="AN635" s="207" t="n"/>
      <c r="AO635" s="207" t="n"/>
      <c r="AP635" s="207" t="n"/>
      <c r="AQ635" s="207" t="n"/>
      <c r="AR635" s="207" t="n"/>
      <c r="AS635" s="207" t="n"/>
      <c r="AT635" s="207" t="n"/>
      <c r="AU635" s="207" t="n"/>
      <c r="AV635" s="207" t="n"/>
      <c r="AW635" s="207" t="n"/>
      <c r="AX635" s="208" t="n">
        <v>1</v>
      </c>
      <c r="AY635" s="209">
        <f>L635*AX635+AP635+AQ635+AR635+AV635+AW635+AS635+AT635+AU635</f>
        <v/>
      </c>
      <c r="AZ635" s="207" t="n">
        <v>150</v>
      </c>
      <c r="BA635" s="207" t="n">
        <v>0</v>
      </c>
      <c r="BB635" s="207">
        <f>AZ635*0.006</f>
        <v/>
      </c>
      <c r="BC635" s="209">
        <f>AZ635+BA635-BB635</f>
        <v/>
      </c>
      <c r="BD635" s="207" t="n">
        <v>0</v>
      </c>
      <c r="BE635" s="207" t="n">
        <v>0</v>
      </c>
      <c r="BF635" s="209">
        <f>BD635+BE635</f>
        <v/>
      </c>
      <c r="BG635" s="209">
        <f>BC635-AY635+BF635</f>
        <v/>
      </c>
      <c r="BH635" s="87" t="inlineStr">
        <is>
          <t>周陈虹</t>
        </is>
      </c>
      <c r="BI635" s="210" t="inlineStr">
        <is>
          <t>上海 上海市 浦东新区 唐镇春泉路45弄56号802</t>
        </is>
      </c>
      <c r="BJ635" s="86" t="inlineStr">
        <is>
          <t>18466820883-1118</t>
        </is>
      </c>
      <c r="BK635" s="86" t="n"/>
      <c r="BL635" s="210" t="n"/>
      <c r="BM635" s="93" t="n"/>
      <c r="BN635" s="94" t="n"/>
      <c r="BO635" s="93" t="n"/>
      <c r="BP635" s="86" t="n"/>
      <c r="BQ635" s="96" t="n"/>
      <c r="BR635" s="96" t="n"/>
      <c r="BS635" s="97" t="n"/>
      <c r="BT635" s="96" t="n"/>
      <c r="BU635" s="97" t="n"/>
      <c r="BV635" s="96" t="n"/>
      <c r="BW635" s="97" t="n"/>
      <c r="BX635" s="97" t="n"/>
      <c r="BY635" s="97" t="n"/>
      <c r="BZ635" s="97" t="n"/>
      <c r="CH635" s="2" t="n"/>
      <c r="CI635" s="14" t="n"/>
      <c r="CJ635" s="25" t="n"/>
      <c r="CK635" s="25" t="n"/>
      <c r="CL635" s="25" t="n"/>
      <c r="CM635" s="25" t="n"/>
      <c r="CN635" s="25" t="n"/>
      <c r="CO635" s="25" t="n"/>
      <c r="CP635" s="25" t="n"/>
      <c r="CQ635" s="25" t="n"/>
      <c r="CR635" s="25" t="n"/>
      <c r="CS635" s="25" t="n"/>
      <c r="CT635" s="25" t="n"/>
      <c r="CU635" s="25" t="n"/>
      <c r="CV635" s="25" t="n"/>
      <c r="CW635" s="25" t="n"/>
      <c r="CX635" s="25" t="n"/>
      <c r="CY635" s="25" t="n"/>
      <c r="DC635" s="26" t="n"/>
      <c r="DD635" s="26" t="n"/>
      <c r="DE635" s="26" t="n"/>
      <c r="DF635" s="26" t="n"/>
      <c r="DG635" s="26" t="n"/>
      <c r="DH635" s="27" t="n"/>
      <c r="DJ635" s="211" t="inlineStr">
        <is>
          <t>订单表中未找到</t>
        </is>
      </c>
      <c r="DK635" t="inlineStr">
        <is>
          <t>—</t>
        </is>
      </c>
      <c r="DL635" t="inlineStr">
        <is>
          <t>—</t>
        </is>
      </c>
    </row>
    <row r="636" ht="15.75" customHeight="1" s="187">
      <c r="A636" s="84" t="n">
        <v>46110</v>
      </c>
      <c r="B636" s="206" t="inlineStr">
        <is>
          <t>已收货</t>
        </is>
      </c>
      <c r="C636" s="86" t="inlineStr">
        <is>
          <t>2701794507113038872</t>
        </is>
      </c>
      <c r="D636" s="110" t="inlineStr">
        <is>
          <t>panda大熊猫</t>
        </is>
      </c>
      <c r="E636" s="87" t="n"/>
      <c r="F636" s="87" t="n"/>
      <c r="G636" s="207" t="inlineStr">
        <is>
          <t>曜黑柜-整柜-1.8米</t>
        </is>
      </c>
      <c r="H636" s="87" t="inlineStr">
        <is>
          <t>黑胡桃木柜</t>
        </is>
      </c>
      <c r="I636" s="89" t="n">
        <v>1800</v>
      </c>
      <c r="J636" s="87" t="inlineStr">
        <is>
          <t>已结算</t>
        </is>
      </c>
      <c r="K636" s="87" t="inlineStr">
        <is>
          <t>江西</t>
        </is>
      </c>
      <c r="L636" s="207">
        <f>SUM(M636:AO636)</f>
        <v/>
      </c>
      <c r="M636" s="216" t="n">
        <v>8200</v>
      </c>
      <c r="N636" s="207" t="n">
        <v>577</v>
      </c>
      <c r="O636" s="207">
        <f>2550/6/1.5</f>
        <v/>
      </c>
      <c r="P636" s="216" t="n"/>
      <c r="Q636" s="216" t="n"/>
      <c r="R636" s="216" t="n">
        <v>240</v>
      </c>
      <c r="S636" s="216" t="n">
        <v>103.95</v>
      </c>
      <c r="T636" s="216" t="n">
        <v>31</v>
      </c>
      <c r="U636" s="207" t="n">
        <v>60</v>
      </c>
      <c r="V636" s="216" t="n"/>
      <c r="W636" s="207" t="n">
        <v>12</v>
      </c>
      <c r="X636" s="207">
        <f>22*3</f>
        <v/>
      </c>
      <c r="Y636" s="207" t="n">
        <v>46</v>
      </c>
      <c r="Z636" s="216" t="n"/>
      <c r="AA636" s="207" t="n">
        <v>6</v>
      </c>
      <c r="AB636" s="207" t="n">
        <v>1.2</v>
      </c>
      <c r="AC636" s="207" t="n">
        <v>2.5</v>
      </c>
      <c r="AD636" s="216" t="n"/>
      <c r="AE636" s="216" t="n"/>
      <c r="AF636" s="216" t="n"/>
      <c r="AG636" s="216" t="n"/>
      <c r="AH636" s="216" t="n"/>
      <c r="AI636" s="216" t="n"/>
      <c r="AJ636" s="216" t="n"/>
      <c r="AK636" s="216" t="n"/>
      <c r="AL636" s="216" t="n"/>
      <c r="AM636" s="207" t="n">
        <v>560</v>
      </c>
      <c r="AN636" s="207" t="n"/>
      <c r="AO636" s="207" t="n"/>
      <c r="AP636" s="207" t="n">
        <v>374</v>
      </c>
      <c r="AQ636" s="207" t="n">
        <v>117</v>
      </c>
      <c r="AR636" s="207" t="n">
        <v>0</v>
      </c>
      <c r="AS636" s="207" t="n">
        <v>0</v>
      </c>
      <c r="AT636" s="207" t="n">
        <v>0</v>
      </c>
      <c r="AU636" s="207" t="n">
        <v>0</v>
      </c>
      <c r="AV636" s="207" t="n">
        <v>0</v>
      </c>
      <c r="AW636" s="207" t="n">
        <v>0</v>
      </c>
      <c r="AX636" s="208" t="n">
        <v>1</v>
      </c>
      <c r="AY636" s="209">
        <f>L636*AX636+AP636+AQ636+AR636+AV636+AW636+AS636+AT636+AU636</f>
        <v/>
      </c>
      <c r="AZ636" s="207" t="n">
        <v>14785.27</v>
      </c>
      <c r="BA636" s="207" t="n">
        <v>0</v>
      </c>
      <c r="BB636" s="207">
        <f>AZ636*0.006</f>
        <v/>
      </c>
      <c r="BC636" s="209">
        <f>AZ636+BA636-BB636</f>
        <v/>
      </c>
      <c r="BD636" s="207" t="n">
        <v>0</v>
      </c>
      <c r="BE636" s="207" t="n">
        <v>0</v>
      </c>
      <c r="BF636" s="209">
        <f>BD636+BE636</f>
        <v/>
      </c>
      <c r="BG636" s="209">
        <f>BC636-AY636+BF636</f>
        <v/>
      </c>
      <c r="BH636" s="87" t="inlineStr">
        <is>
          <t>panda大熊猫</t>
        </is>
      </c>
      <c r="BI636" s="210" t="inlineStr">
        <is>
          <t>江苏省 苏州市 吴中区 金鸡湖街道双湖湾花园1期3幢1004室</t>
        </is>
      </c>
      <c r="BJ636" s="86" t="inlineStr">
        <is>
          <t>18468540445-6096</t>
        </is>
      </c>
      <c r="BK636" s="86" t="n"/>
      <c r="BL636" s="210" t="n"/>
      <c r="BM636" s="93" t="n"/>
      <c r="BN636" s="94" t="n"/>
      <c r="BO636" s="93" t="n"/>
      <c r="BP636" s="86" t="n"/>
      <c r="BQ636" s="96" t="n"/>
      <c r="BR636" s="96" t="n"/>
      <c r="BS636" s="97" t="n"/>
      <c r="BT636" s="96" t="n"/>
      <c r="BU636" s="97" t="n"/>
      <c r="BV636" s="96" t="n"/>
      <c r="BW636" s="97" t="n"/>
      <c r="BX636" s="97" t="n"/>
      <c r="BY636" s="97" t="n"/>
      <c r="BZ636" s="97" t="n"/>
      <c r="CH636" s="2" t="n"/>
      <c r="CI636" s="14" t="n"/>
      <c r="CJ636" s="25" t="n"/>
      <c r="CK636" s="25" t="n"/>
      <c r="CL636" s="25" t="n"/>
      <c r="CM636" s="25" t="n"/>
      <c r="CN636" s="25" t="n"/>
      <c r="CO636" s="25" t="n"/>
      <c r="CP636" s="25" t="n"/>
      <c r="CQ636" s="25" t="n"/>
      <c r="CR636" s="25" t="n"/>
      <c r="CS636" s="25" t="n"/>
      <c r="CT636" s="25" t="n"/>
      <c r="CU636" s="25" t="n"/>
      <c r="CV636" s="25" t="n"/>
      <c r="CW636" s="25" t="n"/>
      <c r="CX636" s="25" t="n"/>
      <c r="CY636" s="25" t="n"/>
      <c r="DC636" s="26" t="n"/>
      <c r="DD636" s="26" t="n"/>
      <c r="DE636" s="26" t="n"/>
      <c r="DF636" s="26" t="n"/>
      <c r="DG636" s="26" t="n"/>
      <c r="DH636" s="27" t="n"/>
      <c r="DJ636" s="241" t="inlineStr">
        <is>
          <t>✗ 金额不符</t>
        </is>
      </c>
      <c r="DK636" t="inlineStr">
        <is>
          <t>14780.27</t>
        </is>
      </c>
      <c r="DL636" s="239" t="n">
        <v>5</v>
      </c>
      <c r="DM636" s="241" t="inlineStr">
        <is>
          <t>买家应付金额不一致，差额+5.00元（订单表14780.27 vs 佳宝14785.27，疑似改价/补邮费/上楼费等手工调整，需人工核对）</t>
        </is>
      </c>
    </row>
    <row r="637" ht="15.75" customHeight="1" s="187">
      <c r="A637" s="84" t="n">
        <v>46110</v>
      </c>
      <c r="B637" s="226" t="inlineStr">
        <is>
          <t>已发</t>
        </is>
      </c>
      <c r="C637" s="86" t="inlineStr">
        <is>
          <t>2701792164107024670</t>
        </is>
      </c>
      <c r="D637" s="110" t="inlineStr">
        <is>
          <t>周陈虹</t>
        </is>
      </c>
      <c r="E637" s="87" t="n"/>
      <c r="F637" s="87" t="n"/>
      <c r="G637" s="87" t="inlineStr">
        <is>
          <t>带玻璃门</t>
        </is>
      </c>
      <c r="H637" s="87" t="inlineStr">
        <is>
          <t>书柜</t>
        </is>
      </c>
      <c r="I637" s="89" t="n"/>
      <c r="J637" s="87" t="n"/>
      <c r="K637" s="87" t="inlineStr">
        <is>
          <t>江西</t>
        </is>
      </c>
      <c r="L637" s="216" t="n"/>
      <c r="M637" s="216" t="n"/>
      <c r="N637" s="216" t="n"/>
      <c r="O637" s="216" t="n"/>
      <c r="P637" s="216" t="n"/>
      <c r="Q637" s="216" t="n"/>
      <c r="R637" s="216" t="n"/>
      <c r="S637" s="216" t="n">
        <v>104.06</v>
      </c>
      <c r="T637" s="216" t="n">
        <v>31</v>
      </c>
      <c r="U637" s="216" t="n"/>
      <c r="V637" s="216" t="n"/>
      <c r="W637" s="216" t="n"/>
      <c r="X637" s="216" t="n"/>
      <c r="Y637" s="216" t="n"/>
      <c r="Z637" s="216" t="n"/>
      <c r="AA637" s="216" t="n"/>
      <c r="AB637" s="216" t="n"/>
      <c r="AC637" s="216" t="n"/>
      <c r="AD637" s="216" t="n"/>
      <c r="AE637" s="216" t="n"/>
      <c r="AF637" s="216" t="n"/>
      <c r="AG637" s="216" t="n"/>
      <c r="AH637" s="216" t="n"/>
      <c r="AI637" s="216" t="n"/>
      <c r="AJ637" s="216" t="n"/>
      <c r="AK637" s="216" t="n"/>
      <c r="AL637" s="216" t="n"/>
      <c r="AM637" s="207" t="n"/>
      <c r="AN637" s="207" t="n"/>
      <c r="AO637" s="207" t="n"/>
      <c r="AP637" s="207" t="n"/>
      <c r="AQ637" s="207" t="n"/>
      <c r="AR637" s="207" t="n"/>
      <c r="AS637" s="207" t="n"/>
      <c r="AT637" s="207" t="n"/>
      <c r="AU637" s="207" t="n"/>
      <c r="AV637" s="207" t="n"/>
      <c r="AW637" s="207" t="n"/>
      <c r="AX637" s="208" t="n">
        <v>1</v>
      </c>
      <c r="AY637" s="209">
        <f>L637*AX637+AP637+AQ637+AR637+AV637+AW637+AS637+AT637+AU637</f>
        <v/>
      </c>
      <c r="AZ637" s="207" t="n">
        <v>2796.94</v>
      </c>
      <c r="BA637" s="207" t="n">
        <v>0</v>
      </c>
      <c r="BB637" s="207">
        <f>AZ637*0.006</f>
        <v/>
      </c>
      <c r="BC637" s="209">
        <f>AZ637+BA637-BB637</f>
        <v/>
      </c>
      <c r="BD637" s="207" t="n">
        <v>0</v>
      </c>
      <c r="BE637" s="207" t="n">
        <v>0</v>
      </c>
      <c r="BF637" s="209" t="n"/>
      <c r="BG637" s="209" t="n"/>
      <c r="BH637" s="87" t="inlineStr">
        <is>
          <t>周陈虹</t>
        </is>
      </c>
      <c r="BI637" s="210" t="inlineStr">
        <is>
          <t>上海 上海市 浦东新区 唐镇春泉路45弄56号802</t>
        </is>
      </c>
      <c r="BJ637" s="86" t="inlineStr">
        <is>
          <t>18466820883-1118</t>
        </is>
      </c>
      <c r="BK637" s="86" t="n"/>
      <c r="BL637" s="210" t="n"/>
      <c r="BM637" s="93" t="n"/>
      <c r="BN637" s="94" t="n"/>
      <c r="BO637" s="93" t="n"/>
      <c r="BP637" s="86" t="n"/>
      <c r="BQ637" s="96" t="n"/>
      <c r="BR637" s="96" t="n"/>
      <c r="BS637" s="97" t="n"/>
      <c r="BT637" s="96" t="n"/>
      <c r="BU637" s="97" t="n"/>
      <c r="BV637" s="96" t="n"/>
      <c r="BW637" s="97" t="n"/>
      <c r="BX637" s="97" t="n"/>
      <c r="BY637" s="97" t="n"/>
      <c r="BZ637" s="97" t="n"/>
      <c r="CH637" s="2" t="n"/>
      <c r="CI637" s="14" t="n"/>
      <c r="CJ637" s="25" t="n"/>
      <c r="CK637" s="25" t="n"/>
      <c r="CL637" s="25" t="n"/>
      <c r="CM637" s="25" t="n"/>
      <c r="CN637" s="25" t="n"/>
      <c r="CO637" s="25" t="n"/>
      <c r="CP637" s="25" t="n"/>
      <c r="CQ637" s="25" t="n"/>
      <c r="CR637" s="25" t="n"/>
      <c r="CS637" s="25" t="n"/>
      <c r="CT637" s="25" t="n"/>
      <c r="CU637" s="25" t="n"/>
      <c r="CV637" s="25" t="n"/>
      <c r="CW637" s="25" t="n"/>
      <c r="CX637" s="25" t="n"/>
      <c r="CY637" s="25" t="n"/>
      <c r="DC637" s="26" t="n"/>
      <c r="DD637" s="26" t="n"/>
      <c r="DE637" s="26" t="n"/>
      <c r="DF637" s="26" t="n"/>
      <c r="DG637" s="26" t="n"/>
      <c r="DH637" s="27" t="n"/>
      <c r="DJ637" s="241" t="inlineStr">
        <is>
          <t>✗ 金额不符</t>
        </is>
      </c>
      <c r="DK637" t="inlineStr">
        <is>
          <t>2766.94</t>
        </is>
      </c>
      <c r="DL637" s="239" t="n">
        <v>30</v>
      </c>
      <c r="DM637" s="241" t="inlineStr">
        <is>
          <t>买家应付金额不一致，差额+30.00元（订单表2766.94 vs 佳宝2796.94，疑似改价/补邮费/上楼费等手工调整，需人工核对）</t>
        </is>
      </c>
    </row>
    <row r="638" ht="15.75" customHeight="1" s="187">
      <c r="A638" s="84" t="n">
        <v>46110</v>
      </c>
      <c r="B638" s="226" t="n"/>
      <c r="C638" s="86" t="inlineStr">
        <is>
          <t>2701785972125073392</t>
        </is>
      </c>
      <c r="D638" s="110" t="inlineStr">
        <is>
          <t>李诗明</t>
        </is>
      </c>
      <c r="E638" s="87" t="n"/>
      <c r="F638" s="87" t="n"/>
      <c r="G638" s="87" t="inlineStr">
        <is>
          <t>新黑胡桃柜1.2米单下柜</t>
        </is>
      </c>
      <c r="H638" s="87" t="inlineStr">
        <is>
          <t>黑胡桃木鎏金柜</t>
        </is>
      </c>
      <c r="I638" s="89" t="n"/>
      <c r="J638" s="87" t="n"/>
      <c r="K638" s="87" t="inlineStr">
        <is>
          <t>江西</t>
        </is>
      </c>
      <c r="L638" s="216" t="n"/>
      <c r="M638" s="216" t="n"/>
      <c r="N638" s="216" t="n"/>
      <c r="O638" s="216" t="n"/>
      <c r="P638" s="216" t="n"/>
      <c r="Q638" s="216" t="n"/>
      <c r="R638" s="216" t="n">
        <v>240</v>
      </c>
      <c r="S638" s="216" t="n"/>
      <c r="T638" s="216" t="n">
        <v>31</v>
      </c>
      <c r="U638" s="216" t="n"/>
      <c r="V638" s="216" t="n"/>
      <c r="W638" s="216" t="n"/>
      <c r="X638" s="216" t="n"/>
      <c r="Y638" s="216" t="n"/>
      <c r="Z638" s="216" t="n"/>
      <c r="AA638" s="216" t="n"/>
      <c r="AB638" s="216" t="n"/>
      <c r="AC638" s="216" t="n"/>
      <c r="AD638" s="216" t="n"/>
      <c r="AE638" s="216" t="n"/>
      <c r="AF638" s="216" t="n"/>
      <c r="AG638" s="216" t="n"/>
      <c r="AH638" s="216" t="n"/>
      <c r="AI638" s="216" t="n"/>
      <c r="AJ638" s="216" t="n"/>
      <c r="AK638" s="216" t="n"/>
      <c r="AL638" s="216" t="n"/>
      <c r="AM638" s="207" t="n"/>
      <c r="AN638" s="207" t="n"/>
      <c r="AO638" s="207" t="n"/>
      <c r="AP638" s="207" t="n"/>
      <c r="AQ638" s="207" t="n"/>
      <c r="AR638" s="207" t="n"/>
      <c r="AS638" s="207" t="n"/>
      <c r="AT638" s="207" t="n"/>
      <c r="AU638" s="207" t="n"/>
      <c r="AV638" s="207" t="n"/>
      <c r="AW638" s="207" t="n"/>
      <c r="AX638" s="208" t="n">
        <v>1</v>
      </c>
      <c r="AY638" s="209">
        <f>L638*AX638+AP638+AQ638+AR638+AV638+AW638+AS638+AT638+AU638</f>
        <v/>
      </c>
      <c r="AZ638" s="207" t="n">
        <v>8677</v>
      </c>
      <c r="BA638" s="207" t="n">
        <v>0</v>
      </c>
      <c r="BB638" s="207">
        <f>AZ638*0.006</f>
        <v/>
      </c>
      <c r="BC638" s="209">
        <f>AZ638+BA638-BB638</f>
        <v/>
      </c>
      <c r="BD638" s="207" t="n">
        <v>0</v>
      </c>
      <c r="BE638" s="207" t="n">
        <v>0</v>
      </c>
      <c r="BF638" s="209" t="n"/>
      <c r="BG638" s="209" t="n"/>
      <c r="BH638" s="87" t="inlineStr">
        <is>
          <t>李诗明</t>
        </is>
      </c>
      <c r="BI638" s="210" t="inlineStr">
        <is>
          <t>广西壮族自治区 南宁市 良庆区 良庆镇 地矿春山富居1-2302</t>
        </is>
      </c>
      <c r="BJ638" s="86" t="inlineStr">
        <is>
          <t>17677994360-2016</t>
        </is>
      </c>
      <c r="BK638" s="86" t="n"/>
      <c r="BL638" s="210" t="n"/>
      <c r="BM638" s="93" t="n"/>
      <c r="BN638" s="94" t="n"/>
      <c r="BO638" s="93" t="n"/>
      <c r="BP638" s="86" t="n"/>
      <c r="BQ638" s="96" t="n"/>
      <c r="BR638" s="96" t="n"/>
      <c r="BS638" s="97" t="n"/>
      <c r="BT638" s="96" t="n"/>
      <c r="BU638" s="97" t="n"/>
      <c r="BV638" s="96" t="n"/>
      <c r="BW638" s="97" t="n"/>
      <c r="BX638" s="97" t="n"/>
      <c r="BY638" s="97" t="n"/>
      <c r="BZ638" s="97" t="n"/>
      <c r="CH638" s="2" t="n"/>
      <c r="CI638" s="14" t="n"/>
      <c r="CJ638" s="25" t="n"/>
      <c r="CK638" s="25" t="n"/>
      <c r="CL638" s="25" t="n"/>
      <c r="CM638" s="25" t="n"/>
      <c r="CN638" s="25" t="n"/>
      <c r="CO638" s="25" t="n"/>
      <c r="CP638" s="25" t="n"/>
      <c r="CQ638" s="25" t="n"/>
      <c r="CR638" s="25" t="n"/>
      <c r="CS638" s="25" t="n"/>
      <c r="CT638" s="25" t="n"/>
      <c r="CU638" s="25" t="n"/>
      <c r="CV638" s="25" t="n"/>
      <c r="CW638" s="25" t="n"/>
      <c r="CX638" s="25" t="n"/>
      <c r="CY638" s="25" t="n"/>
      <c r="DC638" s="26" t="n"/>
      <c r="DD638" s="26" t="n"/>
      <c r="DE638" s="26" t="n"/>
      <c r="DF638" s="26" t="n"/>
      <c r="DG638" s="26" t="n"/>
      <c r="DH638" s="27" t="n"/>
      <c r="DJ638" s="238" t="inlineStr">
        <is>
          <t>✓ 金额一致</t>
        </is>
      </c>
      <c r="DK638" t="inlineStr">
        <is>
          <t>8677.00</t>
        </is>
      </c>
      <c r="DL638" s="239" t="n">
        <v>0</v>
      </c>
    </row>
    <row r="639" ht="15.75" customHeight="1" s="187">
      <c r="A639" s="84" t="n">
        <v>46110</v>
      </c>
      <c r="B639" s="226" t="n"/>
      <c r="C639" s="86" t="inlineStr">
        <is>
          <t>2701796989142000555</t>
        </is>
      </c>
      <c r="D639" s="110" t="inlineStr">
        <is>
          <t>李诗明</t>
        </is>
      </c>
      <c r="E639" s="87" t="n"/>
      <c r="F639" s="87" t="n"/>
      <c r="G639" s="87" t="inlineStr">
        <is>
          <t>1800*480*1950</t>
        </is>
      </c>
      <c r="H639" s="87" t="inlineStr">
        <is>
          <t>黑胡桃木柜</t>
        </is>
      </c>
      <c r="I639" s="89" t="n"/>
      <c r="J639" s="87" t="n"/>
      <c r="K639" s="87" t="inlineStr">
        <is>
          <t>江西</t>
        </is>
      </c>
      <c r="L639" s="216" t="n"/>
      <c r="M639" s="216" t="n"/>
      <c r="N639" s="216" t="n"/>
      <c r="O639" s="216" t="n"/>
      <c r="P639" s="216" t="n"/>
      <c r="Q639" s="216" t="n"/>
      <c r="R639" s="216" t="n">
        <v>240</v>
      </c>
      <c r="S639" s="216" t="n"/>
      <c r="T639" s="216" t="n">
        <v>31</v>
      </c>
      <c r="U639" s="216" t="n"/>
      <c r="V639" s="216" t="n"/>
      <c r="W639" s="216" t="n"/>
      <c r="X639" s="216" t="n"/>
      <c r="Y639" s="216" t="n"/>
      <c r="Z639" s="216" t="n"/>
      <c r="AA639" s="216" t="n"/>
      <c r="AB639" s="216" t="n"/>
      <c r="AC639" s="216" t="n"/>
      <c r="AD639" s="216" t="n"/>
      <c r="AE639" s="216" t="n"/>
      <c r="AF639" s="216" t="n"/>
      <c r="AG639" s="216" t="n"/>
      <c r="AH639" s="216" t="n"/>
      <c r="AI639" s="216" t="n"/>
      <c r="AJ639" s="216" t="n"/>
      <c r="AK639" s="216" t="n"/>
      <c r="AL639" s="216" t="n"/>
      <c r="AM639" s="207" t="n"/>
      <c r="AN639" s="207" t="n"/>
      <c r="AO639" s="207" t="n"/>
      <c r="AP639" s="207" t="n"/>
      <c r="AQ639" s="207" t="n"/>
      <c r="AR639" s="207" t="n"/>
      <c r="AS639" s="207" t="n"/>
      <c r="AT639" s="207" t="n"/>
      <c r="AU639" s="207" t="n"/>
      <c r="AV639" s="207" t="n"/>
      <c r="AW639" s="207" t="n"/>
      <c r="AX639" s="208" t="n">
        <v>1</v>
      </c>
      <c r="AY639" s="209">
        <f>L639*AX639+AP639+AQ639+AR639+AV639+AW639+AS639+AT639+AU639</f>
        <v/>
      </c>
      <c r="AZ639" s="207" t="n">
        <v>14790.27</v>
      </c>
      <c r="BA639" s="207" t="n">
        <v>0</v>
      </c>
      <c r="BB639" s="207">
        <f>AZ639*0.006</f>
        <v/>
      </c>
      <c r="BC639" s="209">
        <f>AZ639+BA639-BB639</f>
        <v/>
      </c>
      <c r="BD639" s="207" t="n">
        <v>0</v>
      </c>
      <c r="BE639" s="207" t="n">
        <v>0</v>
      </c>
      <c r="BF639" s="209" t="n"/>
      <c r="BG639" s="209" t="n"/>
      <c r="BH639" s="87" t="inlineStr">
        <is>
          <t>李诗明</t>
        </is>
      </c>
      <c r="BI639" s="210" t="inlineStr">
        <is>
          <t>广西壮族自治区 南宁市 良庆区 良庆镇 地矿春山富居1-2302</t>
        </is>
      </c>
      <c r="BJ639" s="86" t="inlineStr">
        <is>
          <t>17677994360-2016</t>
        </is>
      </c>
      <c r="BK639" s="86" t="n"/>
      <c r="BL639" s="210" t="n"/>
      <c r="BM639" s="93" t="n"/>
      <c r="BN639" s="94" t="n"/>
      <c r="BO639" s="93" t="n"/>
      <c r="BP639" s="86" t="n"/>
      <c r="BQ639" s="96" t="n"/>
      <c r="BR639" s="96" t="n"/>
      <c r="BS639" s="97" t="n"/>
      <c r="BT639" s="96" t="n"/>
      <c r="BU639" s="97" t="n"/>
      <c r="BV639" s="96" t="n"/>
      <c r="BW639" s="97" t="n"/>
      <c r="BX639" s="97" t="n"/>
      <c r="BY639" s="97" t="n"/>
      <c r="BZ639" s="97" t="n"/>
      <c r="CH639" s="2" t="n"/>
      <c r="CI639" s="14" t="n"/>
      <c r="CJ639" s="25" t="n"/>
      <c r="CK639" s="25" t="n"/>
      <c r="CL639" s="25" t="n"/>
      <c r="CM639" s="25" t="n"/>
      <c r="CN639" s="25" t="n"/>
      <c r="CO639" s="25" t="n"/>
      <c r="CP639" s="25" t="n"/>
      <c r="CQ639" s="25" t="n"/>
      <c r="CR639" s="25" t="n"/>
      <c r="CS639" s="25" t="n"/>
      <c r="CT639" s="25" t="n"/>
      <c r="CU639" s="25" t="n"/>
      <c r="CV639" s="25" t="n"/>
      <c r="CW639" s="25" t="n"/>
      <c r="CX639" s="25" t="n"/>
      <c r="CY639" s="25" t="n"/>
      <c r="DC639" s="26" t="n"/>
      <c r="DD639" s="26" t="n"/>
      <c r="DE639" s="26" t="n"/>
      <c r="DF639" s="26" t="n"/>
      <c r="DG639" s="26" t="n"/>
      <c r="DH639" s="27" t="n"/>
      <c r="DJ639" s="238" t="inlineStr">
        <is>
          <t>✓ 金额一致</t>
        </is>
      </c>
      <c r="DK639" t="inlineStr">
        <is>
          <t>14790.27</t>
        </is>
      </c>
      <c r="DL639" s="239" t="n">
        <v>0</v>
      </c>
    </row>
    <row r="640" ht="15.75" customHeight="1" s="187">
      <c r="A640" s="84" t="n">
        <v>46111</v>
      </c>
      <c r="B640" s="226" t="inlineStr">
        <is>
          <t>已发</t>
        </is>
      </c>
      <c r="C640" s="86" t="inlineStr">
        <is>
          <t>4502214072127009415</t>
        </is>
      </c>
      <c r="D640" s="110" t="inlineStr">
        <is>
          <t>彭麒</t>
        </is>
      </c>
      <c r="E640" s="87" t="n"/>
      <c r="F640" s="87" t="n"/>
      <c r="G640" s="87" t="inlineStr">
        <is>
          <t>0.8米洞石窄柜</t>
        </is>
      </c>
      <c r="H640" s="87" t="inlineStr">
        <is>
          <t>窄柜</t>
        </is>
      </c>
      <c r="I640" s="89" t="n"/>
      <c r="J640" s="87" t="n"/>
      <c r="K640" s="87" t="inlineStr">
        <is>
          <t>江西</t>
        </is>
      </c>
      <c r="L640" s="216" t="n"/>
      <c r="M640" s="216" t="n"/>
      <c r="N640" s="216" t="n">
        <v>307.08</v>
      </c>
      <c r="O640" s="216" t="n"/>
      <c r="P640" s="216" t="n"/>
      <c r="Q640" s="216" t="n"/>
      <c r="R640" s="216" t="n">
        <v>230</v>
      </c>
      <c r="S640" s="216" t="n"/>
      <c r="T640" s="216" t="n">
        <v>31</v>
      </c>
      <c r="U640" s="216" t="n"/>
      <c r="V640" s="216" t="n"/>
      <c r="W640" s="216" t="n"/>
      <c r="X640" s="216" t="n">
        <v>18</v>
      </c>
      <c r="Y640" s="216" t="n"/>
      <c r="Z640" s="216" t="n"/>
      <c r="AA640" s="216" t="n"/>
      <c r="AB640" s="216" t="n"/>
      <c r="AC640" s="216" t="n"/>
      <c r="AD640" s="216" t="n"/>
      <c r="AE640" s="216" t="n"/>
      <c r="AF640" s="216" t="n"/>
      <c r="AG640" s="216" t="n"/>
      <c r="AH640" s="216" t="n"/>
      <c r="AI640" s="216" t="n"/>
      <c r="AJ640" s="216" t="n"/>
      <c r="AK640" s="216" t="n"/>
      <c r="AL640" s="216" t="n"/>
      <c r="AM640" s="207" t="n"/>
      <c r="AN640" s="207" t="n"/>
      <c r="AO640" s="207" t="n"/>
      <c r="AP640" s="207" t="n"/>
      <c r="AQ640" s="207" t="n"/>
      <c r="AR640" s="207" t="n"/>
      <c r="AS640" s="207" t="n"/>
      <c r="AT640" s="207" t="n"/>
      <c r="AU640" s="207" t="n"/>
      <c r="AV640" s="207" t="n"/>
      <c r="AW640" s="207" t="n"/>
      <c r="AX640" s="208" t="n">
        <v>1</v>
      </c>
      <c r="AY640" s="209">
        <f>L640*AX640+AP640+AQ640+AR640+AV640+AW640+AS640+AT640+AU640</f>
        <v/>
      </c>
      <c r="AZ640" s="207" t="n">
        <v>4978</v>
      </c>
      <c r="BA640" s="207" t="n">
        <v>0</v>
      </c>
      <c r="BB640" s="207">
        <f>AZ640*0.006</f>
        <v/>
      </c>
      <c r="BC640" s="209">
        <f>AZ640+BA640-BB640</f>
        <v/>
      </c>
      <c r="BD640" s="207" t="n">
        <v>0</v>
      </c>
      <c r="BE640" s="207" t="n">
        <v>0</v>
      </c>
      <c r="BF640" s="209" t="n"/>
      <c r="BG640" s="209" t="n"/>
      <c r="BH640" s="87" t="inlineStr">
        <is>
          <t>彭麒</t>
        </is>
      </c>
      <c r="BI640" s="210" t="inlineStr">
        <is>
          <t>重庆 重庆市 万州区 高笋塘街道 静园路575号好运来D2栋10-1</t>
        </is>
      </c>
      <c r="BJ640" s="86" t="inlineStr">
        <is>
          <t>18418947540-2073</t>
        </is>
      </c>
      <c r="BK640" s="86" t="n"/>
      <c r="BL640" s="210" t="n"/>
      <c r="BM640" s="93" t="n"/>
      <c r="BN640" s="94" t="n"/>
      <c r="BO640" s="93" t="n"/>
      <c r="BP640" s="86" t="n"/>
      <c r="BQ640" s="96" t="n"/>
      <c r="BR640" s="96" t="n"/>
      <c r="BS640" s="97" t="n"/>
      <c r="BT640" s="96" t="n"/>
      <c r="BU640" s="97" t="n"/>
      <c r="BV640" s="96" t="n"/>
      <c r="BW640" s="97" t="n"/>
      <c r="BX640" s="97" t="n"/>
      <c r="BY640" s="97" t="n"/>
      <c r="BZ640" s="97" t="n"/>
      <c r="CH640" s="2" t="n"/>
      <c r="CI640" s="14" t="n"/>
      <c r="CJ640" s="25" t="n"/>
      <c r="CK640" s="25" t="n"/>
      <c r="CL640" s="25" t="n"/>
      <c r="CM640" s="25" t="n"/>
      <c r="CN640" s="25" t="n"/>
      <c r="CO640" s="25" t="n"/>
      <c r="CP640" s="25" t="n"/>
      <c r="CQ640" s="25" t="n"/>
      <c r="CR640" s="25" t="n"/>
      <c r="CS640" s="25" t="n"/>
      <c r="CT640" s="25" t="n"/>
      <c r="CU640" s="25" t="n"/>
      <c r="CV640" s="25" t="n"/>
      <c r="CW640" s="25" t="n"/>
      <c r="CX640" s="25" t="n"/>
      <c r="CY640" s="25" t="n"/>
      <c r="DC640" s="26" t="n"/>
      <c r="DD640" s="26" t="n"/>
      <c r="DE640" s="26" t="n"/>
      <c r="DF640" s="26" t="n"/>
      <c r="DG640" s="26" t="n"/>
      <c r="DH640" s="27" t="n"/>
      <c r="DJ640" s="238" t="inlineStr">
        <is>
          <t>✓ 金额一致</t>
        </is>
      </c>
      <c r="DK640" t="inlineStr">
        <is>
          <t>4978.00</t>
        </is>
      </c>
      <c r="DL640" s="239" t="n">
        <v>0</v>
      </c>
    </row>
    <row r="641" ht="15.75" customHeight="1" s="187">
      <c r="A641" s="84" t="n">
        <v>46112</v>
      </c>
      <c r="B641" s="226" t="inlineStr">
        <is>
          <t>已发</t>
        </is>
      </c>
      <c r="C641" s="86" t="inlineStr">
        <is>
          <t>备货</t>
        </is>
      </c>
      <c r="D641" s="110" t="inlineStr">
        <is>
          <t>备货</t>
        </is>
      </c>
      <c r="E641" s="87" t="n"/>
      <c r="F641" s="87" t="n"/>
      <c r="G641" s="87" t="inlineStr">
        <is>
          <t>1.4米：140*75  1张
1.6米：160*80  1张
1.8米：180*85  2张
2.0米：200*85  1张</t>
        </is>
      </c>
      <c r="H641" s="87" t="inlineStr">
        <is>
          <t>榉木餐桌</t>
        </is>
      </c>
      <c r="I641" s="89" t="n"/>
      <c r="J641" s="87" t="n"/>
      <c r="K641" s="87" t="inlineStr">
        <is>
          <t>江西</t>
        </is>
      </c>
      <c r="L641" s="216" t="n"/>
      <c r="M641" s="216" t="n"/>
      <c r="N641" s="216" t="n"/>
      <c r="O641" s="216" t="n"/>
      <c r="P641" s="216" t="n"/>
      <c r="Q641" s="216" t="n"/>
      <c r="R641" s="216" t="n">
        <v>220</v>
      </c>
      <c r="S641" s="216" t="n"/>
      <c r="T641" s="216" t="n"/>
      <c r="U641" s="216" t="n"/>
      <c r="V641" s="216" t="n"/>
      <c r="W641" s="216" t="n"/>
      <c r="X641" s="216" t="n"/>
      <c r="Y641" s="216" t="n"/>
      <c r="Z641" s="216" t="n"/>
      <c r="AA641" s="216" t="n"/>
      <c r="AB641" s="216" t="n"/>
      <c r="AC641" s="216" t="n"/>
      <c r="AD641" s="216" t="n"/>
      <c r="AE641" s="216" t="n"/>
      <c r="AF641" s="216" t="n"/>
      <c r="AG641" s="216" t="n"/>
      <c r="AH641" s="216" t="n"/>
      <c r="AI641" s="216" t="n"/>
      <c r="AJ641" s="216" t="n"/>
      <c r="AK641" s="216" t="n"/>
      <c r="AL641" s="216" t="n"/>
      <c r="AM641" s="207" t="n"/>
      <c r="AN641" s="207" t="n"/>
      <c r="AO641" s="207" t="n"/>
      <c r="AP641" s="207" t="n"/>
      <c r="AQ641" s="207" t="n"/>
      <c r="AR641" s="207" t="n"/>
      <c r="AS641" s="207" t="n"/>
      <c r="AT641" s="207" t="n"/>
      <c r="AU641" s="207" t="n"/>
      <c r="AV641" s="207" t="n"/>
      <c r="AW641" s="207" t="n"/>
      <c r="AX641" s="208" t="n">
        <v>1</v>
      </c>
      <c r="AY641" s="209">
        <f>L641*AX641+AP641+AQ641+AR641+AV641+AW641+AS641+AT641+AU641</f>
        <v/>
      </c>
      <c r="AZ641" s="207" t="n"/>
      <c r="BA641" s="207" t="n">
        <v>0</v>
      </c>
      <c r="BB641" s="207">
        <f>AZ641*0.006</f>
        <v/>
      </c>
      <c r="BC641" s="209">
        <f>AZ641+BA641-BB641</f>
        <v/>
      </c>
      <c r="BD641" s="207" t="n">
        <v>0</v>
      </c>
      <c r="BE641" s="207" t="n">
        <v>0</v>
      </c>
      <c r="BF641" s="209" t="n"/>
      <c r="BG641" s="209" t="n"/>
      <c r="BH641" s="87" t="n"/>
      <c r="BI641" s="210" t="n"/>
      <c r="BJ641" s="86" t="n"/>
      <c r="BK641" s="86" t="n"/>
      <c r="BL641" s="210" t="n"/>
      <c r="BM641" s="93" t="n"/>
      <c r="BN641" s="94" t="n"/>
      <c r="BO641" s="93" t="n"/>
      <c r="BP641" s="86" t="n"/>
      <c r="BQ641" s="96" t="n"/>
      <c r="BR641" s="96" t="n"/>
      <c r="BS641" s="97" t="n"/>
      <c r="BT641" s="96" t="n"/>
      <c r="BU641" s="97" t="n"/>
      <c r="BV641" s="96" t="n"/>
      <c r="BW641" s="97" t="n"/>
      <c r="BX641" s="97" t="n"/>
      <c r="BY641" s="97" t="n"/>
      <c r="BZ641" s="97" t="n"/>
      <c r="CH641" s="2" t="n"/>
      <c r="CI641" s="14" t="n"/>
      <c r="CJ641" s="25" t="n"/>
      <c r="CK641" s="25" t="n"/>
      <c r="CL641" s="25" t="n"/>
      <c r="CM641" s="25" t="n"/>
      <c r="CN641" s="25" t="n"/>
      <c r="CO641" s="25" t="n"/>
      <c r="CP641" s="25" t="n"/>
      <c r="CQ641" s="25" t="n"/>
      <c r="CR641" s="25" t="n"/>
      <c r="CS641" s="25" t="n"/>
      <c r="CT641" s="25" t="n"/>
      <c r="CU641" s="25" t="n"/>
      <c r="CV641" s="25" t="n"/>
      <c r="CW641" s="25" t="n"/>
      <c r="CX641" s="25" t="n"/>
      <c r="CY641" s="25" t="n"/>
      <c r="DC641" s="26" t="n"/>
      <c r="DD641" s="26" t="n"/>
      <c r="DE641" s="26" t="n"/>
      <c r="DF641" s="26" t="n"/>
      <c r="DG641" s="26" t="n"/>
      <c r="DH641" s="27" t="n"/>
      <c r="DJ641" s="211" t="inlineStr">
        <is>
          <t>订单表中未找到</t>
        </is>
      </c>
      <c r="DK641" t="inlineStr">
        <is>
          <t>—</t>
        </is>
      </c>
      <c r="DL641" t="inlineStr">
        <is>
          <t>—</t>
        </is>
      </c>
    </row>
    <row r="642" ht="15.75" customHeight="1" s="187">
      <c r="A642" s="84" t="n">
        <v>46112</v>
      </c>
      <c r="B642" s="226" t="n"/>
      <c r="C642" s="86" t="inlineStr">
        <is>
          <t>备货</t>
        </is>
      </c>
      <c r="D642" s="110" t="inlineStr">
        <is>
          <t>备货</t>
        </is>
      </c>
      <c r="E642" s="87" t="n"/>
      <c r="F642" s="87" t="n"/>
      <c r="G642" s="87" t="inlineStr">
        <is>
          <t>1米洞石窄柜</t>
        </is>
      </c>
      <c r="H642" s="87" t="inlineStr">
        <is>
          <t>窄柜</t>
        </is>
      </c>
      <c r="I642" s="89" t="n"/>
      <c r="J642" s="87" t="n"/>
      <c r="K642" s="87" t="inlineStr">
        <is>
          <t>江西</t>
        </is>
      </c>
      <c r="L642" s="216" t="n"/>
      <c r="M642" s="216" t="n"/>
      <c r="N642" s="216" t="n">
        <v>359.08</v>
      </c>
      <c r="O642" s="216" t="n"/>
      <c r="P642" s="216" t="n"/>
      <c r="Q642" s="216" t="n"/>
      <c r="R642" s="216" t="n">
        <v>190</v>
      </c>
      <c r="S642" s="216" t="n"/>
      <c r="T642" s="216" t="n">
        <v>31</v>
      </c>
      <c r="U642" s="216" t="n"/>
      <c r="V642" s="216" t="n"/>
      <c r="W642" s="216" t="n"/>
      <c r="X642" s="216" t="n">
        <v>18</v>
      </c>
      <c r="Y642" s="216" t="n"/>
      <c r="Z642" s="216" t="n"/>
      <c r="AA642" s="216" t="n"/>
      <c r="AB642" s="216" t="n"/>
      <c r="AC642" s="216" t="n"/>
      <c r="AD642" s="216" t="n"/>
      <c r="AE642" s="216" t="n"/>
      <c r="AF642" s="216" t="n"/>
      <c r="AG642" s="216" t="n"/>
      <c r="AH642" s="216" t="n"/>
      <c r="AI642" s="216" t="n"/>
      <c r="AJ642" s="216" t="n"/>
      <c r="AK642" s="216" t="n"/>
      <c r="AL642" s="216" t="n"/>
      <c r="AM642" s="207" t="n"/>
      <c r="AN642" s="207" t="n"/>
      <c r="AO642" s="207" t="n"/>
      <c r="AP642" s="207" t="n"/>
      <c r="AQ642" s="207" t="n"/>
      <c r="AR642" s="207" t="n"/>
      <c r="AS642" s="207" t="n"/>
      <c r="AT642" s="207" t="n"/>
      <c r="AU642" s="207" t="n"/>
      <c r="AV642" s="207" t="n"/>
      <c r="AW642" s="207" t="n"/>
      <c r="AX642" s="208" t="n">
        <v>1</v>
      </c>
      <c r="AY642" s="209">
        <f>L642*AX642+AP642+AQ642+AR642+AV642+AW642+AS642+AT642+AU642</f>
        <v/>
      </c>
      <c r="AZ642" s="207" t="n"/>
      <c r="BA642" s="207" t="n">
        <v>0</v>
      </c>
      <c r="BB642" s="207">
        <f>AZ642*0.006</f>
        <v/>
      </c>
      <c r="BC642" s="209">
        <f>AZ642+BA642-BB642</f>
        <v/>
      </c>
      <c r="BD642" s="207" t="n">
        <v>0</v>
      </c>
      <c r="BE642" s="207" t="n">
        <v>0</v>
      </c>
      <c r="BF642" s="209" t="n"/>
      <c r="BG642" s="209" t="n"/>
      <c r="BH642" s="87" t="n"/>
      <c r="BI642" s="210" t="n"/>
      <c r="BJ642" s="86" t="n"/>
      <c r="BK642" s="86" t="n"/>
      <c r="BL642" s="210" t="n"/>
      <c r="BM642" s="93" t="n"/>
      <c r="BN642" s="94" t="n"/>
      <c r="BO642" s="93" t="n"/>
      <c r="BP642" s="86" t="n"/>
      <c r="BQ642" s="96" t="n"/>
      <c r="BR642" s="96" t="n"/>
      <c r="BS642" s="97" t="n"/>
      <c r="BT642" s="96" t="n"/>
      <c r="BU642" s="97" t="n"/>
      <c r="BV642" s="96" t="n"/>
      <c r="BW642" s="97" t="n"/>
      <c r="BX642" s="97" t="n"/>
      <c r="BY642" s="97" t="n"/>
      <c r="BZ642" s="97" t="n"/>
      <c r="CH642" s="2" t="n"/>
      <c r="CI642" s="14" t="n"/>
      <c r="CJ642" s="25" t="n"/>
      <c r="CK642" s="25" t="n"/>
      <c r="CL642" s="25" t="n"/>
      <c r="CM642" s="25" t="n"/>
      <c r="CN642" s="25" t="n"/>
      <c r="CO642" s="25" t="n"/>
      <c r="CP642" s="25" t="n"/>
      <c r="CQ642" s="25" t="n"/>
      <c r="CR642" s="25" t="n"/>
      <c r="CS642" s="25" t="n"/>
      <c r="CT642" s="25" t="n"/>
      <c r="CU642" s="25" t="n"/>
      <c r="CV642" s="25" t="n"/>
      <c r="CW642" s="25" t="n"/>
      <c r="CX642" s="25" t="n"/>
      <c r="CY642" s="25" t="n"/>
      <c r="DC642" s="26" t="n"/>
      <c r="DD642" s="26" t="n"/>
      <c r="DE642" s="26" t="n"/>
      <c r="DF642" s="26" t="n"/>
      <c r="DG642" s="26" t="n"/>
      <c r="DH642" s="27" t="n"/>
      <c r="DJ642" s="211" t="inlineStr">
        <is>
          <t>订单表中未找到</t>
        </is>
      </c>
      <c r="DK642" t="inlineStr">
        <is>
          <t>—</t>
        </is>
      </c>
      <c r="DL642" t="inlineStr">
        <is>
          <t>—</t>
        </is>
      </c>
    </row>
    <row r="643" ht="15.75" customHeight="1" s="187">
      <c r="A643" s="84" t="n">
        <v>46112</v>
      </c>
      <c r="B643" s="226" t="inlineStr">
        <is>
          <t>定制尺寸出错</t>
        </is>
      </c>
      <c r="C643" s="86" t="inlineStr">
        <is>
          <t>2701791662157048276</t>
        </is>
      </c>
      <c r="D643" s="110" t="inlineStr">
        <is>
          <t>李波</t>
        </is>
      </c>
      <c r="E643" s="87" t="n"/>
      <c r="F643" s="87" t="n"/>
      <c r="G643" s="87" t="inlineStr">
        <is>
          <t>1600*850*750</t>
        </is>
      </c>
      <c r="H643" s="87" t="inlineStr">
        <is>
          <t>榉木餐桌</t>
        </is>
      </c>
      <c r="I643" s="89" t="n"/>
      <c r="J643" s="87" t="n"/>
      <c r="K643" s="87" t="inlineStr">
        <is>
          <t>江西</t>
        </is>
      </c>
      <c r="L643" s="216" t="n"/>
      <c r="M643" s="216" t="n"/>
      <c r="N643" s="216" t="n"/>
      <c r="O643" s="216" t="n"/>
      <c r="P643" s="216" t="n"/>
      <c r="Q643" s="216" t="n"/>
      <c r="R643" s="216" t="n">
        <v>220</v>
      </c>
      <c r="S643" s="216" t="n"/>
      <c r="T643" s="216" t="n"/>
      <c r="U643" s="216" t="n"/>
      <c r="V643" s="216" t="n"/>
      <c r="W643" s="216" t="n"/>
      <c r="X643" s="216" t="n"/>
      <c r="Y643" s="216" t="n"/>
      <c r="Z643" s="216" t="n"/>
      <c r="AA643" s="216" t="n"/>
      <c r="AB643" s="216" t="n"/>
      <c r="AC643" s="216" t="n"/>
      <c r="AD643" s="216" t="n"/>
      <c r="AE643" s="216" t="n"/>
      <c r="AF643" s="216" t="n"/>
      <c r="AG643" s="216" t="n"/>
      <c r="AH643" s="216" t="n"/>
      <c r="AI643" s="216" t="n"/>
      <c r="AJ643" s="216" t="n"/>
      <c r="AK643" s="216" t="n"/>
      <c r="AL643" s="216" t="n"/>
      <c r="AM643" s="207" t="n"/>
      <c r="AN643" s="207" t="n"/>
      <c r="AO643" s="207" t="n"/>
      <c r="AP643" s="207" t="n"/>
      <c r="AQ643" s="207" t="n"/>
      <c r="AR643" s="207" t="n">
        <v>52</v>
      </c>
      <c r="AS643" s="207" t="n"/>
      <c r="AT643" s="207" t="n"/>
      <c r="AU643" s="207" t="n"/>
      <c r="AV643" s="207" t="n"/>
      <c r="AW643" s="207" t="n"/>
      <c r="AX643" s="208" t="n">
        <v>1</v>
      </c>
      <c r="AY643" s="209">
        <f>L643*AX643+AP643+AQ643+AR643+AV643+AW643+AS643+AT643+AU643</f>
        <v/>
      </c>
      <c r="AZ643" s="207" t="n">
        <v>2699.74</v>
      </c>
      <c r="BA643" s="207" t="n">
        <v>0</v>
      </c>
      <c r="BB643" s="207">
        <f>AZ643*0.006</f>
        <v/>
      </c>
      <c r="BC643" s="209">
        <f>AZ643+BA643-BB643</f>
        <v/>
      </c>
      <c r="BD643" s="207" t="n">
        <v>0</v>
      </c>
      <c r="BE643" s="207" t="n">
        <v>0</v>
      </c>
      <c r="BF643" s="209" t="n"/>
      <c r="BG643" s="209" t="n"/>
      <c r="BH643" s="87" t="inlineStr">
        <is>
          <t>李波</t>
        </is>
      </c>
      <c r="BI643" s="210" t="inlineStr">
        <is>
          <t>山西省 运城市 盐湖区 姚孟街道五洲观澜B7-1402</t>
        </is>
      </c>
      <c r="BJ643" s="86" t="inlineStr">
        <is>
          <t>14735146394-4103</t>
        </is>
      </c>
      <c r="BK643" s="86" t="n"/>
      <c r="BL643" s="210" t="n"/>
      <c r="BM643" s="93" t="n"/>
      <c r="BN643" s="94" t="n"/>
      <c r="BO643" s="93" t="n"/>
      <c r="BP643" s="86" t="n"/>
      <c r="BQ643" s="96" t="n"/>
      <c r="BR643" s="96" t="n"/>
      <c r="BS643" s="97" t="n"/>
      <c r="BT643" s="96" t="n"/>
      <c r="BU643" s="97" t="n"/>
      <c r="BV643" s="96" t="n"/>
      <c r="BW643" s="97" t="n"/>
      <c r="BX643" s="97" t="n"/>
      <c r="BY643" s="97" t="n"/>
      <c r="BZ643" s="97" t="n"/>
      <c r="CH643" s="2" t="n"/>
      <c r="CI643" s="14" t="n"/>
      <c r="CJ643" s="25" t="n"/>
      <c r="CK643" s="25" t="n"/>
      <c r="CL643" s="25" t="n"/>
      <c r="CM643" s="25" t="n"/>
      <c r="CN643" s="25" t="n"/>
      <c r="CO643" s="25" t="n"/>
      <c r="CP643" s="25" t="n"/>
      <c r="CQ643" s="25" t="n"/>
      <c r="CR643" s="25" t="n"/>
      <c r="CS643" s="25" t="n"/>
      <c r="CT643" s="25" t="n"/>
      <c r="CU643" s="25" t="n"/>
      <c r="CV643" s="25" t="n"/>
      <c r="CW643" s="25" t="n"/>
      <c r="CX643" s="25" t="n"/>
      <c r="CY643" s="25" t="n"/>
      <c r="DC643" s="26" t="n"/>
      <c r="DD643" s="26" t="n"/>
      <c r="DE643" s="26" t="n"/>
      <c r="DF643" s="26" t="n"/>
      <c r="DG643" s="26" t="n"/>
      <c r="DH643" s="27" t="n"/>
      <c r="DJ643" s="238" t="inlineStr">
        <is>
          <t>✓ 金额一致</t>
        </is>
      </c>
      <c r="DK643" t="inlineStr">
        <is>
          <t>2699.74</t>
        </is>
      </c>
      <c r="DL643" s="239" t="n">
        <v>0</v>
      </c>
    </row>
    <row r="644" ht="15.75" customHeight="1" s="187">
      <c r="A644" s="84" t="n">
        <v>46119</v>
      </c>
      <c r="B644" s="226" t="inlineStr">
        <is>
          <t>已发</t>
        </is>
      </c>
      <c r="C644" s="86" t="inlineStr">
        <is>
          <t>4502250111156062835</t>
        </is>
      </c>
      <c r="D644" s="110" t="inlineStr">
        <is>
          <t>冯玥</t>
        </is>
      </c>
      <c r="E644" s="87" t="n"/>
      <c r="F644" s="87" t="n"/>
      <c r="G644" s="87" t="inlineStr">
        <is>
          <t>2000*850*750</t>
        </is>
      </c>
      <c r="H644" s="87" t="inlineStr">
        <is>
          <t>榉木餐桌</t>
        </is>
      </c>
      <c r="I644" s="89" t="n"/>
      <c r="J644" s="87" t="n"/>
      <c r="K644" s="87" t="inlineStr">
        <is>
          <t>江西</t>
        </is>
      </c>
      <c r="L644" s="216" t="n"/>
      <c r="M644" s="216" t="n"/>
      <c r="N644" s="216" t="n"/>
      <c r="O644" s="216" t="n"/>
      <c r="P644" s="216" t="n"/>
      <c r="Q644" s="216" t="n"/>
      <c r="R644" s="216" t="n">
        <v>290</v>
      </c>
      <c r="S644" s="216" t="n"/>
      <c r="T644" s="216" t="n"/>
      <c r="U644" s="216" t="n"/>
      <c r="V644" s="216" t="n"/>
      <c r="W644" s="216" t="n"/>
      <c r="X644" s="216" t="n"/>
      <c r="Y644" s="216" t="n"/>
      <c r="Z644" s="216" t="n"/>
      <c r="AA644" s="216" t="n"/>
      <c r="AB644" s="216" t="n"/>
      <c r="AC644" s="216" t="n"/>
      <c r="AD644" s="216" t="n"/>
      <c r="AE644" s="216" t="n"/>
      <c r="AF644" s="216" t="n"/>
      <c r="AG644" s="216" t="n"/>
      <c r="AH644" s="216" t="n"/>
      <c r="AI644" s="216" t="n"/>
      <c r="AJ644" s="216" t="n"/>
      <c r="AK644" s="216" t="n"/>
      <c r="AL644" s="216" t="n"/>
      <c r="AM644" s="207" t="n"/>
      <c r="AN644" s="207" t="n"/>
      <c r="AO644" s="207" t="n"/>
      <c r="AP644" s="207" t="n"/>
      <c r="AQ644" s="207" t="n"/>
      <c r="AR644" s="207" t="n">
        <v>60</v>
      </c>
      <c r="AS644" s="207" t="n"/>
      <c r="AT644" s="207" t="n"/>
      <c r="AU644" s="207" t="n"/>
      <c r="AV644" s="207" t="n"/>
      <c r="AW644" s="207" t="n"/>
      <c r="AX644" s="208" t="n">
        <v>1</v>
      </c>
      <c r="AY644" s="209">
        <f>L644*AX644+AP644+AQ644+AR644+AV644+AW644+AS644+AT644+AU644</f>
        <v/>
      </c>
      <c r="AZ644" s="207" t="n">
        <v>2880.26</v>
      </c>
      <c r="BA644" s="207" t="n">
        <v>0</v>
      </c>
      <c r="BB644" s="207">
        <f>AZ644*0.006</f>
        <v/>
      </c>
      <c r="BC644" s="209">
        <f>AZ644+BA644-BB644</f>
        <v/>
      </c>
      <c r="BD644" s="207" t="n">
        <v>0</v>
      </c>
      <c r="BE644" s="207" t="n">
        <v>0</v>
      </c>
      <c r="BF644" s="209" t="n"/>
      <c r="BG644" s="209" t="n"/>
      <c r="BH644" s="87" t="inlineStr">
        <is>
          <t>冯玥</t>
        </is>
      </c>
      <c r="BI644" s="210" t="inlineStr">
        <is>
          <t>四川省 成都市 成华区 龙潭街道北湖云湾北区 5栋802</t>
        </is>
      </c>
      <c r="BJ644" s="86" t="inlineStr">
        <is>
          <t>14727236096-9448</t>
        </is>
      </c>
      <c r="BK644" s="86" t="n"/>
      <c r="BL644" s="210" t="n"/>
      <c r="BM644" s="93" t="n"/>
      <c r="BN644" s="94" t="n"/>
      <c r="BO644" s="93" t="n"/>
      <c r="BP644" s="86" t="n"/>
      <c r="BQ644" s="96" t="n"/>
      <c r="BR644" s="96" t="n"/>
      <c r="BS644" s="97" t="n"/>
      <c r="BT644" s="96" t="n"/>
      <c r="BU644" s="97" t="n"/>
      <c r="BV644" s="96" t="n"/>
      <c r="BW644" s="97" t="n"/>
      <c r="BX644" s="97" t="n"/>
      <c r="BY644" s="97" t="n"/>
      <c r="BZ644" s="97" t="n"/>
      <c r="CH644" s="2" t="n"/>
      <c r="CI644" s="14" t="n"/>
      <c r="CJ644" s="25" t="n"/>
      <c r="CK644" s="25" t="n"/>
      <c r="CL644" s="25" t="n"/>
      <c r="CM644" s="25" t="n"/>
      <c r="CN644" s="25" t="n"/>
      <c r="CO644" s="25" t="n"/>
      <c r="CP644" s="25" t="n"/>
      <c r="CQ644" s="25" t="n"/>
      <c r="CR644" s="25" t="n"/>
      <c r="CS644" s="25" t="n"/>
      <c r="CT644" s="25" t="n"/>
      <c r="CU644" s="25" t="n"/>
      <c r="CV644" s="25" t="n"/>
      <c r="CW644" s="25" t="n"/>
      <c r="CX644" s="25" t="n"/>
      <c r="CY644" s="25" t="n"/>
      <c r="DC644" s="26" t="n"/>
      <c r="DD644" s="26" t="n"/>
      <c r="DE644" s="26" t="n"/>
      <c r="DF644" s="26" t="n"/>
      <c r="DG644" s="26" t="n"/>
      <c r="DH644" s="27" t="n"/>
      <c r="DJ644" s="238" t="inlineStr">
        <is>
          <t>✓ 金额一致</t>
        </is>
      </c>
      <c r="DK644" t="inlineStr">
        <is>
          <t>2880.26</t>
        </is>
      </c>
      <c r="DL644" s="239" t="n">
        <v>0</v>
      </c>
    </row>
    <row r="645" ht="15.75" customHeight="1" s="187">
      <c r="A645" s="84" t="n">
        <v>46119</v>
      </c>
      <c r="B645" s="226" t="inlineStr">
        <is>
          <t>已发</t>
        </is>
      </c>
      <c r="C645" s="86" t="inlineStr">
        <is>
          <t>2701817403146008173</t>
        </is>
      </c>
      <c r="D645" s="110" t="inlineStr">
        <is>
          <t>王123</t>
        </is>
      </c>
      <c r="E645" s="87" t="n"/>
      <c r="F645" s="87" t="n"/>
      <c r="G645" s="87" t="inlineStr">
        <is>
          <t>2000*850*750</t>
        </is>
      </c>
      <c r="H645" s="87" t="inlineStr">
        <is>
          <t>黑胡桃岩板餐桌</t>
        </is>
      </c>
      <c r="I645" s="89" t="n"/>
      <c r="J645" s="87" t="n"/>
      <c r="K645" s="87" t="inlineStr">
        <is>
          <t>江西</t>
        </is>
      </c>
      <c r="L645" s="216" t="n"/>
      <c r="M645" s="216" t="n"/>
      <c r="N645" s="216" t="n"/>
      <c r="O645" s="216" t="n"/>
      <c r="P645" s="216" t="n"/>
      <c r="Q645" s="216" t="n"/>
      <c r="R645" s="216" t="n">
        <v>290</v>
      </c>
      <c r="S645" s="216" t="n"/>
      <c r="T645" s="216" t="n"/>
      <c r="U645" s="216" t="n"/>
      <c r="V645" s="216" t="n"/>
      <c r="W645" s="216" t="n"/>
      <c r="X645" s="216" t="n"/>
      <c r="Y645" s="216" t="n"/>
      <c r="Z645" s="216" t="n"/>
      <c r="AA645" s="216" t="n"/>
      <c r="AB645" s="216" t="n"/>
      <c r="AC645" s="216" t="n"/>
      <c r="AD645" s="216" t="n"/>
      <c r="AE645" s="216" t="n"/>
      <c r="AF645" s="216" t="n"/>
      <c r="AG645" s="216" t="n"/>
      <c r="AH645" s="216" t="n"/>
      <c r="AI645" s="216" t="n"/>
      <c r="AJ645" s="216" t="n"/>
      <c r="AK645" s="216" t="n"/>
      <c r="AL645" s="216" t="n"/>
      <c r="AM645" s="207" t="n"/>
      <c r="AN645" s="207" t="n"/>
      <c r="AO645" s="207" t="n"/>
      <c r="AP645" s="207" t="n"/>
      <c r="AQ645" s="207" t="n"/>
      <c r="AR645" s="207" t="n"/>
      <c r="AS645" s="207" t="n"/>
      <c r="AT645" s="207" t="n"/>
      <c r="AU645" s="207" t="n"/>
      <c r="AV645" s="207" t="n"/>
      <c r="AW645" s="207" t="n"/>
      <c r="AX645" s="208" t="n">
        <v>1</v>
      </c>
      <c r="AY645" s="209">
        <f>L645*AX645+AP645+AQ645+AR645+AV645+AW645+AS645+AT645+AU645</f>
        <v/>
      </c>
      <c r="AZ645" s="207" t="n">
        <v>2387.19</v>
      </c>
      <c r="BA645" s="207" t="n">
        <v>0</v>
      </c>
      <c r="BB645" s="207">
        <f>AZ645*0.006</f>
        <v/>
      </c>
      <c r="BC645" s="209">
        <f>AZ645+BA645-BB645</f>
        <v/>
      </c>
      <c r="BD645" s="207" t="n">
        <v>0</v>
      </c>
      <c r="BE645" s="207" t="n">
        <v>0</v>
      </c>
      <c r="BF645" s="209" t="n"/>
      <c r="BG645" s="209" t="n"/>
      <c r="BH645" s="87" t="inlineStr">
        <is>
          <t>王123</t>
        </is>
      </c>
      <c r="BI645" s="210" t="inlineStr">
        <is>
          <t>江苏省 南京市 玄武区 红山街道南京招商局中心臻境西区3栋103</t>
        </is>
      </c>
      <c r="BJ645" s="86" t="inlineStr">
        <is>
          <t>15784003558-7201</t>
        </is>
      </c>
      <c r="BK645" s="86" t="n"/>
      <c r="BL645" s="210" t="n"/>
      <c r="BM645" s="93" t="n"/>
      <c r="BN645" s="94" t="n"/>
      <c r="BO645" s="93" t="n"/>
      <c r="BP645" s="86" t="n"/>
      <c r="BQ645" s="96" t="n"/>
      <c r="BR645" s="96" t="n"/>
      <c r="BS645" s="97" t="n"/>
      <c r="BT645" s="96" t="n"/>
      <c r="BU645" s="97" t="n"/>
      <c r="BV645" s="96" t="n"/>
      <c r="BW645" s="97" t="n"/>
      <c r="BX645" s="97" t="n"/>
      <c r="BY645" s="97" t="n"/>
      <c r="BZ645" s="97" t="n"/>
      <c r="CH645" s="2" t="n"/>
      <c r="CI645" s="14" t="n"/>
      <c r="CJ645" s="25" t="n"/>
      <c r="CK645" s="25" t="n"/>
      <c r="CL645" s="25" t="n"/>
      <c r="CM645" s="25" t="n"/>
      <c r="CN645" s="25" t="n"/>
      <c r="CO645" s="25" t="n"/>
      <c r="CP645" s="25" t="n"/>
      <c r="CQ645" s="25" t="n"/>
      <c r="CR645" s="25" t="n"/>
      <c r="CS645" s="25" t="n"/>
      <c r="CT645" s="25" t="n"/>
      <c r="CU645" s="25" t="n"/>
      <c r="CV645" s="25" t="n"/>
      <c r="CW645" s="25" t="n"/>
      <c r="CX645" s="25" t="n"/>
      <c r="CY645" s="25" t="n"/>
      <c r="DC645" s="26" t="n"/>
      <c r="DD645" s="26" t="n"/>
      <c r="DE645" s="26" t="n"/>
      <c r="DF645" s="26" t="n"/>
      <c r="DG645" s="26" t="n"/>
      <c r="DH645" s="27" t="n"/>
      <c r="DJ645" s="238" t="inlineStr">
        <is>
          <t>✓ 金额一致</t>
        </is>
      </c>
      <c r="DK645" t="inlineStr">
        <is>
          <t>2387.19</t>
        </is>
      </c>
      <c r="DL645" s="239" t="n">
        <v>0</v>
      </c>
    </row>
    <row r="646" ht="15.75" customHeight="1" s="187">
      <c r="A646" s="84" t="n">
        <v>46119</v>
      </c>
      <c r="B646" s="226" t="inlineStr">
        <is>
          <t>已发</t>
        </is>
      </c>
      <c r="C646" s="86" t="inlineStr">
        <is>
          <t>4502255436167008824</t>
        </is>
      </c>
      <c r="D646" s="110" t="inlineStr">
        <is>
          <t>司雪阳</t>
        </is>
      </c>
      <c r="E646" s="87" t="n"/>
      <c r="F646" s="87" t="n"/>
      <c r="G646" s="87" t="inlineStr">
        <is>
          <t>1.2米洞石窄柜</t>
        </is>
      </c>
      <c r="H646" s="87" t="inlineStr">
        <is>
          <t>窄柜</t>
        </is>
      </c>
      <c r="I646" s="89" t="n"/>
      <c r="J646" s="87" t="n"/>
      <c r="K646" s="87" t="inlineStr">
        <is>
          <t>江西</t>
        </is>
      </c>
      <c r="L646" s="216" t="n"/>
      <c r="M646" s="216" t="n"/>
      <c r="N646" s="216" t="n">
        <v>411.08</v>
      </c>
      <c r="O646" s="216" t="n"/>
      <c r="P646" s="216" t="n"/>
      <c r="Q646" s="216" t="n"/>
      <c r="R646" s="216" t="n">
        <v>230</v>
      </c>
      <c r="S646" s="216" t="n">
        <v>43.5</v>
      </c>
      <c r="T646" s="216" t="n">
        <v>31</v>
      </c>
      <c r="U646" s="216" t="n"/>
      <c r="V646" s="216" t="n"/>
      <c r="W646" s="216" t="n"/>
      <c r="X646" s="216" t="n">
        <v>18</v>
      </c>
      <c r="Y646" s="216" t="n"/>
      <c r="Z646" s="216" t="n"/>
      <c r="AA646" s="216" t="n"/>
      <c r="AB646" s="216" t="n"/>
      <c r="AC646" s="216" t="n"/>
      <c r="AD646" s="216" t="n"/>
      <c r="AE646" s="216" t="n"/>
      <c r="AF646" s="216" t="n"/>
      <c r="AG646" s="216" t="n"/>
      <c r="AH646" s="216" t="n"/>
      <c r="AI646" s="216" t="n"/>
      <c r="AJ646" s="216" t="n"/>
      <c r="AK646" s="216" t="n"/>
      <c r="AL646" s="216" t="n"/>
      <c r="AM646" s="207" t="n"/>
      <c r="AN646" s="207" t="n"/>
      <c r="AO646" s="207" t="n"/>
      <c r="AP646" s="207" t="n"/>
      <c r="AQ646" s="207" t="n"/>
      <c r="AR646" s="207" t="n">
        <v>95</v>
      </c>
      <c r="AS646" s="207" t="n"/>
      <c r="AT646" s="207" t="n"/>
      <c r="AU646" s="207" t="n"/>
      <c r="AV646" s="207" t="n"/>
      <c r="AW646" s="207" t="n"/>
      <c r="AX646" s="208" t="n">
        <v>1</v>
      </c>
      <c r="AY646" s="209">
        <f>L646*AX646+AP646+AQ646+AR646+AV646+AW646+AS646+AT646+AU646</f>
        <v/>
      </c>
      <c r="AZ646" s="207" t="n">
        <v>5858.4</v>
      </c>
      <c r="BA646" s="207" t="n">
        <v>0</v>
      </c>
      <c r="BB646" s="207">
        <f>AZ646*0.006</f>
        <v/>
      </c>
      <c r="BC646" s="209">
        <f>AZ646+BA646-BB646</f>
        <v/>
      </c>
      <c r="BD646" s="207" t="n">
        <v>0</v>
      </c>
      <c r="BE646" s="207" t="n">
        <v>0</v>
      </c>
      <c r="BF646" s="209" t="n"/>
      <c r="BG646" s="209" t="n"/>
      <c r="BH646" s="87" t="inlineStr">
        <is>
          <t>司雪阳</t>
        </is>
      </c>
      <c r="BI646" s="210" t="inlineStr">
        <is>
          <t>北京 北京市 海淀区 马连洼街道梅园小区4号楼2单元402室</t>
        </is>
      </c>
      <c r="BJ646" s="86" t="inlineStr">
        <is>
          <t>18400860836-9829</t>
        </is>
      </c>
      <c r="BK646" s="86" t="n"/>
      <c r="BL646" s="210" t="n"/>
      <c r="BM646" s="93" t="n"/>
      <c r="BN646" s="94" t="n"/>
      <c r="BO646" s="93" t="n"/>
      <c r="BP646" s="86" t="n"/>
      <c r="BQ646" s="96" t="n"/>
      <c r="BR646" s="96" t="n"/>
      <c r="BS646" s="97" t="n"/>
      <c r="BT646" s="96" t="n"/>
      <c r="BU646" s="97" t="n"/>
      <c r="BV646" s="96" t="n"/>
      <c r="BW646" s="97" t="n"/>
      <c r="BX646" s="97" t="n"/>
      <c r="BY646" s="97" t="n"/>
      <c r="BZ646" s="97" t="n"/>
      <c r="CH646" s="2" t="n"/>
      <c r="CI646" s="14" t="n"/>
      <c r="CJ646" s="25" t="n"/>
      <c r="CK646" s="25" t="n"/>
      <c r="CL646" s="25" t="n"/>
      <c r="CM646" s="25" t="n"/>
      <c r="CN646" s="25" t="n"/>
      <c r="CO646" s="25" t="n"/>
      <c r="CP646" s="25" t="n"/>
      <c r="CQ646" s="25" t="n"/>
      <c r="CR646" s="25" t="n"/>
      <c r="CS646" s="25" t="n"/>
      <c r="CT646" s="25" t="n"/>
      <c r="CU646" s="25" t="n"/>
      <c r="CV646" s="25" t="n"/>
      <c r="CW646" s="25" t="n"/>
      <c r="CX646" s="25" t="n"/>
      <c r="CY646" s="25" t="n"/>
      <c r="DC646" s="26" t="n"/>
      <c r="DD646" s="26" t="n"/>
      <c r="DE646" s="26" t="n"/>
      <c r="DF646" s="26" t="n"/>
      <c r="DG646" s="26" t="n"/>
      <c r="DH646" s="27" t="n"/>
      <c r="DJ646" s="238" t="inlineStr">
        <is>
          <t>✓ 金额一致</t>
        </is>
      </c>
      <c r="DK646" t="inlineStr">
        <is>
          <t>5858.40</t>
        </is>
      </c>
      <c r="DL646" s="239" t="n">
        <v>0</v>
      </c>
    </row>
    <row r="647" ht="15.75" customHeight="1" s="187">
      <c r="A647" s="84" t="n">
        <v>46120</v>
      </c>
      <c r="B647" s="226" t="inlineStr">
        <is>
          <t>已发</t>
        </is>
      </c>
      <c r="C647" s="86" t="inlineStr">
        <is>
          <t>4502258100171049431</t>
        </is>
      </c>
      <c r="D647" s="110" t="inlineStr">
        <is>
          <t>张庚</t>
        </is>
      </c>
      <c r="E647" s="87" t="n"/>
      <c r="F647" s="87" t="n"/>
      <c r="G647" s="87" t="inlineStr">
        <is>
          <t>1400*750*750</t>
        </is>
      </c>
      <c r="H647" s="87" t="inlineStr">
        <is>
          <t>榉木餐桌</t>
        </is>
      </c>
      <c r="I647" s="89" t="n"/>
      <c r="J647" s="87" t="n"/>
      <c r="K647" s="87" t="inlineStr">
        <is>
          <t>江西</t>
        </is>
      </c>
      <c r="L647" s="216" t="n"/>
      <c r="M647" s="216" t="n"/>
      <c r="N647" s="216" t="n"/>
      <c r="O647" s="216" t="n"/>
      <c r="P647" s="216" t="n"/>
      <c r="Q647" s="216" t="n"/>
      <c r="R647" s="216" t="n">
        <v>220</v>
      </c>
      <c r="S647" s="216" t="n"/>
      <c r="T647" s="216" t="n"/>
      <c r="U647" s="216" t="n"/>
      <c r="V647" s="216" t="n"/>
      <c r="W647" s="216" t="n"/>
      <c r="X647" s="216" t="n"/>
      <c r="Y647" s="216" t="n"/>
      <c r="Z647" s="216" t="n"/>
      <c r="AA647" s="216" t="n"/>
      <c r="AB647" s="216" t="n"/>
      <c r="AC647" s="216" t="n"/>
      <c r="AD647" s="216" t="n"/>
      <c r="AE647" s="216" t="n"/>
      <c r="AF647" s="216" t="n"/>
      <c r="AG647" s="216" t="n"/>
      <c r="AH647" s="216" t="n"/>
      <c r="AI647" s="216" t="n"/>
      <c r="AJ647" s="216" t="n"/>
      <c r="AK647" s="216" t="n"/>
      <c r="AL647" s="216" t="n"/>
      <c r="AM647" s="207" t="n"/>
      <c r="AN647" s="207" t="n"/>
      <c r="AO647" s="207" t="n"/>
      <c r="AP647" s="207" t="n"/>
      <c r="AQ647" s="207" t="n"/>
      <c r="AR647" s="207" t="n">
        <v>65</v>
      </c>
      <c r="AS647" s="207" t="n"/>
      <c r="AT647" s="207" t="n"/>
      <c r="AU647" s="207" t="n"/>
      <c r="AV647" s="207" t="n"/>
      <c r="AW647" s="207" t="n"/>
      <c r="AX647" s="208" t="n">
        <v>1</v>
      </c>
      <c r="AY647" s="209">
        <f>L647*AX647+AP647+AQ647+AR647+AV647+AW647+AS647+AT647+AU647</f>
        <v/>
      </c>
      <c r="AZ647" s="207" t="n">
        <v>2629.6</v>
      </c>
      <c r="BA647" s="207" t="n">
        <v>0</v>
      </c>
      <c r="BB647" s="207">
        <f>AZ647*0.006</f>
        <v/>
      </c>
      <c r="BC647" s="209">
        <f>AZ647+BA647-BB647</f>
        <v/>
      </c>
      <c r="BD647" s="207" t="n">
        <v>0</v>
      </c>
      <c r="BE647" s="207" t="n">
        <v>0</v>
      </c>
      <c r="BF647" s="209" t="n"/>
      <c r="BG647" s="209" t="n"/>
      <c r="BH647" s="87" t="inlineStr">
        <is>
          <t>张庚</t>
        </is>
      </c>
      <c r="BI647" s="210" t="inlineStr">
        <is>
          <t>安徽省 淮北市 相山区 任圩街道淮北中湖明月丁香苑5号楼1303</t>
        </is>
      </c>
      <c r="BJ647" s="86" t="inlineStr">
        <is>
          <t>15784094712-3483</t>
        </is>
      </c>
      <c r="BK647" s="86" t="n"/>
      <c r="BL647" s="210" t="n"/>
      <c r="BM647" s="93" t="n"/>
      <c r="BN647" s="94" t="n"/>
      <c r="BO647" s="93" t="n"/>
      <c r="BP647" s="86" t="n"/>
      <c r="BQ647" s="96" t="n"/>
      <c r="BR647" s="96" t="n"/>
      <c r="BS647" s="97" t="n"/>
      <c r="BT647" s="96" t="n"/>
      <c r="BU647" s="97" t="n"/>
      <c r="BV647" s="96" t="n"/>
      <c r="BW647" s="97" t="n"/>
      <c r="BX647" s="97" t="n"/>
      <c r="BY647" s="97" t="n"/>
      <c r="BZ647" s="97" t="n"/>
      <c r="CH647" s="2" t="n"/>
      <c r="CI647" s="14" t="n"/>
      <c r="CJ647" s="25" t="n"/>
      <c r="CK647" s="25" t="n"/>
      <c r="CL647" s="25" t="n"/>
      <c r="CM647" s="25" t="n"/>
      <c r="CN647" s="25" t="n"/>
      <c r="CO647" s="25" t="n"/>
      <c r="CP647" s="25" t="n"/>
      <c r="CQ647" s="25" t="n"/>
      <c r="CR647" s="25" t="n"/>
      <c r="CS647" s="25" t="n"/>
      <c r="CT647" s="25" t="n"/>
      <c r="CU647" s="25" t="n"/>
      <c r="CV647" s="25" t="n"/>
      <c r="CW647" s="25" t="n"/>
      <c r="CX647" s="25" t="n"/>
      <c r="CY647" s="25" t="n"/>
      <c r="DC647" s="26" t="n"/>
      <c r="DD647" s="26" t="n"/>
      <c r="DE647" s="26" t="n"/>
      <c r="DF647" s="26" t="n"/>
      <c r="DG647" s="26" t="n"/>
      <c r="DH647" s="27" t="n"/>
      <c r="DJ647" s="238" t="inlineStr">
        <is>
          <t>✓ 金额一致</t>
        </is>
      </c>
      <c r="DK647" t="inlineStr">
        <is>
          <t>2629.60</t>
        </is>
      </c>
      <c r="DL647" s="239" t="n">
        <v>0</v>
      </c>
    </row>
    <row r="648" ht="15.75" customHeight="1" s="187">
      <c r="A648" s="84" t="n">
        <v>46120</v>
      </c>
      <c r="B648" s="226" t="n"/>
      <c r="C648" s="86" t="inlineStr">
        <is>
          <t>4502252772196043049</t>
        </is>
      </c>
      <c r="D648" s="110" t="inlineStr">
        <is>
          <t>刘先生</t>
        </is>
      </c>
      <c r="E648" s="87" t="n"/>
      <c r="F648" s="87" t="n"/>
      <c r="G648" s="87" t="inlineStr">
        <is>
          <t>2.1洞石柜，需要拆装，电梯高2米；发货前请视频确认板材质量，不要带大疤的</t>
        </is>
      </c>
      <c r="H648" s="87" t="inlineStr">
        <is>
          <t>洞石柜</t>
        </is>
      </c>
      <c r="I648" s="89" t="n"/>
      <c r="J648" s="87" t="n"/>
      <c r="K648" s="87" t="inlineStr">
        <is>
          <t>江西</t>
        </is>
      </c>
      <c r="L648" s="216" t="n"/>
      <c r="M648" s="216" t="n"/>
      <c r="N648" s="216" t="n"/>
      <c r="O648" s="216" t="n"/>
      <c r="P648" s="216" t="n"/>
      <c r="Q648" s="216" t="n"/>
      <c r="R648" s="216" t="n">
        <v>680</v>
      </c>
      <c r="S648" s="216" t="n"/>
      <c r="T648" s="216" t="n">
        <v>31</v>
      </c>
      <c r="U648" s="216" t="n"/>
      <c r="V648" s="216" t="n"/>
      <c r="W648" s="216" t="n"/>
      <c r="X648" s="216" t="n"/>
      <c r="Y648" s="216" t="n"/>
      <c r="Z648" s="216" t="n"/>
      <c r="AA648" s="216" t="n"/>
      <c r="AB648" s="216" t="n"/>
      <c r="AC648" s="216" t="n"/>
      <c r="AD648" s="216" t="n"/>
      <c r="AE648" s="216" t="n"/>
      <c r="AF648" s="216" t="n"/>
      <c r="AG648" s="216" t="n"/>
      <c r="AH648" s="216" t="n"/>
      <c r="AI648" s="216" t="n"/>
      <c r="AJ648" s="216" t="n"/>
      <c r="AK648" s="216" t="n"/>
      <c r="AL648" s="216" t="n"/>
      <c r="AM648" s="207" t="n"/>
      <c r="AN648" s="207" t="n"/>
      <c r="AO648" s="207" t="n"/>
      <c r="AP648" s="207" t="n"/>
      <c r="AQ648" s="207" t="n"/>
      <c r="AR648" s="207" t="n"/>
      <c r="AS648" s="207" t="n"/>
      <c r="AT648" s="207" t="n"/>
      <c r="AU648" s="207" t="n"/>
      <c r="AV648" s="207" t="n"/>
      <c r="AW648" s="207" t="n"/>
      <c r="AX648" s="208" t="n">
        <v>1</v>
      </c>
      <c r="AY648" s="209">
        <f>L648*AX648+AP648+AQ648+AR648+AV648+AW648+AS648+AT648+AU648</f>
        <v/>
      </c>
      <c r="AZ648" s="207" t="n">
        <v>12235.71</v>
      </c>
      <c r="BA648" s="207" t="n">
        <v>0</v>
      </c>
      <c r="BB648" s="207">
        <f>AZ648*0.006</f>
        <v/>
      </c>
      <c r="BC648" s="209">
        <f>AZ648+BA648-BB648</f>
        <v/>
      </c>
      <c r="BD648" s="207" t="n">
        <v>0</v>
      </c>
      <c r="BE648" s="207" t="n">
        <v>0</v>
      </c>
      <c r="BF648" s="209" t="n"/>
      <c r="BG648" s="209" t="n"/>
      <c r="BH648" s="87" t="inlineStr">
        <is>
          <t>刘先生</t>
        </is>
      </c>
      <c r="BI648" s="210" t="inlineStr">
        <is>
          <t>广东省 珠海市 香洲区 南屏镇广通物流园德邦快递轉澳門63537461劉先生</t>
        </is>
      </c>
      <c r="BJ648" s="86" t="inlineStr">
        <is>
          <t>18466385061-8626</t>
        </is>
      </c>
      <c r="BK648" s="86" t="n"/>
      <c r="BL648" s="210" t="n"/>
      <c r="BM648" s="93" t="n"/>
      <c r="BN648" s="94" t="n"/>
      <c r="BO648" s="93" t="n"/>
      <c r="BP648" s="86" t="n"/>
      <c r="BQ648" s="96" t="n"/>
      <c r="BR648" s="96" t="n"/>
      <c r="BS648" s="97" t="n"/>
      <c r="BT648" s="96" t="n"/>
      <c r="BU648" s="97" t="n"/>
      <c r="BV648" s="96" t="n"/>
      <c r="BW648" s="97" t="n"/>
      <c r="BX648" s="97" t="n"/>
      <c r="BY648" s="97" t="n"/>
      <c r="BZ648" s="97" t="n"/>
      <c r="CH648" s="2" t="n"/>
      <c r="CI648" s="14" t="n"/>
      <c r="CJ648" s="25" t="n"/>
      <c r="CK648" s="25" t="n"/>
      <c r="CL648" s="25" t="n"/>
      <c r="CM648" s="25" t="n"/>
      <c r="CN648" s="25" t="n"/>
      <c r="CO648" s="25" t="n"/>
      <c r="CP648" s="25" t="n"/>
      <c r="CQ648" s="25" t="n"/>
      <c r="CR648" s="25" t="n"/>
      <c r="CS648" s="25" t="n"/>
      <c r="CT648" s="25" t="n"/>
      <c r="CU648" s="25" t="n"/>
      <c r="CV648" s="25" t="n"/>
      <c r="CW648" s="25" t="n"/>
      <c r="CX648" s="25" t="n"/>
      <c r="CY648" s="25" t="n"/>
      <c r="DC648" s="26" t="n"/>
      <c r="DD648" s="26" t="n"/>
      <c r="DE648" s="26" t="n"/>
      <c r="DF648" s="26" t="n"/>
      <c r="DG648" s="26" t="n"/>
      <c r="DH648" s="27" t="n"/>
      <c r="DJ648" s="238" t="inlineStr">
        <is>
          <t>✓ 金额一致</t>
        </is>
      </c>
      <c r="DK648" t="inlineStr">
        <is>
          <t>12235.71</t>
        </is>
      </c>
      <c r="DL648" s="239" t="n">
        <v>0</v>
      </c>
    </row>
    <row r="649" ht="15.75" customHeight="1" s="187">
      <c r="A649" s="84" t="n">
        <v>45966</v>
      </c>
      <c r="B649" s="226" t="n"/>
      <c r="C649" s="86" t="inlineStr">
        <is>
          <t>3043347061134373655</t>
        </is>
      </c>
      <c r="D649" s="110" t="inlineStr">
        <is>
          <t>孙小力</t>
        </is>
      </c>
      <c r="E649" s="87" t="n"/>
      <c r="F649" s="87" t="n"/>
      <c r="G649" s="87" t="inlineStr">
        <is>
          <t>榉木2.1米整柜+1.6米单腿餐桌</t>
        </is>
      </c>
      <c r="H649" s="87" t="inlineStr">
        <is>
          <t>旋转柜</t>
        </is>
      </c>
      <c r="I649" s="89" t="n"/>
      <c r="J649" s="87" t="n"/>
      <c r="K649" s="87" t="inlineStr">
        <is>
          <t>江西</t>
        </is>
      </c>
      <c r="L649" s="216" t="n"/>
      <c r="M649" s="216" t="n"/>
      <c r="N649" s="216" t="n"/>
      <c r="O649" s="216" t="n"/>
      <c r="P649" s="216" t="n"/>
      <c r="Q649" s="216" t="n"/>
      <c r="R649" s="216" t="n">
        <v>260</v>
      </c>
      <c r="S649" s="216" t="n"/>
      <c r="T649" s="216" t="n">
        <v>31</v>
      </c>
      <c r="U649" s="216" t="n"/>
      <c r="V649" s="216" t="n"/>
      <c r="W649" s="216" t="n"/>
      <c r="X649" s="216" t="n"/>
      <c r="Y649" s="216" t="n"/>
      <c r="Z649" s="216" t="n"/>
      <c r="AA649" s="216" t="n"/>
      <c r="AB649" s="216" t="n"/>
      <c r="AC649" s="216" t="n"/>
      <c r="AD649" s="216" t="n"/>
      <c r="AE649" s="216" t="n"/>
      <c r="AF649" s="216" t="n"/>
      <c r="AG649" s="216" t="n"/>
      <c r="AH649" s="216" t="n"/>
      <c r="AI649" s="216" t="n"/>
      <c r="AJ649" s="216" t="n"/>
      <c r="AK649" s="216" t="n"/>
      <c r="AL649" s="216" t="n"/>
      <c r="AM649" s="207" t="n"/>
      <c r="AN649" s="207" t="n"/>
      <c r="AO649" s="207" t="n"/>
      <c r="AP649" s="207" t="n"/>
      <c r="AQ649" s="207" t="n"/>
      <c r="AR649" s="207" t="n"/>
      <c r="AS649" s="207" t="n"/>
      <c r="AT649" s="207" t="n"/>
      <c r="AU649" s="207" t="n"/>
      <c r="AV649" s="207" t="n"/>
      <c r="AW649" s="207" t="n"/>
      <c r="AX649" s="208" t="n"/>
      <c r="AY649" s="209" t="n"/>
      <c r="AZ649" s="207" t="n"/>
      <c r="BA649" s="207" t="n">
        <v>0</v>
      </c>
      <c r="BB649" s="207">
        <f>AZ649*0.006</f>
        <v/>
      </c>
      <c r="BC649" s="209">
        <f>AZ649+BA649-BB649</f>
        <v/>
      </c>
      <c r="BD649" s="207" t="n">
        <v>0</v>
      </c>
      <c r="BE649" s="207" t="n">
        <v>0</v>
      </c>
      <c r="BF649" s="209" t="n"/>
      <c r="BG649" s="209" t="n"/>
      <c r="BH649" s="87" t="n"/>
      <c r="BI649" s="210" t="n"/>
      <c r="BJ649" s="86" t="n"/>
      <c r="BK649" s="86" t="n"/>
      <c r="BL649" s="210" t="n"/>
      <c r="BM649" s="93" t="n"/>
      <c r="BN649" s="94" t="n"/>
      <c r="BO649" s="93" t="n"/>
      <c r="BP649" s="86" t="n"/>
      <c r="BQ649" s="96" t="n"/>
      <c r="BR649" s="96" t="n"/>
      <c r="BS649" s="97" t="n"/>
      <c r="BT649" s="96" t="n"/>
      <c r="BU649" s="97" t="n"/>
      <c r="BV649" s="96" t="n"/>
      <c r="BW649" s="97" t="n"/>
      <c r="BX649" s="97" t="n"/>
      <c r="BY649" s="97" t="n"/>
      <c r="BZ649" s="97" t="n"/>
      <c r="CH649" s="2" t="n"/>
      <c r="CI649" s="14" t="n"/>
      <c r="CJ649" s="25" t="n"/>
      <c r="CK649" s="25" t="n"/>
      <c r="CL649" s="25" t="n"/>
      <c r="CM649" s="25" t="n"/>
      <c r="CN649" s="25" t="n"/>
      <c r="CO649" s="25" t="n"/>
      <c r="CP649" s="25" t="n"/>
      <c r="CQ649" s="25" t="n"/>
      <c r="CR649" s="25" t="n"/>
      <c r="CS649" s="25" t="n"/>
      <c r="CT649" s="25" t="n"/>
      <c r="CU649" s="25" t="n"/>
      <c r="CV649" s="25" t="n"/>
      <c r="CW649" s="25" t="n"/>
      <c r="CX649" s="25" t="n"/>
      <c r="CY649" s="25" t="n"/>
      <c r="DC649" s="26" t="n"/>
      <c r="DD649" s="26" t="n"/>
      <c r="DE649" s="26" t="n"/>
      <c r="DF649" s="26" t="n"/>
      <c r="DG649" s="26" t="n"/>
      <c r="DH649" s="27" t="n"/>
      <c r="DJ649" s="211" t="inlineStr">
        <is>
          <t>订单表中未找到</t>
        </is>
      </c>
      <c r="DK649" t="inlineStr">
        <is>
          <t>—</t>
        </is>
      </c>
      <c r="DL649" t="inlineStr">
        <is>
          <t>—</t>
        </is>
      </c>
    </row>
    <row r="650" ht="15.75" customHeight="1" s="187">
      <c r="A650" s="84" t="n">
        <v>46124</v>
      </c>
      <c r="B650" s="226" t="n"/>
      <c r="C650" s="86" t="inlineStr">
        <is>
          <t>4502277614107110819</t>
        </is>
      </c>
      <c r="D650" s="110" t="inlineStr">
        <is>
          <t>王玉</t>
        </is>
      </c>
      <c r="E650" s="87" t="n"/>
      <c r="F650" s="87" t="n"/>
      <c r="G650" s="87" t="inlineStr">
        <is>
          <t>0.8米洞石窄柜</t>
        </is>
      </c>
      <c r="H650" s="87" t="inlineStr">
        <is>
          <t>窄柜</t>
        </is>
      </c>
      <c r="I650" s="89" t="n"/>
      <c r="J650" s="87" t="n"/>
      <c r="K650" s="87" t="inlineStr">
        <is>
          <t>江西</t>
        </is>
      </c>
      <c r="L650" s="216" t="n"/>
      <c r="M650" s="216" t="n"/>
      <c r="N650" s="216" t="n">
        <v>307.08</v>
      </c>
      <c r="O650" s="216" t="n"/>
      <c r="P650" s="216" t="n"/>
      <c r="Q650" s="216" t="n"/>
      <c r="R650" s="216" t="n">
        <v>160</v>
      </c>
      <c r="S650" s="216" t="n"/>
      <c r="T650" s="216" t="n">
        <v>31</v>
      </c>
      <c r="U650" s="216" t="n"/>
      <c r="V650" s="216" t="n"/>
      <c r="W650" s="216" t="n"/>
      <c r="X650" s="216" t="n">
        <v>18</v>
      </c>
      <c r="Y650" s="216" t="n"/>
      <c r="Z650" s="216" t="n"/>
      <c r="AA650" s="216" t="n"/>
      <c r="AB650" s="216" t="n"/>
      <c r="AC650" s="216" t="n"/>
      <c r="AD650" s="216" t="n"/>
      <c r="AE650" s="216" t="n"/>
      <c r="AF650" s="216" t="n"/>
      <c r="AG650" s="216" t="n"/>
      <c r="AH650" s="216" t="n"/>
      <c r="AI650" s="216" t="n"/>
      <c r="AJ650" s="216" t="n"/>
      <c r="AK650" s="216" t="n"/>
      <c r="AL650" s="216" t="n"/>
      <c r="AM650" s="207" t="n"/>
      <c r="AN650" s="207" t="n"/>
      <c r="AO650" s="207" t="n"/>
      <c r="AP650" s="207" t="n"/>
      <c r="AQ650" s="207" t="n"/>
      <c r="AR650" s="207" t="n"/>
      <c r="AS650" s="207" t="n"/>
      <c r="AT650" s="207" t="n"/>
      <c r="AU650" s="207" t="n"/>
      <c r="AV650" s="207" t="n"/>
      <c r="AW650" s="207" t="n"/>
      <c r="AX650" s="208" t="n">
        <v>1</v>
      </c>
      <c r="AY650" s="209">
        <f>L650*AX650+AP650+AQ650+AR650+AV650+AW650+AS650+AT650+AU650</f>
        <v/>
      </c>
      <c r="AZ650" s="207" t="n">
        <v>14277.21</v>
      </c>
      <c r="BA650" s="207" t="n">
        <v>0</v>
      </c>
      <c r="BB650" s="207">
        <f>AZ650*0.006</f>
        <v/>
      </c>
      <c r="BC650" s="209">
        <f>AZ650+BA650-BB650</f>
        <v/>
      </c>
      <c r="BD650" s="207" t="n">
        <v>0</v>
      </c>
      <c r="BE650" s="207" t="n">
        <v>0</v>
      </c>
      <c r="BF650" s="209" t="n"/>
      <c r="BG650" s="209" t="n"/>
      <c r="BH650" s="87" t="inlineStr">
        <is>
          <t>王玉</t>
        </is>
      </c>
      <c r="BI650" s="210" t="inlineStr">
        <is>
          <t>福建省 泉州市 鲤城区 浮桥街道新延路与规划三路交叉口北180米，源昌江南城18栋1502</t>
        </is>
      </c>
      <c r="BJ650" s="86" t="inlineStr">
        <is>
          <t>18480177875-6371</t>
        </is>
      </c>
      <c r="BK650" s="86" t="n"/>
      <c r="BL650" s="210" t="n"/>
      <c r="BM650" s="93" t="n"/>
      <c r="BN650" s="94" t="n"/>
      <c r="BO650" s="93" t="n"/>
      <c r="BP650" s="86" t="n"/>
      <c r="BQ650" s="96" t="n"/>
      <c r="BR650" s="96" t="n"/>
      <c r="BS650" s="97" t="n"/>
      <c r="BT650" s="96" t="n"/>
      <c r="BU650" s="97" t="n"/>
      <c r="BV650" s="96" t="n"/>
      <c r="BW650" s="97" t="n"/>
      <c r="BX650" s="97" t="n"/>
      <c r="BY650" s="97" t="n"/>
      <c r="BZ650" s="97" t="n"/>
      <c r="CH650" s="2" t="n"/>
      <c r="CI650" s="14" t="n"/>
      <c r="CJ650" s="25" t="n"/>
      <c r="CK650" s="25" t="n"/>
      <c r="CL650" s="25" t="n"/>
      <c r="CM650" s="25" t="n"/>
      <c r="CN650" s="25" t="n"/>
      <c r="CO650" s="25" t="n"/>
      <c r="CP650" s="25" t="n"/>
      <c r="CQ650" s="25" t="n"/>
      <c r="CR650" s="25" t="n"/>
      <c r="CS650" s="25" t="n"/>
      <c r="CT650" s="25" t="n"/>
      <c r="CU650" s="25" t="n"/>
      <c r="CV650" s="25" t="n"/>
      <c r="CW650" s="25" t="n"/>
      <c r="CX650" s="25" t="n"/>
      <c r="CY650" s="25" t="n"/>
      <c r="DC650" s="26" t="n"/>
      <c r="DD650" s="26" t="n"/>
      <c r="DE650" s="26" t="n"/>
      <c r="DF650" s="26" t="n"/>
      <c r="DG650" s="26" t="n"/>
      <c r="DH650" s="27" t="n"/>
      <c r="DJ650" s="211" t="inlineStr">
        <is>
          <t>订单表中未找到</t>
        </is>
      </c>
      <c r="DK650" t="inlineStr">
        <is>
          <t>—</t>
        </is>
      </c>
      <c r="DL650" t="inlineStr">
        <is>
          <t>—</t>
        </is>
      </c>
    </row>
    <row r="651" ht="15.75" customHeight="1" s="187">
      <c r="A651" s="84" t="n">
        <v>46124</v>
      </c>
      <c r="B651" s="226" t="n"/>
      <c r="C651" s="86" t="inlineStr">
        <is>
          <t>4502277614107110819</t>
        </is>
      </c>
      <c r="D651" s="110" t="inlineStr">
        <is>
          <t>王玉</t>
        </is>
      </c>
      <c r="E651" s="87" t="n"/>
      <c r="F651" s="87" t="n"/>
      <c r="G651" s="87" t="inlineStr">
        <is>
          <t>1.5米AA柱基础柜</t>
        </is>
      </c>
      <c r="H651" s="87" t="inlineStr">
        <is>
          <t>基础柜</t>
        </is>
      </c>
      <c r="I651" s="89" t="n"/>
      <c r="J651" s="87" t="n"/>
      <c r="K651" s="87" t="inlineStr">
        <is>
          <t>江西</t>
        </is>
      </c>
      <c r="L651" s="216" t="n"/>
      <c r="M651" s="216" t="n"/>
      <c r="N651" s="216" t="n"/>
      <c r="O651" s="216" t="n"/>
      <c r="P651" s="216" t="n"/>
      <c r="Q651" s="216" t="n"/>
      <c r="R651" s="216" t="n">
        <v>240</v>
      </c>
      <c r="S651" s="216" t="n"/>
      <c r="T651" s="216" t="n">
        <v>31</v>
      </c>
      <c r="U651" s="216" t="n"/>
      <c r="V651" s="216" t="n"/>
      <c r="W651" s="216" t="n"/>
      <c r="X651" s="216" t="n"/>
      <c r="Y651" s="216" t="n"/>
      <c r="Z651" s="216" t="n"/>
      <c r="AA651" s="216" t="n"/>
      <c r="AB651" s="216" t="n"/>
      <c r="AC651" s="216" t="n"/>
      <c r="AD651" s="216" t="n"/>
      <c r="AE651" s="216" t="n"/>
      <c r="AF651" s="216" t="n"/>
      <c r="AG651" s="216" t="n"/>
      <c r="AH651" s="216" t="n"/>
      <c r="AI651" s="216" t="n"/>
      <c r="AJ651" s="216" t="n"/>
      <c r="AK651" s="216" t="n"/>
      <c r="AL651" s="216" t="n"/>
      <c r="AM651" s="207" t="n"/>
      <c r="AN651" s="207" t="n"/>
      <c r="AO651" s="207" t="n"/>
      <c r="AP651" s="207" t="n"/>
      <c r="AQ651" s="207" t="n"/>
      <c r="AR651" s="207" t="n"/>
      <c r="AS651" s="207" t="n"/>
      <c r="AT651" s="207" t="n"/>
      <c r="AU651" s="207" t="n"/>
      <c r="AV651" s="207" t="n"/>
      <c r="AW651" s="207" t="n"/>
      <c r="AX651" s="208" t="n">
        <v>1</v>
      </c>
      <c r="AY651" s="209">
        <f>L651*AX651+AP651+AQ651+AR651+AV651+AW651+AS651+AT651+AU651</f>
        <v/>
      </c>
      <c r="AZ651" s="207" t="n">
        <v>14277.21</v>
      </c>
      <c r="BA651" s="207" t="n">
        <v>0</v>
      </c>
      <c r="BB651" s="207">
        <f>AZ651*0.006</f>
        <v/>
      </c>
      <c r="BC651" s="209">
        <f>AZ651+BA651-BB651</f>
        <v/>
      </c>
      <c r="BD651" s="207" t="n">
        <v>0</v>
      </c>
      <c r="BE651" s="207" t="n">
        <v>0</v>
      </c>
      <c r="BF651" s="209" t="n"/>
      <c r="BG651" s="209" t="n"/>
      <c r="BH651" s="87" t="inlineStr">
        <is>
          <t>王玉</t>
        </is>
      </c>
      <c r="BI651" s="210" t="inlineStr">
        <is>
          <t>福建省 泉州市 鲤城区 浮桥街道新延路与规划三路交叉口北180米，源昌江南城18栋1502</t>
        </is>
      </c>
      <c r="BJ651" s="86" t="inlineStr">
        <is>
          <t>18480177875-6371</t>
        </is>
      </c>
      <c r="BK651" s="86" t="n"/>
      <c r="BL651" s="210" t="n"/>
      <c r="BM651" s="93" t="n"/>
      <c r="BN651" s="94" t="n"/>
      <c r="BO651" s="93" t="n"/>
      <c r="BP651" s="86" t="n"/>
      <c r="BQ651" s="96" t="n"/>
      <c r="BR651" s="96" t="n"/>
      <c r="BS651" s="97" t="n"/>
      <c r="BT651" s="96" t="n"/>
      <c r="BU651" s="97" t="n"/>
      <c r="BV651" s="96" t="n"/>
      <c r="BW651" s="97" t="n"/>
      <c r="BX651" s="97" t="n"/>
      <c r="BY651" s="97" t="n"/>
      <c r="BZ651" s="97" t="n"/>
      <c r="CH651" s="2" t="n"/>
      <c r="CI651" s="14" t="n"/>
      <c r="CJ651" s="25" t="n"/>
      <c r="CK651" s="25" t="n"/>
      <c r="CL651" s="25" t="n"/>
      <c r="CM651" s="25" t="n"/>
      <c r="CN651" s="25" t="n"/>
      <c r="CO651" s="25" t="n"/>
      <c r="CP651" s="25" t="n"/>
      <c r="CQ651" s="25" t="n"/>
      <c r="CR651" s="25" t="n"/>
      <c r="CS651" s="25" t="n"/>
      <c r="CT651" s="25" t="n"/>
      <c r="CU651" s="25" t="n"/>
      <c r="CV651" s="25" t="n"/>
      <c r="CW651" s="25" t="n"/>
      <c r="CX651" s="25" t="n"/>
      <c r="CY651" s="25" t="n"/>
      <c r="DC651" s="26" t="n"/>
      <c r="DD651" s="26" t="n"/>
      <c r="DE651" s="26" t="n"/>
      <c r="DF651" s="26" t="n"/>
      <c r="DG651" s="26" t="n"/>
      <c r="DH651" s="27" t="n"/>
      <c r="DJ651" s="211" t="inlineStr">
        <is>
          <t>订单表中未找到</t>
        </is>
      </c>
      <c r="DK651" t="inlineStr">
        <is>
          <t>—</t>
        </is>
      </c>
      <c r="DL651" t="inlineStr">
        <is>
          <t>—</t>
        </is>
      </c>
    </row>
    <row r="652" ht="15.75" customHeight="1" s="187">
      <c r="A652" s="84" t="n">
        <v>46122</v>
      </c>
      <c r="B652" s="226" t="inlineStr">
        <is>
          <t>已发</t>
        </is>
      </c>
      <c r="C652" s="86" t="inlineStr">
        <is>
          <t>2701837345019001767</t>
        </is>
      </c>
      <c r="D652" s="110" t="inlineStr">
        <is>
          <t>活活</t>
        </is>
      </c>
      <c r="E652" s="87" t="n"/>
      <c r="F652" s="87" t="n"/>
      <c r="G652" s="87" t="inlineStr">
        <is>
          <t>基础柜地脚</t>
        </is>
      </c>
      <c r="H652" s="87" t="inlineStr">
        <is>
          <t>地脚</t>
        </is>
      </c>
      <c r="I652" s="89" t="n"/>
      <c r="J652" s="87" t="n"/>
      <c r="K652" s="87" t="inlineStr">
        <is>
          <t>江西</t>
        </is>
      </c>
      <c r="L652" s="216" t="n"/>
      <c r="M652" s="216" t="n"/>
      <c r="N652" s="216" t="n"/>
      <c r="O652" s="216" t="n"/>
      <c r="P652" s="216" t="n"/>
      <c r="Q652" s="216" t="n"/>
      <c r="R652" s="216" t="n"/>
      <c r="S652" s="216" t="n"/>
      <c r="T652" s="216" t="n"/>
      <c r="U652" s="216" t="n"/>
      <c r="V652" s="216" t="n"/>
      <c r="W652" s="216" t="n"/>
      <c r="X652" s="216" t="n"/>
      <c r="Y652" s="216" t="n"/>
      <c r="Z652" s="216" t="n"/>
      <c r="AA652" s="216" t="n"/>
      <c r="AB652" s="216" t="n"/>
      <c r="AC652" s="216" t="n"/>
      <c r="AD652" s="216" t="n"/>
      <c r="AE652" s="216" t="n"/>
      <c r="AF652" s="216" t="n"/>
      <c r="AG652" s="216" t="n"/>
      <c r="AH652" s="216" t="n"/>
      <c r="AI652" s="216" t="n"/>
      <c r="AJ652" s="216" t="n"/>
      <c r="AK652" s="216" t="n"/>
      <c r="AL652" s="216" t="n"/>
      <c r="AM652" s="207" t="n"/>
      <c r="AN652" s="207" t="n"/>
      <c r="AO652" s="207" t="n"/>
      <c r="AP652" s="207" t="n"/>
      <c r="AQ652" s="207" t="n"/>
      <c r="AR652" s="207" t="n"/>
      <c r="AS652" s="207" t="n"/>
      <c r="AT652" s="207" t="n"/>
      <c r="AU652" s="207" t="n"/>
      <c r="AV652" s="207" t="n"/>
      <c r="AW652" s="207" t="n"/>
      <c r="AX652" s="208" t="n">
        <v>1</v>
      </c>
      <c r="AY652" s="209">
        <f>L652*AX652+AP652+AQ652+AR652+AV652+AW652+AS652+AT652+AU652</f>
        <v/>
      </c>
      <c r="AZ652" s="207" t="n">
        <v>146</v>
      </c>
      <c r="BA652" s="207" t="n">
        <v>0</v>
      </c>
      <c r="BB652" s="207">
        <f>AZ652*0.006</f>
        <v/>
      </c>
      <c r="BC652" s="209">
        <f>AZ652+BA652-BB652</f>
        <v/>
      </c>
      <c r="BD652" s="207" t="n">
        <v>0</v>
      </c>
      <c r="BE652" s="207" t="n">
        <v>0</v>
      </c>
      <c r="BF652" s="209" t="n"/>
      <c r="BG652" s="209" t="n"/>
      <c r="BH652" s="87" t="inlineStr">
        <is>
          <t>活活</t>
        </is>
      </c>
      <c r="BI652" s="210" t="inlineStr">
        <is>
          <t>广东省 广州市 番禺区 东环街道广州番禺东环街</t>
        </is>
      </c>
      <c r="BJ652" s="86" t="inlineStr">
        <is>
          <t>14745258928-9459，</t>
        </is>
      </c>
      <c r="BK652" s="86" t="n"/>
      <c r="BL652" s="210" t="n"/>
      <c r="BM652" s="93" t="n"/>
      <c r="BN652" s="94" t="n"/>
      <c r="BO652" s="93" t="n"/>
      <c r="BP652" s="86" t="n"/>
      <c r="BQ652" s="96" t="n"/>
      <c r="BR652" s="96" t="n"/>
      <c r="BS652" s="97" t="n"/>
      <c r="BT652" s="96" t="n"/>
      <c r="BU652" s="97" t="n"/>
      <c r="BV652" s="96" t="n"/>
      <c r="BW652" s="97" t="n"/>
      <c r="BX652" s="97" t="n"/>
      <c r="BY652" s="97" t="n"/>
      <c r="BZ652" s="97" t="n"/>
      <c r="CH652" s="2" t="n"/>
      <c r="CI652" s="14" t="n"/>
      <c r="CJ652" s="25" t="n"/>
      <c r="CK652" s="25" t="n"/>
      <c r="CL652" s="25" t="n"/>
      <c r="CM652" s="25" t="n"/>
      <c r="CN652" s="25" t="n"/>
      <c r="CO652" s="25" t="n"/>
      <c r="CP652" s="25" t="n"/>
      <c r="CQ652" s="25" t="n"/>
      <c r="CR652" s="25" t="n"/>
      <c r="CS652" s="25" t="n"/>
      <c r="CT652" s="25" t="n"/>
      <c r="CU652" s="25" t="n"/>
      <c r="CV652" s="25" t="n"/>
      <c r="CW652" s="25" t="n"/>
      <c r="CX652" s="25" t="n"/>
      <c r="CY652" s="25" t="n"/>
      <c r="DC652" s="26" t="n"/>
      <c r="DD652" s="26" t="n"/>
      <c r="DE652" s="26" t="n"/>
      <c r="DF652" s="26" t="n"/>
      <c r="DG652" s="26" t="n"/>
      <c r="DH652" s="27" t="n"/>
      <c r="DJ652" s="241" t="inlineStr">
        <is>
          <t>✗ 金额不符</t>
        </is>
      </c>
      <c r="DK652" t="inlineStr">
        <is>
          <t>139.55</t>
        </is>
      </c>
      <c r="DL652" s="239" t="n">
        <v>6.45</v>
      </c>
      <c r="DM652" s="241" t="inlineStr">
        <is>
          <t>买家应付金额不一致，差额+6.45元（订单表139.55 vs 佳宝146，疑似改价/补邮费/上楼费等手工调整，需人工核对）</t>
        </is>
      </c>
    </row>
    <row r="653" ht="15.75" customHeight="1" s="187">
      <c r="A653" s="84" t="n">
        <v>46127</v>
      </c>
      <c r="B653" s="226" t="inlineStr">
        <is>
          <t>已发</t>
        </is>
      </c>
      <c r="C653" s="86" t="inlineStr">
        <is>
          <t>4502300401005030412</t>
        </is>
      </c>
      <c r="D653" s="110" t="inlineStr">
        <is>
          <t>子贤</t>
        </is>
      </c>
      <c r="E653" s="87" t="n"/>
      <c r="F653" s="87" t="n"/>
      <c r="G653" s="87" t="inlineStr">
        <is>
          <t>1.35*0.6洞石岩板</t>
        </is>
      </c>
      <c r="H653" s="87" t="inlineStr">
        <is>
          <t>榉木餐桌</t>
        </is>
      </c>
      <c r="I653" s="89" t="n"/>
      <c r="J653" s="87" t="n"/>
      <c r="K653" s="87" t="inlineStr">
        <is>
          <t>江西</t>
        </is>
      </c>
      <c r="L653" s="216" t="n"/>
      <c r="M653" s="216" t="n"/>
      <c r="N653" s="216" t="n"/>
      <c r="O653" s="216" t="n"/>
      <c r="P653" s="216" t="n"/>
      <c r="Q653" s="216" t="n"/>
      <c r="R653" s="216" t="n">
        <v>320</v>
      </c>
      <c r="S653" s="216" t="n"/>
      <c r="T653" s="216" t="n"/>
      <c r="U653" s="216" t="n"/>
      <c r="V653" s="216" t="n"/>
      <c r="W653" s="216" t="n"/>
      <c r="X653" s="216" t="n"/>
      <c r="Y653" s="216" t="n"/>
      <c r="Z653" s="216" t="n"/>
      <c r="AA653" s="216" t="n"/>
      <c r="AB653" s="216" t="n"/>
      <c r="AC653" s="216" t="n"/>
      <c r="AD653" s="216" t="n"/>
      <c r="AE653" s="216" t="n"/>
      <c r="AF653" s="216" t="n"/>
      <c r="AG653" s="216" t="n"/>
      <c r="AH653" s="216" t="n"/>
      <c r="AI653" s="216" t="n"/>
      <c r="AJ653" s="216" t="n"/>
      <c r="AK653" s="216" t="n"/>
      <c r="AL653" s="216" t="n"/>
      <c r="AM653" s="207" t="n"/>
      <c r="AN653" s="207" t="n"/>
      <c r="AO653" s="207" t="n"/>
      <c r="AP653" s="207" t="n"/>
      <c r="AQ653" s="207" t="n"/>
      <c r="AR653" s="207" t="n"/>
      <c r="AS653" s="207" t="n"/>
      <c r="AT653" s="207" t="n"/>
      <c r="AU653" s="207" t="n"/>
      <c r="AV653" s="207" t="n"/>
      <c r="AW653" s="207" t="n"/>
      <c r="AX653" s="208" t="n">
        <v>1</v>
      </c>
      <c r="AY653" s="209">
        <f>L653*AX653+AP653+AQ653+AR653+AV653+AW653+AS653+AT653+AU653</f>
        <v/>
      </c>
      <c r="AZ653" s="207" t="n">
        <v>2739</v>
      </c>
      <c r="BA653" s="207" t="n">
        <v>0</v>
      </c>
      <c r="BB653" s="207">
        <f>AZ653*0.006</f>
        <v/>
      </c>
      <c r="BC653" s="209">
        <f>AZ653+BA653-BB653</f>
        <v/>
      </c>
      <c r="BD653" s="207" t="n">
        <v>0</v>
      </c>
      <c r="BE653" s="207" t="n">
        <v>0</v>
      </c>
      <c r="BF653" s="209" t="n"/>
      <c r="BG653" s="209" t="n"/>
      <c r="BH653" s="87" t="inlineStr">
        <is>
          <t>子贤</t>
        </is>
      </c>
      <c r="BI653" s="210" t="inlineStr">
        <is>
          <t>广东省 广州市 越秀区 登峰街道广园东路金贵村长腰岭三街二号801</t>
        </is>
      </c>
      <c r="BJ653" s="86" t="inlineStr">
        <is>
          <t>15710702774-5124</t>
        </is>
      </c>
      <c r="BK653" s="86" t="n"/>
      <c r="BL653" s="210" t="n"/>
      <c r="BM653" s="93" t="n"/>
      <c r="BN653" s="94" t="n"/>
      <c r="BO653" s="93" t="n"/>
      <c r="BP653" s="86" t="n"/>
      <c r="BQ653" s="96" t="n"/>
      <c r="BR653" s="96" t="n"/>
      <c r="BS653" s="97" t="n"/>
      <c r="BT653" s="96" t="n"/>
      <c r="BU653" s="97" t="n"/>
      <c r="BV653" s="96" t="n"/>
      <c r="BW653" s="97" t="n"/>
      <c r="BX653" s="97" t="n"/>
      <c r="BY653" s="97" t="n"/>
      <c r="BZ653" s="97" t="n"/>
      <c r="CH653" s="2" t="n"/>
      <c r="CI653" s="14" t="n"/>
      <c r="CJ653" s="25" t="n"/>
      <c r="CK653" s="25" t="n"/>
      <c r="CL653" s="25" t="n"/>
      <c r="CM653" s="25" t="n"/>
      <c r="CN653" s="25" t="n"/>
      <c r="CO653" s="25" t="n"/>
      <c r="CP653" s="25" t="n"/>
      <c r="CQ653" s="25" t="n"/>
      <c r="CR653" s="25" t="n"/>
      <c r="CS653" s="25" t="n"/>
      <c r="CT653" s="25" t="n"/>
      <c r="CU653" s="25" t="n"/>
      <c r="CV653" s="25" t="n"/>
      <c r="CW653" s="25" t="n"/>
      <c r="CX653" s="25" t="n"/>
      <c r="CY653" s="25" t="n"/>
      <c r="DC653" s="26" t="n"/>
      <c r="DD653" s="26" t="n"/>
      <c r="DE653" s="26" t="n"/>
      <c r="DF653" s="26" t="n"/>
      <c r="DG653" s="26" t="n"/>
      <c r="DH653" s="27" t="n"/>
      <c r="DJ653" s="238" t="inlineStr">
        <is>
          <t>✓ 金额一致</t>
        </is>
      </c>
      <c r="DK653" t="inlineStr">
        <is>
          <t>2739.00</t>
        </is>
      </c>
      <c r="DL653" s="239" t="n">
        <v>0</v>
      </c>
    </row>
    <row r="654" ht="15.75" customHeight="1" s="187">
      <c r="A654" s="84" t="n">
        <v>46127</v>
      </c>
      <c r="B654" s="226" t="inlineStr">
        <is>
          <t>已发</t>
        </is>
      </c>
      <c r="C654" s="86" t="inlineStr">
        <is>
          <t>4502289638016036132</t>
        </is>
      </c>
      <c r="D654" s="110" t="inlineStr">
        <is>
          <t>侯雨</t>
        </is>
      </c>
      <c r="E654" s="87" t="n"/>
      <c r="F654" s="87" t="n"/>
      <c r="G654" s="87" t="inlineStr">
        <is>
          <t>1米洞石窄柜</t>
        </is>
      </c>
      <c r="H654" s="87" t="inlineStr">
        <is>
          <t>窄柜</t>
        </is>
      </c>
      <c r="I654" s="89" t="n"/>
      <c r="J654" s="87" t="n"/>
      <c r="K654" s="87" t="inlineStr">
        <is>
          <t>江西</t>
        </is>
      </c>
      <c r="L654" s="216" t="n"/>
      <c r="M654" s="216" t="n"/>
      <c r="N654" s="216" t="n">
        <v>359.08</v>
      </c>
      <c r="O654" s="216" t="n"/>
      <c r="P654" s="216" t="n"/>
      <c r="Q654" s="216" t="n"/>
      <c r="R654" s="216" t="n">
        <v>190</v>
      </c>
      <c r="S654" s="216" t="n"/>
      <c r="T654" s="216" t="n">
        <v>31</v>
      </c>
      <c r="U654" s="216" t="n"/>
      <c r="V654" s="216" t="n"/>
      <c r="W654" s="216" t="n"/>
      <c r="X654" s="216" t="n">
        <v>18</v>
      </c>
      <c r="Y654" s="216" t="n"/>
      <c r="Z654" s="216" t="n"/>
      <c r="AA654" s="216" t="n"/>
      <c r="AB654" s="216" t="n"/>
      <c r="AC654" s="216" t="n"/>
      <c r="AD654" s="216" t="n"/>
      <c r="AE654" s="216" t="n"/>
      <c r="AF654" s="216" t="n"/>
      <c r="AG654" s="216" t="n"/>
      <c r="AH654" s="216" t="n"/>
      <c r="AI654" s="216" t="n"/>
      <c r="AJ654" s="216" t="n"/>
      <c r="AK654" s="216" t="n"/>
      <c r="AL654" s="216" t="n"/>
      <c r="AM654" s="207" t="n"/>
      <c r="AN654" s="207" t="n"/>
      <c r="AO654" s="207" t="n"/>
      <c r="AP654" s="207" t="n"/>
      <c r="AQ654" s="207" t="n"/>
      <c r="AR654" s="207" t="n"/>
      <c r="AS654" s="207" t="n"/>
      <c r="AT654" s="207" t="n"/>
      <c r="AU654" s="207" t="n"/>
      <c r="AV654" s="207" t="n"/>
      <c r="AW654" s="207" t="n"/>
      <c r="AX654" s="208" t="n">
        <v>1</v>
      </c>
      <c r="AY654" s="209">
        <f>L654*AX654+AP654+AQ654+AR654+AV654+AW654+AS654+AT654+AU654</f>
        <v/>
      </c>
      <c r="AZ654" s="207" t="n">
        <v>5620.6</v>
      </c>
      <c r="BA654" s="207" t="n">
        <v>0</v>
      </c>
      <c r="BB654" s="207">
        <f>AZ654*0.006</f>
        <v/>
      </c>
      <c r="BC654" s="209">
        <f>AZ654+BA654-BB654</f>
        <v/>
      </c>
      <c r="BD654" s="207" t="n">
        <v>0</v>
      </c>
      <c r="BE654" s="207" t="n">
        <v>0</v>
      </c>
      <c r="BF654" s="209" t="n"/>
      <c r="BG654" s="209" t="n"/>
      <c r="BH654" s="87" t="inlineStr">
        <is>
          <t>侯雨</t>
        </is>
      </c>
      <c r="BI654" s="210" t="inlineStr">
        <is>
          <t>山东省 青岛市 黄岛区 隐珠街道 黄岛区海景路398号28号楼1单元1204户</t>
        </is>
      </c>
      <c r="BJ654" s="86" t="inlineStr">
        <is>
          <t>18416726225-7041</t>
        </is>
      </c>
      <c r="BK654" s="86" t="n"/>
      <c r="BL654" s="210" t="n"/>
      <c r="BM654" s="93" t="n"/>
      <c r="BN654" s="94" t="n"/>
      <c r="BO654" s="93" t="n"/>
      <c r="BP654" s="86" t="n"/>
      <c r="BQ654" s="96" t="n"/>
      <c r="BR654" s="96" t="n"/>
      <c r="BS654" s="97" t="n"/>
      <c r="BT654" s="96" t="n"/>
      <c r="BU654" s="97" t="n"/>
      <c r="BV654" s="96" t="n"/>
      <c r="BW654" s="97" t="n"/>
      <c r="BX654" s="97" t="n"/>
      <c r="BY654" s="97" t="n"/>
      <c r="BZ654" s="97" t="n"/>
      <c r="CH654" s="2" t="n"/>
      <c r="CI654" s="14" t="n"/>
      <c r="CJ654" s="25" t="n"/>
      <c r="CK654" s="25" t="n"/>
      <c r="CL654" s="25" t="n"/>
      <c r="CM654" s="25" t="n"/>
      <c r="CN654" s="25" t="n"/>
      <c r="CO654" s="25" t="n"/>
      <c r="CP654" s="25" t="n"/>
      <c r="CQ654" s="25" t="n"/>
      <c r="CR654" s="25" t="n"/>
      <c r="CS654" s="25" t="n"/>
      <c r="CT654" s="25" t="n"/>
      <c r="CU654" s="25" t="n"/>
      <c r="CV654" s="25" t="n"/>
      <c r="CW654" s="25" t="n"/>
      <c r="CX654" s="25" t="n"/>
      <c r="CY654" s="25" t="n"/>
      <c r="DC654" s="26" t="n"/>
      <c r="DD654" s="26" t="n"/>
      <c r="DE654" s="26" t="n"/>
      <c r="DF654" s="26" t="n"/>
      <c r="DG654" s="26" t="n"/>
      <c r="DH654" s="27" t="n"/>
      <c r="DJ654" s="238" t="inlineStr">
        <is>
          <t>✓ 金额一致</t>
        </is>
      </c>
      <c r="DK654" t="inlineStr">
        <is>
          <t>5620.60</t>
        </is>
      </c>
      <c r="DL654" s="239" t="n">
        <v>0</v>
      </c>
    </row>
    <row r="655" ht="15.75" customHeight="1" s="187">
      <c r="A655" s="84" t="n">
        <v>46127</v>
      </c>
      <c r="B655" s="226" t="inlineStr">
        <is>
          <t>已发</t>
        </is>
      </c>
      <c r="C655" s="86" t="inlineStr">
        <is>
          <t>4502290357027043141</t>
        </is>
      </c>
      <c r="D655" s="110" t="inlineStr">
        <is>
          <t>陆宏玲</t>
        </is>
      </c>
      <c r="E655" s="87" t="n"/>
      <c r="F655" s="87" t="n"/>
      <c r="G655" s="87" t="inlineStr">
        <is>
          <t>1600*850*750</t>
        </is>
      </c>
      <c r="H655" s="87" t="inlineStr">
        <is>
          <t>黑胡桃岩板餐桌</t>
        </is>
      </c>
      <c r="I655" s="89" t="n"/>
      <c r="J655" s="87" t="n"/>
      <c r="K655" s="87" t="inlineStr">
        <is>
          <t>江西</t>
        </is>
      </c>
      <c r="L655" s="216" t="n"/>
      <c r="M655" s="216" t="n"/>
      <c r="N655" s="216" t="n"/>
      <c r="O655" s="216" t="n"/>
      <c r="P655" s="216" t="n"/>
      <c r="Q655" s="216" t="n"/>
      <c r="R655" s="216" t="n">
        <v>220</v>
      </c>
      <c r="S655" s="216" t="n"/>
      <c r="T655" s="216" t="n"/>
      <c r="U655" s="216" t="n"/>
      <c r="V655" s="216" t="n"/>
      <c r="W655" s="216" t="n"/>
      <c r="X655" s="216" t="n"/>
      <c r="Y655" s="216" t="n"/>
      <c r="Z655" s="216" t="n"/>
      <c r="AA655" s="216" t="n"/>
      <c r="AB655" s="216" t="n"/>
      <c r="AC655" s="216" t="n"/>
      <c r="AD655" s="216" t="n"/>
      <c r="AE655" s="216" t="n"/>
      <c r="AF655" s="216" t="n"/>
      <c r="AG655" s="216" t="n"/>
      <c r="AH655" s="216" t="n"/>
      <c r="AI655" s="216" t="n"/>
      <c r="AJ655" s="216" t="n"/>
      <c r="AK655" s="216" t="n"/>
      <c r="AL655" s="216" t="n"/>
      <c r="AM655" s="207" t="n"/>
      <c r="AN655" s="207" t="n"/>
      <c r="AO655" s="207" t="n"/>
      <c r="AP655" s="207" t="n"/>
      <c r="AQ655" s="207" t="n"/>
      <c r="AR655" s="207" t="n">
        <v>70</v>
      </c>
      <c r="AS655" s="207" t="n"/>
      <c r="AT655" s="207" t="n"/>
      <c r="AU655" s="207" t="n"/>
      <c r="AV655" s="207" t="n"/>
      <c r="AW655" s="207" t="n"/>
      <c r="AX655" s="208" t="n">
        <v>1</v>
      </c>
      <c r="AY655" s="209">
        <f>L655*AX655+AP655+AQ655+AR655+AV655+AW655+AS655+AT655+AU655</f>
        <v/>
      </c>
      <c r="AZ655" s="207" t="n">
        <v>3343.07</v>
      </c>
      <c r="BA655" s="207" t="n">
        <v>0</v>
      </c>
      <c r="BB655" s="207">
        <f>AZ655*0.006</f>
        <v/>
      </c>
      <c r="BC655" s="209">
        <f>AZ655+BA655-BB655</f>
        <v/>
      </c>
      <c r="BD655" s="207" t="n">
        <v>0</v>
      </c>
      <c r="BE655" s="207" t="n">
        <v>0</v>
      </c>
      <c r="BF655" s="209" t="n"/>
      <c r="BG655" s="209" t="n"/>
      <c r="BH655" s="87" t="inlineStr">
        <is>
          <t>陆宏玲</t>
        </is>
      </c>
      <c r="BI655" s="210" t="inlineStr">
        <is>
          <t>安徽省 合肥市 瑶海区 七里塘街道新店雅苑C区12栋1701</t>
        </is>
      </c>
      <c r="BJ655" s="86" t="inlineStr">
        <is>
          <t>13124814438-6705</t>
        </is>
      </c>
      <c r="BK655" s="86" t="n"/>
      <c r="BL655" s="210" t="n"/>
      <c r="BM655" s="93" t="n"/>
      <c r="BN655" s="94" t="n"/>
      <c r="BO655" s="93" t="n"/>
      <c r="BP655" s="86" t="n"/>
      <c r="BQ655" s="96" t="n"/>
      <c r="BR655" s="96" t="n"/>
      <c r="BS655" s="97" t="n"/>
      <c r="BT655" s="96" t="n"/>
      <c r="BU655" s="97" t="n"/>
      <c r="BV655" s="96" t="n"/>
      <c r="BW655" s="97" t="n"/>
      <c r="BX655" s="97" t="n"/>
      <c r="BY655" s="97" t="n"/>
      <c r="BZ655" s="97" t="n"/>
      <c r="CH655" s="2" t="n"/>
      <c r="CI655" s="14" t="n"/>
      <c r="CJ655" s="25" t="n"/>
      <c r="CK655" s="25" t="n"/>
      <c r="CL655" s="25" t="n"/>
      <c r="CM655" s="25" t="n"/>
      <c r="CN655" s="25" t="n"/>
      <c r="CO655" s="25" t="n"/>
      <c r="CP655" s="25" t="n"/>
      <c r="CQ655" s="25" t="n"/>
      <c r="CR655" s="25" t="n"/>
      <c r="CS655" s="25" t="n"/>
      <c r="CT655" s="25" t="n"/>
      <c r="CU655" s="25" t="n"/>
      <c r="CV655" s="25" t="n"/>
      <c r="CW655" s="25" t="n"/>
      <c r="CX655" s="25" t="n"/>
      <c r="CY655" s="25" t="n"/>
      <c r="DC655" s="26" t="n"/>
      <c r="DD655" s="26" t="n"/>
      <c r="DE655" s="26" t="n"/>
      <c r="DF655" s="26" t="n"/>
      <c r="DG655" s="26" t="n"/>
      <c r="DH655" s="27" t="n"/>
      <c r="DJ655" s="238" t="inlineStr">
        <is>
          <t>✓ 金额一致</t>
        </is>
      </c>
      <c r="DK655" t="inlineStr">
        <is>
          <t>3343.07</t>
        </is>
      </c>
      <c r="DL655" s="239" t="n">
        <v>0</v>
      </c>
    </row>
    <row r="656" ht="15.75" customHeight="1" s="187">
      <c r="A656" s="84" t="n">
        <v>46128</v>
      </c>
      <c r="B656" s="226" t="inlineStr">
        <is>
          <t>已发</t>
        </is>
      </c>
      <c r="C656" s="86" t="inlineStr">
        <is>
          <t>4502295900033001531</t>
        </is>
      </c>
      <c r="D656" s="110" t="inlineStr">
        <is>
          <t>六某某</t>
        </is>
      </c>
      <c r="E656" s="87" t="n"/>
      <c r="F656" s="87" t="n"/>
      <c r="G656" s="87" t="inlineStr">
        <is>
          <t>1600*800*750</t>
        </is>
      </c>
      <c r="H656" s="87" t="inlineStr">
        <is>
          <t>榉木餐桌</t>
        </is>
      </c>
      <c r="I656" s="89" t="n"/>
      <c r="J656" s="87" t="n"/>
      <c r="K656" s="87" t="inlineStr">
        <is>
          <t>江西</t>
        </is>
      </c>
      <c r="L656" s="216" t="n"/>
      <c r="M656" s="216" t="n"/>
      <c r="N656" s="216" t="n"/>
      <c r="O656" s="216" t="n"/>
      <c r="P656" s="216" t="n"/>
      <c r="Q656" s="216" t="n"/>
      <c r="R656" s="216" t="n">
        <v>480</v>
      </c>
      <c r="S656" s="216" t="n"/>
      <c r="T656" s="216" t="n"/>
      <c r="U656" s="216" t="n"/>
      <c r="V656" s="216" t="n"/>
      <c r="W656" s="216" t="n"/>
      <c r="X656" s="216" t="n"/>
      <c r="Y656" s="216" t="n"/>
      <c r="Z656" s="216" t="n"/>
      <c r="AA656" s="216" t="n"/>
      <c r="AB656" s="216" t="n"/>
      <c r="AC656" s="216" t="n"/>
      <c r="AD656" s="216" t="n"/>
      <c r="AE656" s="216" t="n"/>
      <c r="AF656" s="216" t="n"/>
      <c r="AG656" s="216" t="n"/>
      <c r="AH656" s="216" t="n"/>
      <c r="AI656" s="216" t="n"/>
      <c r="AJ656" s="216" t="n"/>
      <c r="AK656" s="216" t="n"/>
      <c r="AL656" s="216" t="n"/>
      <c r="AM656" s="207" t="n"/>
      <c r="AN656" s="207" t="n"/>
      <c r="AO656" s="207" t="n"/>
      <c r="AP656" s="207" t="n"/>
      <c r="AQ656" s="207" t="n"/>
      <c r="AR656" s="207" t="n"/>
      <c r="AS656" s="207" t="n"/>
      <c r="AT656" s="207" t="n"/>
      <c r="AU656" s="207" t="n"/>
      <c r="AV656" s="207" t="n"/>
      <c r="AW656" s="207" t="n"/>
      <c r="AX656" s="208" t="n">
        <v>1</v>
      </c>
      <c r="AY656" s="209">
        <f>L656*AX656+AP656+AQ656+AR656+AV656+AW656+AS656+AT656+AU656</f>
        <v/>
      </c>
      <c r="AZ656" s="207" t="n">
        <v>2699.74</v>
      </c>
      <c r="BA656" s="207" t="n">
        <v>0</v>
      </c>
      <c r="BB656" s="207">
        <f>AZ656*0.006</f>
        <v/>
      </c>
      <c r="BC656" s="209">
        <f>AZ656+BA656-BB656</f>
        <v/>
      </c>
      <c r="BD656" s="207" t="n">
        <v>0</v>
      </c>
      <c r="BE656" s="207" t="n">
        <v>0</v>
      </c>
      <c r="BF656" s="209" t="n"/>
      <c r="BG656" s="209" t="n"/>
      <c r="BH656" s="87" t="inlineStr">
        <is>
          <t>六某某</t>
        </is>
      </c>
      <c r="BI656" s="210" t="inlineStr">
        <is>
          <t>江西省 九江市 庐山市 南康镇庐山市城东4期1栋2单元603</t>
        </is>
      </c>
      <c r="BJ656" s="86" t="inlineStr">
        <is>
          <t>18465605974-9375</t>
        </is>
      </c>
      <c r="BK656" s="86" t="n"/>
      <c r="BL656" s="210" t="n"/>
      <c r="BM656" s="93" t="n"/>
      <c r="BN656" s="94" t="n"/>
      <c r="BO656" s="93" t="n"/>
      <c r="BP656" s="86" t="n"/>
      <c r="BQ656" s="96" t="n"/>
      <c r="BR656" s="96" t="n"/>
      <c r="BS656" s="97" t="n"/>
      <c r="BT656" s="96" t="n"/>
      <c r="BU656" s="97" t="n"/>
      <c r="BV656" s="96" t="n"/>
      <c r="BW656" s="97" t="n"/>
      <c r="BX656" s="97" t="n"/>
      <c r="BY656" s="97" t="n"/>
      <c r="BZ656" s="97" t="n"/>
      <c r="CH656" s="2" t="n"/>
      <c r="CI656" s="14" t="n"/>
      <c r="CJ656" s="25" t="n"/>
      <c r="CK656" s="25" t="n"/>
      <c r="CL656" s="25" t="n"/>
      <c r="CM656" s="25" t="n"/>
      <c r="CN656" s="25" t="n"/>
      <c r="CO656" s="25" t="n"/>
      <c r="CP656" s="25" t="n"/>
      <c r="CQ656" s="25" t="n"/>
      <c r="CR656" s="25" t="n"/>
      <c r="CS656" s="25" t="n"/>
      <c r="CT656" s="25" t="n"/>
      <c r="CU656" s="25" t="n"/>
      <c r="CV656" s="25" t="n"/>
      <c r="CW656" s="25" t="n"/>
      <c r="CX656" s="25" t="n"/>
      <c r="CY656" s="25" t="n"/>
      <c r="DC656" s="26" t="n"/>
      <c r="DD656" s="26" t="n"/>
      <c r="DE656" s="26" t="n"/>
      <c r="DF656" s="26" t="n"/>
      <c r="DG656" s="26" t="n"/>
      <c r="DH656" s="27" t="n"/>
      <c r="DJ656" s="241" t="inlineStr">
        <is>
          <t>✗ 金额不符</t>
        </is>
      </c>
      <c r="DK656" t="inlineStr">
        <is>
          <t>2620.77</t>
        </is>
      </c>
      <c r="DL656" s="239" t="n">
        <v>78.97</v>
      </c>
      <c r="DM656" s="241" t="inlineStr">
        <is>
          <t>买家应付金额不一致，差额+78.97元（订单表2620.77 vs 佳宝2699.74，疑似改价/补邮费/上楼费等手工调整，需人工核对）</t>
        </is>
      </c>
    </row>
    <row r="657" ht="15.75" customHeight="1" s="187">
      <c r="A657" s="84" t="n">
        <v>46128</v>
      </c>
      <c r="B657" s="226" t="inlineStr">
        <is>
          <t>已发</t>
        </is>
      </c>
      <c r="C657" s="86" t="inlineStr">
        <is>
          <t>2701849657028016669</t>
        </is>
      </c>
      <c r="D657" s="110" t="inlineStr">
        <is>
          <t>梁雪桐</t>
        </is>
      </c>
      <c r="E657" s="87" t="n"/>
      <c r="F657" s="87" t="n"/>
      <c r="G657" s="87" t="inlineStr">
        <is>
          <t>1600*800*750</t>
        </is>
      </c>
      <c r="H657" s="87" t="inlineStr">
        <is>
          <t>榉木餐桌</t>
        </is>
      </c>
      <c r="I657" s="89" t="n"/>
      <c r="J657" s="87" t="n"/>
      <c r="K657" s="87" t="inlineStr">
        <is>
          <t>江西</t>
        </is>
      </c>
      <c r="L657" s="216" t="n"/>
      <c r="M657" s="216" t="n"/>
      <c r="N657" s="216" t="n"/>
      <c r="O657" s="216" t="n"/>
      <c r="P657" s="216" t="n"/>
      <c r="Q657" s="216" t="n"/>
      <c r="R657" s="216" t="n">
        <v>220</v>
      </c>
      <c r="S657" s="216" t="n"/>
      <c r="T657" s="216" t="n"/>
      <c r="U657" s="216" t="n"/>
      <c r="V657" s="216" t="n"/>
      <c r="W657" s="216" t="n"/>
      <c r="X657" s="216" t="n"/>
      <c r="Y657" s="216" t="n"/>
      <c r="Z657" s="216" t="n"/>
      <c r="AA657" s="216" t="n"/>
      <c r="AB657" s="216" t="n"/>
      <c r="AC657" s="216" t="n"/>
      <c r="AD657" s="216" t="n"/>
      <c r="AE657" s="216" t="n"/>
      <c r="AF657" s="216" t="n"/>
      <c r="AG657" s="216" t="n"/>
      <c r="AH657" s="216" t="n"/>
      <c r="AI657" s="216" t="n"/>
      <c r="AJ657" s="216" t="n"/>
      <c r="AK657" s="216" t="n"/>
      <c r="AL657" s="216" t="n"/>
      <c r="AM657" s="207" t="n"/>
      <c r="AN657" s="207" t="n"/>
      <c r="AO657" s="207" t="n"/>
      <c r="AP657" s="207" t="n"/>
      <c r="AQ657" s="207" t="n"/>
      <c r="AR657" s="207" t="n"/>
      <c r="AS657" s="207" t="n"/>
      <c r="AT657" s="207" t="n"/>
      <c r="AU657" s="207" t="n"/>
      <c r="AV657" s="207" t="n"/>
      <c r="AW657" s="207" t="n"/>
      <c r="AX657" s="208" t="n">
        <v>1</v>
      </c>
      <c r="AY657" s="209">
        <f>L657*AX657+AP657+AQ657+AR657+AV657+AW657+AS657+AT657+AU657</f>
        <v/>
      </c>
      <c r="AZ657" s="207" t="n">
        <v>2699.74</v>
      </c>
      <c r="BA657" s="207" t="n">
        <v>0</v>
      </c>
      <c r="BB657" s="207">
        <f>AZ657*0.006</f>
        <v/>
      </c>
      <c r="BC657" s="209">
        <f>AZ657+BA657-BB657</f>
        <v/>
      </c>
      <c r="BD657" s="207" t="n">
        <v>0</v>
      </c>
      <c r="BE657" s="207" t="n">
        <v>0</v>
      </c>
      <c r="BF657" s="209" t="n"/>
      <c r="BG657" s="209" t="n"/>
      <c r="BH657" s="87" t="inlineStr">
        <is>
          <t>梁雪桐</t>
        </is>
      </c>
      <c r="BI657" s="210" t="inlineStr">
        <is>
          <t>广西壮族自治区 北海市 海城区 高德街道中港城2期长沙湾4幢2304</t>
        </is>
      </c>
      <c r="BJ657" s="86" t="inlineStr">
        <is>
          <t>15577931473-4047</t>
        </is>
      </c>
      <c r="BK657" s="86" t="n"/>
      <c r="BL657" s="210" t="n"/>
      <c r="BM657" s="93" t="n"/>
      <c r="BN657" s="94" t="n"/>
      <c r="BO657" s="93" t="n"/>
      <c r="BP657" s="86" t="n"/>
      <c r="BQ657" s="96" t="n"/>
      <c r="BR657" s="96" t="n"/>
      <c r="BS657" s="97" t="n"/>
      <c r="BT657" s="96" t="n"/>
      <c r="BU657" s="97" t="n"/>
      <c r="BV657" s="96" t="n"/>
      <c r="BW657" s="97" t="n"/>
      <c r="BX657" s="97" t="n"/>
      <c r="BY657" s="97" t="n"/>
      <c r="BZ657" s="97" t="n"/>
      <c r="CH657" s="2" t="n"/>
      <c r="CI657" s="14" t="n"/>
      <c r="CJ657" s="25" t="n"/>
      <c r="CK657" s="25" t="n"/>
      <c r="CL657" s="25" t="n"/>
      <c r="CM657" s="25" t="n"/>
      <c r="CN657" s="25" t="n"/>
      <c r="CO657" s="25" t="n"/>
      <c r="CP657" s="25" t="n"/>
      <c r="CQ657" s="25" t="n"/>
      <c r="CR657" s="25" t="n"/>
      <c r="CS657" s="25" t="n"/>
      <c r="CT657" s="25" t="n"/>
      <c r="CU657" s="25" t="n"/>
      <c r="CV657" s="25" t="n"/>
      <c r="CW657" s="25" t="n"/>
      <c r="CX657" s="25" t="n"/>
      <c r="CY657" s="25" t="n"/>
      <c r="DC657" s="26" t="n"/>
      <c r="DD657" s="26" t="n"/>
      <c r="DE657" s="26" t="n"/>
      <c r="DF657" s="26" t="n"/>
      <c r="DG657" s="26" t="n"/>
      <c r="DH657" s="27" t="n"/>
      <c r="DJ657" s="238" t="inlineStr">
        <is>
          <t>✓ 金额一致</t>
        </is>
      </c>
      <c r="DK657" t="inlineStr">
        <is>
          <t>2699.74</t>
        </is>
      </c>
      <c r="DL657" s="239" t="n">
        <v>0</v>
      </c>
    </row>
    <row r="658" ht="15.75" customHeight="1" s="187">
      <c r="A658" s="84" t="n">
        <v>46128</v>
      </c>
      <c r="B658" s="226" t="inlineStr">
        <is>
          <t>已发</t>
        </is>
      </c>
      <c r="C658" s="86" t="inlineStr">
        <is>
          <t>4502316817007060327</t>
        </is>
      </c>
      <c r="D658" s="110" t="inlineStr">
        <is>
          <t>九久勼</t>
        </is>
      </c>
      <c r="E658" s="87" t="n"/>
      <c r="F658" s="87" t="n"/>
      <c r="G658" s="87" t="inlineStr">
        <is>
          <t>1米洞石窄柜</t>
        </is>
      </c>
      <c r="H658" s="87" t="inlineStr">
        <is>
          <t>窄柜</t>
        </is>
      </c>
      <c r="I658" s="89" t="n"/>
      <c r="J658" s="87" t="n"/>
      <c r="K658" s="87" t="inlineStr">
        <is>
          <t>江西</t>
        </is>
      </c>
      <c r="L658" s="216" t="n"/>
      <c r="M658" s="216" t="n"/>
      <c r="N658" s="216" t="n">
        <v>359.08</v>
      </c>
      <c r="O658" s="216" t="n"/>
      <c r="P658" s="216" t="n"/>
      <c r="Q658" s="216" t="n"/>
      <c r="R658" s="216" t="n">
        <v>190</v>
      </c>
      <c r="S658" s="216" t="n"/>
      <c r="T658" s="216" t="n">
        <v>31</v>
      </c>
      <c r="U658" s="216" t="n"/>
      <c r="V658" s="216" t="n"/>
      <c r="W658" s="216" t="n"/>
      <c r="X658" s="216" t="n">
        <v>18</v>
      </c>
      <c r="Y658" s="216" t="n"/>
      <c r="Z658" s="216" t="n"/>
      <c r="AA658" s="216" t="n"/>
      <c r="AB658" s="216" t="n"/>
      <c r="AC658" s="216" t="n"/>
      <c r="AD658" s="216" t="n"/>
      <c r="AE658" s="216" t="n"/>
      <c r="AF658" s="216" t="n"/>
      <c r="AG658" s="216" t="n"/>
      <c r="AH658" s="216" t="n"/>
      <c r="AI658" s="216" t="n"/>
      <c r="AJ658" s="216" t="n"/>
      <c r="AK658" s="216" t="n"/>
      <c r="AL658" s="216" t="n"/>
      <c r="AM658" s="207" t="n"/>
      <c r="AN658" s="207" t="n"/>
      <c r="AO658" s="207" t="n"/>
      <c r="AP658" s="207" t="n"/>
      <c r="AQ658" s="207" t="n"/>
      <c r="AR658" s="207" t="n"/>
      <c r="AS658" s="207" t="n"/>
      <c r="AT658" s="207" t="n"/>
      <c r="AU658" s="207" t="n"/>
      <c r="AV658" s="207" t="n"/>
      <c r="AW658" s="207" t="n"/>
      <c r="AX658" s="208" t="n">
        <v>1</v>
      </c>
      <c r="AY658" s="209">
        <f>L658*AX658+AP658+AQ658+AR658+AV658+AW658+AS658+AT658+AU658</f>
        <v/>
      </c>
      <c r="AZ658" s="207" t="n">
        <v>5620.6</v>
      </c>
      <c r="BA658" s="207" t="n">
        <v>0</v>
      </c>
      <c r="BB658" s="207">
        <f>AZ658*0.006</f>
        <v/>
      </c>
      <c r="BC658" s="209">
        <f>AZ658+BA658-BB658</f>
        <v/>
      </c>
      <c r="BD658" s="207" t="n">
        <v>0</v>
      </c>
      <c r="BE658" s="207" t="n">
        <v>0</v>
      </c>
      <c r="BF658" s="209" t="n"/>
      <c r="BG658" s="209" t="n"/>
      <c r="BH658" s="87" t="inlineStr">
        <is>
          <t>九久勼</t>
        </is>
      </c>
      <c r="BI658" s="210" t="inlineStr">
        <is>
          <t>湖北省 武汉市 武昌区 中南路街道石牌岭路岭地金居B栋一单元2603</t>
        </is>
      </c>
      <c r="BJ658" s="86" t="inlineStr">
        <is>
          <t>15783640114-7678</t>
        </is>
      </c>
      <c r="BK658" s="86" t="n"/>
      <c r="BL658" s="210" t="n"/>
      <c r="BM658" s="93" t="n"/>
      <c r="BN658" s="94" t="n"/>
      <c r="BO658" s="93" t="n"/>
      <c r="BP658" s="86" t="n"/>
      <c r="BQ658" s="96" t="n"/>
      <c r="BR658" s="96" t="n"/>
      <c r="BS658" s="97" t="n"/>
      <c r="BT658" s="96" t="n"/>
      <c r="BU658" s="97" t="n"/>
      <c r="BV658" s="96" t="n"/>
      <c r="BW658" s="97" t="n"/>
      <c r="BX658" s="97" t="n"/>
      <c r="BY658" s="97" t="n"/>
      <c r="BZ658" s="97" t="n"/>
      <c r="CH658" s="2" t="n"/>
      <c r="CI658" s="14" t="n"/>
      <c r="CJ658" s="25" t="n"/>
      <c r="CK658" s="25" t="n"/>
      <c r="CL658" s="25" t="n"/>
      <c r="CM658" s="25" t="n"/>
      <c r="CN658" s="25" t="n"/>
      <c r="CO658" s="25" t="n"/>
      <c r="CP658" s="25" t="n"/>
      <c r="CQ658" s="25" t="n"/>
      <c r="CR658" s="25" t="n"/>
      <c r="CS658" s="25" t="n"/>
      <c r="CT658" s="25" t="n"/>
      <c r="CU658" s="25" t="n"/>
      <c r="CV658" s="25" t="n"/>
      <c r="CW658" s="25" t="n"/>
      <c r="CX658" s="25" t="n"/>
      <c r="CY658" s="25" t="n"/>
      <c r="DC658" s="26" t="n"/>
      <c r="DD658" s="26" t="n"/>
      <c r="DE658" s="26" t="n"/>
      <c r="DF658" s="26" t="n"/>
      <c r="DG658" s="26" t="n"/>
      <c r="DH658" s="27" t="n"/>
      <c r="DJ658" s="238" t="inlineStr">
        <is>
          <t>✓ 金额一致</t>
        </is>
      </c>
      <c r="DK658" t="inlineStr">
        <is>
          <t>5620.60</t>
        </is>
      </c>
      <c r="DL658" s="239" t="n">
        <v>0</v>
      </c>
    </row>
    <row r="659" ht="15.75" customHeight="1" s="187">
      <c r="A659" s="84" t="n">
        <v>46129</v>
      </c>
      <c r="B659" s="226" t="inlineStr">
        <is>
          <t>已发</t>
        </is>
      </c>
      <c r="C659" s="86" t="inlineStr">
        <is>
          <t>2701852502048050474</t>
        </is>
      </c>
      <c r="D659" s="110" t="inlineStr">
        <is>
          <t>汪(525440)</t>
        </is>
      </c>
      <c r="E659" s="87" t="n"/>
      <c r="F659" s="87" t="n"/>
      <c r="G659" s="87" t="inlineStr">
        <is>
          <t>1.8*1洞石岩板</t>
        </is>
      </c>
      <c r="H659" s="87" t="inlineStr">
        <is>
          <t>榉木餐桌</t>
        </is>
      </c>
      <c r="I659" s="89" t="n"/>
      <c r="J659" s="87" t="n"/>
      <c r="K659" s="87" t="inlineStr">
        <is>
          <t>江西</t>
        </is>
      </c>
      <c r="L659" s="216" t="n"/>
      <c r="M659" s="216" t="n"/>
      <c r="N659" s="216" t="n"/>
      <c r="O659" s="216" t="n"/>
      <c r="P659" s="216" t="n"/>
      <c r="Q659" s="216" t="n"/>
      <c r="R659" s="216" t="n">
        <v>680</v>
      </c>
      <c r="S659" s="216" t="n"/>
      <c r="T659" s="216" t="n"/>
      <c r="U659" s="216" t="n"/>
      <c r="V659" s="216" t="n"/>
      <c r="W659" s="216" t="n"/>
      <c r="X659" s="216" t="n"/>
      <c r="Y659" s="216" t="n"/>
      <c r="Z659" s="216" t="n"/>
      <c r="AA659" s="216" t="n"/>
      <c r="AB659" s="216" t="n"/>
      <c r="AC659" s="216" t="n"/>
      <c r="AD659" s="216" t="n"/>
      <c r="AE659" s="216" t="n"/>
      <c r="AF659" s="216" t="n"/>
      <c r="AG659" s="216" t="n"/>
      <c r="AH659" s="216" t="n"/>
      <c r="AI659" s="216" t="n"/>
      <c r="AJ659" s="216" t="n"/>
      <c r="AK659" s="216" t="n"/>
      <c r="AL659" s="216" t="n"/>
      <c r="AM659" s="207" t="n"/>
      <c r="AN659" s="207" t="n"/>
      <c r="AO659" s="207" t="n"/>
      <c r="AP659" s="207" t="n"/>
      <c r="AQ659" s="207" t="n"/>
      <c r="AR659" s="207" t="n"/>
      <c r="AS659" s="207" t="n"/>
      <c r="AT659" s="207" t="n"/>
      <c r="AU659" s="207" t="n"/>
      <c r="AV659" s="207" t="n"/>
      <c r="AW659" s="207" t="n"/>
      <c r="AX659" s="208" t="n">
        <v>1</v>
      </c>
      <c r="AY659" s="209">
        <f>L659*AX659+AP659+AQ659+AR659+AV659+AW659+AS659+AT659+AU659</f>
        <v/>
      </c>
      <c r="AZ659" s="207" t="n">
        <v>3420</v>
      </c>
      <c r="BA659" s="207" t="n">
        <v>0</v>
      </c>
      <c r="BB659" s="207">
        <f>AZ659*0.006</f>
        <v/>
      </c>
      <c r="BC659" s="209">
        <f>AZ659+BA659-BB659</f>
        <v/>
      </c>
      <c r="BD659" s="207" t="n">
        <v>0</v>
      </c>
      <c r="BE659" s="207" t="n">
        <v>0</v>
      </c>
      <c r="BF659" s="209" t="n"/>
      <c r="BG659" s="209" t="n"/>
      <c r="BH659" s="87" t="inlineStr">
        <is>
          <t>汪(525440)</t>
        </is>
      </c>
      <c r="BI659" s="210" t="inlineStr">
        <is>
          <t>广东省 东莞市  万江街道新和帮凹村新下路5号环邮仓(525440）号</t>
        </is>
      </c>
      <c r="BJ659" s="86" t="n">
        <v>15818688186</v>
      </c>
      <c r="BK659" s="86" t="n"/>
      <c r="BL659" s="210" t="n"/>
      <c r="BM659" s="93" t="n"/>
      <c r="BN659" s="94" t="n"/>
      <c r="BO659" s="93" t="n"/>
      <c r="BP659" s="86" t="n"/>
      <c r="BQ659" s="96" t="n"/>
      <c r="BR659" s="96" t="n"/>
      <c r="BS659" s="97" t="n"/>
      <c r="BT659" s="96" t="n"/>
      <c r="BU659" s="97" t="n"/>
      <c r="BV659" s="96" t="n"/>
      <c r="BW659" s="97" t="n"/>
      <c r="BX659" s="97" t="n"/>
      <c r="BY659" s="97" t="n"/>
      <c r="BZ659" s="97" t="n"/>
      <c r="CH659" s="2" t="n"/>
      <c r="CI659" s="14" t="n"/>
      <c r="CJ659" s="25" t="n"/>
      <c r="CK659" s="25" t="n"/>
      <c r="CL659" s="25" t="n"/>
      <c r="CM659" s="25" t="n"/>
      <c r="CN659" s="25" t="n"/>
      <c r="CO659" s="25" t="n"/>
      <c r="CP659" s="25" t="n"/>
      <c r="CQ659" s="25" t="n"/>
      <c r="CR659" s="25" t="n"/>
      <c r="CS659" s="25" t="n"/>
      <c r="CT659" s="25" t="n"/>
      <c r="CU659" s="25" t="n"/>
      <c r="CV659" s="25" t="n"/>
      <c r="CW659" s="25" t="n"/>
      <c r="CX659" s="25" t="n"/>
      <c r="CY659" s="25" t="n"/>
      <c r="DC659" s="26" t="n"/>
      <c r="DD659" s="26" t="n"/>
      <c r="DE659" s="26" t="n"/>
      <c r="DF659" s="26" t="n"/>
      <c r="DG659" s="26" t="n"/>
      <c r="DH659" s="27" t="n"/>
      <c r="DJ659" s="238" t="inlineStr">
        <is>
          <t>✓ 金额一致</t>
        </is>
      </c>
      <c r="DK659" t="inlineStr">
        <is>
          <t>3420.00</t>
        </is>
      </c>
      <c r="DL659" s="239" t="n">
        <v>0</v>
      </c>
    </row>
    <row r="660" ht="15.75" customHeight="1" s="187">
      <c r="A660" s="84" t="n">
        <v>46131</v>
      </c>
      <c r="B660" s="226" t="n"/>
      <c r="C660" s="86" t="inlineStr">
        <is>
          <t>4502313686095021915</t>
        </is>
      </c>
      <c r="D660" s="110" t="inlineStr">
        <is>
          <t>卡卡</t>
        </is>
      </c>
      <c r="E660" s="87" t="n"/>
      <c r="F660" s="87" t="n"/>
      <c r="G660" s="87" t="inlineStr">
        <is>
          <t>1.8米木背板榉木餐边柜，长红玻璃</t>
        </is>
      </c>
      <c r="H660" s="87" t="inlineStr">
        <is>
          <t>榉木餐边柜</t>
        </is>
      </c>
      <c r="I660" s="89" t="n"/>
      <c r="J660" s="87" t="n"/>
      <c r="K660" s="87" t="inlineStr">
        <is>
          <t>江西</t>
        </is>
      </c>
      <c r="L660" s="216" t="n"/>
      <c r="M660" s="216" t="n"/>
      <c r="N660" s="216" t="n"/>
      <c r="O660" s="216" t="n"/>
      <c r="P660" s="216" t="n"/>
      <c r="Q660" s="216" t="n"/>
      <c r="R660" s="216" t="n">
        <v>130</v>
      </c>
      <c r="S660" s="216" t="n"/>
      <c r="T660" s="216" t="n">
        <v>31</v>
      </c>
      <c r="U660" s="216" t="n"/>
      <c r="V660" s="216" t="n"/>
      <c r="W660" s="216" t="n"/>
      <c r="X660" s="216" t="n"/>
      <c r="Y660" s="216" t="n"/>
      <c r="Z660" s="216" t="n"/>
      <c r="AA660" s="216" t="n"/>
      <c r="AB660" s="216" t="n"/>
      <c r="AC660" s="216" t="n"/>
      <c r="AD660" s="216" t="n"/>
      <c r="AE660" s="216" t="n"/>
      <c r="AF660" s="216" t="n"/>
      <c r="AG660" s="216" t="n"/>
      <c r="AH660" s="216" t="n"/>
      <c r="AI660" s="216" t="n"/>
      <c r="AJ660" s="216" t="n"/>
      <c r="AK660" s="216" t="n"/>
      <c r="AL660" s="216" t="n"/>
      <c r="AM660" s="207" t="n"/>
      <c r="AN660" s="207" t="n"/>
      <c r="AO660" s="207" t="n"/>
      <c r="AP660" s="207" t="n"/>
      <c r="AQ660" s="207" t="n"/>
      <c r="AR660" s="207" t="n"/>
      <c r="AS660" s="207" t="n"/>
      <c r="AT660" s="207" t="n"/>
      <c r="AU660" s="207" t="n"/>
      <c r="AV660" s="207" t="n"/>
      <c r="AW660" s="207" t="n"/>
      <c r="AX660" s="208" t="n">
        <v>1</v>
      </c>
      <c r="AY660" s="209">
        <f>L660*AX660+AP660+AQ660+AR660+AV660+AW660+AS660+AT660+AU660</f>
        <v/>
      </c>
      <c r="AZ660" s="207" t="n">
        <v>8168.45</v>
      </c>
      <c r="BA660" s="207" t="n">
        <v>0</v>
      </c>
      <c r="BB660" s="207">
        <f>AZ660*0.006</f>
        <v/>
      </c>
      <c r="BC660" s="209">
        <f>AZ660+BA660-BB660</f>
        <v/>
      </c>
      <c r="BD660" s="207" t="n">
        <v>0</v>
      </c>
      <c r="BE660" s="207" t="n">
        <v>0</v>
      </c>
      <c r="BF660" s="209" t="n"/>
      <c r="BG660" s="209" t="n"/>
      <c r="BH660" s="87" t="inlineStr">
        <is>
          <t>卡卡</t>
        </is>
      </c>
      <c r="BI660" s="210" t="inlineStr">
        <is>
          <t>贵州省 黔南布依族苗族自治州 瓮安县 瓮水街道锦美河畔阳光b区2号楼7-3</t>
        </is>
      </c>
      <c r="BJ660" s="86" t="inlineStr">
        <is>
          <t>18468541869-6407</t>
        </is>
      </c>
      <c r="BK660" s="86" t="n"/>
      <c r="BL660" s="210" t="n"/>
      <c r="BM660" s="93" t="n"/>
      <c r="BN660" s="94" t="n"/>
      <c r="BO660" s="93" t="n"/>
      <c r="BP660" s="86" t="n"/>
      <c r="BQ660" s="96" t="n"/>
      <c r="BR660" s="96" t="n"/>
      <c r="BS660" s="97" t="n"/>
      <c r="BT660" s="96" t="n"/>
      <c r="BU660" s="97" t="n"/>
      <c r="BV660" s="96" t="n"/>
      <c r="BW660" s="97" t="n"/>
      <c r="BX660" s="97" t="n"/>
      <c r="BY660" s="97" t="n"/>
      <c r="BZ660" s="97" t="n"/>
      <c r="CH660" s="2" t="n"/>
      <c r="CI660" s="14" t="n"/>
      <c r="CJ660" s="25" t="n"/>
      <c r="CK660" s="25" t="n"/>
      <c r="CL660" s="25" t="n"/>
      <c r="CM660" s="25" t="n"/>
      <c r="CN660" s="25" t="n"/>
      <c r="CO660" s="25" t="n"/>
      <c r="CP660" s="25" t="n"/>
      <c r="CQ660" s="25" t="n"/>
      <c r="CR660" s="25" t="n"/>
      <c r="CS660" s="25" t="n"/>
      <c r="CT660" s="25" t="n"/>
      <c r="CU660" s="25" t="n"/>
      <c r="CV660" s="25" t="n"/>
      <c r="CW660" s="25" t="n"/>
      <c r="CX660" s="25" t="n"/>
      <c r="CY660" s="25" t="n"/>
      <c r="DC660" s="26" t="n"/>
      <c r="DD660" s="26" t="n"/>
      <c r="DE660" s="26" t="n"/>
      <c r="DF660" s="26" t="n"/>
      <c r="DG660" s="26" t="n"/>
      <c r="DH660" s="27" t="n"/>
      <c r="DJ660" s="241" t="inlineStr">
        <is>
          <t>✗ 金额不符</t>
        </is>
      </c>
      <c r="DK660" t="inlineStr">
        <is>
          <t>8138.45</t>
        </is>
      </c>
      <c r="DL660" s="239" t="n">
        <v>30</v>
      </c>
      <c r="DM660" s="241" t="inlineStr">
        <is>
          <t>买家应付金额不一致，差额+30.00元（订单表8138.45 vs 佳宝8168.45，疑似改价/补邮费/上楼费等手工调整，需人工核对）</t>
        </is>
      </c>
    </row>
    <row r="661" ht="15.75" customHeight="1" s="187">
      <c r="A661" s="84" t="n">
        <v>46131</v>
      </c>
      <c r="B661" s="226" t="inlineStr">
        <is>
          <t>已发</t>
        </is>
      </c>
      <c r="C661" s="86" t="inlineStr">
        <is>
          <t>4502310771110033538</t>
        </is>
      </c>
      <c r="D661" s="110" t="inlineStr">
        <is>
          <t>潘德沐</t>
        </is>
      </c>
      <c r="E661" s="87" t="n"/>
      <c r="F661" s="87" t="n"/>
      <c r="G661" s="87" t="inlineStr">
        <is>
          <t>1.2米洞石窄柜</t>
        </is>
      </c>
      <c r="H661" s="87" t="inlineStr">
        <is>
          <t>窄柜</t>
        </is>
      </c>
      <c r="I661" s="89" t="n"/>
      <c r="J661" s="87" t="n"/>
      <c r="K661" s="87" t="inlineStr">
        <is>
          <t>江西</t>
        </is>
      </c>
      <c r="L661" s="216" t="n"/>
      <c r="M661" s="216" t="n"/>
      <c r="N661" s="216" t="n">
        <v>411.08</v>
      </c>
      <c r="O661" s="216" t="n"/>
      <c r="P661" s="216" t="n"/>
      <c r="Q661" s="216" t="n"/>
      <c r="R661" s="216" t="n">
        <v>220</v>
      </c>
      <c r="S661" s="216" t="n">
        <v>43.5</v>
      </c>
      <c r="T661" s="216" t="n">
        <v>31</v>
      </c>
      <c r="U661" s="216" t="n"/>
      <c r="V661" s="216" t="n"/>
      <c r="W661" s="216" t="n"/>
      <c r="X661" s="216" t="n">
        <v>18</v>
      </c>
      <c r="Y661" s="216" t="n"/>
      <c r="Z661" s="216" t="n"/>
      <c r="AA661" s="216" t="n"/>
      <c r="AB661" s="216" t="n"/>
      <c r="AC661" s="216" t="n"/>
      <c r="AD661" s="216" t="n"/>
      <c r="AE661" s="216" t="n"/>
      <c r="AF661" s="216" t="n"/>
      <c r="AG661" s="216" t="n"/>
      <c r="AH661" s="216" t="n"/>
      <c r="AI661" s="216" t="n"/>
      <c r="AJ661" s="216" t="n"/>
      <c r="AK661" s="216" t="n"/>
      <c r="AL661" s="216" t="n"/>
      <c r="AM661" s="207" t="n"/>
      <c r="AN661" s="207" t="n"/>
      <c r="AO661" s="207" t="n"/>
      <c r="AP661" s="207" t="n"/>
      <c r="AQ661" s="207" t="n"/>
      <c r="AR661" s="207" t="n"/>
      <c r="AS661" s="207" t="n"/>
      <c r="AT661" s="207" t="n"/>
      <c r="AU661" s="207" t="n"/>
      <c r="AV661" s="207" t="n"/>
      <c r="AW661" s="207" t="n"/>
      <c r="AX661" s="208" t="n">
        <v>1</v>
      </c>
      <c r="AY661" s="209">
        <f>L661*AX661+AP661+AQ661+AR661+AV661+AW661+AS661+AT661+AU661</f>
        <v/>
      </c>
      <c r="AZ661" s="207" t="n">
        <v>5858.4</v>
      </c>
      <c r="BA661" s="207" t="n">
        <v>0</v>
      </c>
      <c r="BB661" s="207">
        <f>AZ661*0.006</f>
        <v/>
      </c>
      <c r="BC661" s="209">
        <f>AZ661+BA661-BB661</f>
        <v/>
      </c>
      <c r="BD661" s="207" t="n">
        <v>0</v>
      </c>
      <c r="BE661" s="207" t="n">
        <v>0</v>
      </c>
      <c r="BF661" s="209" t="n"/>
      <c r="BG661" s="209" t="n"/>
      <c r="BH661" s="87" t="inlineStr">
        <is>
          <t>潘德沐</t>
        </is>
      </c>
      <c r="BI661" s="210" t="inlineStr">
        <is>
          <t>广东省 东莞市  万江街道天健阅江来4栋502</t>
        </is>
      </c>
      <c r="BJ661" s="86" t="inlineStr">
        <is>
          <t>18824520752-8264</t>
        </is>
      </c>
      <c r="BK661" s="86" t="n"/>
      <c r="BL661" s="210" t="n"/>
      <c r="BM661" s="93" t="n"/>
      <c r="BN661" s="94" t="n"/>
      <c r="BO661" s="93" t="n"/>
      <c r="BP661" s="86" t="n"/>
      <c r="BQ661" s="96" t="n"/>
      <c r="BR661" s="96" t="n"/>
      <c r="BS661" s="97" t="n"/>
      <c r="BT661" s="96" t="n"/>
      <c r="BU661" s="97" t="n"/>
      <c r="BV661" s="96" t="n"/>
      <c r="BW661" s="97" t="n"/>
      <c r="BX661" s="97" t="n"/>
      <c r="BY661" s="97" t="n"/>
      <c r="BZ661" s="97" t="n"/>
      <c r="CH661" s="2" t="n"/>
      <c r="CI661" s="14" t="n"/>
      <c r="CJ661" s="25" t="n"/>
      <c r="CK661" s="25" t="n"/>
      <c r="CL661" s="25" t="n"/>
      <c r="CM661" s="25" t="n"/>
      <c r="CN661" s="25" t="n"/>
      <c r="CO661" s="25" t="n"/>
      <c r="CP661" s="25" t="n"/>
      <c r="CQ661" s="25" t="n"/>
      <c r="CR661" s="25" t="n"/>
      <c r="CS661" s="25" t="n"/>
      <c r="CT661" s="25" t="n"/>
      <c r="CU661" s="25" t="n"/>
      <c r="CV661" s="25" t="n"/>
      <c r="CW661" s="25" t="n"/>
      <c r="CX661" s="25" t="n"/>
      <c r="CY661" s="25" t="n"/>
      <c r="DC661" s="26" t="n"/>
      <c r="DD661" s="26" t="n"/>
      <c r="DE661" s="26" t="n"/>
      <c r="DF661" s="26" t="n"/>
      <c r="DG661" s="26" t="n"/>
      <c r="DH661" s="27" t="n"/>
      <c r="DJ661" s="238" t="inlineStr">
        <is>
          <t>✓ 金额一致</t>
        </is>
      </c>
      <c r="DK661" t="inlineStr">
        <is>
          <t>5858.40</t>
        </is>
      </c>
      <c r="DL661" s="239" t="n">
        <v>0</v>
      </c>
    </row>
    <row r="662" ht="15.75" customHeight="1" s="187">
      <c r="A662" s="84" t="n">
        <v>46131</v>
      </c>
      <c r="B662" s="226" t="n"/>
      <c r="C662" s="86" t="inlineStr">
        <is>
          <t>4502307205105103822</t>
        </is>
      </c>
      <c r="D662" s="110" t="inlineStr">
        <is>
          <t>丁小姐</t>
        </is>
      </c>
      <c r="E662" s="87" t="n"/>
      <c r="F662" s="87" t="n"/>
      <c r="G662" s="87" t="n"/>
      <c r="H662" s="87" t="inlineStr">
        <is>
          <t>插座*2</t>
        </is>
      </c>
      <c r="I662" s="89" t="n"/>
      <c r="J662" s="87" t="n"/>
      <c r="K662" s="87" t="inlineStr">
        <is>
          <t>江西</t>
        </is>
      </c>
      <c r="L662" s="216" t="n"/>
      <c r="M662" s="216" t="n"/>
      <c r="N662" s="216" t="n"/>
      <c r="O662" s="216" t="n"/>
      <c r="P662" s="216" t="n"/>
      <c r="Q662" s="216" t="n"/>
      <c r="R662" s="216" t="n"/>
      <c r="S662" s="216" t="n"/>
      <c r="T662" s="216" t="n"/>
      <c r="U662" s="216" t="n"/>
      <c r="V662" s="216" t="n"/>
      <c r="W662" s="216" t="n"/>
      <c r="X662" s="216" t="n"/>
      <c r="Y662" s="216" t="n"/>
      <c r="Z662" s="216" t="n"/>
      <c r="AA662" s="216" t="n"/>
      <c r="AB662" s="216" t="n"/>
      <c r="AC662" s="216" t="n"/>
      <c r="AD662" s="216" t="n"/>
      <c r="AE662" s="216" t="n"/>
      <c r="AF662" s="216" t="n"/>
      <c r="AG662" s="216" t="n"/>
      <c r="AH662" s="216" t="n"/>
      <c r="AI662" s="216" t="n"/>
      <c r="AJ662" s="216" t="n"/>
      <c r="AK662" s="216" t="n"/>
      <c r="AL662" s="216" t="n"/>
      <c r="AM662" s="207" t="n"/>
      <c r="AN662" s="207" t="n"/>
      <c r="AO662" s="207" t="n"/>
      <c r="AP662" s="207" t="n"/>
      <c r="AQ662" s="207" t="n"/>
      <c r="AR662" s="207" t="n"/>
      <c r="AS662" s="207" t="n"/>
      <c r="AT662" s="207" t="n"/>
      <c r="AU662" s="207" t="n"/>
      <c r="AV662" s="207" t="n"/>
      <c r="AW662" s="207" t="n"/>
      <c r="AX662" s="208" t="n">
        <v>1</v>
      </c>
      <c r="AY662" s="209">
        <f>L662*AX662+AP662+AQ662+AR662+AV662+AW662+AS662+AT662+AU662</f>
        <v/>
      </c>
      <c r="AZ662" s="207" t="n">
        <v>199.76</v>
      </c>
      <c r="BA662" s="207" t="n">
        <v>0</v>
      </c>
      <c r="BB662" s="207">
        <f>AZ662*0.006</f>
        <v/>
      </c>
      <c r="BC662" s="209">
        <f>AZ662+BA662-BB662</f>
        <v/>
      </c>
      <c r="BD662" s="207" t="n">
        <v>0</v>
      </c>
      <c r="BE662" s="207" t="n">
        <v>0</v>
      </c>
      <c r="BF662" s="209" t="n"/>
      <c r="BG662" s="209" t="n"/>
      <c r="BH662" s="87" t="inlineStr">
        <is>
          <t>丁小姐</t>
        </is>
      </c>
      <c r="BI662" s="210" t="inlineStr">
        <is>
          <t>广东省 广州市 黄埔区 文冲街道文冲安置房八期H7栋203房</t>
        </is>
      </c>
      <c r="BJ662" s="86" t="inlineStr">
        <is>
          <t>13242815503-8606</t>
        </is>
      </c>
      <c r="BK662" s="86" t="n"/>
      <c r="BL662" s="210" t="n"/>
      <c r="BM662" s="93" t="n"/>
      <c r="BN662" s="94" t="n"/>
      <c r="BO662" s="93" t="n"/>
      <c r="BP662" s="86" t="n"/>
      <c r="BQ662" s="96" t="n"/>
      <c r="BR662" s="96" t="n"/>
      <c r="BS662" s="97" t="n"/>
      <c r="BT662" s="96" t="n"/>
      <c r="BU662" s="97" t="n"/>
      <c r="BV662" s="96" t="n"/>
      <c r="BW662" s="97" t="n"/>
      <c r="BX662" s="97" t="n"/>
      <c r="BY662" s="97" t="n"/>
      <c r="BZ662" s="97" t="n"/>
      <c r="CH662" s="2" t="n"/>
      <c r="CI662" s="14" t="n"/>
      <c r="CJ662" s="25" t="n"/>
      <c r="CK662" s="25" t="n"/>
      <c r="CL662" s="25" t="n"/>
      <c r="CM662" s="25" t="n"/>
      <c r="CN662" s="25" t="n"/>
      <c r="CO662" s="25" t="n"/>
      <c r="CP662" s="25" t="n"/>
      <c r="CQ662" s="25" t="n"/>
      <c r="CR662" s="25" t="n"/>
      <c r="CS662" s="25" t="n"/>
      <c r="CT662" s="25" t="n"/>
      <c r="CU662" s="25" t="n"/>
      <c r="CV662" s="25" t="n"/>
      <c r="CW662" s="25" t="n"/>
      <c r="CX662" s="25" t="n"/>
      <c r="CY662" s="25" t="n"/>
      <c r="DC662" s="26" t="n"/>
      <c r="DD662" s="26" t="n"/>
      <c r="DE662" s="26" t="n"/>
      <c r="DF662" s="26" t="n"/>
      <c r="DG662" s="26" t="n"/>
      <c r="DH662" s="27" t="n"/>
      <c r="DJ662" s="238" t="inlineStr">
        <is>
          <t>✓ 金额一致</t>
        </is>
      </c>
      <c r="DK662" t="inlineStr">
        <is>
          <t>199.76</t>
        </is>
      </c>
      <c r="DL662" s="239" t="n">
        <v>0</v>
      </c>
    </row>
    <row r="663" ht="15.75" customHeight="1" s="187">
      <c r="A663" s="84" t="n">
        <v>46131</v>
      </c>
      <c r="B663" s="226" t="inlineStr">
        <is>
          <t>已发</t>
        </is>
      </c>
      <c r="C663" s="86" t="inlineStr">
        <is>
          <t>2701851492140020684</t>
        </is>
      </c>
      <c r="D663" s="110" t="inlineStr">
        <is>
          <t>刘显睿</t>
        </is>
      </c>
      <c r="E663" s="87" t="n"/>
      <c r="F663" s="87" t="n"/>
      <c r="G663" s="87" t="inlineStr">
        <is>
          <t>1600*800*750</t>
        </is>
      </c>
      <c r="H663" s="87" t="inlineStr">
        <is>
          <t>榉木餐桌</t>
        </is>
      </c>
      <c r="I663" s="89" t="n"/>
      <c r="J663" s="87" t="n"/>
      <c r="K663" s="87" t="inlineStr">
        <is>
          <t>江西</t>
        </is>
      </c>
      <c r="L663" s="216" t="n"/>
      <c r="M663" s="216" t="n"/>
      <c r="N663" s="216" t="n"/>
      <c r="O663" s="216" t="n"/>
      <c r="P663" s="216" t="n"/>
      <c r="Q663" s="216" t="n"/>
      <c r="R663" s="216" t="n">
        <v>220</v>
      </c>
      <c r="S663" s="216" t="n"/>
      <c r="T663" s="216" t="n"/>
      <c r="U663" s="216" t="n"/>
      <c r="V663" s="216" t="n"/>
      <c r="W663" s="216" t="n"/>
      <c r="X663" s="216" t="n"/>
      <c r="Y663" s="216" t="n"/>
      <c r="Z663" s="216" t="n"/>
      <c r="AA663" s="216" t="n"/>
      <c r="AB663" s="216" t="n"/>
      <c r="AC663" s="216" t="n"/>
      <c r="AD663" s="216" t="n"/>
      <c r="AE663" s="216" t="n"/>
      <c r="AF663" s="216" t="n"/>
      <c r="AG663" s="216" t="n"/>
      <c r="AH663" s="216" t="n"/>
      <c r="AI663" s="216" t="n"/>
      <c r="AJ663" s="216" t="n"/>
      <c r="AK663" s="216" t="n"/>
      <c r="AL663" s="216" t="n"/>
      <c r="AM663" s="207" t="n"/>
      <c r="AN663" s="207" t="n"/>
      <c r="AO663" s="207" t="n"/>
      <c r="AP663" s="207" t="n"/>
      <c r="AQ663" s="207" t="n"/>
      <c r="AR663" s="207" t="n"/>
      <c r="AS663" s="207" t="n"/>
      <c r="AT663" s="207" t="n"/>
      <c r="AU663" s="207" t="n"/>
      <c r="AV663" s="207" t="n"/>
      <c r="AW663" s="207" t="n"/>
      <c r="AX663" s="208" t="n">
        <v>1</v>
      </c>
      <c r="AY663" s="209">
        <f>L663*AX663+AP663+AQ663+AR663+AV663+AW663+AS663+AT663+AU663</f>
        <v/>
      </c>
      <c r="AZ663" s="207" t="n">
        <v>2699.74</v>
      </c>
      <c r="BA663" s="207" t="n">
        <v>0</v>
      </c>
      <c r="BB663" s="207">
        <f>AZ663*0.006</f>
        <v/>
      </c>
      <c r="BC663" s="209">
        <f>AZ663+BA663-BB663</f>
        <v/>
      </c>
      <c r="BD663" s="207" t="n">
        <v>0</v>
      </c>
      <c r="BE663" s="207" t="n">
        <v>0</v>
      </c>
      <c r="BF663" s="209" t="n"/>
      <c r="BG663" s="209" t="n"/>
      <c r="BH663" s="87" t="inlineStr">
        <is>
          <t>刘显睿</t>
        </is>
      </c>
      <c r="BI663" s="210" t="inlineStr">
        <is>
          <t>湖北省 孝感市 孝南区 孝感开发区槐荫街道天纵御府2栋2单元24楼</t>
        </is>
      </c>
      <c r="BJ663" s="86" t="inlineStr">
        <is>
          <t>15783646951-2723</t>
        </is>
      </c>
      <c r="BK663" s="86" t="n"/>
      <c r="BL663" s="210" t="n"/>
      <c r="BM663" s="93" t="n"/>
      <c r="BN663" s="94" t="n"/>
      <c r="BO663" s="93" t="n"/>
      <c r="BP663" s="86" t="n"/>
      <c r="BQ663" s="96" t="n"/>
      <c r="BR663" s="96" t="n"/>
      <c r="BS663" s="97" t="n"/>
      <c r="BT663" s="96" t="n"/>
      <c r="BU663" s="97" t="n"/>
      <c r="BV663" s="96" t="n"/>
      <c r="BW663" s="97" t="n"/>
      <c r="BX663" s="97" t="n"/>
      <c r="BY663" s="97" t="n"/>
      <c r="BZ663" s="97" t="n"/>
      <c r="CH663" s="2" t="n"/>
      <c r="CI663" s="14" t="n"/>
      <c r="CJ663" s="25" t="n"/>
      <c r="CK663" s="25" t="n"/>
      <c r="CL663" s="25" t="n"/>
      <c r="CM663" s="25" t="n"/>
      <c r="CN663" s="25" t="n"/>
      <c r="CO663" s="25" t="n"/>
      <c r="CP663" s="25" t="n"/>
      <c r="CQ663" s="25" t="n"/>
      <c r="CR663" s="25" t="n"/>
      <c r="CS663" s="25" t="n"/>
      <c r="CT663" s="25" t="n"/>
      <c r="CU663" s="25" t="n"/>
      <c r="CV663" s="25" t="n"/>
      <c r="CW663" s="25" t="n"/>
      <c r="CX663" s="25" t="n"/>
      <c r="CY663" s="25" t="n"/>
      <c r="DC663" s="26" t="n"/>
      <c r="DD663" s="26" t="n"/>
      <c r="DE663" s="26" t="n"/>
      <c r="DF663" s="26" t="n"/>
      <c r="DG663" s="26" t="n"/>
      <c r="DH663" s="27" t="n"/>
      <c r="DJ663" s="238" t="inlineStr">
        <is>
          <t>✓ 金额一致</t>
        </is>
      </c>
      <c r="DK663" t="inlineStr">
        <is>
          <t>2699.74</t>
        </is>
      </c>
      <c r="DL663" s="239" t="n">
        <v>0</v>
      </c>
    </row>
    <row r="664" ht="15.75" customHeight="1" s="187">
      <c r="A664" s="84" t="n">
        <v>46133</v>
      </c>
      <c r="B664" s="226" t="inlineStr">
        <is>
          <t>已发</t>
        </is>
      </c>
      <c r="C664" s="86" t="inlineStr">
        <is>
          <t>2701871510031025482</t>
        </is>
      </c>
      <c r="D664" s="110" t="inlineStr">
        <is>
          <t>罗文通</t>
        </is>
      </c>
      <c r="E664" s="87" t="n"/>
      <c r="F664" s="87" t="n"/>
      <c r="G664" s="87" t="inlineStr">
        <is>
          <t>2000*850*750</t>
        </is>
      </c>
      <c r="H664" s="87" t="inlineStr">
        <is>
          <t>榉木餐桌</t>
        </is>
      </c>
      <c r="I664" s="89" t="n"/>
      <c r="J664" s="87" t="n"/>
      <c r="K664" s="87" t="inlineStr">
        <is>
          <t>江西</t>
        </is>
      </c>
      <c r="L664" s="216" t="n"/>
      <c r="M664" s="216" t="n"/>
      <c r="N664" s="216" t="n"/>
      <c r="O664" s="216" t="n"/>
      <c r="P664" s="216" t="n"/>
      <c r="Q664" s="216" t="n"/>
      <c r="R664" s="216" t="n">
        <v>290</v>
      </c>
      <c r="S664" s="216" t="n"/>
      <c r="T664" s="216" t="n"/>
      <c r="U664" s="216" t="n"/>
      <c r="V664" s="216" t="n"/>
      <c r="W664" s="216" t="n"/>
      <c r="X664" s="216" t="n"/>
      <c r="Y664" s="216" t="n"/>
      <c r="Z664" s="216" t="n"/>
      <c r="AA664" s="216" t="n"/>
      <c r="AB664" s="216" t="n"/>
      <c r="AC664" s="216" t="n"/>
      <c r="AD664" s="216" t="n"/>
      <c r="AE664" s="216" t="n"/>
      <c r="AF664" s="216" t="n"/>
      <c r="AG664" s="216" t="n"/>
      <c r="AH664" s="216" t="n"/>
      <c r="AI664" s="216" t="n"/>
      <c r="AJ664" s="216" t="n"/>
      <c r="AK664" s="216" t="n"/>
      <c r="AL664" s="216" t="n"/>
      <c r="AM664" s="207" t="n"/>
      <c r="AN664" s="207" t="n"/>
      <c r="AO664" s="207" t="n"/>
      <c r="AP664" s="207" t="n"/>
      <c r="AQ664" s="207" t="n"/>
      <c r="AR664" s="207" t="n"/>
      <c r="AS664" s="207" t="n"/>
      <c r="AT664" s="207" t="n"/>
      <c r="AU664" s="207" t="n"/>
      <c r="AV664" s="207" t="n"/>
      <c r="AW664" s="207" t="n"/>
      <c r="AX664" s="208" t="n">
        <v>1</v>
      </c>
      <c r="AY664" s="209">
        <f>L664*AX664+AP664+AQ664+AR664+AV664+AW664+AS664+AT664+AU664</f>
        <v/>
      </c>
      <c r="AZ664" s="207" t="n">
        <v>3024.03</v>
      </c>
      <c r="BA664" s="207" t="n">
        <v>0</v>
      </c>
      <c r="BB664" s="207">
        <f>AZ664*0.006</f>
        <v/>
      </c>
      <c r="BC664" s="209">
        <f>AZ664+BA664-BB664</f>
        <v/>
      </c>
      <c r="BD664" s="207" t="n">
        <v>0</v>
      </c>
      <c r="BE664" s="207" t="n">
        <v>0</v>
      </c>
      <c r="BF664" s="209" t="n"/>
      <c r="BG664" s="209" t="n"/>
      <c r="BH664" s="87" t="inlineStr">
        <is>
          <t>罗文通</t>
        </is>
      </c>
      <c r="BI664" s="210" t="inlineStr">
        <is>
          <t>四川省 成都市 双流区 黄龙溪镇黄龙溪</t>
        </is>
      </c>
      <c r="BJ664" s="86" t="inlineStr">
        <is>
          <t>13094431949-7397</t>
        </is>
      </c>
      <c r="BK664" s="86" t="n"/>
      <c r="BL664" s="210" t="n"/>
      <c r="BM664" s="93" t="n"/>
      <c r="BN664" s="94" t="n"/>
      <c r="BO664" s="93" t="n"/>
      <c r="BP664" s="86" t="n"/>
      <c r="BQ664" s="96" t="n"/>
      <c r="BR664" s="96" t="n"/>
      <c r="BS664" s="97" t="n"/>
      <c r="BT664" s="96" t="n"/>
      <c r="BU664" s="97" t="n"/>
      <c r="BV664" s="96" t="n"/>
      <c r="BW664" s="97" t="n"/>
      <c r="BX664" s="97" t="n"/>
      <c r="BY664" s="97" t="n"/>
      <c r="BZ664" s="97" t="n"/>
      <c r="CH664" s="2" t="n"/>
      <c r="CI664" s="14" t="n"/>
      <c r="CJ664" s="25" t="n"/>
      <c r="CK664" s="25" t="n"/>
      <c r="CL664" s="25" t="n"/>
      <c r="CM664" s="25" t="n"/>
      <c r="CN664" s="25" t="n"/>
      <c r="CO664" s="25" t="n"/>
      <c r="CP664" s="25" t="n"/>
      <c r="CQ664" s="25" t="n"/>
      <c r="CR664" s="25" t="n"/>
      <c r="CS664" s="25" t="n"/>
      <c r="CT664" s="25" t="n"/>
      <c r="CU664" s="25" t="n"/>
      <c r="CV664" s="25" t="n"/>
      <c r="CW664" s="25" t="n"/>
      <c r="CX664" s="25" t="n"/>
      <c r="CY664" s="25" t="n"/>
      <c r="DC664" s="26" t="n"/>
      <c r="DD664" s="26" t="n"/>
      <c r="DE664" s="26" t="n"/>
      <c r="DF664" s="26" t="n"/>
      <c r="DG664" s="26" t="n"/>
      <c r="DH664" s="27" t="n"/>
      <c r="DJ664" s="238" t="inlineStr">
        <is>
          <t>✓ 金额一致</t>
        </is>
      </c>
      <c r="DK664" t="inlineStr">
        <is>
          <t>3024.03</t>
        </is>
      </c>
      <c r="DL664" s="239" t="n">
        <v>0</v>
      </c>
    </row>
    <row r="665" ht="15.75" customHeight="1" s="187">
      <c r="A665" s="84" t="n">
        <v>46135</v>
      </c>
      <c r="B665" s="226" t="inlineStr">
        <is>
          <t>已发</t>
        </is>
      </c>
      <c r="C665" s="86" t="inlineStr">
        <is>
          <t>3297759996216072459</t>
        </is>
      </c>
      <c r="D665" s="110" t="inlineStr">
        <is>
          <t>李嘉儿</t>
        </is>
      </c>
      <c r="E665" s="87" t="n"/>
      <c r="F665" s="87" t="n"/>
      <c r="G665" s="87" t="inlineStr">
        <is>
          <t>1400*800*750</t>
        </is>
      </c>
      <c r="H665" s="87" t="inlineStr">
        <is>
          <t>榉木餐桌</t>
        </is>
      </c>
      <c r="I665" s="89" t="n"/>
      <c r="J665" s="87" t="n"/>
      <c r="K665" s="87" t="inlineStr">
        <is>
          <t>江西</t>
        </is>
      </c>
      <c r="L665" s="216" t="n"/>
      <c r="M665" s="216" t="n"/>
      <c r="N665" s="216" t="n"/>
      <c r="O665" s="216" t="n"/>
      <c r="P665" s="216" t="n"/>
      <c r="Q665" s="216" t="n"/>
      <c r="R665" s="216" t="n">
        <v>220</v>
      </c>
      <c r="S665" s="216" t="n"/>
      <c r="T665" s="216" t="n"/>
      <c r="U665" s="216" t="n"/>
      <c r="V665" s="216" t="n"/>
      <c r="W665" s="216" t="n"/>
      <c r="X665" s="216" t="n"/>
      <c r="Y665" s="216" t="n"/>
      <c r="Z665" s="216" t="n"/>
      <c r="AA665" s="216" t="n"/>
      <c r="AB665" s="216" t="n"/>
      <c r="AC665" s="216" t="n"/>
      <c r="AD665" s="216" t="n"/>
      <c r="AE665" s="216" t="n"/>
      <c r="AF665" s="216" t="n"/>
      <c r="AG665" s="216" t="n"/>
      <c r="AH665" s="216" t="n"/>
      <c r="AI665" s="216" t="n"/>
      <c r="AJ665" s="216" t="n"/>
      <c r="AK665" s="216" t="n"/>
      <c r="AL665" s="216" t="n"/>
      <c r="AM665" s="207" t="n"/>
      <c r="AN665" s="207" t="n"/>
      <c r="AO665" s="207" t="n"/>
      <c r="AP665" s="207" t="n"/>
      <c r="AQ665" s="207" t="n"/>
      <c r="AR665" s="207" t="n"/>
      <c r="AS665" s="207" t="n"/>
      <c r="AT665" s="207" t="n"/>
      <c r="AU665" s="207" t="n"/>
      <c r="AV665" s="207" t="n"/>
      <c r="AW665" s="207" t="n"/>
      <c r="AX665" s="208" t="n">
        <v>1</v>
      </c>
      <c r="AY665" s="209">
        <f>L665*AX665+AP665+AQ665+AR665+AV665+AW665+AS665+AT665+AU665</f>
        <v/>
      </c>
      <c r="AZ665" s="207" t="n">
        <v>2726.98</v>
      </c>
      <c r="BA665" s="207" t="n">
        <v>0</v>
      </c>
      <c r="BB665" s="207">
        <f>AZ665*0.006</f>
        <v/>
      </c>
      <c r="BC665" s="209">
        <f>AZ665+BA665-BB665</f>
        <v/>
      </c>
      <c r="BD665" s="207" t="n">
        <v>0</v>
      </c>
      <c r="BE665" s="207" t="n">
        <v>0</v>
      </c>
      <c r="BF665" s="209" t="n"/>
      <c r="BG665" s="209" t="n"/>
      <c r="BH665" s="87" t="inlineStr">
        <is>
          <t>李嘉儿</t>
        </is>
      </c>
      <c r="BI665" s="210" t="inlineStr">
        <is>
          <t>广东省 东莞市  东城街道海德琥珀台8栋2单元1104</t>
        </is>
      </c>
      <c r="BJ665" s="86" t="inlineStr">
        <is>
          <t>18824533744-7987</t>
        </is>
      </c>
      <c r="BK665" s="86" t="n"/>
      <c r="BL665" s="210" t="n"/>
      <c r="BM665" s="93" t="n"/>
      <c r="BN665" s="94" t="n"/>
      <c r="BO665" s="93" t="n"/>
      <c r="BP665" s="86" t="n"/>
      <c r="BQ665" s="96" t="n"/>
      <c r="BR665" s="96" t="n"/>
      <c r="BS665" s="97" t="n"/>
      <c r="BT665" s="96" t="n"/>
      <c r="BU665" s="97" t="n"/>
      <c r="BV665" s="96" t="n"/>
      <c r="BW665" s="97" t="n"/>
      <c r="BX665" s="97" t="n"/>
      <c r="BY665" s="97" t="n"/>
      <c r="BZ665" s="97" t="n"/>
      <c r="CH665" s="2" t="n"/>
      <c r="CI665" s="14" t="n"/>
      <c r="CJ665" s="25" t="n"/>
      <c r="CK665" s="25" t="n"/>
      <c r="CL665" s="25" t="n"/>
      <c r="CM665" s="25" t="n"/>
      <c r="CN665" s="25" t="n"/>
      <c r="CO665" s="25" t="n"/>
      <c r="CP665" s="25" t="n"/>
      <c r="CQ665" s="25" t="n"/>
      <c r="CR665" s="25" t="n"/>
      <c r="CS665" s="25" t="n"/>
      <c r="CT665" s="25" t="n"/>
      <c r="CU665" s="25" t="n"/>
      <c r="CV665" s="25" t="n"/>
      <c r="CW665" s="25" t="n"/>
      <c r="CX665" s="25" t="n"/>
      <c r="CY665" s="25" t="n"/>
      <c r="DC665" s="26" t="n"/>
      <c r="DD665" s="26" t="n"/>
      <c r="DE665" s="26" t="n"/>
      <c r="DF665" s="26" t="n"/>
      <c r="DG665" s="26" t="n"/>
      <c r="DH665" s="27" t="n"/>
      <c r="DJ665" s="238" t="inlineStr">
        <is>
          <t>✓ 金额一致</t>
        </is>
      </c>
      <c r="DK665" t="inlineStr">
        <is>
          <t>2726.98</t>
        </is>
      </c>
      <c r="DL665" s="239" t="n">
        <v>0</v>
      </c>
    </row>
    <row r="666" ht="15.75" customHeight="1" s="187">
      <c r="A666" s="84" t="n">
        <v>46135</v>
      </c>
      <c r="B666" s="226" t="inlineStr">
        <is>
          <t>已发</t>
        </is>
      </c>
      <c r="C666" s="86" t="inlineStr">
        <is>
          <t>3297443054244029653</t>
        </is>
      </c>
      <c r="D666" s="110" t="inlineStr">
        <is>
          <t>杨洁</t>
        </is>
      </c>
      <c r="E666" s="87" t="n"/>
      <c r="F666" s="87" t="n"/>
      <c r="G666" s="87" t="inlineStr">
        <is>
          <t>1600*800*750</t>
        </is>
      </c>
      <c r="H666" s="87" t="inlineStr">
        <is>
          <t>榉木餐桌</t>
        </is>
      </c>
      <c r="I666" s="89" t="n"/>
      <c r="J666" s="87" t="n"/>
      <c r="K666" s="87" t="inlineStr">
        <is>
          <t>江西</t>
        </is>
      </c>
      <c r="L666" s="216" t="n"/>
      <c r="M666" s="216" t="n"/>
      <c r="N666" s="216" t="n"/>
      <c r="O666" s="216" t="n"/>
      <c r="P666" s="216" t="n"/>
      <c r="Q666" s="216" t="n"/>
      <c r="R666" s="216" t="n">
        <v>220</v>
      </c>
      <c r="S666" s="216" t="n"/>
      <c r="T666" s="216" t="n"/>
      <c r="U666" s="216" t="n"/>
      <c r="V666" s="216" t="n"/>
      <c r="W666" s="216" t="n"/>
      <c r="X666" s="216" t="n"/>
      <c r="Y666" s="216" t="n"/>
      <c r="Z666" s="216" t="n"/>
      <c r="AA666" s="216" t="n"/>
      <c r="AB666" s="216" t="n"/>
      <c r="AC666" s="216" t="n"/>
      <c r="AD666" s="216" t="n"/>
      <c r="AE666" s="216" t="n"/>
      <c r="AF666" s="216" t="n"/>
      <c r="AG666" s="216" t="n"/>
      <c r="AH666" s="216" t="n"/>
      <c r="AI666" s="216" t="n"/>
      <c r="AJ666" s="216" t="n"/>
      <c r="AK666" s="216" t="n"/>
      <c r="AL666" s="216" t="n"/>
      <c r="AM666" s="207" t="n"/>
      <c r="AN666" s="207" t="n"/>
      <c r="AO666" s="207" t="n"/>
      <c r="AP666" s="207" t="n"/>
      <c r="AQ666" s="207" t="n"/>
      <c r="AR666" s="207" t="n"/>
      <c r="AS666" s="207" t="n"/>
      <c r="AT666" s="207" t="n"/>
      <c r="AU666" s="207" t="n"/>
      <c r="AV666" s="207" t="n"/>
      <c r="AW666" s="207" t="n"/>
      <c r="AX666" s="208" t="n">
        <v>1</v>
      </c>
      <c r="AY666" s="209">
        <f>L666*AX666+AP666+AQ666+AR666+AV666+AW666+AS666+AT666+AU666</f>
        <v/>
      </c>
      <c r="AZ666" s="207" t="n">
        <v>2699.74</v>
      </c>
      <c r="BA666" s="207" t="n">
        <v>0</v>
      </c>
      <c r="BB666" s="207">
        <f>AZ666*0.006</f>
        <v/>
      </c>
      <c r="BC666" s="209">
        <f>AZ666+BA666-BB666</f>
        <v/>
      </c>
      <c r="BD666" s="207" t="n">
        <v>0</v>
      </c>
      <c r="BE666" s="207" t="n">
        <v>0</v>
      </c>
      <c r="BF666" s="209" t="n"/>
      <c r="BG666" s="209" t="n"/>
      <c r="BH666" s="87" t="inlineStr">
        <is>
          <t>杨洁</t>
        </is>
      </c>
      <c r="BI666" s="210" t="inlineStr">
        <is>
          <t>福建省 福州市 台江区 上海街道工业路博美诗邦5座1104室</t>
        </is>
      </c>
      <c r="BJ666" s="86" t="inlineStr">
        <is>
          <t>18480100477-3298</t>
        </is>
      </c>
      <c r="BK666" s="86" t="n"/>
      <c r="BL666" s="210" t="n"/>
      <c r="BM666" s="93" t="n"/>
      <c r="BN666" s="94" t="n"/>
      <c r="BO666" s="93" t="n"/>
      <c r="BP666" s="86" t="n"/>
      <c r="BQ666" s="96" t="n"/>
      <c r="BR666" s="96" t="n"/>
      <c r="BS666" s="97" t="n"/>
      <c r="BT666" s="96" t="n"/>
      <c r="BU666" s="97" t="n"/>
      <c r="BV666" s="96" t="n"/>
      <c r="BW666" s="97" t="n"/>
      <c r="BX666" s="97" t="n"/>
      <c r="BY666" s="97" t="n"/>
      <c r="BZ666" s="97" t="n"/>
      <c r="CH666" s="2" t="n"/>
      <c r="CI666" s="14" t="n"/>
      <c r="CJ666" s="25" t="n"/>
      <c r="CK666" s="25" t="n"/>
      <c r="CL666" s="25" t="n"/>
      <c r="CM666" s="25" t="n"/>
      <c r="CN666" s="25" t="n"/>
      <c r="CO666" s="25" t="n"/>
      <c r="CP666" s="25" t="n"/>
      <c r="CQ666" s="25" t="n"/>
      <c r="CR666" s="25" t="n"/>
      <c r="CS666" s="25" t="n"/>
      <c r="CT666" s="25" t="n"/>
      <c r="CU666" s="25" t="n"/>
      <c r="CV666" s="25" t="n"/>
      <c r="CW666" s="25" t="n"/>
      <c r="CX666" s="25" t="n"/>
      <c r="CY666" s="25" t="n"/>
      <c r="DC666" s="26" t="n"/>
      <c r="DD666" s="26" t="n"/>
      <c r="DE666" s="26" t="n"/>
      <c r="DF666" s="26" t="n"/>
      <c r="DG666" s="26" t="n"/>
      <c r="DH666" s="27" t="n"/>
      <c r="DJ666" s="238" t="inlineStr">
        <is>
          <t>✓ 金额一致</t>
        </is>
      </c>
      <c r="DK666" t="inlineStr">
        <is>
          <t>2699.74</t>
        </is>
      </c>
      <c r="DL666" s="239" t="n">
        <v>0</v>
      </c>
    </row>
    <row r="667" ht="15.75" customHeight="1" s="187">
      <c r="A667" s="84" t="n">
        <v>46135</v>
      </c>
      <c r="B667" s="226" t="n"/>
      <c r="C667" s="86" t="inlineStr">
        <is>
          <t>5111225679759002307</t>
        </is>
      </c>
      <c r="D667" s="110" t="inlineStr">
        <is>
          <t>Mickey</t>
        </is>
      </c>
      <c r="E667" s="87" t="n"/>
      <c r="F667" s="87" t="n"/>
      <c r="G667" s="87" t="inlineStr">
        <is>
          <t>1.8洞石柜</t>
        </is>
      </c>
      <c r="H667" s="87" t="inlineStr">
        <is>
          <t>洞石柜</t>
        </is>
      </c>
      <c r="I667" s="89" t="n"/>
      <c r="J667" s="87" t="n"/>
      <c r="K667" s="87" t="inlineStr">
        <is>
          <t>江西</t>
        </is>
      </c>
      <c r="L667" s="216" t="n"/>
      <c r="M667" s="216" t="n"/>
      <c r="N667" s="216" t="n"/>
      <c r="O667" s="216" t="n"/>
      <c r="P667" s="216" t="n"/>
      <c r="Q667" s="216" t="n"/>
      <c r="R667" s="216" t="n">
        <v>580</v>
      </c>
      <c r="S667" s="216" t="n"/>
      <c r="T667" s="216" t="n">
        <v>31</v>
      </c>
      <c r="U667" s="216" t="n"/>
      <c r="V667" s="216" t="n"/>
      <c r="W667" s="216" t="n"/>
      <c r="X667" s="216" t="n"/>
      <c r="Y667" s="216" t="n"/>
      <c r="Z667" s="216" t="n"/>
      <c r="AA667" s="216" t="n"/>
      <c r="AB667" s="216" t="n"/>
      <c r="AC667" s="216" t="n"/>
      <c r="AD667" s="216" t="n"/>
      <c r="AE667" s="216" t="n"/>
      <c r="AF667" s="216" t="n"/>
      <c r="AG667" s="216" t="n"/>
      <c r="AH667" s="216" t="n"/>
      <c r="AI667" s="216" t="n"/>
      <c r="AJ667" s="216" t="n"/>
      <c r="AK667" s="216" t="n"/>
      <c r="AL667" s="216" t="n"/>
      <c r="AM667" s="207" t="n"/>
      <c r="AN667" s="207" t="n"/>
      <c r="AO667" s="207" t="n"/>
      <c r="AP667" s="207" t="n"/>
      <c r="AQ667" s="207" t="n"/>
      <c r="AR667" s="207" t="n"/>
      <c r="AS667" s="207" t="n"/>
      <c r="AT667" s="207" t="n"/>
      <c r="AU667" s="207" t="n"/>
      <c r="AV667" s="207" t="n"/>
      <c r="AW667" s="207" t="n"/>
      <c r="AX667" s="208" t="n">
        <v>1</v>
      </c>
      <c r="AY667" s="209">
        <f>L667*AX667+AP667+AQ667+AR667+AV667+AW667+AS667+AT667+AU667</f>
        <v/>
      </c>
      <c r="AZ667" s="207" t="n">
        <v>11895.39</v>
      </c>
      <c r="BA667" s="207" t="n">
        <v>0</v>
      </c>
      <c r="BB667" s="207">
        <f>AZ667*0.006</f>
        <v/>
      </c>
      <c r="BC667" s="209">
        <f>AZ667+BA667-BB667</f>
        <v/>
      </c>
      <c r="BD667" s="207" t="n">
        <v>0</v>
      </c>
      <c r="BE667" s="207" t="n">
        <v>0</v>
      </c>
      <c r="BF667" s="209" t="n"/>
      <c r="BG667" s="209" t="n"/>
      <c r="BH667" s="87" t="inlineStr">
        <is>
          <t>Mickey</t>
        </is>
      </c>
      <c r="BI667" s="210" t="inlineStr">
        <is>
          <t>上海 上海市 浦东新区 金桥镇金葵路288弄18号802室</t>
        </is>
      </c>
      <c r="BJ667" s="86" t="inlineStr">
        <is>
          <t>18466943104-6649</t>
        </is>
      </c>
      <c r="BK667" s="86" t="n"/>
      <c r="BL667" s="210" t="n"/>
      <c r="BM667" s="93" t="n"/>
      <c r="BN667" s="94" t="n"/>
      <c r="BO667" s="93" t="n"/>
      <c r="BP667" s="86" t="n"/>
      <c r="BQ667" s="96" t="n"/>
      <c r="BR667" s="96" t="n"/>
      <c r="BS667" s="97" t="n"/>
      <c r="BT667" s="96" t="n"/>
      <c r="BU667" s="97" t="n"/>
      <c r="BV667" s="96" t="n"/>
      <c r="BW667" s="97" t="n"/>
      <c r="BX667" s="97" t="n"/>
      <c r="BY667" s="97" t="n"/>
      <c r="BZ667" s="97" t="n"/>
      <c r="CH667" s="2" t="n"/>
      <c r="CI667" s="14" t="n"/>
      <c r="CJ667" s="25" t="n"/>
      <c r="CK667" s="25" t="n"/>
      <c r="CL667" s="25" t="n"/>
      <c r="CM667" s="25" t="n"/>
      <c r="CN667" s="25" t="n"/>
      <c r="CO667" s="25" t="n"/>
      <c r="CP667" s="25" t="n"/>
      <c r="CQ667" s="25" t="n"/>
      <c r="CR667" s="25" t="n"/>
      <c r="CS667" s="25" t="n"/>
      <c r="CT667" s="25" t="n"/>
      <c r="CU667" s="25" t="n"/>
      <c r="CV667" s="25" t="n"/>
      <c r="CW667" s="25" t="n"/>
      <c r="CX667" s="25" t="n"/>
      <c r="CY667" s="25" t="n"/>
      <c r="DC667" s="26" t="n"/>
      <c r="DD667" s="26" t="n"/>
      <c r="DE667" s="26" t="n"/>
      <c r="DF667" s="26" t="n"/>
      <c r="DG667" s="26" t="n"/>
      <c r="DH667" s="27" t="n"/>
      <c r="DJ667" s="238" t="inlineStr">
        <is>
          <t>✓ 金额一致</t>
        </is>
      </c>
      <c r="DK667" t="inlineStr">
        <is>
          <t>11895.39</t>
        </is>
      </c>
      <c r="DL667" s="239" t="n">
        <v>0</v>
      </c>
    </row>
    <row r="668" ht="15.75" customHeight="1" s="187">
      <c r="A668" s="84" t="n">
        <v>46137</v>
      </c>
      <c r="B668" s="226" t="inlineStr">
        <is>
          <t>已发</t>
        </is>
      </c>
      <c r="C668" s="86" t="inlineStr">
        <is>
          <t>5112223848540017018</t>
        </is>
      </c>
      <c r="D668" s="110" t="inlineStr">
        <is>
          <t>顾立锋</t>
        </is>
      </c>
      <c r="E668" s="87" t="n"/>
      <c r="F668" s="87" t="n"/>
      <c r="G668" s="87" t="inlineStr">
        <is>
          <t>组合柜地脚</t>
        </is>
      </c>
      <c r="H668" s="87" t="inlineStr">
        <is>
          <t>组合柜</t>
        </is>
      </c>
      <c r="I668" s="89" t="n"/>
      <c r="J668" s="87" t="n"/>
      <c r="K668" s="87" t="inlineStr">
        <is>
          <t>江西</t>
        </is>
      </c>
      <c r="L668" s="216" t="n"/>
      <c r="M668" s="216" t="n"/>
      <c r="N668" s="216" t="n"/>
      <c r="O668" s="216" t="n"/>
      <c r="P668" s="216" t="n"/>
      <c r="Q668" s="216" t="n"/>
      <c r="R668" s="216" t="n"/>
      <c r="S668" s="216" t="n"/>
      <c r="T668" s="216" t="n"/>
      <c r="U668" s="216" t="n"/>
      <c r="V668" s="216" t="n"/>
      <c r="W668" s="216" t="n"/>
      <c r="X668" s="216" t="n"/>
      <c r="Y668" s="216" t="n"/>
      <c r="Z668" s="216" t="n"/>
      <c r="AA668" s="216" t="n"/>
      <c r="AB668" s="216" t="n"/>
      <c r="AC668" s="216" t="n"/>
      <c r="AD668" s="216" t="n"/>
      <c r="AE668" s="216" t="n"/>
      <c r="AF668" s="216" t="n"/>
      <c r="AG668" s="216" t="n"/>
      <c r="AH668" s="216" t="n"/>
      <c r="AI668" s="216" t="n"/>
      <c r="AJ668" s="216" t="n"/>
      <c r="AK668" s="216" t="n"/>
      <c r="AL668" s="216" t="n"/>
      <c r="AM668" s="207" t="n"/>
      <c r="AN668" s="207" t="n"/>
      <c r="AO668" s="207" t="n"/>
      <c r="AP668" s="207" t="n"/>
      <c r="AQ668" s="207" t="n"/>
      <c r="AR668" s="207" t="n"/>
      <c r="AS668" s="207" t="n"/>
      <c r="AT668" s="207" t="n"/>
      <c r="AU668" s="207" t="n"/>
      <c r="AV668" s="207" t="n"/>
      <c r="AW668" s="207" t="n"/>
      <c r="AX668" s="208" t="n">
        <v>1</v>
      </c>
      <c r="AY668" s="209">
        <f>L668*AX668+AP668+AQ668+AR668+AV668+AW668+AS668+AT668+AU668</f>
        <v/>
      </c>
      <c r="AZ668" s="207" t="n">
        <v>142</v>
      </c>
      <c r="BA668" s="207" t="n">
        <v>0</v>
      </c>
      <c r="BB668" s="207">
        <f>AZ668*0.006</f>
        <v/>
      </c>
      <c r="BC668" s="209">
        <f>AZ668+BA668-BB668</f>
        <v/>
      </c>
      <c r="BD668" s="207" t="n">
        <v>0</v>
      </c>
      <c r="BE668" s="207" t="n">
        <v>0</v>
      </c>
      <c r="BF668" s="209" t="n"/>
      <c r="BG668" s="209" t="n"/>
      <c r="BH668" s="87" t="inlineStr">
        <is>
          <t>顾立锋</t>
        </is>
      </c>
      <c r="BI668" s="210" t="inlineStr">
        <is>
          <t>江苏省 无锡市 锡山区</t>
        </is>
      </c>
      <c r="BJ668" s="86" t="inlineStr">
        <is>
          <t>18468313590-6878</t>
        </is>
      </c>
      <c r="BK668" s="86" t="n"/>
      <c r="BL668" s="210" t="n"/>
      <c r="BM668" s="93" t="n"/>
      <c r="BN668" s="94" t="n"/>
      <c r="BO668" s="93" t="n"/>
      <c r="BP668" s="86" t="n"/>
      <c r="BQ668" s="96" t="n"/>
      <c r="BR668" s="96" t="n"/>
      <c r="BS668" s="97" t="n"/>
      <c r="BT668" s="96" t="n"/>
      <c r="BU668" s="97" t="n"/>
      <c r="BV668" s="96" t="n"/>
      <c r="BW668" s="97" t="n"/>
      <c r="BX668" s="97" t="n"/>
      <c r="BY668" s="97" t="n"/>
      <c r="BZ668" s="97" t="n"/>
      <c r="CH668" s="2" t="n"/>
      <c r="CI668" s="14" t="n"/>
      <c r="CJ668" s="25" t="n"/>
      <c r="CK668" s="25" t="n"/>
      <c r="CL668" s="25" t="n"/>
      <c r="CM668" s="25" t="n"/>
      <c r="CN668" s="25" t="n"/>
      <c r="CO668" s="25" t="n"/>
      <c r="CP668" s="25" t="n"/>
      <c r="CQ668" s="25" t="n"/>
      <c r="CR668" s="25" t="n"/>
      <c r="CS668" s="25" t="n"/>
      <c r="CT668" s="25" t="n"/>
      <c r="CU668" s="25" t="n"/>
      <c r="CV668" s="25" t="n"/>
      <c r="CW668" s="25" t="n"/>
      <c r="CX668" s="25" t="n"/>
      <c r="CY668" s="25" t="n"/>
      <c r="DC668" s="26" t="n"/>
      <c r="DD668" s="26" t="n"/>
      <c r="DE668" s="26" t="n"/>
      <c r="DF668" s="26" t="n"/>
      <c r="DG668" s="26" t="n"/>
      <c r="DH668" s="27" t="n"/>
      <c r="DJ668" s="238" t="inlineStr">
        <is>
          <t>✓ 金额一致</t>
        </is>
      </c>
      <c r="DK668" t="inlineStr">
        <is>
          <t>142.00</t>
        </is>
      </c>
      <c r="DL668" s="239" t="n">
        <v>0</v>
      </c>
    </row>
    <row r="669" ht="15.75" customHeight="1" s="187">
      <c r="A669" s="84" t="n">
        <v>46137</v>
      </c>
      <c r="B669" s="226" t="inlineStr">
        <is>
          <t>已发</t>
        </is>
      </c>
      <c r="C669" s="86" t="inlineStr">
        <is>
          <t>5115783241340027720</t>
        </is>
      </c>
      <c r="D669" s="110" t="inlineStr">
        <is>
          <t>周陈虹</t>
        </is>
      </c>
      <c r="E669" s="87" t="n"/>
      <c r="F669" s="87" t="n"/>
      <c r="G669" s="87" t="inlineStr">
        <is>
          <t>1.8箱体床</t>
        </is>
      </c>
      <c r="H669" s="87" t="inlineStr">
        <is>
          <t>箱体床</t>
        </is>
      </c>
      <c r="I669" s="89" t="n"/>
      <c r="J669" s="87" t="n"/>
      <c r="K669" s="87" t="inlineStr">
        <is>
          <t>江西</t>
        </is>
      </c>
      <c r="L669" s="216" t="n"/>
      <c r="M669" s="216" t="n"/>
      <c r="N669" s="216" t="n"/>
      <c r="O669" s="216" t="n"/>
      <c r="P669" s="216" t="n"/>
      <c r="Q669" s="216" t="n"/>
      <c r="R669" s="216" t="n"/>
      <c r="S669" s="216" t="n"/>
      <c r="T669" s="216" t="n"/>
      <c r="U669" s="216" t="n"/>
      <c r="V669" s="216" t="n"/>
      <c r="W669" s="216" t="n"/>
      <c r="X669" s="216" t="n"/>
      <c r="Y669" s="216" t="n"/>
      <c r="Z669" s="216" t="n"/>
      <c r="AA669" s="216" t="n"/>
      <c r="AB669" s="216" t="n"/>
      <c r="AC669" s="216" t="n"/>
      <c r="AD669" s="216" t="n"/>
      <c r="AE669" s="216" t="n"/>
      <c r="AF669" s="216" t="n"/>
      <c r="AG669" s="216" t="n"/>
      <c r="AH669" s="216" t="n"/>
      <c r="AI669" s="216" t="n"/>
      <c r="AJ669" s="216" t="n"/>
      <c r="AK669" s="216" t="n"/>
      <c r="AL669" s="216" t="n"/>
      <c r="AM669" s="207" t="n"/>
      <c r="AN669" s="207" t="n"/>
      <c r="AO669" s="207" t="n"/>
      <c r="AP669" s="207" t="n"/>
      <c r="AQ669" s="207" t="n"/>
      <c r="AR669" s="207" t="n"/>
      <c r="AS669" s="207" t="n"/>
      <c r="AT669" s="207" t="n"/>
      <c r="AU669" s="207" t="n"/>
      <c r="AV669" s="207" t="n"/>
      <c r="AW669" s="207" t="n"/>
      <c r="AX669" s="208" t="n">
        <v>1</v>
      </c>
      <c r="AY669" s="209">
        <f>L669*AX669+AP669+AQ669+AR669+AV669+AW669+AS669+AT669+AU669</f>
        <v/>
      </c>
      <c r="AZ669" s="207" t="n">
        <v>142</v>
      </c>
      <c r="BA669" s="207" t="n">
        <v>0</v>
      </c>
      <c r="BB669" s="207">
        <f>AZ669*0.006</f>
        <v/>
      </c>
      <c r="BC669" s="209">
        <f>AZ669+BA669-BB669</f>
        <v/>
      </c>
      <c r="BD669" s="207" t="n">
        <v>0</v>
      </c>
      <c r="BE669" s="207" t="n">
        <v>0</v>
      </c>
      <c r="BF669" s="209" t="n"/>
      <c r="BG669" s="209" t="n"/>
      <c r="BH669" s="87" t="inlineStr">
        <is>
          <t>周陈虹</t>
        </is>
      </c>
      <c r="BI669" s="210" t="inlineStr">
        <is>
          <t>上海 上海市 浦东新区 唐镇春泉路45弄56号802</t>
        </is>
      </c>
      <c r="BJ669" s="86" t="inlineStr">
        <is>
          <t>18466820883-1118</t>
        </is>
      </c>
      <c r="BK669" s="86" t="n"/>
      <c r="BL669" s="210" t="n"/>
      <c r="BM669" s="93" t="n"/>
      <c r="BN669" s="94" t="n"/>
      <c r="BO669" s="93" t="n"/>
      <c r="BP669" s="86" t="n"/>
      <c r="BQ669" s="96" t="n"/>
      <c r="BR669" s="96" t="n"/>
      <c r="BS669" s="97" t="n"/>
      <c r="BT669" s="96" t="n"/>
      <c r="BU669" s="97" t="n"/>
      <c r="BV669" s="96" t="n"/>
      <c r="BW669" s="97" t="n"/>
      <c r="BX669" s="97" t="n"/>
      <c r="BY669" s="97" t="n"/>
      <c r="BZ669" s="97" t="n"/>
      <c r="CH669" s="2" t="n"/>
      <c r="CI669" s="14" t="n"/>
      <c r="CJ669" s="25" t="n"/>
      <c r="CK669" s="25" t="n"/>
      <c r="CL669" s="25" t="n"/>
      <c r="CM669" s="25" t="n"/>
      <c r="CN669" s="25" t="n"/>
      <c r="CO669" s="25" t="n"/>
      <c r="CP669" s="25" t="n"/>
      <c r="CQ669" s="25" t="n"/>
      <c r="CR669" s="25" t="n"/>
      <c r="CS669" s="25" t="n"/>
      <c r="CT669" s="25" t="n"/>
      <c r="CU669" s="25" t="n"/>
      <c r="CV669" s="25" t="n"/>
      <c r="CW669" s="25" t="n"/>
      <c r="CX669" s="25" t="n"/>
      <c r="CY669" s="25" t="n"/>
      <c r="DC669" s="26" t="n"/>
      <c r="DD669" s="26" t="n"/>
      <c r="DE669" s="26" t="n"/>
      <c r="DF669" s="26" t="n"/>
      <c r="DG669" s="26" t="n"/>
      <c r="DH669" s="27" t="n"/>
      <c r="DJ669" s="211" t="inlineStr">
        <is>
          <t>订单表中未找到</t>
        </is>
      </c>
      <c r="DK669" t="inlineStr">
        <is>
          <t>—</t>
        </is>
      </c>
      <c r="DL669" t="inlineStr">
        <is>
          <t>—</t>
        </is>
      </c>
    </row>
    <row r="670" ht="15.75" customHeight="1" s="187">
      <c r="A670" s="84" t="n">
        <v>46138</v>
      </c>
      <c r="B670" s="226" t="n"/>
      <c r="C670" s="86" t="inlineStr">
        <is>
          <t>5112276194329029734</t>
        </is>
      </c>
      <c r="D670" s="110" t="inlineStr">
        <is>
          <t>大队长</t>
        </is>
      </c>
      <c r="E670" s="87" t="n"/>
      <c r="F670" s="87" t="n"/>
      <c r="G670" s="87" t="inlineStr">
        <is>
          <t>樱桃木老款餐桌1300*800*750</t>
        </is>
      </c>
      <c r="H670" s="87" t="inlineStr">
        <is>
          <t>樱桃木餐桌</t>
        </is>
      </c>
      <c r="I670" s="89" t="n"/>
      <c r="J670" s="87" t="n"/>
      <c r="K670" s="87" t="inlineStr">
        <is>
          <t>江西</t>
        </is>
      </c>
      <c r="L670" s="216" t="n"/>
      <c r="M670" s="216" t="n"/>
      <c r="N670" s="216" t="n"/>
      <c r="O670" s="216" t="n"/>
      <c r="P670" s="216" t="n"/>
      <c r="Q670" s="216" t="n"/>
      <c r="R670" s="216" t="n"/>
      <c r="S670" s="216" t="n"/>
      <c r="T670" s="216" t="n"/>
      <c r="U670" s="216" t="n"/>
      <c r="V670" s="216" t="n"/>
      <c r="W670" s="216" t="n"/>
      <c r="X670" s="216" t="n"/>
      <c r="Y670" s="216" t="n"/>
      <c r="Z670" s="216" t="n"/>
      <c r="AA670" s="216" t="n"/>
      <c r="AB670" s="216" t="n"/>
      <c r="AC670" s="216" t="n"/>
      <c r="AD670" s="216" t="n"/>
      <c r="AE670" s="216" t="n"/>
      <c r="AF670" s="216" t="n"/>
      <c r="AG670" s="216" t="n"/>
      <c r="AH670" s="216" t="n"/>
      <c r="AI670" s="216" t="n"/>
      <c r="AJ670" s="216" t="n"/>
      <c r="AK670" s="216" t="n"/>
      <c r="AL670" s="216" t="n"/>
      <c r="AM670" s="207" t="n"/>
      <c r="AN670" s="207" t="n"/>
      <c r="AO670" s="207" t="n"/>
      <c r="AP670" s="207" t="n"/>
      <c r="AQ670" s="207" t="n"/>
      <c r="AR670" s="207" t="n"/>
      <c r="AS670" s="207" t="n"/>
      <c r="AT670" s="207" t="n"/>
      <c r="AU670" s="207" t="n"/>
      <c r="AV670" s="207" t="n"/>
      <c r="AW670" s="207" t="n"/>
      <c r="AX670" s="208" t="n">
        <v>1</v>
      </c>
      <c r="AY670" s="209">
        <f>L670*AX670+AP670+AQ670+AR670+AV670+AW670+AS670+AT670+AU670</f>
        <v/>
      </c>
      <c r="AZ670" s="207" t="n">
        <v>1694</v>
      </c>
      <c r="BA670" s="207" t="n">
        <v>0</v>
      </c>
      <c r="BB670" s="207">
        <f>AZ670*0.006</f>
        <v/>
      </c>
      <c r="BC670" s="209">
        <f>AZ670+BA670-BB670</f>
        <v/>
      </c>
      <c r="BD670" s="207" t="n">
        <v>0</v>
      </c>
      <c r="BE670" s="207" t="n">
        <v>0</v>
      </c>
      <c r="BF670" s="209" t="n"/>
      <c r="BG670" s="209" t="n"/>
      <c r="BH670" s="87" t="inlineStr">
        <is>
          <t>大队长</t>
        </is>
      </c>
      <c r="BI670" s="210" t="inlineStr">
        <is>
          <t>北京 北京市 海淀区 北下关街道学院南路甲82号院北门</t>
        </is>
      </c>
      <c r="BJ670" s="86" t="inlineStr">
        <is>
          <t>18400891316-3406</t>
        </is>
      </c>
      <c r="BK670" s="86" t="n"/>
      <c r="BL670" s="210" t="n"/>
      <c r="BM670" s="93" t="n"/>
      <c r="BN670" s="94" t="n"/>
      <c r="BO670" s="93" t="n"/>
      <c r="BP670" s="86" t="n"/>
      <c r="BQ670" s="96" t="n"/>
      <c r="BR670" s="96" t="n"/>
      <c r="BS670" s="97" t="n"/>
      <c r="BT670" s="96" t="n"/>
      <c r="BU670" s="97" t="n"/>
      <c r="BV670" s="96" t="n"/>
      <c r="BW670" s="97" t="n"/>
      <c r="BX670" s="97" t="n"/>
      <c r="BY670" s="97" t="n"/>
      <c r="BZ670" s="97" t="n"/>
      <c r="CH670" s="2" t="n"/>
      <c r="CI670" s="14" t="n"/>
      <c r="CJ670" s="25" t="n"/>
      <c r="CK670" s="25" t="n"/>
      <c r="CL670" s="25" t="n"/>
      <c r="CM670" s="25" t="n"/>
      <c r="CN670" s="25" t="n"/>
      <c r="CO670" s="25" t="n"/>
      <c r="CP670" s="25" t="n"/>
      <c r="CQ670" s="25" t="n"/>
      <c r="CR670" s="25" t="n"/>
      <c r="CS670" s="25" t="n"/>
      <c r="CT670" s="25" t="n"/>
      <c r="CU670" s="25" t="n"/>
      <c r="CV670" s="25" t="n"/>
      <c r="CW670" s="25" t="n"/>
      <c r="CX670" s="25" t="n"/>
      <c r="CY670" s="25" t="n"/>
      <c r="DC670" s="26" t="n"/>
      <c r="DD670" s="26" t="n"/>
      <c r="DE670" s="26" t="n"/>
      <c r="DF670" s="26" t="n"/>
      <c r="DG670" s="26" t="n"/>
      <c r="DH670" s="27" t="n"/>
      <c r="DJ670" s="238" t="inlineStr">
        <is>
          <t>✓ 金额一致</t>
        </is>
      </c>
      <c r="DK670" t="inlineStr">
        <is>
          <t>1694.00</t>
        </is>
      </c>
      <c r="DL670" s="239" t="n">
        <v>0</v>
      </c>
    </row>
    <row r="671" ht="15.75" customHeight="1" s="187">
      <c r="A671" s="84" t="n">
        <v>46139</v>
      </c>
      <c r="B671" s="226" t="n"/>
      <c r="C671" s="86" t="inlineStr">
        <is>
          <t>3298648729849018797</t>
        </is>
      </c>
      <c r="D671" s="110" t="inlineStr">
        <is>
          <t>韩女生</t>
        </is>
      </c>
      <c r="E671" s="87" t="n"/>
      <c r="F671" s="87" t="n"/>
      <c r="G671" s="87" t="inlineStr">
        <is>
          <t>1.2米洞石窄柜，备货</t>
        </is>
      </c>
      <c r="H671" s="87" t="inlineStr">
        <is>
          <t>窄柜</t>
        </is>
      </c>
      <c r="I671" s="89" t="n"/>
      <c r="J671" s="87" t="n"/>
      <c r="K671" s="87" t="inlineStr">
        <is>
          <t>江西</t>
        </is>
      </c>
      <c r="L671" s="216" t="n"/>
      <c r="M671" s="216" t="n"/>
      <c r="N671" s="216" t="n">
        <v>411.08</v>
      </c>
      <c r="O671" s="216" t="n"/>
      <c r="P671" s="216" t="n"/>
      <c r="Q671" s="216" t="n"/>
      <c r="R671" s="216" t="n">
        <v>220</v>
      </c>
      <c r="S671" s="216" t="n">
        <v>43.5</v>
      </c>
      <c r="T671" s="216" t="n">
        <v>31</v>
      </c>
      <c r="U671" s="216" t="n"/>
      <c r="V671" s="216" t="n"/>
      <c r="W671" s="216" t="n"/>
      <c r="X671" s="216" t="n">
        <v>18</v>
      </c>
      <c r="Y671" s="216" t="n"/>
      <c r="Z671" s="216" t="n"/>
      <c r="AA671" s="216" t="n"/>
      <c r="AB671" s="216" t="n"/>
      <c r="AC671" s="216" t="n"/>
      <c r="AD671" s="216" t="n"/>
      <c r="AE671" s="216" t="n"/>
      <c r="AF671" s="216" t="n"/>
      <c r="AG671" s="216" t="n"/>
      <c r="AH671" s="216" t="n"/>
      <c r="AI671" s="216" t="n"/>
      <c r="AJ671" s="216" t="n"/>
      <c r="AK671" s="216" t="n"/>
      <c r="AL671" s="216" t="n"/>
      <c r="AM671" s="207" t="n"/>
      <c r="AN671" s="207" t="n"/>
      <c r="AO671" s="207" t="n"/>
      <c r="AP671" s="207" t="n"/>
      <c r="AQ671" s="207" t="n"/>
      <c r="AR671" s="207" t="n"/>
      <c r="AS671" s="207" t="n"/>
      <c r="AT671" s="207" t="n"/>
      <c r="AU671" s="207" t="n"/>
      <c r="AV671" s="207" t="n"/>
      <c r="AW671" s="207" t="n"/>
      <c r="AX671" s="208" t="n">
        <v>1</v>
      </c>
      <c r="AY671" s="209">
        <f>L671*AX671+AP671+AQ671+AR671+AV671+AW671+AS671+AT671+AU671</f>
        <v/>
      </c>
      <c r="AZ671" s="207" t="n">
        <v>5853.4</v>
      </c>
      <c r="BA671" s="207" t="n">
        <v>0</v>
      </c>
      <c r="BB671" s="207">
        <f>AZ671*0.006</f>
        <v/>
      </c>
      <c r="BC671" s="209">
        <f>AZ671+BA671-BB671</f>
        <v/>
      </c>
      <c r="BD671" s="207" t="n">
        <v>0</v>
      </c>
      <c r="BE671" s="207" t="n">
        <v>0</v>
      </c>
      <c r="BF671" s="209" t="n"/>
      <c r="BG671" s="209" t="n"/>
      <c r="BH671" s="87" t="inlineStr">
        <is>
          <t>韩女生</t>
        </is>
      </c>
      <c r="BI671" s="210" t="inlineStr">
        <is>
          <t>北京 北京市 丰台区 南苑街道建发璟院5号楼2单元101的地下室，室内二层</t>
        </is>
      </c>
      <c r="BJ671" s="86" t="inlineStr">
        <is>
          <t>18400942864-8507</t>
        </is>
      </c>
      <c r="BK671" s="86" t="n"/>
      <c r="BL671" s="210" t="n"/>
      <c r="BM671" s="93" t="n"/>
      <c r="BN671" s="94" t="n"/>
      <c r="BO671" s="93" t="n"/>
      <c r="BP671" s="86" t="n"/>
      <c r="BQ671" s="96" t="n"/>
      <c r="BR671" s="96" t="n"/>
      <c r="BS671" s="97" t="n"/>
      <c r="BT671" s="96" t="n"/>
      <c r="BU671" s="97" t="n"/>
      <c r="BV671" s="96" t="n"/>
      <c r="BW671" s="97" t="n"/>
      <c r="BX671" s="97" t="n"/>
      <c r="BY671" s="97" t="n"/>
      <c r="BZ671" s="97" t="n"/>
      <c r="CH671" s="2" t="n"/>
      <c r="CI671" s="14" t="n"/>
      <c r="CJ671" s="25" t="n"/>
      <c r="CK671" s="25" t="n"/>
      <c r="CL671" s="25" t="n"/>
      <c r="CM671" s="25" t="n"/>
      <c r="CN671" s="25" t="n"/>
      <c r="CO671" s="25" t="n"/>
      <c r="CP671" s="25" t="n"/>
      <c r="CQ671" s="25" t="n"/>
      <c r="CR671" s="25" t="n"/>
      <c r="CS671" s="25" t="n"/>
      <c r="CT671" s="25" t="n"/>
      <c r="CU671" s="25" t="n"/>
      <c r="CV671" s="25" t="n"/>
      <c r="CW671" s="25" t="n"/>
      <c r="CX671" s="25" t="n"/>
      <c r="CY671" s="25" t="n"/>
      <c r="DC671" s="26" t="n"/>
      <c r="DD671" s="26" t="n"/>
      <c r="DE671" s="26" t="n"/>
      <c r="DF671" s="26" t="n"/>
      <c r="DG671" s="26" t="n"/>
      <c r="DH671" s="27" t="n"/>
      <c r="DJ671" s="238" t="inlineStr">
        <is>
          <t>✓ 金额一致</t>
        </is>
      </c>
      <c r="DK671" t="inlineStr">
        <is>
          <t>5853.40</t>
        </is>
      </c>
      <c r="DL671" s="239" t="n">
        <v>0</v>
      </c>
    </row>
    <row r="672" ht="15.75" customHeight="1" s="187">
      <c r="A672" s="84" t="n"/>
      <c r="B672" s="226" t="n"/>
      <c r="C672" s="86" t="n"/>
      <c r="D672" s="110" t="n"/>
      <c r="E672" s="87" t="n"/>
      <c r="F672" s="87" t="n"/>
      <c r="G672" s="87" t="n"/>
      <c r="H672" s="87" t="n"/>
      <c r="I672" s="89" t="n"/>
      <c r="J672" s="87" t="n"/>
      <c r="K672" s="87" t="n"/>
      <c r="L672" s="216" t="n"/>
      <c r="M672" s="216" t="n"/>
      <c r="N672" s="216" t="n"/>
      <c r="O672" s="216" t="n"/>
      <c r="P672" s="216" t="n"/>
      <c r="Q672" s="216" t="n"/>
      <c r="R672" s="216" t="n"/>
      <c r="S672" s="216" t="n"/>
      <c r="T672" s="216" t="n"/>
      <c r="U672" s="216" t="n"/>
      <c r="V672" s="216" t="n"/>
      <c r="W672" s="216" t="n"/>
      <c r="X672" s="216" t="n"/>
      <c r="Y672" s="216" t="n"/>
      <c r="Z672" s="216" t="n"/>
      <c r="AA672" s="216" t="n"/>
      <c r="AB672" s="216" t="n"/>
      <c r="AC672" s="216" t="n"/>
      <c r="AD672" s="216" t="n"/>
      <c r="AE672" s="216" t="n"/>
      <c r="AF672" s="216" t="n"/>
      <c r="AG672" s="216" t="n"/>
      <c r="AH672" s="216" t="n"/>
      <c r="AI672" s="216" t="n"/>
      <c r="AJ672" s="216" t="n"/>
      <c r="AK672" s="216" t="n"/>
      <c r="AL672" s="216" t="n"/>
      <c r="AM672" s="207" t="n"/>
      <c r="AN672" s="207" t="n"/>
      <c r="AO672" s="207" t="n"/>
      <c r="AP672" s="207" t="n"/>
      <c r="AQ672" s="207" t="n"/>
      <c r="AR672" s="207" t="n"/>
      <c r="AS672" s="207" t="n"/>
      <c r="AT672" s="207" t="n"/>
      <c r="AU672" s="207" t="n"/>
      <c r="AV672" s="207" t="n"/>
      <c r="AW672" s="207" t="n"/>
      <c r="AX672" s="208" t="n">
        <v>1</v>
      </c>
      <c r="AY672" s="209">
        <f>L672*AX672+AP672+AQ672+AR672+AV672+AW672+AS672+AT672+AU672</f>
        <v/>
      </c>
      <c r="AZ672" s="207" t="n"/>
      <c r="BA672" s="207" t="n">
        <v>0</v>
      </c>
      <c r="BB672" s="207">
        <f>AZ672*0.006</f>
        <v/>
      </c>
      <c r="BC672" s="209">
        <f>AZ672+BA672-BB672</f>
        <v/>
      </c>
      <c r="BD672" s="207" t="n">
        <v>0</v>
      </c>
      <c r="BE672" s="207" t="n">
        <v>0</v>
      </c>
      <c r="BF672" s="209" t="n"/>
      <c r="BG672" s="209" t="n"/>
      <c r="BH672" s="87" t="n"/>
      <c r="BI672" s="210" t="n"/>
      <c r="BJ672" s="86" t="n"/>
      <c r="BK672" s="86" t="n"/>
      <c r="BL672" s="210" t="n"/>
      <c r="BM672" s="93" t="n"/>
      <c r="BN672" s="94" t="n"/>
      <c r="BO672" s="93" t="n"/>
      <c r="BP672" s="86" t="n"/>
      <c r="BQ672" s="96" t="n"/>
      <c r="BR672" s="96" t="n"/>
      <c r="BS672" s="97" t="n"/>
      <c r="BT672" s="96" t="n"/>
      <c r="BU672" s="97" t="n"/>
      <c r="BV672" s="96" t="n"/>
      <c r="BW672" s="97" t="n"/>
      <c r="BX672" s="97" t="n"/>
      <c r="BY672" s="97" t="n"/>
      <c r="BZ672" s="97" t="n"/>
      <c r="CH672" s="2" t="n"/>
      <c r="CI672" s="14" t="n"/>
      <c r="CJ672" s="25" t="n"/>
      <c r="CK672" s="25" t="n"/>
      <c r="CL672" s="25" t="n"/>
      <c r="CM672" s="25" t="n"/>
      <c r="CN672" s="25" t="n"/>
      <c r="CO672" s="25" t="n"/>
      <c r="CP672" s="25" t="n"/>
      <c r="CQ672" s="25" t="n"/>
      <c r="CR672" s="25" t="n"/>
      <c r="CS672" s="25" t="n"/>
      <c r="CT672" s="25" t="n"/>
      <c r="CU672" s="25" t="n"/>
      <c r="CV672" s="25" t="n"/>
      <c r="CW672" s="25" t="n"/>
      <c r="CX672" s="25" t="n"/>
      <c r="CY672" s="25" t="n"/>
      <c r="DC672" s="26" t="n"/>
      <c r="DD672" s="26" t="n"/>
      <c r="DE672" s="26" t="n"/>
      <c r="DF672" s="26" t="n"/>
      <c r="DG672" s="26" t="n"/>
      <c r="DH672" s="27" t="n"/>
    </row>
    <row r="673" ht="15.75" customHeight="1" s="187">
      <c r="A673" s="84" t="n"/>
      <c r="B673" s="226" t="n"/>
      <c r="C673" s="86" t="n"/>
      <c r="D673" s="110" t="n"/>
      <c r="E673" s="87" t="n"/>
      <c r="F673" s="87" t="n"/>
      <c r="G673" s="87" t="n"/>
      <c r="H673" s="87" t="n"/>
      <c r="I673" s="89" t="n"/>
      <c r="J673" s="87" t="n"/>
      <c r="K673" s="87" t="n"/>
      <c r="L673" s="216" t="n"/>
      <c r="M673" s="216" t="n"/>
      <c r="N673" s="216" t="n"/>
      <c r="O673" s="216" t="n"/>
      <c r="P673" s="216" t="n"/>
      <c r="Q673" s="216" t="n"/>
      <c r="R673" s="216" t="n"/>
      <c r="S673" s="216" t="n"/>
      <c r="T673" s="216" t="n"/>
      <c r="U673" s="216" t="n"/>
      <c r="V673" s="216" t="n"/>
      <c r="W673" s="216" t="n"/>
      <c r="X673" s="216" t="n"/>
      <c r="Y673" s="216" t="n"/>
      <c r="Z673" s="216" t="n"/>
      <c r="AA673" s="216" t="n"/>
      <c r="AB673" s="216" t="n"/>
      <c r="AC673" s="216" t="n"/>
      <c r="AD673" s="216" t="n"/>
      <c r="AE673" s="216" t="n"/>
      <c r="AF673" s="216" t="n"/>
      <c r="AG673" s="216" t="n"/>
      <c r="AH673" s="216" t="n"/>
      <c r="AI673" s="216" t="n"/>
      <c r="AJ673" s="216" t="n"/>
      <c r="AK673" s="216" t="n"/>
      <c r="AL673" s="216" t="n"/>
      <c r="AM673" s="207" t="n"/>
      <c r="AN673" s="207" t="n"/>
      <c r="AO673" s="207" t="n"/>
      <c r="AP673" s="207" t="n"/>
      <c r="AQ673" s="207" t="n"/>
      <c r="AR673" s="207" t="n"/>
      <c r="AS673" s="207" t="n"/>
      <c r="AT673" s="207" t="n"/>
      <c r="AU673" s="207" t="n"/>
      <c r="AV673" s="207" t="n"/>
      <c r="AW673" s="207" t="n"/>
      <c r="AX673" s="208" t="n">
        <v>1</v>
      </c>
      <c r="AY673" s="209">
        <f>L673*AX673+AP673+AQ673+AR673+AV673+AW673+AS673+AT673+AU673</f>
        <v/>
      </c>
      <c r="AZ673" s="207" t="n"/>
      <c r="BA673" s="207" t="n">
        <v>0</v>
      </c>
      <c r="BB673" s="207">
        <f>AZ673*0.006</f>
        <v/>
      </c>
      <c r="BC673" s="209">
        <f>AZ673+BA673-BB673</f>
        <v/>
      </c>
      <c r="BD673" s="207" t="n">
        <v>0</v>
      </c>
      <c r="BE673" s="207" t="n">
        <v>0</v>
      </c>
      <c r="BF673" s="209" t="n"/>
      <c r="BG673" s="209" t="n"/>
      <c r="BH673" s="87" t="n"/>
      <c r="BI673" s="210" t="n"/>
      <c r="BJ673" s="86" t="n"/>
      <c r="BK673" s="86" t="n"/>
      <c r="BL673" s="210" t="n"/>
      <c r="BM673" s="93" t="n"/>
      <c r="BN673" s="94" t="n"/>
      <c r="BO673" s="93" t="n"/>
      <c r="BP673" s="86" t="n"/>
      <c r="BQ673" s="96" t="n"/>
      <c r="BR673" s="96" t="n"/>
      <c r="BS673" s="97" t="n"/>
      <c r="BT673" s="96" t="n"/>
      <c r="BU673" s="97" t="n"/>
      <c r="BV673" s="96" t="n"/>
      <c r="BW673" s="97" t="n"/>
      <c r="BX673" s="97" t="n"/>
      <c r="BY673" s="97" t="n"/>
      <c r="BZ673" s="97" t="n"/>
      <c r="CH673" s="2" t="n"/>
      <c r="CI673" s="14" t="n"/>
      <c r="CJ673" s="25" t="n"/>
      <c r="CK673" s="25" t="n"/>
      <c r="CL673" s="25" t="n"/>
      <c r="CM673" s="25" t="n"/>
      <c r="CN673" s="25" t="n"/>
      <c r="CO673" s="25" t="n"/>
      <c r="CP673" s="25" t="n"/>
      <c r="CQ673" s="25" t="n"/>
      <c r="CR673" s="25" t="n"/>
      <c r="CS673" s="25" t="n"/>
      <c r="CT673" s="25" t="n"/>
      <c r="CU673" s="25" t="n"/>
      <c r="CV673" s="25" t="n"/>
      <c r="CW673" s="25" t="n"/>
      <c r="CX673" s="25" t="n"/>
      <c r="CY673" s="25" t="n"/>
      <c r="DC673" s="26" t="n"/>
      <c r="DD673" s="26" t="n"/>
      <c r="DE673" s="26" t="n"/>
      <c r="DF673" s="26" t="n"/>
      <c r="DG673" s="26" t="n"/>
      <c r="DH673" s="27" t="n"/>
    </row>
    <row r="674" ht="15.75" customHeight="1" s="187">
      <c r="A674" s="84" t="n"/>
      <c r="B674" s="226" t="n"/>
      <c r="C674" s="86" t="n"/>
      <c r="D674" s="110" t="n"/>
      <c r="E674" s="87" t="n"/>
      <c r="F674" s="87" t="n"/>
      <c r="G674" s="87" t="n"/>
      <c r="H674" s="87" t="n"/>
      <c r="I674" s="89" t="n"/>
      <c r="J674" s="87" t="n"/>
      <c r="K674" s="87" t="n"/>
      <c r="L674" s="216" t="n"/>
      <c r="M674" s="216" t="n"/>
      <c r="N674" s="216" t="n"/>
      <c r="O674" s="216" t="n"/>
      <c r="P674" s="216" t="n"/>
      <c r="Q674" s="216" t="n"/>
      <c r="R674" s="216" t="n"/>
      <c r="S674" s="216" t="n"/>
      <c r="T674" s="216" t="n"/>
      <c r="U674" s="216" t="n"/>
      <c r="V674" s="216" t="n"/>
      <c r="W674" s="216" t="n"/>
      <c r="X674" s="216" t="n"/>
      <c r="Y674" s="216" t="n"/>
      <c r="Z674" s="216" t="n"/>
      <c r="AA674" s="216" t="n"/>
      <c r="AB674" s="216" t="n"/>
      <c r="AC674" s="216" t="n"/>
      <c r="AD674" s="216" t="n"/>
      <c r="AE674" s="216" t="n"/>
      <c r="AF674" s="216" t="n"/>
      <c r="AG674" s="216" t="n"/>
      <c r="AH674" s="216" t="n"/>
      <c r="AI674" s="216" t="n"/>
      <c r="AJ674" s="216" t="n"/>
      <c r="AK674" s="216" t="n"/>
      <c r="AL674" s="216" t="n"/>
      <c r="AM674" s="207" t="n"/>
      <c r="AN674" s="207" t="n"/>
      <c r="AO674" s="207" t="n"/>
      <c r="AP674" s="207" t="n"/>
      <c r="AQ674" s="207" t="n"/>
      <c r="AR674" s="207" t="n"/>
      <c r="AS674" s="207" t="n"/>
      <c r="AT674" s="207" t="n"/>
      <c r="AU674" s="207" t="n"/>
      <c r="AV674" s="207" t="n"/>
      <c r="AW674" s="207" t="n"/>
      <c r="AX674" s="208" t="n">
        <v>1</v>
      </c>
      <c r="AY674" s="209">
        <f>L674*AX674+AP674+AQ674+AR674+AV674+AW674+AS674+AT674+AU674</f>
        <v/>
      </c>
      <c r="AZ674" s="207" t="n"/>
      <c r="BA674" s="207" t="n">
        <v>0</v>
      </c>
      <c r="BB674" s="207">
        <f>AZ674*0.006</f>
        <v/>
      </c>
      <c r="BC674" s="209">
        <f>AZ674+BA674-BB674</f>
        <v/>
      </c>
      <c r="BD674" s="207" t="n">
        <v>0</v>
      </c>
      <c r="BE674" s="207" t="n">
        <v>0</v>
      </c>
      <c r="BF674" s="209" t="n"/>
      <c r="BG674" s="209" t="n"/>
      <c r="BH674" s="87" t="n"/>
      <c r="BI674" s="210" t="n"/>
      <c r="BJ674" s="86" t="n"/>
      <c r="BK674" s="86" t="n"/>
      <c r="BL674" s="210" t="n"/>
      <c r="BM674" s="93" t="n"/>
      <c r="BN674" s="94" t="n"/>
      <c r="BO674" s="93" t="n"/>
      <c r="BP674" s="86" t="n"/>
      <c r="BQ674" s="96" t="n"/>
      <c r="BR674" s="96" t="n"/>
      <c r="BS674" s="97" t="n"/>
      <c r="BT674" s="96" t="n"/>
      <c r="BU674" s="97" t="n"/>
      <c r="BV674" s="96" t="n"/>
      <c r="BW674" s="97" t="n"/>
      <c r="BX674" s="97" t="n"/>
      <c r="BY674" s="97" t="n"/>
      <c r="BZ674" s="97" t="n"/>
      <c r="CH674" s="2" t="n"/>
      <c r="CI674" s="14" t="n"/>
      <c r="CJ674" s="25" t="n"/>
      <c r="CK674" s="25" t="n"/>
      <c r="CL674" s="25" t="n"/>
      <c r="CM674" s="25" t="n"/>
      <c r="CN674" s="25" t="n"/>
      <c r="CO674" s="25" t="n"/>
      <c r="CP674" s="25" t="n"/>
      <c r="CQ674" s="25" t="n"/>
      <c r="CR674" s="25" t="n"/>
      <c r="CS674" s="25" t="n"/>
      <c r="CT674" s="25" t="n"/>
      <c r="CU674" s="25" t="n"/>
      <c r="CV674" s="25" t="n"/>
      <c r="CW674" s="25" t="n"/>
      <c r="CX674" s="25" t="n"/>
      <c r="CY674" s="25" t="n"/>
      <c r="DC674" s="26" t="n"/>
      <c r="DD674" s="26" t="n"/>
      <c r="DE674" s="26" t="n"/>
      <c r="DF674" s="26" t="n"/>
      <c r="DG674" s="26" t="n"/>
      <c r="DH674" s="27" t="n"/>
    </row>
    <row r="675" ht="15.75" customHeight="1" s="187">
      <c r="A675" s="84" t="n"/>
      <c r="B675" s="226" t="n"/>
      <c r="C675" s="86" t="n"/>
      <c r="D675" s="110" t="n"/>
      <c r="E675" s="87" t="n"/>
      <c r="F675" s="87" t="n"/>
      <c r="G675" s="87" t="n"/>
      <c r="H675" s="87" t="n"/>
      <c r="I675" s="89" t="n"/>
      <c r="J675" s="87" t="n"/>
      <c r="K675" s="87" t="n"/>
      <c r="L675" s="216" t="n"/>
      <c r="M675" s="216" t="n"/>
      <c r="N675" s="216" t="n"/>
      <c r="O675" s="216" t="n"/>
      <c r="P675" s="216" t="n"/>
      <c r="Q675" s="216" t="n"/>
      <c r="R675" s="216" t="n"/>
      <c r="S675" s="216" t="n"/>
      <c r="T675" s="216" t="n"/>
      <c r="U675" s="216" t="n"/>
      <c r="V675" s="216" t="n"/>
      <c r="W675" s="216" t="n"/>
      <c r="X675" s="216" t="n"/>
      <c r="Y675" s="216" t="n"/>
      <c r="Z675" s="216" t="n"/>
      <c r="AA675" s="216" t="n"/>
      <c r="AB675" s="216" t="n"/>
      <c r="AC675" s="216" t="n"/>
      <c r="AD675" s="216" t="n"/>
      <c r="AE675" s="216" t="n"/>
      <c r="AF675" s="216" t="n"/>
      <c r="AG675" s="216" t="n"/>
      <c r="AH675" s="216" t="n"/>
      <c r="AI675" s="216" t="n"/>
      <c r="AJ675" s="216" t="n"/>
      <c r="AK675" s="216" t="n"/>
      <c r="AL675" s="216" t="n"/>
      <c r="AM675" s="207" t="n"/>
      <c r="AN675" s="207" t="n"/>
      <c r="AO675" s="207" t="n"/>
      <c r="AP675" s="207" t="n"/>
      <c r="AQ675" s="207" t="n"/>
      <c r="AR675" s="207" t="n"/>
      <c r="AS675" s="207" t="n"/>
      <c r="AT675" s="207" t="n"/>
      <c r="AU675" s="207" t="n"/>
      <c r="AV675" s="207" t="n"/>
      <c r="AW675" s="207" t="n"/>
      <c r="AX675" s="208" t="n">
        <v>1</v>
      </c>
      <c r="AY675" s="209">
        <f>L675*AX675+AP675+AQ675+AR675+AV675+AW675+AS675+AT675+AU675</f>
        <v/>
      </c>
      <c r="AZ675" s="207" t="n"/>
      <c r="BA675" s="207" t="n">
        <v>0</v>
      </c>
      <c r="BB675" s="207">
        <f>AZ675*0.006</f>
        <v/>
      </c>
      <c r="BC675" s="209">
        <f>AZ675+BA675-BB675</f>
        <v/>
      </c>
      <c r="BD675" s="207" t="n">
        <v>0</v>
      </c>
      <c r="BE675" s="207" t="n">
        <v>0</v>
      </c>
      <c r="BF675" s="209" t="n"/>
      <c r="BG675" s="209" t="n"/>
      <c r="BH675" s="87" t="n"/>
      <c r="BI675" s="210" t="n"/>
      <c r="BJ675" s="86" t="n"/>
      <c r="BK675" s="86" t="n"/>
      <c r="BL675" s="210" t="n"/>
      <c r="BM675" s="93" t="n"/>
      <c r="BN675" s="94" t="n"/>
      <c r="BO675" s="93" t="n"/>
      <c r="BP675" s="86" t="n"/>
      <c r="BQ675" s="96" t="n"/>
      <c r="BR675" s="96" t="n"/>
      <c r="BS675" s="97" t="n"/>
      <c r="BT675" s="96" t="n"/>
      <c r="BU675" s="97" t="n"/>
      <c r="BV675" s="96" t="n"/>
      <c r="BW675" s="97" t="n"/>
      <c r="BX675" s="97" t="n"/>
      <c r="BY675" s="97" t="n"/>
      <c r="BZ675" s="97" t="n"/>
      <c r="CH675" s="2" t="n"/>
      <c r="CI675" s="14" t="n"/>
      <c r="CJ675" s="25" t="n"/>
      <c r="CK675" s="25" t="n"/>
      <c r="CL675" s="25" t="n"/>
      <c r="CM675" s="25" t="n"/>
      <c r="CN675" s="25" t="n"/>
      <c r="CO675" s="25" t="n"/>
      <c r="CP675" s="25" t="n"/>
      <c r="CQ675" s="25" t="n"/>
      <c r="CR675" s="25" t="n"/>
      <c r="CS675" s="25" t="n"/>
      <c r="CT675" s="25" t="n"/>
      <c r="CU675" s="25" t="n"/>
      <c r="CV675" s="25" t="n"/>
      <c r="CW675" s="25" t="n"/>
      <c r="CX675" s="25" t="n"/>
      <c r="CY675" s="25" t="n"/>
      <c r="DC675" s="26" t="n"/>
      <c r="DD675" s="26" t="n"/>
      <c r="DE675" s="26" t="n"/>
      <c r="DF675" s="26" t="n"/>
      <c r="DG675" s="26" t="n"/>
      <c r="DH675" s="27" t="n"/>
    </row>
    <row r="676" ht="15.75" customHeight="1" s="187">
      <c r="A676" s="84" t="n"/>
      <c r="B676" s="226" t="n"/>
      <c r="C676" s="86" t="n"/>
      <c r="D676" s="110" t="n"/>
      <c r="E676" s="87" t="n"/>
      <c r="F676" s="87" t="n"/>
      <c r="G676" s="87" t="n"/>
      <c r="H676" s="87" t="n"/>
      <c r="I676" s="89" t="n"/>
      <c r="J676" s="87" t="n"/>
      <c r="K676" s="87" t="n"/>
      <c r="L676" s="216" t="n"/>
      <c r="M676" s="216" t="n"/>
      <c r="N676" s="216" t="n"/>
      <c r="O676" s="216" t="n"/>
      <c r="P676" s="216" t="n"/>
      <c r="Q676" s="216" t="n"/>
      <c r="R676" s="216" t="n"/>
      <c r="S676" s="216" t="n"/>
      <c r="T676" s="216" t="n"/>
      <c r="U676" s="216" t="n"/>
      <c r="V676" s="216" t="n"/>
      <c r="W676" s="216" t="n"/>
      <c r="X676" s="216" t="n"/>
      <c r="Y676" s="216" t="n"/>
      <c r="Z676" s="216" t="n"/>
      <c r="AA676" s="216" t="n"/>
      <c r="AB676" s="216" t="n"/>
      <c r="AC676" s="216" t="n"/>
      <c r="AD676" s="216" t="n"/>
      <c r="AE676" s="216" t="n"/>
      <c r="AF676" s="216" t="n"/>
      <c r="AG676" s="216" t="n"/>
      <c r="AH676" s="216" t="n"/>
      <c r="AI676" s="216" t="n"/>
      <c r="AJ676" s="216" t="n"/>
      <c r="AK676" s="216" t="n"/>
      <c r="AL676" s="216" t="n"/>
      <c r="AM676" s="207" t="n"/>
      <c r="AN676" s="207" t="n"/>
      <c r="AO676" s="207" t="n"/>
      <c r="AP676" s="207" t="n"/>
      <c r="AQ676" s="207" t="n">
        <v>0</v>
      </c>
      <c r="AR676" s="207" t="n">
        <v>0</v>
      </c>
      <c r="AS676" s="207" t="n">
        <v>0</v>
      </c>
      <c r="AT676" s="207" t="n">
        <v>0</v>
      </c>
      <c r="AU676" s="207" t="n">
        <v>0</v>
      </c>
      <c r="AV676" s="207" t="n">
        <v>0</v>
      </c>
      <c r="AW676" s="207" t="n">
        <v>0</v>
      </c>
      <c r="AX676" s="208" t="n">
        <v>1</v>
      </c>
      <c r="AY676" s="209">
        <f>L676*AX676+AP676+AQ676+AR676+AV676+AW676+AS676+AT676+AU676</f>
        <v/>
      </c>
      <c r="AZ676" s="207" t="n"/>
      <c r="BA676" s="207" t="n">
        <v>0</v>
      </c>
      <c r="BB676" s="207">
        <f>AZ676*0.006</f>
        <v/>
      </c>
      <c r="BC676" s="209">
        <f>AZ676+BA676-BB676</f>
        <v/>
      </c>
      <c r="BD676" s="207" t="n">
        <v>0</v>
      </c>
      <c r="BE676" s="207" t="n">
        <v>0</v>
      </c>
      <c r="BF676" s="209" t="n"/>
      <c r="BG676" s="209" t="n"/>
      <c r="BH676" s="87" t="n"/>
      <c r="BI676" s="210" t="n"/>
      <c r="BJ676" s="86" t="n"/>
      <c r="BK676" s="86" t="n"/>
      <c r="BL676" s="210" t="n"/>
      <c r="BM676" s="93" t="n"/>
      <c r="BN676" s="94" t="n"/>
      <c r="BO676" s="93" t="n"/>
      <c r="BP676" s="86" t="n"/>
      <c r="BQ676" s="96" t="n"/>
      <c r="BR676" s="96" t="n"/>
      <c r="BS676" s="97" t="n"/>
      <c r="BT676" s="96" t="n"/>
      <c r="BU676" s="97" t="n"/>
      <c r="BV676" s="96" t="n"/>
      <c r="BW676" s="97" t="n"/>
      <c r="BX676" s="97" t="n"/>
      <c r="BY676" s="97" t="n"/>
      <c r="BZ676" s="97" t="n"/>
      <c r="CH676" s="2" t="n"/>
      <c r="CI676" s="14">
        <f>CJ676&amp;CK676</f>
        <v/>
      </c>
      <c r="CJ676" s="25" t="n"/>
      <c r="CK676" s="25" t="n"/>
      <c r="CL676" s="25" t="n"/>
      <c r="CM676" s="25" t="n"/>
      <c r="CN676" s="25" t="n"/>
      <c r="CO676" s="25" t="n"/>
      <c r="CP676" s="25" t="n"/>
      <c r="CQ676" s="25" t="n"/>
      <c r="CR676" s="25" t="n"/>
      <c r="CS676" s="25" t="n"/>
      <c r="CT676" s="25" t="n"/>
      <c r="CU676" s="25" t="n"/>
      <c r="CV676" s="25" t="n"/>
      <c r="CW676" s="25" t="n"/>
      <c r="CX676" s="25" t="n"/>
      <c r="CY676" s="25" t="n"/>
      <c r="DC676" s="26" t="n"/>
      <c r="DD676" s="26" t="n"/>
      <c r="DE676" s="26" t="n"/>
      <c r="DF676" s="26" t="n"/>
      <c r="DG676" s="26" t="n"/>
      <c r="DH676" s="27" t="n"/>
    </row>
    <row r="677" ht="15.75" customHeight="1" s="187">
      <c r="A677" s="160" t="inlineStr">
        <is>
          <t>Total</t>
        </is>
      </c>
      <c r="B677" s="161" t="n"/>
      <c r="C677" s="162" t="n"/>
      <c r="D677" s="163" t="n"/>
      <c r="E677" s="162" t="n"/>
      <c r="F677" s="162" t="n"/>
      <c r="G677" s="161" t="n"/>
      <c r="H677" s="161" t="n"/>
      <c r="I677" s="164" t="n"/>
      <c r="J677" s="161" t="n"/>
      <c r="K677" s="165" t="n"/>
      <c r="L677" s="244" t="n"/>
      <c r="M677" s="244" t="n"/>
      <c r="N677" s="244" t="n"/>
      <c r="O677" s="244" t="n"/>
      <c r="P677" s="244" t="n"/>
      <c r="Q677" s="244" t="n"/>
      <c r="R677" s="244" t="n"/>
      <c r="S677" s="244" t="n"/>
      <c r="T677" s="244" t="n"/>
      <c r="U677" s="244" t="n"/>
      <c r="V677" s="244" t="n"/>
      <c r="W677" s="244" t="n"/>
      <c r="X677" s="244" t="n"/>
      <c r="Y677" s="244" t="n"/>
      <c r="Z677" s="244" t="n"/>
      <c r="AA677" s="244" t="n"/>
      <c r="AB677" s="244" t="n"/>
      <c r="AC677" s="244" t="n"/>
      <c r="AD677" s="244" t="n"/>
      <c r="AE677" s="244" t="n"/>
      <c r="AF677" s="244" t="n"/>
      <c r="AG677" s="244" t="n"/>
      <c r="AH677" s="244" t="n"/>
      <c r="AI677" s="244" t="n"/>
      <c r="AJ677" s="244" t="n"/>
      <c r="AK677" s="244" t="n"/>
      <c r="AL677" s="244" t="n"/>
      <c r="AM677" s="165" t="n"/>
      <c r="AN677" s="165" t="n"/>
      <c r="AO677" s="165" t="n"/>
      <c r="AP677" s="165" t="n"/>
      <c r="AQ677" s="165" t="n"/>
      <c r="AR677" s="165" t="n"/>
      <c r="AS677" s="165" t="n"/>
      <c r="AT677" s="165" t="n"/>
      <c r="AU677" s="165" t="n"/>
      <c r="AV677" s="165" t="n"/>
      <c r="AW677" s="165" t="n"/>
      <c r="AX677" s="165" t="n"/>
      <c r="AY677" s="245" t="n"/>
      <c r="AZ677" s="245" t="n"/>
      <c r="BA677" s="165" t="n"/>
      <c r="BB677" s="245" t="n"/>
      <c r="BC677" s="165" t="n"/>
      <c r="BD677" s="165" t="n"/>
      <c r="BE677" s="165" t="n"/>
      <c r="BF677" s="245" t="n"/>
      <c r="BG677" s="161" t="n"/>
      <c r="BH677" s="246" t="n"/>
      <c r="BI677" s="162" t="n"/>
      <c r="BJ677" s="162" t="n"/>
      <c r="BK677" s="163" t="n"/>
      <c r="BL677" s="169" t="n"/>
      <c r="BM677" s="170" t="n"/>
      <c r="BN677" s="171" t="n"/>
      <c r="BO677" s="172" t="n"/>
      <c r="BP677" s="172" t="n"/>
      <c r="BQ677" s="172" t="n"/>
      <c r="BR677" s="173" t="n"/>
      <c r="BS677" s="173" t="n"/>
      <c r="BT677" s="173" t="n"/>
      <c r="BU677" s="173" t="n"/>
      <c r="BV677" s="173" t="n"/>
      <c r="BW677" s="173" t="n"/>
      <c r="BX677" s="173" t="n"/>
      <c r="BY677" s="173" t="n"/>
      <c r="BZ677" s="98" t="n"/>
      <c r="CH677" s="2" t="n"/>
      <c r="CI677" s="14">
        <f>CJ677&amp;CK677</f>
        <v/>
      </c>
      <c r="CJ677" s="25" t="n"/>
      <c r="CK677" s="25" t="n"/>
      <c r="CL677" s="25" t="n"/>
      <c r="CM677" s="25" t="n"/>
      <c r="CN677" s="25" t="n"/>
      <c r="CO677" s="25" t="n"/>
      <c r="CP677" s="25" t="n"/>
      <c r="CQ677" s="25" t="n"/>
      <c r="CR677" s="25" t="n"/>
      <c r="CS677" s="25" t="n"/>
      <c r="CT677" s="25" t="n"/>
      <c r="CU677" s="25" t="n"/>
      <c r="CV677" s="25" t="n"/>
      <c r="CW677" s="25" t="n"/>
      <c r="CX677" s="25" t="n"/>
      <c r="CY677" s="25" t="n"/>
      <c r="DC677" s="26" t="n"/>
      <c r="DD677" s="26" t="n"/>
      <c r="DE677" s="26" t="n"/>
      <c r="DF677" s="26" t="n"/>
      <c r="DG677" s="26" t="n"/>
      <c r="DH677" s="27" t="n"/>
    </row>
    <row r="678" ht="15.75" customHeight="1" s="187">
      <c r="CH678" s="2" t="n"/>
      <c r="CI678" s="14">
        <f>CJ678&amp;CK678</f>
        <v/>
      </c>
      <c r="CJ678" s="25" t="n"/>
      <c r="CK678" s="25" t="n"/>
      <c r="CL678" s="25" t="n"/>
      <c r="CM678" s="25" t="n"/>
      <c r="CN678" s="25" t="n"/>
      <c r="CO678" s="25" t="n"/>
      <c r="CP678" s="25" t="n"/>
      <c r="CQ678" s="25" t="n"/>
      <c r="CR678" s="25" t="n"/>
      <c r="CS678" s="25" t="n"/>
      <c r="CT678" s="25" t="n"/>
      <c r="CU678" s="25" t="n"/>
      <c r="CV678" s="25" t="n"/>
      <c r="CW678" s="25" t="n"/>
      <c r="CX678" s="25" t="n"/>
      <c r="CY678" s="25" t="n"/>
      <c r="DC678" s="26" t="n"/>
      <c r="DD678" s="26" t="n"/>
      <c r="DE678" s="26" t="n"/>
      <c r="DF678" s="26" t="n"/>
      <c r="DG678" s="26" t="n"/>
      <c r="DH678" s="27" t="n"/>
    </row>
    <row r="679" ht="15.75" customHeight="1" s="187">
      <c r="CH679" s="2" t="n"/>
      <c r="CI679" s="14">
        <f>CJ679&amp;CK679</f>
        <v/>
      </c>
      <c r="CJ679" s="25" t="n"/>
      <c r="CK679" s="25" t="n"/>
      <c r="CL679" s="25" t="n"/>
      <c r="CM679" s="25" t="n"/>
      <c r="CN679" s="25" t="n"/>
      <c r="CO679" s="25" t="n"/>
      <c r="CP679" s="25" t="n"/>
      <c r="CQ679" s="25" t="n"/>
      <c r="CR679" s="25" t="n"/>
      <c r="CS679" s="25" t="n"/>
      <c r="CT679" s="25" t="n"/>
      <c r="CU679" s="25" t="n"/>
      <c r="CV679" s="25" t="n"/>
      <c r="CW679" s="25" t="n"/>
      <c r="CX679" s="25" t="n"/>
      <c r="CY679" s="25" t="n"/>
      <c r="DC679" s="26" t="n"/>
      <c r="DD679" s="26" t="n"/>
      <c r="DE679" s="26" t="n"/>
      <c r="DF679" s="26" t="n"/>
      <c r="DG679" s="26" t="n"/>
      <c r="DH679" s="27" t="n"/>
    </row>
    <row r="680" ht="15.75" customHeight="1" s="187">
      <c r="CH680" s="2" t="n"/>
      <c r="CI680" s="14" t="n"/>
      <c r="CJ680" s="25" t="n"/>
      <c r="CK680" s="25" t="n"/>
      <c r="CL680" s="25" t="n"/>
      <c r="CM680" s="25" t="n"/>
      <c r="CN680" s="25" t="n"/>
      <c r="CO680" s="25" t="n"/>
      <c r="CP680" s="25" t="n"/>
      <c r="CQ680" s="25" t="n"/>
      <c r="CR680" s="25" t="n"/>
      <c r="CS680" s="25" t="n"/>
      <c r="CT680" s="25" t="n"/>
      <c r="CU680" s="25" t="n"/>
      <c r="CV680" s="25" t="n"/>
      <c r="CW680" s="25" t="n"/>
      <c r="CX680" s="25" t="n"/>
      <c r="CY680" s="25" t="n"/>
      <c r="DC680" s="26" t="n"/>
      <c r="DD680" s="26" t="n"/>
      <c r="DE680" s="26" t="n"/>
      <c r="DF680" s="26" t="n"/>
      <c r="DG680" s="26" t="n"/>
      <c r="DH680" s="27" t="n"/>
    </row>
    <row r="681" ht="15.75" customHeight="1" s="187">
      <c r="CH681" s="2" t="n"/>
      <c r="CI681" s="14">
        <f>CJ681&amp;CK681</f>
        <v/>
      </c>
      <c r="CJ681" s="25" t="n"/>
      <c r="CK681" s="25" t="n"/>
      <c r="CL681" s="25" t="n"/>
      <c r="CM681" s="25" t="n"/>
      <c r="CN681" s="25" t="n"/>
      <c r="CO681" s="25" t="n"/>
      <c r="CP681" s="25" t="n"/>
      <c r="CQ681" s="25" t="n"/>
      <c r="CR681" s="25" t="n"/>
      <c r="CS681" s="25" t="n"/>
      <c r="CT681" s="25" t="n"/>
      <c r="CU681" s="25" t="n"/>
      <c r="CV681" s="25" t="n"/>
      <c r="CW681" s="25" t="n"/>
      <c r="CX681" s="25" t="n"/>
      <c r="CY681" s="25" t="n"/>
      <c r="DC681" s="26" t="n"/>
      <c r="DD681" s="26" t="n"/>
      <c r="DE681" s="26" t="n"/>
      <c r="DF681" s="26" t="n"/>
      <c r="DG681" s="26" t="n"/>
      <c r="DH681" s="27" t="n"/>
    </row>
    <row r="682" ht="15.75" customHeight="1" s="187">
      <c r="CH682" s="2" t="n"/>
      <c r="CI682" s="14">
        <f>CJ682&amp;CK682</f>
        <v/>
      </c>
      <c r="CJ682" s="25" t="n"/>
      <c r="CK682" s="25" t="n"/>
      <c r="CL682" s="25" t="n"/>
      <c r="CM682" s="25" t="n"/>
      <c r="CN682" s="25" t="n"/>
      <c r="CO682" s="25" t="n"/>
      <c r="CP682" s="25" t="n"/>
      <c r="CQ682" s="25" t="n"/>
      <c r="CR682" s="25" t="n"/>
      <c r="CS682" s="25" t="n"/>
      <c r="CT682" s="25" t="n"/>
      <c r="CU682" s="25" t="n"/>
      <c r="CV682" s="25" t="n"/>
      <c r="CW682" s="25" t="n"/>
      <c r="CX682" s="25" t="n"/>
      <c r="CY682" s="25" t="n"/>
      <c r="DC682" s="26" t="n"/>
      <c r="DD682" s="26" t="n"/>
      <c r="DE682" s="26" t="n"/>
      <c r="DF682" s="26" t="n"/>
      <c r="DG682" s="26" t="n"/>
      <c r="DH682" s="27" t="n"/>
    </row>
    <row r="683" ht="15.75" customHeight="1" s="187">
      <c r="CH683" s="2" t="n"/>
      <c r="CI683" s="14">
        <f>CJ683&amp;CK683</f>
        <v/>
      </c>
      <c r="CJ683" s="25" t="n"/>
      <c r="CK683" s="25" t="n"/>
      <c r="CL683" s="25" t="n"/>
      <c r="CM683" s="25" t="n"/>
      <c r="CN683" s="25" t="n"/>
      <c r="CO683" s="25" t="n"/>
      <c r="CP683" s="25" t="n"/>
      <c r="CQ683" s="25" t="n"/>
      <c r="CR683" s="25" t="n"/>
      <c r="CS683" s="25" t="n"/>
      <c r="CT683" s="25" t="n"/>
      <c r="CU683" s="25" t="n"/>
      <c r="CV683" s="25" t="n"/>
      <c r="CW683" s="25" t="n"/>
      <c r="CX683" s="25" t="n"/>
      <c r="CY683" s="25" t="n"/>
      <c r="DC683" s="26" t="n"/>
      <c r="DD683" s="26" t="n"/>
      <c r="DE683" s="26" t="n"/>
      <c r="DF683" s="26" t="n"/>
      <c r="DG683" s="26" t="n"/>
      <c r="DH683" s="27" t="n"/>
    </row>
    <row r="684" ht="15.75" customHeight="1" s="187">
      <c r="CH684" s="2" t="n"/>
      <c r="CI684" s="14">
        <f>CJ684&amp;CK684</f>
        <v/>
      </c>
      <c r="CJ684" s="25" t="n"/>
      <c r="CK684" s="25" t="n"/>
      <c r="CL684" s="25" t="n"/>
      <c r="CM684" s="25" t="n"/>
      <c r="CN684" s="25" t="n"/>
      <c r="CO684" s="25" t="n"/>
      <c r="CR684" s="25" t="n"/>
      <c r="CS684" s="25" t="n"/>
      <c r="CT684" s="25" t="n"/>
      <c r="CU684" s="25" t="n"/>
      <c r="CV684" s="25" t="n"/>
      <c r="CW684" s="25" t="n"/>
      <c r="CX684" s="25" t="n"/>
      <c r="CY684" s="25" t="n"/>
      <c r="DC684" s="26" t="n"/>
      <c r="DD684" s="26" t="n"/>
      <c r="DE684" s="26" t="n"/>
      <c r="DF684" s="26" t="n"/>
      <c r="DG684" s="26" t="n"/>
      <c r="DH684" s="27" t="n"/>
    </row>
    <row r="685" ht="15.75" customHeight="1" s="187">
      <c r="CH685" s="2" t="n"/>
      <c r="CI685" s="14">
        <f>CJ685&amp;CK685</f>
        <v/>
      </c>
      <c r="CJ685" s="25" t="n"/>
      <c r="CK685" s="25" t="n"/>
      <c r="CL685" s="25" t="n"/>
      <c r="CM685" s="25" t="n"/>
      <c r="CN685" s="25" t="n"/>
      <c r="CO685" s="25" t="n"/>
      <c r="CR685" s="25" t="n"/>
      <c r="CS685" s="25" t="n"/>
      <c r="CT685" s="25" t="n"/>
      <c r="CU685" s="25" t="n"/>
      <c r="CV685" s="25" t="n"/>
      <c r="CW685" s="25" t="n"/>
      <c r="CX685" s="25" t="n"/>
      <c r="CY685" s="25" t="n"/>
      <c r="DC685" s="26" t="n"/>
      <c r="DD685" s="26" t="n"/>
      <c r="DE685" s="26" t="n"/>
      <c r="DF685" s="26" t="n"/>
    </row>
    <row r="686" ht="15.75" customHeight="1" s="187">
      <c r="CH686" s="2" t="n"/>
      <c r="CI686" s="14">
        <f>CJ686&amp;CK686</f>
        <v/>
      </c>
      <c r="CJ686" s="25" t="n"/>
      <c r="CK686" s="25" t="n"/>
      <c r="CL686" s="25" t="n"/>
      <c r="CM686" s="25" t="n"/>
      <c r="CN686" s="25" t="n"/>
      <c r="CO686" s="25" t="n"/>
      <c r="CR686" s="25" t="n"/>
      <c r="CS686" s="25" t="n"/>
      <c r="CT686" s="25" t="n"/>
      <c r="CU686" s="25" t="n"/>
      <c r="CV686" s="25" t="n"/>
      <c r="CW686" s="25" t="n"/>
      <c r="CX686" s="25" t="n"/>
      <c r="CY686" s="25" t="n"/>
      <c r="DC686" s="26" t="n"/>
      <c r="DD686" s="26" t="n"/>
      <c r="DE686" s="26" t="n"/>
      <c r="DF686" s="26" t="n"/>
    </row>
    <row r="687" ht="15.75" customHeight="1" s="187">
      <c r="CH687" s="2" t="n"/>
      <c r="CI687" s="14">
        <f>CJ687&amp;CK687</f>
        <v/>
      </c>
      <c r="CJ687" s="25" t="n"/>
      <c r="CK687" s="25" t="n"/>
      <c r="CL687" s="25" t="n"/>
      <c r="CM687" s="25" t="n"/>
      <c r="CN687" s="25" t="n"/>
      <c r="CO687" s="25" t="n"/>
      <c r="CR687" s="25" t="n"/>
      <c r="CS687" s="25" t="n"/>
      <c r="CT687" s="25" t="n"/>
      <c r="CU687" s="25" t="n"/>
      <c r="CV687" s="25" t="n"/>
      <c r="CW687" s="25" t="n"/>
      <c r="CX687" s="25" t="n"/>
      <c r="CY687" s="25" t="n"/>
      <c r="DC687" s="26" t="n"/>
      <c r="DD687" s="26" t="n"/>
      <c r="DE687" s="26" t="n"/>
      <c r="DF687" s="26" t="n"/>
    </row>
    <row r="688" ht="15.75" customHeight="1" s="187">
      <c r="CH688" s="2" t="n"/>
      <c r="CI688" s="14">
        <f>CJ688&amp;CK688</f>
        <v/>
      </c>
      <c r="CJ688" s="25" t="n"/>
      <c r="CK688" s="25" t="n"/>
      <c r="CL688" s="25" t="n"/>
      <c r="CM688" s="25" t="n"/>
      <c r="CN688" s="25" t="n"/>
      <c r="CR688" s="25" t="n"/>
      <c r="CW688" s="25" t="n"/>
      <c r="CX688" s="25" t="n"/>
      <c r="CY688" s="25" t="n"/>
      <c r="DC688" s="26" t="n"/>
      <c r="DD688" s="26" t="n"/>
      <c r="DE688" s="26" t="n"/>
      <c r="DF688" s="26" t="n"/>
    </row>
    <row r="689" ht="15.75" customHeight="1" s="187">
      <c r="CH689" s="2" t="n"/>
      <c r="CI689" s="14">
        <f>CJ689&amp;CK689</f>
        <v/>
      </c>
      <c r="CJ689" s="25" t="n"/>
      <c r="CK689" s="25" t="n"/>
      <c r="CL689" s="25" t="n"/>
      <c r="CM689" s="25" t="n"/>
      <c r="CN689" s="25" t="n"/>
      <c r="CR689" s="25" t="n"/>
      <c r="CW689" s="25" t="n"/>
      <c r="CX689" s="25" t="n"/>
      <c r="CY689" s="25" t="n"/>
      <c r="DC689" s="26" t="n"/>
      <c r="DD689" s="26" t="n"/>
      <c r="DE689" s="26" t="n"/>
      <c r="DF689" s="26" t="n"/>
    </row>
    <row r="690" ht="15.75" customHeight="1" s="187">
      <c r="CH690" s="2" t="n"/>
      <c r="CI690" s="14">
        <f>CJ690&amp;CK690</f>
        <v/>
      </c>
      <c r="CJ690" s="25" t="n"/>
      <c r="CK690" s="25" t="n"/>
      <c r="CL690" s="25" t="n"/>
      <c r="CM690" s="25" t="n"/>
      <c r="CN690" s="25" t="n"/>
      <c r="CR690" s="25" t="n"/>
      <c r="CW690" s="25" t="n"/>
      <c r="CX690" s="25" t="n"/>
      <c r="CY690" s="25" t="n"/>
      <c r="DC690" s="26" t="n"/>
      <c r="DD690" s="26" t="n"/>
      <c r="DE690" s="26" t="n"/>
      <c r="DF690" s="26" t="n"/>
    </row>
    <row r="691" ht="15.75" customHeight="1" s="187">
      <c r="CH691" s="2" t="n"/>
      <c r="CI691" s="14">
        <f>CJ691&amp;CK691</f>
        <v/>
      </c>
      <c r="CJ691" s="25" t="n"/>
      <c r="CK691" s="25" t="n"/>
      <c r="CL691" s="25" t="n"/>
      <c r="CM691" s="25" t="n"/>
      <c r="CN691" s="25" t="n"/>
      <c r="CR691" s="25" t="n"/>
      <c r="CW691" s="25" t="n"/>
      <c r="CX691" s="25" t="n"/>
      <c r="CY691" s="25" t="n"/>
      <c r="DC691" s="26" t="n"/>
      <c r="DD691" s="26" t="n"/>
      <c r="DE691" s="26" t="n"/>
      <c r="DF691" s="26" t="n"/>
    </row>
    <row r="692" ht="15.75" customHeight="1" s="187">
      <c r="CH692" s="2" t="n"/>
      <c r="CI692" s="14">
        <f>CJ692&amp;CK692</f>
        <v/>
      </c>
      <c r="CJ692" s="25" t="n"/>
      <c r="CK692" s="25" t="n"/>
      <c r="CL692" s="25" t="n"/>
      <c r="CM692" s="25" t="n"/>
      <c r="CN692" s="25" t="n"/>
      <c r="CR692" s="25" t="n"/>
      <c r="CW692" s="25" t="n"/>
      <c r="CX692" s="25" t="n"/>
      <c r="CY692" s="25" t="n"/>
      <c r="DC692" s="26" t="n"/>
      <c r="DD692" s="26" t="n"/>
      <c r="DE692" s="26" t="n"/>
      <c r="DF692" s="26" t="n"/>
    </row>
    <row r="693" ht="15.75" customHeight="1" s="187">
      <c r="CH693" s="2" t="n"/>
      <c r="CI693" s="14">
        <f>CJ693&amp;CK693</f>
        <v/>
      </c>
      <c r="CJ693" s="25" t="n"/>
      <c r="CK693" s="25" t="n"/>
      <c r="CL693" s="25" t="n"/>
      <c r="CM693" s="25" t="n"/>
      <c r="CN693" s="25" t="n"/>
      <c r="CR693" s="25" t="n"/>
      <c r="CW693" s="25" t="n"/>
      <c r="CX693" s="25" t="n"/>
      <c r="CY693" s="25" t="n"/>
      <c r="DC693" s="26" t="n"/>
      <c r="DD693" s="26" t="n"/>
      <c r="DE693" s="26" t="n"/>
      <c r="DF693" s="26" t="n"/>
    </row>
    <row r="694" ht="15.75" customHeight="1" s="187">
      <c r="CH694" s="11" t="n"/>
      <c r="CI694" s="14">
        <f>CJ694&amp;CK694</f>
        <v/>
      </c>
      <c r="CJ694" s="25" t="n"/>
      <c r="CK694" s="25" t="n"/>
      <c r="CL694" s="25" t="n"/>
      <c r="CM694" s="25" t="n"/>
      <c r="CN694" s="25" t="n"/>
      <c r="CR694" s="25" t="n"/>
      <c r="CW694" s="25" t="n"/>
      <c r="CX694" s="25" t="n"/>
      <c r="CY694" s="25" t="n"/>
      <c r="DC694" s="26" t="n"/>
      <c r="DD694" s="26" t="n"/>
      <c r="DE694" s="26" t="n"/>
      <c r="DF694" s="26" t="n"/>
    </row>
    <row r="695" ht="15.75" customHeight="1" s="187">
      <c r="CH695" s="11" t="n"/>
      <c r="CI695" s="14" t="n"/>
      <c r="CJ695" s="25" t="n"/>
      <c r="CK695" s="25" t="n"/>
      <c r="CL695" s="25" t="n"/>
      <c r="CM695" s="25" t="n"/>
      <c r="CN695" s="25" t="n"/>
      <c r="CR695" s="25" t="n"/>
      <c r="CW695" s="25" t="n"/>
      <c r="CX695" s="25" t="n"/>
      <c r="CY695" s="25" t="n"/>
      <c r="DC695" s="26" t="n"/>
      <c r="DD695" s="26" t="n"/>
      <c r="DE695" s="26" t="n"/>
      <c r="DF695" s="26" t="n"/>
    </row>
    <row r="696" ht="15.75" customHeight="1" s="187">
      <c r="CH696" s="11" t="n"/>
      <c r="CI696" s="14" t="n"/>
      <c r="CJ696" s="25" t="n"/>
      <c r="CK696" s="25" t="n"/>
      <c r="CL696" s="25" t="n"/>
      <c r="CM696" s="25" t="n"/>
      <c r="CN696" s="25" t="n"/>
      <c r="CR696" s="25" t="n"/>
      <c r="CW696" s="25" t="n"/>
      <c r="CX696" s="25" t="n"/>
      <c r="CY696" s="25" t="n"/>
      <c r="DC696" s="26" t="n"/>
      <c r="DD696" s="26" t="n"/>
      <c r="DE696" s="26" t="n"/>
      <c r="DF696" s="26" t="n"/>
    </row>
    <row r="697" ht="15.75" customHeight="1" s="187">
      <c r="CH697" s="11" t="n"/>
      <c r="CI697" s="14" t="n"/>
      <c r="CJ697" s="25" t="n"/>
      <c r="CK697" s="25" t="n"/>
      <c r="CL697" s="25" t="n"/>
      <c r="CM697" s="25" t="n"/>
      <c r="CN697" s="25" t="n"/>
      <c r="CR697" s="25" t="n"/>
      <c r="CW697" s="25" t="n"/>
      <c r="CX697" s="25" t="n"/>
      <c r="CY697" s="25" t="n"/>
      <c r="DC697" s="26" t="n"/>
      <c r="DD697" s="26" t="n"/>
      <c r="DE697" s="26" t="n"/>
      <c r="DF697" s="26" t="n"/>
    </row>
    <row r="698" ht="15.75" customHeight="1" s="187">
      <c r="A698" s="174" t="n"/>
      <c r="B698" s="175" t="n"/>
      <c r="C698" s="176" t="n"/>
      <c r="D698" s="177" t="n"/>
      <c r="E698" s="176" t="n"/>
      <c r="F698" s="176" t="n"/>
      <c r="G698" s="175" t="n"/>
      <c r="H698" s="175" t="n"/>
      <c r="I698" s="178" t="n"/>
      <c r="J698" s="175" t="n"/>
      <c r="K698" s="179" t="n"/>
      <c r="L698" s="247" t="n"/>
      <c r="M698" s="247" t="n"/>
      <c r="N698" s="247" t="n"/>
      <c r="O698" s="247" t="n"/>
      <c r="P698" s="247" t="n"/>
      <c r="Q698" s="247" t="n"/>
      <c r="R698" s="247" t="n"/>
      <c r="S698" s="247" t="n"/>
      <c r="T698" s="247" t="n"/>
      <c r="U698" s="247" t="n"/>
      <c r="V698" s="247" t="n"/>
      <c r="W698" s="247" t="n"/>
      <c r="X698" s="247" t="n"/>
      <c r="Y698" s="247" t="n"/>
      <c r="Z698" s="247" t="n"/>
      <c r="AA698" s="247" t="n"/>
      <c r="AB698" s="247" t="n"/>
      <c r="AC698" s="247" t="n"/>
      <c r="AD698" s="247" t="n"/>
      <c r="AE698" s="247" t="n"/>
      <c r="AF698" s="247" t="n"/>
      <c r="AG698" s="247" t="n"/>
      <c r="AH698" s="247" t="n"/>
      <c r="AI698" s="247" t="n"/>
      <c r="AJ698" s="247" t="n"/>
      <c r="AK698" s="247" t="n"/>
      <c r="AL698" s="247" t="n"/>
      <c r="AM698" s="179" t="n"/>
      <c r="AN698" s="179" t="n"/>
      <c r="AO698" s="179" t="n"/>
      <c r="AP698" s="179" t="n"/>
      <c r="AQ698" s="179" t="n"/>
      <c r="AR698" s="179" t="n"/>
      <c r="AS698" s="179" t="n"/>
      <c r="AT698" s="179" t="n"/>
      <c r="AU698" s="179" t="n"/>
      <c r="AV698" s="179" t="n"/>
      <c r="AW698" s="175" t="n"/>
      <c r="AX698" s="179" t="n"/>
      <c r="AY698" s="179" t="n"/>
      <c r="AZ698" s="179" t="n"/>
      <c r="BA698" s="179" t="n"/>
      <c r="BB698" s="179" t="n"/>
      <c r="BC698" s="179" t="n"/>
      <c r="BD698" s="179" t="n"/>
      <c r="BE698" s="179" t="n"/>
      <c r="BF698" s="179" t="n"/>
      <c r="BG698" s="175" t="n"/>
      <c r="BH698" s="248" t="n"/>
      <c r="BI698" s="176" t="n"/>
      <c r="BJ698" s="176" t="n"/>
      <c r="BK698" s="177" t="n"/>
      <c r="BL698" s="182" t="n"/>
      <c r="BM698" s="183" t="n"/>
      <c r="BN698" s="182" t="n"/>
      <c r="BO698" s="177" t="n"/>
      <c r="BP698" s="177" t="n"/>
      <c r="BQ698" s="177" t="n"/>
      <c r="BR698" s="177" t="n"/>
      <c r="BS698" s="177" t="n"/>
      <c r="BT698" s="177" t="n"/>
      <c r="BU698" s="177" t="n"/>
      <c r="BV698" s="177" t="n"/>
      <c r="BW698" s="177" t="n"/>
      <c r="BX698" s="177" t="n"/>
      <c r="BY698" s="175" t="n"/>
      <c r="CH698" s="2" t="n"/>
      <c r="CI698" s="14">
        <f>CJ698&amp;CK698</f>
        <v/>
      </c>
      <c r="CJ698" s="25" t="n"/>
      <c r="CK698" s="25" t="n"/>
      <c r="CL698" s="25" t="n"/>
      <c r="CM698" s="25" t="n"/>
      <c r="CN698" s="25" t="n"/>
      <c r="CR698" s="25" t="n"/>
      <c r="CW698" s="25" t="n"/>
      <c r="CX698" s="25" t="n"/>
      <c r="CY698" s="25" t="n"/>
      <c r="DC698" s="26" t="n"/>
      <c r="DD698" s="26" t="n"/>
      <c r="DE698" s="26" t="n"/>
      <c r="DF698" s="26" t="n"/>
    </row>
    <row r="699" ht="15.75" customHeight="1" s="187">
      <c r="CH699" s="2" t="n"/>
      <c r="CI699" s="14" t="n"/>
      <c r="CJ699" s="25" t="n"/>
      <c r="CK699" s="25" t="n"/>
      <c r="CL699" s="25" t="n"/>
      <c r="CM699" s="25" t="n"/>
      <c r="CN699" s="25" t="n"/>
      <c r="CR699" s="25" t="n"/>
      <c r="CW699" s="25" t="n"/>
      <c r="CX699" s="25" t="n"/>
      <c r="CY699" s="25" t="n"/>
      <c r="DC699" s="26" t="n"/>
      <c r="DD699" s="26" t="n"/>
      <c r="DE699" s="26" t="n"/>
      <c r="DF699" s="26" t="n"/>
    </row>
    <row r="700" ht="15.75" customHeight="1" s="187">
      <c r="BR700" s="2" t="n"/>
      <c r="BS700" s="2" t="n"/>
      <c r="CH700" s="2" t="n"/>
      <c r="CI700" s="14" t="n"/>
      <c r="CJ700" s="25" t="n"/>
      <c r="CK700" s="25" t="n"/>
      <c r="CL700" s="25" t="n"/>
      <c r="CM700" s="25" t="n"/>
      <c r="CN700" s="25" t="n"/>
      <c r="CR700" s="25" t="n"/>
      <c r="CW700" s="25" t="n"/>
      <c r="CX700" s="25" t="n"/>
      <c r="CY700" s="25" t="n"/>
      <c r="DC700" s="26" t="n"/>
      <c r="DD700" s="26" t="n"/>
      <c r="DE700" s="26" t="n"/>
      <c r="DF700" s="26" t="n"/>
    </row>
    <row r="701" ht="15.75" customHeight="1" s="187">
      <c r="BR701" s="2" t="n"/>
      <c r="BS701" s="2" t="n"/>
      <c r="CH701" s="2" t="n"/>
      <c r="CI701" s="14">
        <f>CJ701&amp;CK701</f>
        <v/>
      </c>
      <c r="CJ701" s="25" t="n"/>
      <c r="CK701" s="25" t="n"/>
      <c r="CL701" s="25" t="n"/>
      <c r="CM701" s="25" t="n"/>
      <c r="CN701" s="25" t="n"/>
      <c r="CR701" s="25" t="n"/>
      <c r="CW701" s="25" t="n"/>
      <c r="CX701" s="25" t="n"/>
      <c r="CY701" s="25" t="n"/>
      <c r="DC701" s="26" t="n"/>
      <c r="DD701" s="26" t="n"/>
      <c r="DE701" s="26" t="n"/>
      <c r="DF701" s="26" t="n"/>
    </row>
    <row r="702" ht="15.75" customHeight="1" s="187">
      <c r="CH702" s="2" t="n"/>
      <c r="CI702" s="14">
        <f>CJ702&amp;CK702</f>
        <v/>
      </c>
      <c r="CJ702" s="25" t="n"/>
      <c r="CK702" s="25" t="n"/>
      <c r="CL702" s="25" t="n"/>
      <c r="CM702" s="25" t="n"/>
      <c r="CN702" s="25" t="n"/>
      <c r="CR702" s="25" t="n"/>
      <c r="CW702" s="25" t="n"/>
      <c r="CX702" s="25" t="n"/>
      <c r="CY702" s="25" t="n"/>
      <c r="DC702" s="26" t="n"/>
      <c r="DD702" s="26" t="n"/>
      <c r="DE702" s="26" t="n"/>
      <c r="DF702" s="26" t="n"/>
    </row>
    <row r="703" ht="15.75" customHeight="1" s="187">
      <c r="CH703" s="2" t="n"/>
      <c r="CI703" s="14">
        <f>CJ703&amp;CK703</f>
        <v/>
      </c>
      <c r="CJ703" s="25" t="n"/>
      <c r="CK703" s="25" t="n"/>
      <c r="CL703" s="25" t="n"/>
      <c r="CM703" s="25" t="n"/>
      <c r="CN703" s="25" t="n"/>
      <c r="CR703" s="25" t="n"/>
      <c r="CW703" s="25" t="n"/>
      <c r="CX703" s="25" t="n"/>
      <c r="CY703" s="25" t="n"/>
      <c r="DC703" s="26" t="n"/>
      <c r="DD703" s="26" t="n"/>
      <c r="DE703" s="26" t="n"/>
      <c r="DF703" s="26" t="n"/>
    </row>
    <row r="704" ht="15.75" customHeight="1" s="187">
      <c r="CH704" s="2" t="n"/>
      <c r="CI704" s="14">
        <f>CJ704&amp;CK704</f>
        <v/>
      </c>
      <c r="CJ704" s="25" t="n"/>
      <c r="CK704" s="25" t="n"/>
      <c r="CL704" s="25" t="n"/>
      <c r="CM704" s="25" t="n"/>
      <c r="CN704" s="25" t="n"/>
      <c r="CR704" s="25" t="n"/>
      <c r="CW704" s="25" t="n"/>
      <c r="CX704" s="25" t="n"/>
      <c r="CY704" s="25" t="n"/>
      <c r="DC704" s="26" t="n"/>
      <c r="DD704" s="26" t="n"/>
      <c r="DE704" s="26" t="n"/>
      <c r="DF704" s="26" t="n"/>
    </row>
    <row r="705" ht="15.75" customHeight="1" s="187">
      <c r="CH705" s="2" t="n"/>
      <c r="CI705" s="14">
        <f>CJ705&amp;CK705</f>
        <v/>
      </c>
      <c r="CJ705" s="25" t="n"/>
      <c r="CK705" s="25" t="n"/>
      <c r="CL705" s="25" t="n"/>
      <c r="CM705" s="25" t="n"/>
      <c r="CN705" s="25" t="n"/>
      <c r="CR705" s="25" t="n"/>
      <c r="CW705" s="25" t="n"/>
      <c r="CX705" s="25" t="n"/>
      <c r="CY705" s="25" t="n"/>
      <c r="DC705" s="26" t="n"/>
      <c r="DD705" s="26" t="n"/>
      <c r="DE705" s="26" t="n"/>
      <c r="DF705" s="26" t="n"/>
    </row>
    <row r="706" ht="15.75" customHeight="1" s="187">
      <c r="CH706" s="2" t="n"/>
      <c r="CI706" s="14">
        <f>CJ706&amp;CK706</f>
        <v/>
      </c>
      <c r="CJ706" s="25" t="n"/>
      <c r="CK706" s="25" t="n"/>
      <c r="CL706" s="25" t="n"/>
      <c r="CM706" s="25" t="n"/>
      <c r="CN706" s="25" t="n"/>
      <c r="CR706" s="25" t="n"/>
      <c r="CW706" s="25" t="n"/>
      <c r="CX706" s="25" t="n"/>
      <c r="CY706" s="25" t="n"/>
      <c r="DC706" s="26" t="n"/>
      <c r="DD706" s="26" t="n"/>
      <c r="DE706" s="26" t="n"/>
      <c r="DF706" s="26" t="n"/>
    </row>
    <row r="707" ht="15.75" customHeight="1" s="187">
      <c r="CH707" s="2" t="n"/>
      <c r="CI707" s="14">
        <f>CJ707&amp;CK707</f>
        <v/>
      </c>
      <c r="CJ707" s="25" t="n"/>
      <c r="CK707" s="25" t="n"/>
      <c r="CL707" s="25" t="n"/>
      <c r="CM707" s="25" t="n"/>
      <c r="CN707" s="25" t="n"/>
      <c r="CR707" s="25" t="n"/>
      <c r="CW707" s="25" t="n"/>
      <c r="CX707" s="25" t="n"/>
      <c r="CY707" s="25" t="n"/>
      <c r="DC707" s="26" t="n"/>
      <c r="DD707" s="26" t="n"/>
      <c r="DE707" s="26" t="n"/>
      <c r="DF707" s="26" t="n"/>
    </row>
    <row r="708" ht="15.75" customHeight="1" s="187">
      <c r="CH708" s="2" t="n"/>
      <c r="CI708" s="14">
        <f>CJ708&amp;CK708</f>
        <v/>
      </c>
      <c r="CJ708" s="25" t="n"/>
      <c r="CK708" s="25" t="n"/>
      <c r="CL708" s="25" t="n"/>
      <c r="CM708" s="25" t="n"/>
      <c r="CN708" s="25" t="n"/>
      <c r="CR708" s="25" t="n"/>
      <c r="CW708" s="25" t="n"/>
      <c r="CX708" s="25" t="n"/>
      <c r="CY708" s="25" t="n"/>
      <c r="DC708" s="26" t="n"/>
      <c r="DD708" s="26" t="n"/>
      <c r="DE708" s="26" t="n"/>
      <c r="DF708" s="26" t="n"/>
    </row>
    <row r="709" ht="15.75" customHeight="1" s="187">
      <c r="CH709" s="2" t="n"/>
      <c r="CI709" s="14">
        <f>CJ709&amp;CK709</f>
        <v/>
      </c>
      <c r="CJ709" s="25" t="n"/>
      <c r="CK709" s="25" t="n"/>
      <c r="CL709" s="25" t="n"/>
      <c r="CM709" s="25" t="n"/>
      <c r="CN709" s="25" t="n"/>
      <c r="CR709" s="25" t="n"/>
      <c r="CW709" s="25" t="n"/>
      <c r="CX709" s="25" t="n"/>
      <c r="CY709" s="25" t="n"/>
      <c r="DC709" s="26" t="n"/>
      <c r="DD709" s="26" t="n"/>
      <c r="DE709" s="26" t="n"/>
      <c r="DF709" s="26" t="n"/>
    </row>
    <row r="710" ht="15.75" customHeight="1" s="187">
      <c r="CH710" s="2" t="n"/>
      <c r="CI710" s="14">
        <f>CJ710&amp;CK710</f>
        <v/>
      </c>
      <c r="CJ710" s="25" t="n"/>
      <c r="CK710" s="25" t="n"/>
      <c r="CL710" s="25" t="n"/>
      <c r="CM710" s="25" t="n"/>
      <c r="CN710" s="25" t="n"/>
      <c r="CR710" s="25" t="n"/>
      <c r="CW710" s="25" t="n"/>
      <c r="CX710" s="25" t="n"/>
      <c r="CY710" s="25" t="n"/>
      <c r="DC710" s="26" t="n"/>
      <c r="DD710" s="26" t="n"/>
      <c r="DE710" s="26" t="n"/>
      <c r="DF710" s="26" t="n"/>
    </row>
    <row r="711" ht="15.75" customHeight="1" s="187">
      <c r="CH711" s="2" t="n"/>
      <c r="CI711" s="14">
        <f>CJ711&amp;CK711</f>
        <v/>
      </c>
      <c r="CJ711" s="25" t="n"/>
      <c r="CK711" s="25" t="n"/>
      <c r="CL711" s="25" t="n"/>
      <c r="CM711" s="25" t="n"/>
      <c r="CN711" s="25" t="n"/>
      <c r="CR711" s="25" t="n"/>
      <c r="CW711" s="25" t="n"/>
      <c r="CX711" s="25" t="n"/>
      <c r="CY711" s="25" t="n"/>
    </row>
    <row r="712" ht="15.75" customHeight="1" s="187">
      <c r="CH712" s="2" t="n"/>
      <c r="CI712" s="14">
        <f>CJ712&amp;CK712</f>
        <v/>
      </c>
      <c r="CJ712" s="25" t="n"/>
      <c r="CK712" s="25" t="n"/>
      <c r="CL712" s="25" t="n"/>
      <c r="CR712" s="25" t="n"/>
      <c r="CW712" s="25" t="n"/>
      <c r="CX712" s="25" t="n"/>
      <c r="CY712" s="25" t="n"/>
    </row>
    <row r="713" ht="15.75" customHeight="1" s="187">
      <c r="CH713" s="2" t="n"/>
      <c r="CI713" s="14" t="n"/>
      <c r="CY713" s="25" t="n"/>
    </row>
    <row r="714" ht="15.75" customHeight="1" s="187">
      <c r="CH714" s="2" t="n"/>
      <c r="CI714" s="14" t="n"/>
      <c r="CY714" s="25" t="n"/>
    </row>
    <row r="715" ht="15.75" customHeight="1" s="187">
      <c r="CH715" s="2" t="n"/>
      <c r="CI715" s="14" t="n"/>
      <c r="CY715" s="25" t="n"/>
    </row>
    <row r="716" ht="15.75" customHeight="1" s="187">
      <c r="CH716" s="2" t="n"/>
      <c r="CI716" s="14" t="n"/>
      <c r="CY716" s="25" t="n"/>
    </row>
    <row r="717" ht="15.75" customHeight="1" s="187">
      <c r="BJ717" s="249" t="n"/>
      <c r="CH717" s="2" t="n"/>
      <c r="CI717" s="14" t="n"/>
      <c r="CY717" s="25" t="n"/>
    </row>
    <row r="718" ht="15.75" customHeight="1" s="187">
      <c r="CH718" s="2" t="n"/>
      <c r="CI718" s="14" t="n"/>
      <c r="CY718" s="25" t="n"/>
    </row>
    <row r="719" ht="15.75" customHeight="1" s="187">
      <c r="CH719" s="2" t="n"/>
      <c r="CI719" s="14" t="n"/>
      <c r="CY719" s="25" t="n"/>
    </row>
    <row r="720" ht="15.75" customHeight="1" s="187">
      <c r="CH720" s="2" t="n"/>
      <c r="CI720" s="14" t="n"/>
      <c r="CY720" s="25" t="n"/>
    </row>
    <row r="721" ht="15.75" customHeight="1" s="187">
      <c r="CH721" s="2" t="n"/>
      <c r="CI721" s="14" t="n"/>
      <c r="CY721" s="25" t="n"/>
    </row>
    <row r="722" ht="15.75" customHeight="1" s="187">
      <c r="CH722" s="2" t="n"/>
      <c r="CI722" s="14" t="n"/>
      <c r="CY722" s="25" t="n"/>
    </row>
    <row r="723" ht="15.75" customHeight="1" s="187">
      <c r="CH723" s="2" t="n"/>
      <c r="CI723" s="14" t="n"/>
      <c r="CY723" s="25" t="n"/>
    </row>
    <row r="724" ht="15.75" customHeight="1" s="187">
      <c r="CH724" s="2" t="n"/>
      <c r="CI724" s="14" t="n"/>
      <c r="CY724" s="25" t="n"/>
    </row>
    <row r="725" ht="15.75" customHeight="1" s="187">
      <c r="CH725" s="2" t="n"/>
      <c r="CI725" s="14" t="n"/>
      <c r="CY725" s="25" t="n"/>
    </row>
    <row r="726" ht="15.75" customHeight="1" s="187">
      <c r="CH726" s="2" t="n"/>
      <c r="CI726" s="14" t="n"/>
      <c r="CY726" s="25" t="n"/>
    </row>
    <row r="727" ht="15.75" customHeight="1" s="187">
      <c r="CH727" s="2" t="n"/>
      <c r="CI727" s="14" t="n"/>
      <c r="CY727" s="25" t="n"/>
    </row>
    <row r="728" ht="15.75" customHeight="1" s="187">
      <c r="CH728" s="2" t="n"/>
      <c r="CI728" s="14" t="n"/>
      <c r="CY728" s="25" t="n"/>
    </row>
    <row r="729" ht="15.75" customHeight="1" s="187">
      <c r="CH729" s="2" t="n"/>
      <c r="CI729" s="14" t="n"/>
      <c r="CY729" s="25" t="n"/>
    </row>
    <row r="730" ht="15.75" customHeight="1" s="187">
      <c r="CH730" s="2" t="n"/>
      <c r="CI730" s="14" t="n"/>
      <c r="CY730" s="25" t="n"/>
    </row>
    <row r="731" ht="15.75" customHeight="1" s="187">
      <c r="CH731" s="2" t="n"/>
      <c r="CI731" s="14" t="n"/>
      <c r="CY731" s="25" t="n"/>
    </row>
    <row r="732" ht="15.75" customHeight="1" s="187">
      <c r="CH732" s="2" t="n"/>
      <c r="CI732" s="14" t="n"/>
      <c r="CY732" s="25" t="n"/>
    </row>
    <row r="733" ht="15.75" customHeight="1" s="187">
      <c r="CH733" s="2" t="n"/>
      <c r="CI733" s="14" t="n"/>
      <c r="CY733" s="25" t="n"/>
    </row>
    <row r="734" ht="15.75" customHeight="1" s="187">
      <c r="CH734" s="2" t="n"/>
      <c r="CI734" s="14" t="n"/>
      <c r="CY734" s="25" t="n"/>
    </row>
    <row r="735" ht="15.75" customHeight="1" s="187">
      <c r="CH735" s="2" t="n"/>
      <c r="CI735" s="14" t="n"/>
      <c r="CY735" s="25" t="n"/>
    </row>
    <row r="736" ht="15.75" customHeight="1" s="187">
      <c r="CH736" s="2" t="n"/>
      <c r="CI736" s="14" t="n"/>
      <c r="CY736" s="25" t="n"/>
    </row>
    <row r="737" ht="15.75" customHeight="1" s="187">
      <c r="CH737" s="2" t="n"/>
      <c r="CI737" s="14" t="n"/>
      <c r="CY737" s="25" t="n"/>
    </row>
    <row r="738" ht="15.75" customHeight="1" s="187">
      <c r="CH738" s="2" t="n"/>
      <c r="CI738" s="14" t="n"/>
      <c r="CY738" s="25" t="n"/>
    </row>
    <row r="739" ht="15.75" customHeight="1" s="187">
      <c r="CH739" s="2" t="n"/>
      <c r="CI739" s="14" t="n"/>
      <c r="CY739" s="25" t="n"/>
    </row>
    <row r="740" ht="15.75" customHeight="1" s="187">
      <c r="CH740" s="2" t="n"/>
      <c r="CI740" s="14" t="n"/>
      <c r="CY740" s="25" t="n"/>
    </row>
    <row r="741" ht="15.75" customHeight="1" s="187">
      <c r="CH741" s="2" t="n"/>
      <c r="CI741" s="14" t="n"/>
      <c r="CY741" s="25" t="n"/>
    </row>
    <row r="742" ht="15.75" customHeight="1" s="187">
      <c r="CH742" s="2" t="n"/>
      <c r="CI742" s="14" t="n"/>
      <c r="CY742" s="25" t="n"/>
    </row>
    <row r="743" ht="15.75" customHeight="1" s="187">
      <c r="CH743" s="2" t="n"/>
      <c r="CI743" s="14" t="n"/>
      <c r="CY743" s="25" t="n"/>
    </row>
    <row r="744" ht="15.75" customHeight="1" s="187">
      <c r="CH744" s="2" t="n"/>
      <c r="CI744" s="14" t="n"/>
      <c r="CY744" s="25" t="n"/>
    </row>
    <row r="745" ht="15.75" customHeight="1" s="187">
      <c r="CH745" s="2" t="n"/>
      <c r="CI745" s="14" t="n"/>
      <c r="CY745" s="25" t="n"/>
    </row>
    <row r="746" ht="15.75" customHeight="1" s="187">
      <c r="CH746" s="2" t="n"/>
      <c r="CI746" s="14" t="n"/>
      <c r="CY746" s="25" t="n"/>
    </row>
    <row r="747" ht="15.75" customHeight="1" s="187">
      <c r="CH747" s="2" t="n"/>
      <c r="CI747" s="14" t="n"/>
      <c r="CY747" s="25" t="n"/>
    </row>
    <row r="748" ht="15.75" customHeight="1" s="187">
      <c r="CH748" s="2" t="n"/>
      <c r="CI748" s="14" t="n"/>
      <c r="CY748" s="25" t="n"/>
    </row>
    <row r="749" ht="15.75" customHeight="1" s="187">
      <c r="CH749" s="2" t="n"/>
      <c r="CI749" s="14" t="n"/>
      <c r="CY749" s="25" t="n"/>
    </row>
    <row r="750" ht="15.75" customHeight="1" s="187">
      <c r="CH750" s="2" t="n"/>
      <c r="CI750" s="14" t="n"/>
      <c r="CY750" s="25" t="n"/>
    </row>
    <row r="751" ht="15.75" customHeight="1" s="187">
      <c r="CH751" s="2" t="n"/>
      <c r="CI751" s="14" t="n"/>
      <c r="CY751" s="25" t="n"/>
    </row>
    <row r="752" ht="15.75" customHeight="1" s="187">
      <c r="CH752" s="2" t="n"/>
      <c r="CI752" s="14" t="n"/>
      <c r="CY752" s="25" t="n"/>
    </row>
    <row r="753" ht="15.75" customHeight="1" s="187">
      <c r="CH753" s="2" t="n"/>
      <c r="CI753" s="14" t="n"/>
      <c r="CY753" s="25" t="n"/>
    </row>
    <row r="754" ht="15.75" customHeight="1" s="187">
      <c r="CH754" s="2" t="n"/>
      <c r="CI754" s="14" t="n"/>
      <c r="CY754" s="25" t="n"/>
    </row>
    <row r="755" ht="15.75" customHeight="1" s="187">
      <c r="CH755" s="2" t="n"/>
      <c r="CI755" s="14" t="n"/>
      <c r="CY755" s="25" t="n"/>
    </row>
    <row r="756" ht="15.75" customHeight="1" s="187">
      <c r="CH756" s="2" t="n"/>
      <c r="CI756" s="14" t="n"/>
      <c r="CY756" s="25" t="n"/>
    </row>
    <row r="757" ht="15.75" customHeight="1" s="187">
      <c r="CH757" s="2" t="n"/>
      <c r="CI757" s="14" t="n"/>
      <c r="CY757" s="25" t="n"/>
    </row>
    <row r="758" ht="15.75" customHeight="1" s="187">
      <c r="CH758" s="2" t="n"/>
      <c r="CI758" s="14" t="n"/>
      <c r="CY758" s="25" t="n"/>
    </row>
    <row r="759" ht="15.75" customHeight="1" s="187">
      <c r="CH759" s="2" t="n"/>
      <c r="CI759" s="14" t="n"/>
      <c r="CY759" s="25" t="n"/>
    </row>
    <row r="760" ht="15.75" customHeight="1" s="187">
      <c r="CH760" s="2" t="n"/>
      <c r="CI760" s="14" t="n"/>
      <c r="CY760" s="25" t="n"/>
    </row>
    <row r="761" ht="15.75" customHeight="1" s="187">
      <c r="CH761" s="2" t="n"/>
      <c r="CI761" s="14" t="n"/>
      <c r="CY761" s="25" t="n"/>
    </row>
    <row r="762" ht="15.75" customHeight="1" s="187">
      <c r="CH762" s="2" t="n"/>
      <c r="CI762" s="14" t="n"/>
      <c r="CY762" s="25" t="n"/>
    </row>
    <row r="763" ht="15.75" customHeight="1" s="187">
      <c r="CH763" s="2" t="n"/>
      <c r="CI763" s="14" t="n"/>
      <c r="CY763" s="25" t="n"/>
    </row>
    <row r="764" ht="15.75" customHeight="1" s="187">
      <c r="CH764" s="2" t="n"/>
      <c r="CI764" s="14" t="n"/>
      <c r="CY764" s="25" t="n"/>
    </row>
    <row r="765" ht="15.75" customHeight="1" s="187">
      <c r="CH765" s="2" t="n"/>
      <c r="CI765" s="14" t="n"/>
      <c r="CY765" s="25" t="n"/>
    </row>
    <row r="766" ht="15.75" customHeight="1" s="187">
      <c r="CH766" s="2" t="n"/>
      <c r="CI766" s="14" t="n"/>
      <c r="CY766" s="25" t="n"/>
    </row>
    <row r="767" ht="15.75" customHeight="1" s="187">
      <c r="CH767" s="2" t="n"/>
      <c r="CI767" s="14" t="n"/>
      <c r="CY767" s="25" t="n"/>
    </row>
    <row r="768" ht="15.75" customHeight="1" s="187">
      <c r="CH768" s="2" t="n"/>
      <c r="CI768" s="14" t="n"/>
      <c r="CY768" s="25" t="n"/>
    </row>
    <row r="769" ht="15.75" customHeight="1" s="187">
      <c r="CH769" s="2" t="n"/>
      <c r="CI769" s="14" t="n"/>
      <c r="CY769" s="25" t="n"/>
    </row>
    <row r="770" ht="15.6" customHeight="1" s="187">
      <c r="CH770" s="2" t="n"/>
      <c r="CI770" s="14" t="n"/>
      <c r="CY770" s="25" t="n"/>
    </row>
    <row r="771" ht="15.75" customHeight="1" s="187">
      <c r="CH771" s="2" t="n"/>
      <c r="CI771" s="14" t="n"/>
      <c r="CY771" s="25" t="n"/>
    </row>
    <row r="772" ht="15.75" customHeight="1" s="187">
      <c r="CH772" s="2" t="n"/>
      <c r="CI772" s="14" t="n"/>
      <c r="CY772" s="25" t="n"/>
    </row>
    <row r="773" ht="15.75" customHeight="1" s="187">
      <c r="CH773" s="2" t="n"/>
      <c r="CI773" s="14" t="n"/>
      <c r="CY773" s="25" t="n"/>
    </row>
    <row r="774" ht="15.75" customHeight="1" s="187">
      <c r="CH774" s="2" t="n"/>
      <c r="CI774" s="14" t="n"/>
      <c r="CY774" s="25" t="n"/>
    </row>
    <row r="775" ht="15.75" customHeight="1" s="187">
      <c r="CH775" s="2" t="n"/>
      <c r="CI775" s="14" t="n"/>
      <c r="CY775" s="25" t="n"/>
    </row>
    <row r="776" ht="15.75" customHeight="1" s="187">
      <c r="CH776" s="2" t="n"/>
      <c r="CI776" s="14" t="n"/>
      <c r="CY776" s="25" t="n"/>
    </row>
    <row r="777" ht="15.75" customHeight="1" s="187">
      <c r="CH777" s="2" t="n"/>
      <c r="CI777" s="14" t="n"/>
      <c r="CY777" s="25" t="n"/>
    </row>
    <row r="778" ht="15.75" customHeight="1" s="187">
      <c r="CH778" s="2" t="n"/>
      <c r="CI778" s="14" t="n"/>
      <c r="CY778" s="25" t="n"/>
    </row>
    <row r="779" ht="15.75" customHeight="1" s="187">
      <c r="CH779" s="2" t="n"/>
      <c r="CI779" s="14" t="n"/>
      <c r="CY779" s="25" t="n"/>
    </row>
    <row r="780" ht="15.75" customHeight="1" s="187">
      <c r="CH780" s="2" t="n"/>
      <c r="CI780" s="14" t="n"/>
      <c r="CY780" s="25" t="n"/>
    </row>
    <row r="781" ht="15.75" customHeight="1" s="187">
      <c r="CH781" s="2" t="n"/>
      <c r="CI781" s="14" t="n"/>
      <c r="CY781" s="25" t="n"/>
    </row>
    <row r="782" ht="15.75" customHeight="1" s="187">
      <c r="CH782" s="2" t="n"/>
      <c r="CI782" s="14" t="n"/>
      <c r="CY782" s="25" t="n"/>
    </row>
    <row r="783" ht="15.75" customHeight="1" s="187">
      <c r="CH783" s="2" t="n"/>
      <c r="CI783" s="14" t="n"/>
      <c r="CY783" s="25" t="n"/>
    </row>
    <row r="784" ht="15.75" customHeight="1" s="187">
      <c r="CH784" s="2" t="n"/>
      <c r="CI784" s="14" t="n"/>
      <c r="CY784" s="25" t="n"/>
    </row>
    <row r="785" ht="15.75" customHeight="1" s="187">
      <c r="C785" s="10" t="inlineStr">
        <is>
          <t>2025/3/21</t>
        </is>
      </c>
      <c r="CH785" s="2" t="n"/>
      <c r="CI785" s="14" t="n"/>
      <c r="CY785" s="25" t="n"/>
      <c r="DJ785" s="211" t="inlineStr">
        <is>
          <t>订单表中未找到</t>
        </is>
      </c>
      <c r="DK785" t="inlineStr">
        <is>
          <t>—</t>
        </is>
      </c>
      <c r="DL785" t="inlineStr">
        <is>
          <t>—</t>
        </is>
      </c>
    </row>
    <row r="786" ht="15.75" customHeight="1" s="187">
      <c r="CH786" s="2" t="n"/>
      <c r="CI786" s="14" t="n"/>
      <c r="CY786" s="25" t="n"/>
    </row>
    <row r="787" ht="15.75" customHeight="1" s="187">
      <c r="CH787" s="2" t="n"/>
      <c r="CI787" s="14" t="n"/>
      <c r="CY787" s="25" t="n"/>
    </row>
    <row r="788" ht="15.75" customHeight="1" s="187">
      <c r="CH788" s="2" t="n"/>
      <c r="CI788" s="14" t="n"/>
      <c r="CY788" s="25" t="n"/>
    </row>
    <row r="789" ht="15.75" customHeight="1" s="187">
      <c r="CH789" s="2" t="n"/>
      <c r="CI789" s="14" t="n"/>
      <c r="CY789" s="25" t="n"/>
    </row>
    <row r="790" ht="15.75" customHeight="1" s="187">
      <c r="CH790" s="2" t="n"/>
      <c r="CI790" s="14" t="n"/>
      <c r="CY790" s="25" t="n"/>
    </row>
    <row r="791" ht="15.75" customHeight="1" s="187">
      <c r="CH791" s="2" t="n"/>
      <c r="CI791" s="14" t="n"/>
      <c r="CY791" s="25" t="n"/>
    </row>
    <row r="792" ht="15.75" customHeight="1" s="187">
      <c r="CH792" s="2" t="n"/>
      <c r="CI792" s="14" t="n"/>
      <c r="CY792" s="25" t="n"/>
    </row>
    <row r="793" ht="15.75" customHeight="1" s="187">
      <c r="CH793" s="2" t="n"/>
      <c r="CI793" s="14" t="n"/>
      <c r="CY793" s="25" t="n"/>
    </row>
    <row r="794" ht="15.75" customHeight="1" s="187">
      <c r="CH794" s="2" t="n"/>
      <c r="CI794" s="14" t="n"/>
      <c r="CY794" s="25" t="n"/>
    </row>
    <row r="795" ht="15.75" customHeight="1" s="187">
      <c r="CH795" s="2" t="n"/>
      <c r="CI795" s="14" t="n"/>
      <c r="CY795" s="25" t="n"/>
    </row>
    <row r="796" ht="15.75" customHeight="1" s="187">
      <c r="CH796" s="2" t="n"/>
      <c r="CI796" s="14" t="n"/>
      <c r="CY796" s="25" t="n"/>
    </row>
    <row r="797" ht="15.75" customHeight="1" s="187">
      <c r="CH797" s="2" t="n"/>
      <c r="CI797" s="14" t="n"/>
      <c r="CY797" s="25" t="n"/>
    </row>
    <row r="798" ht="15.75" customHeight="1" s="187">
      <c r="CH798" s="2" t="n"/>
      <c r="CI798" s="14" t="n"/>
      <c r="CY798" s="25" t="n"/>
    </row>
    <row r="799" ht="15.75" customHeight="1" s="187">
      <c r="CH799" s="2" t="n"/>
      <c r="CI799" s="14" t="n"/>
      <c r="CY799" s="25" t="n"/>
    </row>
    <row r="800" ht="15.75" customHeight="1" s="187">
      <c r="CH800" s="2" t="n"/>
      <c r="CI800" s="14" t="n"/>
      <c r="CY800" s="25" t="n"/>
    </row>
    <row r="801" ht="15.75" customHeight="1" s="187">
      <c r="CH801" s="2" t="n"/>
      <c r="CI801" s="14" t="n"/>
      <c r="CY801" s="25" t="n"/>
    </row>
    <row r="802" ht="15.75" customHeight="1" s="187">
      <c r="CH802" s="2" t="n"/>
      <c r="CI802" s="14" t="n"/>
      <c r="CY802" s="25" t="n"/>
    </row>
    <row r="803" ht="15.75" customHeight="1" s="187">
      <c r="CH803" s="2" t="n"/>
      <c r="CI803" s="14" t="n"/>
      <c r="CY803" s="25" t="n"/>
    </row>
    <row r="804" ht="15.75" customHeight="1" s="187">
      <c r="CH804" s="2" t="n"/>
      <c r="CI804" s="14" t="n"/>
      <c r="CY804" s="25" t="n"/>
    </row>
    <row r="805" ht="15.75" customHeight="1" s="187">
      <c r="CH805" s="2" t="n"/>
      <c r="CI805" s="14" t="n"/>
      <c r="CY805" s="25" t="n"/>
    </row>
    <row r="806" ht="15.75" customHeight="1" s="187">
      <c r="CH806" s="2" t="n"/>
      <c r="CI806" s="14" t="n"/>
      <c r="CY806" s="25" t="n"/>
    </row>
    <row r="807" ht="15.75" customHeight="1" s="187">
      <c r="CH807" s="2" t="n"/>
      <c r="CI807" s="14" t="n"/>
      <c r="CY807" s="25" t="n"/>
    </row>
    <row r="808" ht="15.75" customHeight="1" s="187">
      <c r="CH808" s="2" t="n"/>
      <c r="CI808" s="14" t="n"/>
      <c r="CY808" s="25" t="n"/>
    </row>
    <row r="809" ht="15.75" customHeight="1" s="187">
      <c r="CH809" s="2" t="n"/>
      <c r="CI809" s="14" t="n"/>
      <c r="CY809" s="25" t="n"/>
    </row>
    <row r="810" ht="15.75" customHeight="1" s="187">
      <c r="CH810" s="2" t="n"/>
      <c r="CI810" s="14" t="n"/>
      <c r="CY810" s="25" t="n"/>
    </row>
    <row r="811" ht="15.75" customHeight="1" s="187">
      <c r="CH811" s="2" t="n"/>
      <c r="CI811" s="14" t="n"/>
      <c r="CY811" s="25" t="n"/>
    </row>
    <row r="812" ht="15.75" customHeight="1" s="187">
      <c r="CH812" s="2" t="n"/>
      <c r="CI812" s="14" t="n"/>
      <c r="CY812" s="25" t="n"/>
    </row>
    <row r="813" ht="15.75" customHeight="1" s="187">
      <c r="CH813" s="2" t="n"/>
      <c r="CI813" s="14" t="n"/>
      <c r="CY813" s="25" t="n"/>
    </row>
    <row r="814" ht="15.75" customHeight="1" s="187">
      <c r="CH814" s="2" t="n"/>
      <c r="CI814" s="14" t="n"/>
      <c r="CY814" s="25" t="n"/>
    </row>
    <row r="815" ht="15.6" customHeight="1" s="187">
      <c r="CH815" s="2" t="n"/>
      <c r="CI815" s="14" t="n"/>
      <c r="CY815" s="25" t="n"/>
    </row>
    <row r="816" ht="15.75" customHeight="1" s="187">
      <c r="CH816" s="2" t="n"/>
      <c r="CI816" s="14" t="n"/>
      <c r="CY816" s="25" t="n"/>
    </row>
    <row r="817" ht="15.75" customHeight="1" s="187">
      <c r="CH817" s="2" t="n"/>
      <c r="CI817" s="14" t="n"/>
      <c r="CY817" s="25" t="n"/>
    </row>
    <row r="818" ht="15.75" customHeight="1" s="187">
      <c r="CH818" s="2" t="n"/>
      <c r="CI818" s="14" t="n"/>
      <c r="CY818" s="25" t="n"/>
    </row>
    <row r="819" ht="15.75" customHeight="1" s="187">
      <c r="CH819" s="2" t="n"/>
      <c r="CI819" s="14" t="n"/>
      <c r="CY819" s="25" t="n"/>
    </row>
    <row r="820" ht="15.75" customHeight="1" s="187">
      <c r="CH820" s="2" t="n"/>
      <c r="CI820" s="14" t="n"/>
      <c r="CY820" s="25" t="n"/>
    </row>
    <row r="821" ht="15.75" customHeight="1" s="187">
      <c r="CH821" s="2" t="n"/>
      <c r="CI821" s="14" t="n"/>
      <c r="CY821" s="25" t="n"/>
    </row>
    <row r="822" ht="15.75" customHeight="1" s="187">
      <c r="CH822" s="2" t="n"/>
      <c r="CI822" s="14" t="n"/>
      <c r="CY822" s="25" t="n"/>
    </row>
    <row r="823" ht="15.75" customHeight="1" s="187">
      <c r="CH823" s="2" t="n"/>
      <c r="CI823" s="14" t="n"/>
      <c r="CY823" s="25" t="n"/>
    </row>
    <row r="824" ht="15.75" customHeight="1" s="187">
      <c r="CH824" s="2" t="n"/>
      <c r="CI824" s="14" t="n"/>
      <c r="CY824" s="25" t="n"/>
    </row>
    <row r="825" ht="15.75" customHeight="1" s="187">
      <c r="CH825" s="2" t="n"/>
      <c r="CI825" s="14" t="n"/>
      <c r="CY825" s="25" t="n"/>
    </row>
    <row r="826" ht="15.75" customHeight="1" s="187">
      <c r="CH826" s="2" t="n"/>
      <c r="CI826" s="14" t="n"/>
      <c r="CY826" s="25" t="n"/>
    </row>
    <row r="827" ht="15.75" customHeight="1" s="187">
      <c r="CH827" s="2" t="n"/>
      <c r="CI827" s="14" t="n"/>
      <c r="CY827" s="25" t="n"/>
    </row>
    <row r="828" ht="15.75" customHeight="1" s="187">
      <c r="CH828" s="2" t="n"/>
      <c r="CI828" s="14" t="n"/>
      <c r="CY828" s="25" t="n"/>
    </row>
    <row r="829" ht="15.75" customHeight="1" s="187">
      <c r="CH829" s="2" t="n"/>
      <c r="CI829" s="14" t="n"/>
      <c r="CY829" s="25" t="n"/>
    </row>
    <row r="830" ht="15.75" customHeight="1" s="187">
      <c r="CH830" s="2" t="n"/>
      <c r="CI830" s="14" t="n"/>
      <c r="CY830" s="25" t="n"/>
    </row>
    <row r="831" ht="15.75" customHeight="1" s="187">
      <c r="CH831" s="2" t="n"/>
      <c r="CI831" s="14" t="n"/>
      <c r="CY831" s="25" t="n"/>
    </row>
    <row r="832" ht="15.75" customHeight="1" s="187">
      <c r="CH832" s="2" t="n"/>
      <c r="CI832" s="14" t="n"/>
      <c r="CY832" s="25" t="n"/>
    </row>
    <row r="833" ht="15.75" customHeight="1" s="187">
      <c r="CH833" s="2" t="n"/>
      <c r="CI833" s="14" t="n"/>
      <c r="CY833" s="25" t="n"/>
    </row>
    <row r="834" ht="15.75" customHeight="1" s="187">
      <c r="CH834" s="2" t="n"/>
      <c r="CI834" s="14" t="n"/>
      <c r="CY834" s="25" t="n"/>
    </row>
    <row r="835" ht="15.75" customHeight="1" s="187">
      <c r="CH835" s="2" t="n"/>
      <c r="CI835" s="14" t="n"/>
    </row>
    <row r="836" ht="15.75" customHeight="1" s="187">
      <c r="CH836" s="2" t="n"/>
      <c r="CI836" s="14" t="n"/>
    </row>
    <row r="837" ht="15.75" customHeight="1" s="187">
      <c r="CH837" s="2" t="n"/>
      <c r="CI837" s="14" t="n"/>
    </row>
    <row r="838" ht="15.75" customHeight="1" s="187">
      <c r="CH838" s="2" t="n"/>
      <c r="CI838" s="14" t="n"/>
    </row>
    <row r="839" ht="15.75" customHeight="1" s="187">
      <c r="CH839" s="2" t="n"/>
      <c r="CI839" s="14" t="n"/>
    </row>
    <row r="840" ht="15.75" customHeight="1" s="187">
      <c r="CH840" s="2" t="n"/>
      <c r="CI840" s="14" t="n"/>
    </row>
    <row r="841" ht="15.6" customHeight="1" s="187">
      <c r="CH841" s="2" t="n"/>
      <c r="CI841" s="14" t="n"/>
    </row>
    <row r="842" ht="15.75" customHeight="1" s="187">
      <c r="CH842" s="2" t="n"/>
      <c r="CI842" s="14" t="n"/>
    </row>
    <row r="843" ht="15.75" customHeight="1" s="187">
      <c r="CH843" s="2" t="n"/>
      <c r="CI843" s="14" t="n"/>
    </row>
    <row r="844" ht="15.75" customHeight="1" s="187">
      <c r="CH844" s="2" t="n"/>
      <c r="CI844" s="14" t="n"/>
    </row>
    <row r="845" ht="15.75" customHeight="1" s="187">
      <c r="CH845" s="2" t="n"/>
      <c r="CI845" s="14" t="n"/>
    </row>
    <row r="846" ht="15.75" customHeight="1" s="187">
      <c r="CH846" s="2" t="n"/>
      <c r="CI846" s="14" t="n"/>
    </row>
    <row r="847" ht="15.75" customHeight="1" s="187">
      <c r="CH847" s="2" t="n"/>
      <c r="CI847" s="14" t="n"/>
    </row>
    <row r="848" ht="15.75" customHeight="1" s="187">
      <c r="CH848" s="2" t="n"/>
      <c r="CI848" s="14" t="n"/>
    </row>
    <row r="849" ht="15.75" customHeight="1" s="187">
      <c r="CH849" s="2" t="n"/>
      <c r="CI849" s="14" t="n"/>
    </row>
    <row r="850" ht="15.75" customHeight="1" s="187">
      <c r="CH850" s="2" t="n"/>
      <c r="CI850" s="14" t="n"/>
    </row>
    <row r="851" ht="15.75" customHeight="1" s="187">
      <c r="CH851" s="2" t="n"/>
      <c r="CI851" s="14" t="n"/>
    </row>
    <row r="852" ht="15.75" customHeight="1" s="187">
      <c r="CH852" s="2" t="n"/>
      <c r="CI852" s="14" t="n"/>
    </row>
    <row r="853" ht="15.75" customHeight="1" s="187">
      <c r="CH853" s="2" t="n"/>
      <c r="CI853" s="14" t="n"/>
    </row>
    <row r="854" ht="15.75" customHeight="1" s="187">
      <c r="CH854" s="2" t="n"/>
      <c r="CI854" s="14" t="n"/>
    </row>
    <row r="855" ht="15.75" customHeight="1" s="187">
      <c r="CH855" s="2" t="n"/>
      <c r="CI855" s="14" t="n"/>
    </row>
    <row r="856" ht="15.75" customHeight="1" s="187">
      <c r="CH856" s="2" t="n"/>
      <c r="CI856" s="14" t="n"/>
    </row>
    <row r="857" ht="15.75" customHeight="1" s="187">
      <c r="CH857" s="2" t="n"/>
      <c r="CI857" s="14" t="n"/>
    </row>
    <row r="858" ht="15.75" customHeight="1" s="187">
      <c r="CH858" s="2" t="n"/>
      <c r="CI858" s="14" t="n"/>
    </row>
    <row r="859" ht="15.75" customHeight="1" s="187">
      <c r="CH859" s="2" t="n"/>
      <c r="CI859" s="14" t="n"/>
    </row>
    <row r="860" ht="15.75" customHeight="1" s="187">
      <c r="CH860" s="2" t="n"/>
      <c r="CI860" s="14" t="n"/>
    </row>
    <row r="861" ht="15.75" customHeight="1" s="187">
      <c r="CH861" s="2" t="n"/>
      <c r="CI861" s="14" t="n"/>
    </row>
    <row r="862" ht="15.75" customHeight="1" s="187">
      <c r="CH862" s="2" t="n"/>
      <c r="CI862" s="14" t="n"/>
    </row>
    <row r="863" ht="15.75" customHeight="1" s="187">
      <c r="CH863" s="2" t="n"/>
      <c r="CI863" s="14" t="n"/>
    </row>
    <row r="864" ht="15.75" customHeight="1" s="187">
      <c r="CH864" s="2" t="n"/>
      <c r="CI864" s="14" t="n"/>
    </row>
    <row r="865" ht="15.75" customHeight="1" s="187">
      <c r="CH865" s="2" t="n"/>
      <c r="CI865" s="14" t="n"/>
    </row>
    <row r="866" ht="15.75" customHeight="1" s="187">
      <c r="CH866" s="2" t="n"/>
      <c r="CI866" s="14" t="n"/>
    </row>
    <row r="867" ht="15.75" customHeight="1" s="187">
      <c r="CH867" s="2" t="n"/>
      <c r="CI867" s="14" t="n"/>
    </row>
    <row r="868" ht="15.75" customHeight="1" s="187">
      <c r="CH868" s="2" t="n"/>
      <c r="CI868" s="14" t="n"/>
    </row>
    <row r="869" ht="15.75" customHeight="1" s="187">
      <c r="CH869" s="2" t="n"/>
      <c r="CI869" s="14" t="n"/>
    </row>
    <row r="870" ht="15.75" customHeight="1" s="187">
      <c r="CH870" s="2" t="n"/>
      <c r="CI870" s="14" t="n"/>
    </row>
    <row r="871" ht="15.75" customHeight="1" s="187">
      <c r="CH871" s="2" t="n"/>
      <c r="CI871" s="14" t="n"/>
    </row>
    <row r="872" ht="15.75" customHeight="1" s="187">
      <c r="CH872" s="2" t="n"/>
      <c r="CI872" s="14" t="n"/>
    </row>
    <row r="873" ht="15.75" customHeight="1" s="187">
      <c r="CH873" s="2" t="n"/>
      <c r="CI873" s="14" t="n"/>
    </row>
    <row r="874" ht="15.75" customHeight="1" s="187">
      <c r="CH874" s="2" t="n"/>
      <c r="CI874" s="14" t="n"/>
    </row>
    <row r="875" ht="15.75" customHeight="1" s="187">
      <c r="CH875" s="2" t="n"/>
      <c r="CI875" s="14" t="n"/>
    </row>
    <row r="876" ht="15.75" customHeight="1" s="187">
      <c r="CH876" s="2" t="n"/>
      <c r="CI876" s="14" t="n"/>
    </row>
    <row r="877" ht="15.75" customHeight="1" s="187">
      <c r="CH877" s="2" t="n"/>
      <c r="CI877" s="14" t="n"/>
    </row>
    <row r="878" ht="15.75" customHeight="1" s="187">
      <c r="CH878" s="2" t="n"/>
      <c r="CI878" s="14" t="n"/>
    </row>
    <row r="879" ht="15.75" customHeight="1" s="187">
      <c r="CH879" s="2" t="n"/>
      <c r="CI879" s="14" t="n"/>
    </row>
    <row r="880" ht="15.75" customHeight="1" s="187">
      <c r="CH880" s="2" t="n"/>
      <c r="CI880" s="14" t="n"/>
    </row>
    <row r="881" ht="15.75" customHeight="1" s="187">
      <c r="CH881" s="2" t="n"/>
      <c r="CI881" s="14" t="n"/>
    </row>
    <row r="882" ht="15.75" customHeight="1" s="187">
      <c r="CH882" s="2" t="n"/>
      <c r="CI882" s="14" t="n"/>
    </row>
    <row r="883" ht="15.75" customHeight="1" s="187">
      <c r="CH883" s="2" t="n"/>
      <c r="CI883" s="14" t="n"/>
    </row>
    <row r="884" ht="15.75" customHeight="1" s="187">
      <c r="CH884" s="2" t="n"/>
      <c r="CI884" s="14" t="n"/>
    </row>
    <row r="885" ht="15.75" customHeight="1" s="187">
      <c r="CH885" s="2" t="n"/>
      <c r="CI885" s="14" t="n"/>
    </row>
    <row r="886" ht="15.75" customHeight="1" s="187">
      <c r="CH886" s="2" t="n"/>
      <c r="CI886" s="14" t="n"/>
    </row>
    <row r="887" ht="15.75" customHeight="1" s="187">
      <c r="CH887" s="2" t="n"/>
      <c r="CI887" s="14" t="n"/>
    </row>
    <row r="888" ht="15.75" customHeight="1" s="187">
      <c r="CH888" s="2" t="n"/>
      <c r="CI888" s="14" t="n"/>
    </row>
    <row r="889" ht="15.75" customHeight="1" s="187">
      <c r="CH889" s="2" t="n"/>
      <c r="CI889" s="14" t="n"/>
    </row>
    <row r="890" ht="15.75" customHeight="1" s="187">
      <c r="CH890" s="2" t="n"/>
      <c r="CI890" s="14" t="n"/>
    </row>
    <row r="891" ht="15.75" customHeight="1" s="187">
      <c r="CH891" s="2" t="n"/>
      <c r="CI891" s="14" t="n"/>
    </row>
    <row r="892" ht="15.75" customHeight="1" s="187">
      <c r="CH892" s="2" t="n"/>
      <c r="CI892" s="14" t="n"/>
    </row>
    <row r="893" ht="15.75" customHeight="1" s="187">
      <c r="CH893" s="2" t="n"/>
      <c r="CI893" s="14" t="n"/>
    </row>
    <row r="894" ht="15.75" customHeight="1" s="187">
      <c r="CH894" s="2" t="n"/>
      <c r="CI894" s="14" t="n"/>
    </row>
    <row r="895" ht="15.75" customHeight="1" s="187">
      <c r="CH895" s="2" t="n"/>
      <c r="CI895" s="14" t="n"/>
    </row>
    <row r="896" ht="15.6" customHeight="1" s="187">
      <c r="CH896" s="2" t="n"/>
      <c r="CI896" s="14" t="n"/>
    </row>
    <row r="897" ht="15.6" customHeight="1" s="187">
      <c r="CH897" s="2" t="n"/>
      <c r="CI897" s="14" t="n"/>
    </row>
    <row r="898" ht="15.6" customHeight="1" s="187">
      <c r="CH898" s="2" t="n"/>
      <c r="CI898" s="14" t="n"/>
    </row>
    <row r="899" ht="15.6" customHeight="1" s="187">
      <c r="CH899" s="2" t="n"/>
      <c r="CI899" s="14" t="n"/>
    </row>
    <row r="900" ht="15.6" customHeight="1" s="187">
      <c r="CH900" s="2" t="n"/>
      <c r="CI900" s="14" t="n"/>
    </row>
    <row r="901" ht="15.6" customHeight="1" s="187">
      <c r="CH901" s="2" t="n"/>
      <c r="CI901" s="14" t="n"/>
    </row>
    <row r="902" ht="15.6" customHeight="1" s="187">
      <c r="CH902" s="2" t="n"/>
      <c r="CI902" s="14" t="n"/>
    </row>
    <row r="903" ht="15.6" customHeight="1" s="187">
      <c r="CH903" s="2" t="n"/>
      <c r="CI903" s="14" t="n"/>
    </row>
    <row r="904" ht="15.6" customHeight="1" s="187">
      <c r="CH904" s="2" t="n"/>
      <c r="CI904" s="14" t="n"/>
    </row>
    <row r="905" ht="15.6" customHeight="1" s="187">
      <c r="CH905" s="2" t="n"/>
      <c r="CI905" s="14" t="n"/>
    </row>
    <row r="906" ht="15.6" customHeight="1" s="187">
      <c r="CH906" s="2" t="n"/>
      <c r="CI906" s="14" t="n"/>
    </row>
    <row r="907" ht="15.6" customHeight="1" s="187">
      <c r="CH907" s="2" t="n"/>
      <c r="CI907" s="14" t="n"/>
    </row>
    <row r="908" ht="15.6" customHeight="1" s="187">
      <c r="CH908" s="2" t="n"/>
      <c r="CI908" s="14" t="n"/>
    </row>
    <row r="909" ht="15.6" customHeight="1" s="187">
      <c r="CH909" s="2" t="n"/>
      <c r="CI909" s="14" t="n"/>
    </row>
    <row r="910" ht="15.6" customHeight="1" s="187">
      <c r="CH910" s="2" t="n"/>
      <c r="CI910" s="14" t="n"/>
    </row>
    <row r="911" ht="15.6" customHeight="1" s="187">
      <c r="CH911" s="2" t="n"/>
      <c r="CI911" s="14" t="n"/>
    </row>
    <row r="912" ht="15.6" customHeight="1" s="187">
      <c r="CH912" s="2" t="n"/>
      <c r="CI912" s="14" t="n"/>
    </row>
    <row r="913" ht="15.6" customHeight="1" s="187">
      <c r="CH913" s="2" t="n"/>
      <c r="CI913" s="14" t="n"/>
    </row>
    <row r="914" ht="15.6" customHeight="1" s="187">
      <c r="CH914" s="2" t="n"/>
      <c r="CI914" s="14" t="n"/>
    </row>
    <row r="915" ht="15.75" customHeight="1" s="187">
      <c r="CH915" s="2" t="n"/>
      <c r="CI915" s="14" t="n"/>
    </row>
    <row r="916" ht="15.75" customHeight="1" s="187">
      <c r="CH916" s="2" t="n"/>
      <c r="CI916" s="14" t="n"/>
    </row>
    <row r="917" ht="15.75" customHeight="1" s="187">
      <c r="CH917" s="2" t="n"/>
      <c r="CI917" s="14" t="n"/>
    </row>
    <row r="918" ht="15.75" customHeight="1" s="187">
      <c r="CH918" s="2" t="n"/>
      <c r="CI918" s="14" t="n"/>
    </row>
    <row r="919" ht="15.75" customHeight="1" s="187">
      <c r="CH919" s="2" t="n"/>
      <c r="CI919" s="14" t="n"/>
    </row>
    <row r="920" ht="15.75" customHeight="1" s="187">
      <c r="CH920" s="2" t="n"/>
      <c r="CI920" s="14" t="n"/>
    </row>
    <row r="921" ht="15.75" customHeight="1" s="187">
      <c r="CH921" s="2" t="n"/>
      <c r="CI921" s="14" t="n"/>
    </row>
    <row r="922" ht="15.75" customHeight="1" s="187">
      <c r="CH922" s="2" t="n"/>
      <c r="CI922" s="14" t="n"/>
    </row>
    <row r="923" ht="15.75" customHeight="1" s="187">
      <c r="CH923" s="2" t="n"/>
      <c r="CI923" s="14" t="n"/>
    </row>
    <row r="924" ht="15.75" customHeight="1" s="187">
      <c r="CH924" s="2" t="n"/>
      <c r="CI924" s="14" t="n"/>
    </row>
    <row r="925" ht="15.75" customHeight="1" s="187">
      <c r="CH925" s="2" t="n"/>
      <c r="CI925" s="14" t="n"/>
    </row>
    <row r="926" ht="15.75" customHeight="1" s="187">
      <c r="CH926" s="2" t="n"/>
      <c r="CI926" s="14" t="n"/>
    </row>
    <row r="927" ht="15.75" customHeight="1" s="187">
      <c r="CH927" s="2" t="n"/>
      <c r="CI927" s="14" t="n"/>
    </row>
    <row r="928" ht="15.75" customHeight="1" s="187">
      <c r="CH928" s="2" t="n"/>
      <c r="CI928" s="14" t="n"/>
    </row>
    <row r="929" ht="15.75" customHeight="1" s="187">
      <c r="CH929" s="2" t="n"/>
      <c r="CI929" s="14" t="n"/>
    </row>
    <row r="930" ht="15.75" customHeight="1" s="187">
      <c r="CH930" s="2" t="n"/>
      <c r="CI930" s="14" t="n"/>
    </row>
    <row r="931" ht="15.75" customHeight="1" s="187">
      <c r="CH931" s="2" t="n"/>
      <c r="CI931" s="14" t="n"/>
    </row>
    <row r="932" ht="15.75" customHeight="1" s="187">
      <c r="CH932" s="2" t="n"/>
      <c r="CI932" s="14" t="n"/>
    </row>
    <row r="933" ht="15.75" customHeight="1" s="187">
      <c r="CH933" s="2" t="n"/>
      <c r="CI933" s="14" t="n"/>
    </row>
    <row r="934" ht="15.75" customHeight="1" s="187">
      <c r="CH934" s="2" t="n"/>
      <c r="CI934" s="14" t="n"/>
    </row>
    <row r="935" ht="15.75" customHeight="1" s="187">
      <c r="CH935" s="2" t="n"/>
      <c r="CI935" s="14" t="n"/>
    </row>
    <row r="936" ht="15.75" customHeight="1" s="187">
      <c r="CH936" s="2" t="n"/>
      <c r="CI936" s="14" t="n"/>
    </row>
    <row r="937" ht="15.75" customHeight="1" s="187">
      <c r="CH937" s="2" t="n"/>
      <c r="CI937" s="14" t="n"/>
    </row>
    <row r="938" ht="15.75" customHeight="1" s="187">
      <c r="CH938" s="2" t="n"/>
      <c r="CI938" s="14" t="n"/>
    </row>
    <row r="939" ht="15.75" customHeight="1" s="187">
      <c r="CH939" s="2" t="n"/>
      <c r="CI939" s="14" t="n"/>
    </row>
    <row r="940" ht="15.75" customHeight="1" s="187">
      <c r="CH940" s="2" t="n"/>
      <c r="CI940" s="14" t="n"/>
    </row>
    <row r="941" ht="15.75" customHeight="1" s="187">
      <c r="CH941" s="2" t="n"/>
      <c r="CI941" s="14" t="n"/>
    </row>
    <row r="942" ht="15.75" customHeight="1" s="187">
      <c r="CH942" s="2" t="n"/>
      <c r="CI942" s="14" t="n"/>
    </row>
    <row r="943" ht="15.75" customHeight="1" s="187">
      <c r="CH943" s="2" t="n"/>
      <c r="CI943" s="14" t="n"/>
    </row>
    <row r="944" ht="15.75" customHeight="1" s="187">
      <c r="CH944" s="2" t="n"/>
      <c r="CI944" s="14" t="n"/>
    </row>
    <row r="945" ht="15.75" customHeight="1" s="187">
      <c r="CH945" s="2" t="n"/>
      <c r="CI945" s="14" t="n"/>
    </row>
    <row r="946" ht="15.75" customHeight="1" s="187">
      <c r="CH946" s="2" t="n"/>
      <c r="CI946" s="14" t="n"/>
    </row>
    <row r="947" ht="15.75" customHeight="1" s="187">
      <c r="CH947" s="2" t="n"/>
      <c r="CI947" s="14" t="n"/>
    </row>
    <row r="948" ht="15.75" customHeight="1" s="187">
      <c r="CH948" s="2" t="n"/>
      <c r="CI948" s="14" t="n"/>
    </row>
    <row r="949" ht="15.75" customHeight="1" s="187">
      <c r="CH949" s="2" t="n"/>
      <c r="CI949" s="14" t="n"/>
    </row>
    <row r="950" ht="15.75" customHeight="1" s="187">
      <c r="CH950" s="2" t="n"/>
      <c r="CI950" s="14" t="n"/>
    </row>
    <row r="951" ht="15.75" customHeight="1" s="187">
      <c r="CH951" s="2" t="n"/>
      <c r="CI951" s="14" t="n"/>
    </row>
    <row r="952" ht="15.75" customHeight="1" s="187">
      <c r="CH952" s="2" t="n"/>
      <c r="CI952" s="14" t="n"/>
    </row>
    <row r="953" ht="15.75" customHeight="1" s="187">
      <c r="CH953" s="2" t="n"/>
      <c r="CI953" s="14" t="n"/>
    </row>
    <row r="954" ht="15.75" customHeight="1" s="187">
      <c r="CH954" s="2" t="n"/>
      <c r="CI954" s="14" t="n"/>
    </row>
    <row r="955" ht="15.6" customHeight="1" s="187">
      <c r="CH955" s="2" t="n"/>
      <c r="CI955" s="14" t="n"/>
    </row>
    <row r="956" ht="15.6" customHeight="1" s="187">
      <c r="CH956" s="2" t="n"/>
      <c r="CI956" s="14" t="n"/>
    </row>
    <row r="957" ht="15.75" customHeight="1" s="187">
      <c r="CH957" s="2" t="n"/>
      <c r="CI957" s="14" t="n"/>
    </row>
    <row r="958" ht="15.75" customHeight="1" s="187">
      <c r="CH958" s="2" t="n"/>
      <c r="CI958" s="14" t="n"/>
    </row>
    <row r="959" ht="15.75" customHeight="1" s="187">
      <c r="CH959" s="2" t="n"/>
      <c r="CI959" s="14" t="n"/>
    </row>
    <row r="960" ht="15.75" customHeight="1" s="187">
      <c r="CH960" s="2" t="n"/>
      <c r="CI960" s="14" t="n"/>
    </row>
    <row r="961" ht="15.75" customHeight="1" s="187">
      <c r="CH961" s="2" t="n"/>
      <c r="CI961" s="14" t="n"/>
    </row>
    <row r="962" ht="15.75" customHeight="1" s="187">
      <c r="CH962" s="2" t="n"/>
      <c r="CI962" s="14" t="n"/>
    </row>
    <row r="963" ht="15.75" customHeight="1" s="187">
      <c r="CH963" s="2" t="n"/>
      <c r="CI963" s="14" t="n"/>
    </row>
    <row r="964" ht="15.75" customHeight="1" s="187">
      <c r="CH964" s="2" t="n"/>
      <c r="CI964" s="14" t="n"/>
    </row>
    <row r="965" ht="15.75" customHeight="1" s="187">
      <c r="CH965" s="2" t="n"/>
      <c r="CI965" s="14" t="n"/>
    </row>
    <row r="966" ht="15.75" customHeight="1" s="187">
      <c r="CH966" s="2" t="n"/>
      <c r="CI966" s="14" t="n"/>
    </row>
    <row r="967" ht="15.75" customHeight="1" s="187">
      <c r="CH967" s="2" t="n"/>
      <c r="CI967" s="14" t="n"/>
    </row>
    <row r="968" ht="15.75" customHeight="1" s="187">
      <c r="CH968" s="2" t="n"/>
      <c r="CI968" s="14" t="n"/>
    </row>
    <row r="969" ht="15.75" customHeight="1" s="187">
      <c r="CH969" s="2" t="n"/>
      <c r="CI969" s="14" t="n"/>
    </row>
    <row r="970" ht="15.75" customHeight="1" s="187">
      <c r="CH970" s="2" t="n"/>
      <c r="CI970" s="14" t="n"/>
    </row>
    <row r="971" ht="15.75" customHeight="1" s="187">
      <c r="CH971" s="2" t="n"/>
      <c r="CI971" s="14" t="n"/>
    </row>
    <row r="972" ht="15.75" customHeight="1" s="187">
      <c r="CH972" s="2" t="n"/>
      <c r="CI972" s="14" t="n"/>
    </row>
    <row r="973" ht="15.75" customHeight="1" s="187">
      <c r="CH973" s="2" t="n"/>
      <c r="CI973" s="14" t="n"/>
    </row>
    <row r="974" ht="15.75" customHeight="1" s="187">
      <c r="CH974" s="2" t="n"/>
      <c r="CI974" s="14" t="n"/>
    </row>
    <row r="975" ht="15.75" customHeight="1" s="187">
      <c r="CH975" s="2" t="n"/>
      <c r="CI975" s="14" t="n"/>
    </row>
    <row r="976" ht="15.75" customHeight="1" s="187">
      <c r="CH976" s="2" t="n"/>
      <c r="CI976" s="14" t="n"/>
    </row>
    <row r="977" ht="15.75" customHeight="1" s="187">
      <c r="CH977" s="2" t="n"/>
      <c r="CI977" s="14" t="n"/>
    </row>
    <row r="978" ht="15.75" customHeight="1" s="187">
      <c r="CH978" s="2" t="n"/>
      <c r="CI978" s="14" t="n"/>
    </row>
    <row r="979" ht="15.75" customHeight="1" s="187">
      <c r="CH979" s="2" t="n"/>
      <c r="CI979" s="14" t="n"/>
    </row>
    <row r="980" ht="15.75" customHeight="1" s="187">
      <c r="CH980" s="2" t="n"/>
      <c r="CI980" s="14" t="n"/>
    </row>
    <row r="981" ht="15.75" customHeight="1" s="187">
      <c r="CH981" s="2" t="n"/>
      <c r="CI981" s="14" t="n"/>
    </row>
    <row r="982" ht="15.75" customHeight="1" s="187">
      <c r="CH982" s="2" t="n"/>
      <c r="CI982" s="14" t="n"/>
    </row>
    <row r="983" ht="15.75" customHeight="1" s="187">
      <c r="CH983" s="2" t="n"/>
      <c r="CI983" s="14" t="n"/>
    </row>
    <row r="984" ht="15.75" customHeight="1" s="187">
      <c r="CH984" s="2" t="n"/>
      <c r="CI984" s="14" t="n"/>
    </row>
    <row r="985" ht="15.75" customHeight="1" s="187">
      <c r="CH985" s="2" t="n"/>
      <c r="CI985" s="14" t="n"/>
    </row>
    <row r="986" ht="15.75" customHeight="1" s="187">
      <c r="CH986" s="2" t="n"/>
      <c r="CI986" s="14" t="n"/>
    </row>
    <row r="987" ht="15.75" customHeight="1" s="187">
      <c r="CH987" s="2" t="n"/>
      <c r="CI987" s="14" t="n"/>
    </row>
    <row r="988" ht="15.75" customHeight="1" s="187">
      <c r="CH988" s="2" t="n"/>
      <c r="CI988" s="14" t="n"/>
    </row>
    <row r="989" ht="15.75" customHeight="1" s="187">
      <c r="CH989" s="2" t="n"/>
      <c r="CI989" s="14" t="n"/>
    </row>
    <row r="990" ht="15.75" customHeight="1" s="187">
      <c r="CH990" s="2" t="n"/>
      <c r="CI990" s="14" t="n"/>
    </row>
    <row r="991" ht="15.75" customHeight="1" s="187">
      <c r="CH991" s="2" t="n"/>
      <c r="CI991" s="14" t="n"/>
    </row>
  </sheetData>
  <autoFilter ref="A42:BZ677"/>
  <conditionalFormatting sqref="C103:C133">
    <cfRule type="duplicateValues" priority="11" dxfId="21"/>
  </conditionalFormatting>
  <conditionalFormatting sqref="C43:C102 C134 E47:F50 I47:I49">
    <cfRule type="duplicateValues" priority="14" dxfId="21"/>
  </conditionalFormatting>
  <conditionalFormatting sqref="C135:C140">
    <cfRule type="duplicateValues" priority="12" dxfId="21"/>
  </conditionalFormatting>
  <conditionalFormatting sqref="C293:C294">
    <cfRule type="duplicateValues" priority="9" dxfId="21"/>
  </conditionalFormatting>
  <conditionalFormatting sqref="C380">
    <cfRule type="duplicateValues" priority="8" dxfId="21"/>
  </conditionalFormatting>
  <conditionalFormatting sqref="C394">
    <cfRule type="duplicateValues" priority="7" dxfId="21"/>
  </conditionalFormatting>
  <conditionalFormatting sqref="C432">
    <cfRule type="duplicateValues" priority="6" dxfId="21"/>
  </conditionalFormatting>
  <conditionalFormatting sqref="C473">
    <cfRule type="duplicateValues" priority="5" dxfId="21"/>
  </conditionalFormatting>
  <conditionalFormatting sqref="C486">
    <cfRule type="duplicateValues" priority="4" dxfId="21"/>
  </conditionalFormatting>
  <conditionalFormatting sqref="C520">
    <cfRule type="duplicateValues" priority="2" dxfId="21"/>
  </conditionalFormatting>
  <conditionalFormatting sqref="C528">
    <cfRule type="duplicateValues" priority="3" dxfId="21"/>
  </conditionalFormatting>
  <conditionalFormatting sqref="C596">
    <cfRule type="duplicateValues" priority="1" dxfId="21"/>
  </conditionalFormatting>
  <conditionalFormatting sqref="C237:D237">
    <cfRule type="duplicateValues" priority="10" dxfId="21"/>
  </conditionalFormatting>
  <conditionalFormatting sqref="C141:C195 C196:D199 C200 C201:D202 C204:D204 C205:C206 C207:D208 C210:D210 C212:D212 C213 C214:D222 C227:D227 C233:D234 C240:D240 C249:D249 C250 C253:C254 C256:C259 C261:C263 C265:C267 C269:C292 C295:C334 C335:D335 C336:C363 C364:D365 C366:C367 C368:D369 C370:C371 C372:D372 C373:C374 C375:D375 C376 C377:D377 C378:C379 C381:C383 C384:D384 C385:C393 C395:C399 C400:D401 C402:C404 C405:D406 C407:C412 C413:D414 C415:C416 C417:D417 C418:C419 C420:D420 C421 C422:D430 C431 C433 C434:D434 C435 C436:D441 C442:C447 C448:D449 C450 C451:D452 C453 C454:D461 C462:C469 C470:D472 C474:D474 C475:C485 C487:D491 C492:C507 C508:D508 C509:C510 C511:D511 C512:C513 C514:D519 C521:D521 C522:C527 C529:C538 C539:D539 C540:C550 C551:D552 C553:C561 C562:D562 C563 C564:D574 C575:C595 C597:D676 D203 D209">
    <cfRule type="duplicateValues" priority="15" dxfId="21"/>
  </conditionalFormatting>
  <conditionalFormatting sqref="AQ40:AU40 BK184 BL677 BL698:BL1048576 BM41 BM43:BM676 BN677 BN698:BN1048576 BO41 BO43:BO183 BO185:BO676">
    <cfRule type="cellIs" priority="13" operator="notEqual" dxfId="20">
      <formula>0</formula>
    </cfRule>
  </conditionalFormatting>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Jim Lu</dc:creator>
  <dcterms:created xsi:type="dcterms:W3CDTF">2026-06-02T16:51:57Z</dcterms:created>
  <dcterms:modified xsi:type="dcterms:W3CDTF">2026-06-02T17:13:49Z</dcterms:modified>
  <cp:lastModifiedBy>Jim Lu</cp:lastModifiedBy>
</cp:coreProperties>
</file>