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⚙️ 参数设置" sheetId="1" state="visible" r:id="rId1"/>
    <sheet xmlns:r="http://schemas.openxmlformats.org/officeDocument/2006/relationships" name="① 轻定制报价" sheetId="2" state="visible" r:id="rId2"/>
    <sheet xmlns:r="http://schemas.openxmlformats.org/officeDocument/2006/relationships" name="② 高定报价单" sheetId="3" state="visible" r:id="rId3"/>
  </sheets>
  <definedNames>
    <definedName name="_xlnm._FilterDatabase" localSheetId="1" hidden="1">'① 轻定制报价'!$A$3:$AH$3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¥#,##0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1F4E79"/>
      <sz val="10"/>
    </font>
    <font>
      <name val="Arial"/>
      <color rgb="00000000"/>
      <sz val="9"/>
    </font>
    <font>
      <name val="Arial"/>
      <b val="1"/>
      <color rgb="001F4E79"/>
      <sz val="9"/>
    </font>
    <font>
      <name val="Arial"/>
      <b val="1"/>
      <color rgb="00FFFFFF"/>
      <sz val="12"/>
    </font>
    <font>
      <name val="Arial"/>
      <b val="1"/>
      <color rgb="008B1A1A"/>
      <sz val="9"/>
    </font>
    <font>
      <name val="Arial"/>
      <b val="1"/>
      <color rgb="001F4E79"/>
      <sz val="8"/>
    </font>
    <font>
      <name val="Arial"/>
      <b val="1"/>
      <color rgb="00854F0B"/>
      <sz val="8"/>
    </font>
    <font>
      <name val="Arial"/>
      <b val="1"/>
      <color rgb="00085041"/>
      <sz val="8"/>
    </font>
    <font>
      <name val="Arial"/>
      <b val="1"/>
      <color rgb="00FFFFFF"/>
      <sz val="8"/>
    </font>
    <font>
      <name val="Arial"/>
      <b val="1"/>
      <color rgb="002E7D32"/>
      <sz val="8"/>
    </font>
    <font>
      <name val="Arial"/>
      <b val="1"/>
      <color rgb="008B1A1A"/>
      <sz val="8"/>
    </font>
    <font>
      <name val="Arial"/>
      <color rgb="00854F0B"/>
      <sz val="9"/>
    </font>
    <font>
      <name val="Arial"/>
      <b val="1"/>
      <color rgb="00085041"/>
      <sz val="9"/>
    </font>
    <font>
      <name val="Arial"/>
      <b val="1"/>
      <color rgb="00854F0B"/>
      <sz val="9"/>
    </font>
    <font>
      <name val="Arial"/>
      <color rgb="00085041"/>
      <sz val="9"/>
    </font>
    <font>
      <name val="Arial"/>
      <color rgb="00BBBBBB"/>
      <sz val="9"/>
    </font>
    <font>
      <name val="Arial"/>
      <i val="1"/>
      <color rgb="008B1A1A"/>
      <sz val="8"/>
    </font>
    <font>
      <name val="Arial"/>
      <color rgb="002E7D32"/>
      <sz val="9"/>
    </font>
    <font>
      <name val="Arial"/>
      <i val="1"/>
      <color rgb="00FFFFFF"/>
      <sz val="9"/>
    </font>
    <font>
      <name val="Arial"/>
      <color rgb="001F4E79"/>
      <sz val="9"/>
    </font>
    <font>
      <name val="Arial"/>
      <i val="1"/>
      <color rgb="00333333"/>
      <sz val="8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E5C3A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1A3A5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EBF5FB"/>
      </patternFill>
    </fill>
    <fill>
      <patternFill patternType="solid">
        <fgColor rgb="00DDEE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3" fontId="7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2" fontId="5" fillId="4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3" fontId="5" fillId="4" borderId="2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3" fontId="16" fillId="4" borderId="2" applyAlignment="1" pivotButton="0" quotePrefix="0" xfId="0">
      <alignment horizontal="center" vertical="center" wrapText="1"/>
    </xf>
    <xf numFmtId="9" fontId="16" fillId="4" borderId="2" applyAlignment="1" pivotButton="0" quotePrefix="0" xfId="0">
      <alignment horizontal="center" vertical="center" wrapText="1"/>
    </xf>
    <xf numFmtId="4" fontId="17" fillId="11" borderId="2" applyAlignment="1" pivotButton="0" quotePrefix="0" xfId="0">
      <alignment horizontal="center" vertical="center" wrapText="1"/>
    </xf>
    <xf numFmtId="164" fontId="18" fillId="4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164" fontId="19" fillId="11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center" vertical="center" wrapText="1"/>
    </xf>
    <xf numFmtId="3" fontId="21" fillId="10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center" vertical="center" wrapText="1"/>
    </xf>
    <xf numFmtId="3" fontId="22" fillId="12" borderId="2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left" vertical="center" wrapText="1"/>
    </xf>
    <xf numFmtId="0" fontId="25" fillId="14" borderId="0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3" fontId="19" fillId="11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4" fontId="7" fillId="11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right" vertical="center"/>
    </xf>
    <xf numFmtId="166" fontId="24" fillId="11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right" vertical="center"/>
    </xf>
    <xf numFmtId="166" fontId="26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0" customWidth="1" min="4" max="4"/>
    <col width="40" customWidth="1" min="5" max="5"/>
    <col width="2" customWidth="1" min="6" max="6"/>
    <col width="20" customWidth="1" min="7" max="7"/>
    <col width="10" customWidth="1" min="8" max="8"/>
    <col width="42" customWidth="1" min="9" max="9"/>
  </cols>
  <sheetData>
    <row r="1" ht="32" customHeight="1">
      <c r="A1" s="1" t="inlineStr">
        <is>
          <t>畔色报价系统 — 参数设置 &amp; 物料单价库</t>
        </is>
      </c>
      <c r="G1" s="2" t="inlineStr">
        <is>
          <t>系统参数（黄色格可修改）</t>
        </is>
      </c>
    </row>
    <row r="2">
      <c r="A2" s="3" t="inlineStr">
        <is>
          <t>成本分组</t>
        </is>
      </c>
      <c r="B2" s="3" t="inlineStr">
        <is>
          <t>材料/物料名称</t>
        </is>
      </c>
      <c r="C2" s="3" t="inlineStr">
        <is>
          <t>单位</t>
        </is>
      </c>
      <c r="D2" s="3" t="inlineStr">
        <is>
          <t>单价（¥）</t>
        </is>
      </c>
      <c r="E2" s="3" t="inlineStr">
        <is>
          <t>备注</t>
        </is>
      </c>
      <c r="G2" s="3" t="inlineStr">
        <is>
          <t>参数名称</t>
        </is>
      </c>
      <c r="H2" s="3" t="inlineStr">
        <is>
          <t>当前值</t>
        </is>
      </c>
      <c r="I2" s="3" t="inlineStr">
        <is>
          <t>说明</t>
        </is>
      </c>
    </row>
    <row r="3" ht="18" customHeight="1">
      <c r="A3" s="4" t="inlineStr">
        <is>
          <t>木材成本</t>
        </is>
      </c>
      <c r="B3" s="5" t="inlineStr">
        <is>
          <t>黑胡桃木-2.2cm厚度</t>
        </is>
      </c>
      <c r="C3" s="6" t="inlineStr">
        <is>
          <t>平方米</t>
        </is>
      </c>
      <c r="D3" s="7" t="n">
        <v>500</v>
      </c>
      <c r="E3" s="5" t="inlineStr"/>
      <c r="G3" s="8" t="inlineStr">
        <is>
          <t>工厂利润系数</t>
        </is>
      </c>
      <c r="H3" s="9" t="n">
        <v>0.25</v>
      </c>
      <c r="I3" s="5" t="inlineStr">
        <is>
          <t>木材+人工成本 × (1+系数) = 工厂报价给畔色</t>
        </is>
      </c>
    </row>
    <row r="4" ht="18" customHeight="1">
      <c r="A4" s="10" t="inlineStr"/>
      <c r="B4" s="5" t="inlineStr">
        <is>
          <t>白橡木-2.2cm厚度</t>
        </is>
      </c>
      <c r="C4" s="6" t="inlineStr">
        <is>
          <t>平方米</t>
        </is>
      </c>
      <c r="D4" s="7" t="n">
        <v>300</v>
      </c>
      <c r="E4" s="5" t="inlineStr"/>
      <c r="G4" s="8" t="inlineStr">
        <is>
          <t>畔色利润系数</t>
        </is>
      </c>
      <c r="H4" s="9" t="n">
        <v>0.15</v>
      </c>
      <c r="I4" s="5" t="inlineStr">
        <is>
          <t>高定模式：畔色总成本 ÷ (1-系数) = 最终报价</t>
        </is>
      </c>
    </row>
    <row r="5" ht="18" customHeight="1">
      <c r="A5" s="10" t="inlineStr"/>
      <c r="B5" s="5" t="inlineStr">
        <is>
          <t>樱桃木-2.2cm厚度</t>
        </is>
      </c>
      <c r="C5" s="6" t="inlineStr">
        <is>
          <t>平方米</t>
        </is>
      </c>
      <c r="D5" s="7" t="n">
        <v>300</v>
      </c>
      <c r="E5" s="5" t="inlineStr"/>
      <c r="G5" s="8" t="inlineStr">
        <is>
          <t>人工占出厂比例</t>
        </is>
      </c>
      <c r="H5" s="9" t="n">
        <v>0.3</v>
      </c>
      <c r="I5" s="5" t="inlineStr">
        <is>
          <t>轻定制追加部分人工费估算比例</t>
        </is>
      </c>
    </row>
    <row r="6" ht="18" customHeight="1">
      <c r="A6" s="10" t="inlineStr"/>
      <c r="B6" s="5" t="inlineStr">
        <is>
          <t>白蜡木-2.2cm厚度</t>
        </is>
      </c>
      <c r="C6" s="6" t="inlineStr">
        <is>
          <t>平方米</t>
        </is>
      </c>
      <c r="D6" s="7" t="n">
        <v>300</v>
      </c>
      <c r="E6" s="5" t="inlineStr"/>
    </row>
    <row r="7" ht="18" customHeight="1">
      <c r="A7" s="10" t="inlineStr"/>
      <c r="B7" s="5" t="inlineStr">
        <is>
          <t>红橡木-2.2cm厚度</t>
        </is>
      </c>
      <c r="C7" s="6" t="inlineStr">
        <is>
          <t>平方米</t>
        </is>
      </c>
      <c r="D7" s="7" t="n">
        <v>240</v>
      </c>
      <c r="E7" s="5" t="inlineStr"/>
      <c r="G7" s="8" t="inlineStr">
        <is>
          <t>打包费-小型</t>
        </is>
      </c>
      <c r="H7" s="11" t="n">
        <v>100</v>
      </c>
      <c r="I7" s="5" t="inlineStr">
        <is>
          <t>床头柜 / 组合柜 / 小推车 / 餐凳 / 衣帽架</t>
        </is>
      </c>
    </row>
    <row r="8" ht="18" customHeight="1">
      <c r="A8" s="10" t="inlineStr"/>
      <c r="B8" s="5" t="inlineStr">
        <is>
          <t>榉木-2.2cm厚度</t>
        </is>
      </c>
      <c r="C8" s="6" t="inlineStr">
        <is>
          <t>平方米</t>
        </is>
      </c>
      <c r="D8" s="7" t="n">
        <v>240</v>
      </c>
      <c r="E8" s="5" t="inlineStr"/>
      <c r="G8" s="8" t="inlineStr">
        <is>
          <t>打包费-中型</t>
        </is>
      </c>
      <c r="H8" s="11" t="n">
        <v>200</v>
      </c>
      <c r="I8" s="5" t="inlineStr">
        <is>
          <t>床 / 梳妆台 / 斗柜 / 镜子 / 电视柜 / 茶几 / 餐桌 / 升降桌</t>
        </is>
      </c>
    </row>
    <row r="9" ht="18" customHeight="1">
      <c r="A9" s="10" t="inlineStr"/>
      <c r="B9" s="5" t="inlineStr">
        <is>
          <t>实木多层板1.8cm厚度</t>
        </is>
      </c>
      <c r="C9" s="6" t="inlineStr">
        <is>
          <t>平方米</t>
        </is>
      </c>
      <c r="D9" s="7" t="n">
        <v>220</v>
      </c>
      <c r="E9" s="5" t="inlineStr"/>
      <c r="G9" s="8" t="inlineStr">
        <is>
          <t>打包费-大型</t>
        </is>
      </c>
      <c r="H9" s="11" t="n">
        <v>400</v>
      </c>
      <c r="I9" s="5" t="inlineStr">
        <is>
          <t>餐边柜 / 岛台 / 书柜 / 书桌 / 鞋柜</t>
        </is>
      </c>
    </row>
    <row r="10" ht="18" customHeight="1">
      <c r="A10" s="10" t="inlineStr"/>
      <c r="B10" s="5" t="inlineStr">
        <is>
          <t>樱桃木-2.8cm厚度</t>
        </is>
      </c>
      <c r="C10" s="6" t="inlineStr">
        <is>
          <t>平方米</t>
        </is>
      </c>
      <c r="D10" s="7" t="n">
        <v>520</v>
      </c>
      <c r="E10" s="5" t="inlineStr"/>
      <c r="G10" s="8" t="inlineStr">
        <is>
          <t>运费-小型</t>
        </is>
      </c>
      <c r="H10" s="11" t="n">
        <v>80</v>
      </c>
      <c r="I10" s="5" t="inlineStr"/>
    </row>
    <row r="11" ht="18" customHeight="1">
      <c r="A11" s="4" t="inlineStr">
        <is>
          <t>配件材料成本</t>
        </is>
      </c>
      <c r="B11" s="5" t="inlineStr">
        <is>
          <t>12mm 普通岩板</t>
        </is>
      </c>
      <c r="C11" s="6" t="inlineStr">
        <is>
          <t>平方米</t>
        </is>
      </c>
      <c r="D11" s="7" t="n">
        <v>200</v>
      </c>
      <c r="E11" s="5" t="inlineStr"/>
      <c r="G11" s="8" t="inlineStr">
        <is>
          <t>运费-中型</t>
        </is>
      </c>
      <c r="H11" s="11" t="n">
        <v>100</v>
      </c>
      <c r="I11" s="5" t="inlineStr"/>
    </row>
    <row r="12" ht="18" customHeight="1">
      <c r="A12" s="10" t="inlineStr"/>
      <c r="B12" s="5" t="inlineStr">
        <is>
          <t>12mm 洞石岩板</t>
        </is>
      </c>
      <c r="C12" s="6" t="inlineStr">
        <is>
          <t>平方米</t>
        </is>
      </c>
      <c r="D12" s="7" t="n">
        <v>400</v>
      </c>
      <c r="E12" s="5" t="inlineStr"/>
      <c r="G12" s="8" t="inlineStr">
        <is>
          <t>运费-大型</t>
        </is>
      </c>
      <c r="H12" s="11" t="n">
        <v>300</v>
      </c>
      <c r="I12" s="5" t="inlineStr"/>
    </row>
    <row r="13" ht="18" customHeight="1">
      <c r="A13" s="10" t="inlineStr"/>
      <c r="B13" s="5" t="inlineStr">
        <is>
          <t>9mm 洞石下挂岩板</t>
        </is>
      </c>
      <c r="C13" s="6" t="inlineStr">
        <is>
          <t>平方米</t>
        </is>
      </c>
      <c r="D13" s="7" t="n">
        <v>660</v>
      </c>
      <c r="E13" s="5" t="inlineStr">
        <is>
          <t>不准确，2米以上的价格更贵；岩板按照具体尺寸计算</t>
        </is>
      </c>
      <c r="G13" s="8" t="inlineStr">
        <is>
          <t>安装费-小型</t>
        </is>
      </c>
      <c r="H13" s="11" t="n">
        <v>50</v>
      </c>
      <c r="I13" s="5" t="inlineStr"/>
    </row>
    <row r="14" ht="18" customHeight="1">
      <c r="A14" s="10" t="inlineStr"/>
      <c r="B14" s="5" t="inlineStr">
        <is>
          <t>亚克力洞洞板</t>
        </is>
      </c>
      <c r="C14" s="6" t="inlineStr">
        <is>
          <t>平方米</t>
        </is>
      </c>
      <c r="D14" s="7" t="n">
        <v>300</v>
      </c>
      <c r="E14" s="5" t="inlineStr"/>
      <c r="G14" s="8" t="inlineStr">
        <is>
          <t>安装费-中型</t>
        </is>
      </c>
      <c r="H14" s="11" t="n">
        <v>100</v>
      </c>
      <c r="I14" s="5" t="inlineStr"/>
    </row>
    <row r="15" ht="18" customHeight="1">
      <c r="A15" s="10" t="inlineStr"/>
      <c r="B15" s="5" t="inlineStr">
        <is>
          <t>金属洞洞板</t>
        </is>
      </c>
      <c r="C15" s="6" t="inlineStr">
        <is>
          <t>平方米</t>
        </is>
      </c>
      <c r="D15" s="7" t="n">
        <v>250</v>
      </c>
      <c r="E15" s="5" t="inlineStr"/>
      <c r="G15" s="8" t="inlineStr">
        <is>
          <t>安装费-大型</t>
        </is>
      </c>
      <c r="H15" s="11" t="n">
        <v>150</v>
      </c>
      <c r="I15" s="5" t="inlineStr"/>
    </row>
    <row r="16" ht="18" customHeight="1">
      <c r="A16" s="10" t="inlineStr"/>
      <c r="B16" s="5" t="inlineStr">
        <is>
          <t>MDF纤维洞洞板</t>
        </is>
      </c>
      <c r="C16" s="6" t="inlineStr">
        <is>
          <t>平方米</t>
        </is>
      </c>
      <c r="D16" s="7" t="n">
        <v>250</v>
      </c>
      <c r="E16" s="5" t="inlineStr"/>
    </row>
    <row r="17" ht="18" customHeight="1">
      <c r="A17" s="10" t="inlineStr"/>
      <c r="B17" s="5" t="inlineStr">
        <is>
          <t>洞石背板</t>
        </is>
      </c>
      <c r="C17" s="6" t="inlineStr">
        <is>
          <t>平方米</t>
        </is>
      </c>
      <c r="D17" s="7" t="n">
        <v>95</v>
      </c>
      <c r="E17" s="5" t="inlineStr"/>
      <c r="G17" s="8" t="inlineStr">
        <is>
          <t>榉木单价(参考)</t>
        </is>
      </c>
      <c r="H17" s="11" t="n">
        <v>240</v>
      </c>
      <c r="I17" s="5" t="inlineStr">
        <is>
          <t>用于计算换材差价，如有变动请修改</t>
        </is>
      </c>
    </row>
    <row r="18" ht="18" customHeight="1">
      <c r="A18" s="10" t="inlineStr"/>
      <c r="B18" s="5" t="inlineStr">
        <is>
          <t>软木板</t>
        </is>
      </c>
      <c r="C18" s="6" t="inlineStr">
        <is>
          <t>平方米</t>
        </is>
      </c>
      <c r="D18" s="7" t="n">
        <v>86</v>
      </c>
      <c r="E18" s="5" t="inlineStr"/>
      <c r="G18" s="8" t="inlineStr">
        <is>
          <t>黑胡桃单价(参考)</t>
        </is>
      </c>
      <c r="H18" s="11" t="n">
        <v>500</v>
      </c>
      <c r="I18" s="5" t="inlineStr">
        <is>
          <t>用于计算换材差价，如有变动请修改</t>
        </is>
      </c>
    </row>
    <row r="19" ht="18" customHeight="1">
      <c r="A19" s="10" t="inlineStr"/>
      <c r="B19" s="5" t="inlineStr">
        <is>
          <t>电力轨道-带挂架</t>
        </is>
      </c>
      <c r="C19" s="6" t="inlineStr">
        <is>
          <t>米</t>
        </is>
      </c>
      <c r="D19" s="7" t="n">
        <v>368</v>
      </c>
      <c r="E19" s="5" t="inlineStr">
        <is>
          <t>挂架款1米均价；含2插座；标配3米长2.5平电线</t>
        </is>
      </c>
      <c r="G19" s="8" t="inlineStr">
        <is>
          <t>樱桃木单价(参考)</t>
        </is>
      </c>
      <c r="H19" s="11" t="n">
        <v>300</v>
      </c>
      <c r="I19" s="5" t="inlineStr">
        <is>
          <t>用于计算换材差价，如有变动请修改</t>
        </is>
      </c>
    </row>
    <row r="20" ht="18" customHeight="1">
      <c r="A20" s="10" t="inlineStr"/>
      <c r="B20" s="5" t="inlineStr">
        <is>
          <t>电力轨道-普通款</t>
        </is>
      </c>
      <c r="C20" s="6" t="inlineStr">
        <is>
          <t>米</t>
        </is>
      </c>
      <c r="D20" s="7" t="n">
        <v>625</v>
      </c>
      <c r="E20" s="5" t="inlineStr">
        <is>
          <t>普通款1米均价；含2插座；标配3米长2.5平电线</t>
        </is>
      </c>
    </row>
    <row r="21" ht="18" customHeight="1">
      <c r="A21" s="10" t="inlineStr"/>
      <c r="B21" s="5" t="inlineStr">
        <is>
          <t>灯带</t>
        </is>
      </c>
      <c r="C21" s="6" t="inlineStr">
        <is>
          <t>米</t>
        </is>
      </c>
      <c r="D21" s="7" t="n">
        <v>50</v>
      </c>
      <c r="E21" s="5" t="inlineStr">
        <is>
          <t>按照100一根给客户算</t>
        </is>
      </c>
    </row>
    <row r="22" ht="18" customHeight="1">
      <c r="A22" s="10" t="inlineStr"/>
      <c r="B22" s="5" t="inlineStr">
        <is>
          <t>层板灯</t>
        </is>
      </c>
      <c r="C22" s="6" t="inlineStr">
        <is>
          <t>米</t>
        </is>
      </c>
      <c r="D22" s="7" t="n">
        <v>25</v>
      </c>
      <c r="E22" s="5" t="inlineStr">
        <is>
          <t>不含感应按钮和变压器</t>
        </is>
      </c>
    </row>
    <row r="23" ht="18" customHeight="1">
      <c r="A23" s="10" t="inlineStr"/>
      <c r="B23" s="5" t="inlineStr">
        <is>
          <t>超白玻璃</t>
        </is>
      </c>
      <c r="C23" s="6" t="inlineStr">
        <is>
          <t>平方米</t>
        </is>
      </c>
      <c r="D23" s="7" t="n">
        <v>250</v>
      </c>
      <c r="E23" s="5" t="inlineStr">
        <is>
          <t>1张顶柜玻璃40-50块左右</t>
        </is>
      </c>
    </row>
    <row r="24" ht="18" customHeight="1">
      <c r="A24" s="10" t="inlineStr"/>
      <c r="B24" s="5" t="inlineStr">
        <is>
          <t>压花玻璃</t>
        </is>
      </c>
      <c r="C24" s="6" t="inlineStr">
        <is>
          <t>平方米</t>
        </is>
      </c>
      <c r="D24" s="7" t="n">
        <v>250</v>
      </c>
      <c r="E24" s="5" t="inlineStr">
        <is>
          <t>1张顶柜玻璃40-50块左右</t>
        </is>
      </c>
    </row>
    <row r="25" ht="18" customHeight="1">
      <c r="A25" s="10" t="inlineStr"/>
      <c r="B25" s="5" t="inlineStr">
        <is>
          <t>钢化玻璃</t>
        </is>
      </c>
      <c r="C25" s="6" t="inlineStr">
        <is>
          <t>平方米</t>
        </is>
      </c>
      <c r="D25" s="7" t="n">
        <v>250</v>
      </c>
      <c r="E25" s="5" t="inlineStr">
        <is>
          <t>1张顶柜玻璃40-50块左右</t>
        </is>
      </c>
    </row>
    <row r="26" ht="18" customHeight="1">
      <c r="A26" s="10" t="inlineStr"/>
      <c r="B26" s="5" t="inlineStr">
        <is>
          <t>瓷白玻璃</t>
        </is>
      </c>
      <c r="C26" s="6" t="inlineStr">
        <is>
          <t>平方米</t>
        </is>
      </c>
      <c r="D26" s="7" t="n">
        <v>263</v>
      </c>
      <c r="E26" s="5" t="inlineStr">
        <is>
          <t>实际是亚克力?</t>
        </is>
      </c>
    </row>
    <row r="27" ht="18" customHeight="1">
      <c r="A27" s="10" t="inlineStr"/>
      <c r="B27" s="5" t="inlineStr">
        <is>
          <t>磁吸瓷白玻璃</t>
        </is>
      </c>
      <c r="C27" s="6" t="inlineStr">
        <is>
          <t>平方米</t>
        </is>
      </c>
      <c r="D27" s="7" t="n">
        <v>309</v>
      </c>
      <c r="E27" s="5" t="inlineStr">
        <is>
          <t>超自磁吸玻璃</t>
        </is>
      </c>
    </row>
    <row r="28" ht="18" customHeight="1">
      <c r="A28" s="10" t="inlineStr"/>
      <c r="B28" s="5" t="inlineStr">
        <is>
          <t>美耐板</t>
        </is>
      </c>
      <c r="C28" s="6" t="inlineStr">
        <is>
          <t>平方米</t>
        </is>
      </c>
      <c r="D28" s="7" t="n">
        <v>80</v>
      </c>
      <c r="E28" s="5" t="inlineStr">
        <is>
          <t>1.22*2.44m 1mm厚度；买就是一整张135</t>
        </is>
      </c>
    </row>
    <row r="29" ht="18" customHeight="1">
      <c r="A29" s="10" t="inlineStr"/>
      <c r="B29" s="5" t="inlineStr">
        <is>
          <t>铝合金轨道槽</t>
        </is>
      </c>
      <c r="C29" s="6" t="inlineStr">
        <is>
          <t>米</t>
        </is>
      </c>
      <c r="D29" s="7" t="n">
        <v>25</v>
      </c>
      <c r="E29" s="5" t="inlineStr">
        <is>
          <t>不含堵头，2米以上长度48一根，且超长需要加物流费</t>
        </is>
      </c>
    </row>
    <row r="30" ht="18" customHeight="1">
      <c r="A30" s="10" t="inlineStr"/>
      <c r="B30" s="5" t="inlineStr">
        <is>
          <t>抽屉轨道</t>
        </is>
      </c>
      <c r="C30" s="6" t="inlineStr">
        <is>
          <t>付</t>
        </is>
      </c>
      <c r="D30" s="7" t="n">
        <v>22</v>
      </c>
      <c r="E30" s="5" t="inlineStr">
        <is>
          <t>16寸阻尼款（其他会不同）</t>
        </is>
      </c>
    </row>
    <row r="31" ht="18" customHeight="1">
      <c r="A31" s="10" t="inlineStr"/>
      <c r="B31" s="5" t="inlineStr">
        <is>
          <t>桌下理线架</t>
        </is>
      </c>
      <c r="C31" s="6" t="inlineStr">
        <is>
          <t>个</t>
        </is>
      </c>
      <c r="D31" s="7" t="n">
        <v>72</v>
      </c>
      <c r="E31" s="5" t="inlineStr"/>
    </row>
    <row r="32" ht="18" customHeight="1">
      <c r="A32" s="10" t="inlineStr"/>
      <c r="B32" s="5" t="inlineStr">
        <is>
          <t>五金件</t>
        </is>
      </c>
      <c r="C32" s="6" t="inlineStr">
        <is>
          <t>组</t>
        </is>
      </c>
      <c r="D32" s="7" t="n">
        <v>100</v>
      </c>
      <c r="E32" s="5" t="inlineStr"/>
    </row>
    <row r="33" ht="18" customHeight="1">
      <c r="A33" s="10" t="inlineStr"/>
      <c r="B33" s="5" t="inlineStr">
        <is>
          <t>镜子</t>
        </is>
      </c>
      <c r="C33" s="6" t="inlineStr">
        <is>
          <t>平方米</t>
        </is>
      </c>
      <c r="D33" s="7" t="n">
        <v>200</v>
      </c>
      <c r="E33" s="5" t="inlineStr"/>
    </row>
    <row r="34" ht="18" customHeight="1">
      <c r="A34" s="10" t="inlineStr"/>
      <c r="B34" s="5" t="inlineStr">
        <is>
          <t>榉木床铺板</t>
        </is>
      </c>
      <c r="C34" s="6" t="inlineStr">
        <is>
          <t>张</t>
        </is>
      </c>
      <c r="D34" s="7" t="n">
        <v>600</v>
      </c>
      <c r="E34" s="5" t="inlineStr"/>
    </row>
    <row r="35" ht="18" customHeight="1">
      <c r="A35" s="10" t="inlineStr"/>
      <c r="B35" s="5" t="inlineStr">
        <is>
          <t>镜面金属板</t>
        </is>
      </c>
      <c r="C35" s="6" t="inlineStr">
        <is>
          <t>平方米</t>
        </is>
      </c>
      <c r="D35" s="7" t="n">
        <v>200</v>
      </c>
      <c r="E35" s="5" t="inlineStr"/>
    </row>
    <row r="36" ht="18" customHeight="1">
      <c r="A36" s="10" t="inlineStr"/>
      <c r="B36" s="5" t="inlineStr">
        <is>
          <t>旋转金属底座</t>
        </is>
      </c>
      <c r="C36" s="6" t="inlineStr">
        <is>
          <t>个</t>
        </is>
      </c>
      <c r="D36" s="7" t="n">
        <v>400</v>
      </c>
      <c r="E36" s="5" t="inlineStr"/>
    </row>
    <row r="37" ht="18" customHeight="1">
      <c r="A37" s="10" t="inlineStr"/>
      <c r="B37" s="5" t="inlineStr">
        <is>
          <t>亚克力条</t>
        </is>
      </c>
      <c r="C37" s="6" t="inlineStr">
        <is>
          <t>1米</t>
        </is>
      </c>
      <c r="D37" s="7" t="n">
        <v>40</v>
      </c>
      <c r="E37" s="5" t="inlineStr"/>
    </row>
    <row r="38" ht="18" customHeight="1">
      <c r="A38" s="10" t="inlineStr"/>
      <c r="B38" s="5" t="inlineStr">
        <is>
          <t>金属把手</t>
        </is>
      </c>
      <c r="C38" s="6" t="inlineStr">
        <is>
          <t>1个</t>
        </is>
      </c>
      <c r="D38" s="7" t="n">
        <v>30</v>
      </c>
      <c r="E38" s="5" t="inlineStr"/>
    </row>
    <row r="39" ht="18" customHeight="1">
      <c r="A39" s="10" t="inlineStr"/>
      <c r="B39" s="5" t="inlineStr">
        <is>
          <t>移动金属轮</t>
        </is>
      </c>
      <c r="C39" s="6" t="inlineStr">
        <is>
          <t>1个</t>
        </is>
      </c>
      <c r="D39" s="7" t="n">
        <v>40</v>
      </c>
      <c r="E39" s="5" t="inlineStr"/>
    </row>
    <row r="40" ht="18" customHeight="1">
      <c r="A40" s="10" t="inlineStr"/>
      <c r="B40" s="5" t="inlineStr">
        <is>
          <t>金属轨道</t>
        </is>
      </c>
      <c r="C40" s="6" t="inlineStr">
        <is>
          <t>1米</t>
        </is>
      </c>
      <c r="D40" s="7" t="n">
        <v>25</v>
      </c>
      <c r="E40" s="5" t="inlineStr"/>
    </row>
    <row r="41" ht="18" customHeight="1">
      <c r="A41" s="10" t="inlineStr"/>
      <c r="B41" s="5" t="inlineStr">
        <is>
          <t>金属杆</t>
        </is>
      </c>
      <c r="C41" s="6" t="inlineStr">
        <is>
          <t>1米</t>
        </is>
      </c>
      <c r="D41" s="7" t="n">
        <v>30</v>
      </c>
      <c r="E41" s="5" t="inlineStr"/>
    </row>
    <row r="42" ht="18" customHeight="1">
      <c r="A42" s="10" t="inlineStr"/>
      <c r="B42" s="5" t="inlineStr">
        <is>
          <t>黄铜挂钩</t>
        </is>
      </c>
      <c r="C42" s="6" t="inlineStr">
        <is>
          <t>1个</t>
        </is>
      </c>
      <c r="D42" s="7" t="n">
        <v>10</v>
      </c>
      <c r="E42" s="5" t="inlineStr"/>
    </row>
    <row r="43" ht="18" customHeight="1">
      <c r="A43" s="10" t="inlineStr"/>
      <c r="B43" s="5" t="inlineStr">
        <is>
          <t>理线金属盒</t>
        </is>
      </c>
      <c r="C43" s="6" t="inlineStr">
        <is>
          <t>1个</t>
        </is>
      </c>
      <c r="D43" s="7" t="n">
        <v>72</v>
      </c>
      <c r="E43" s="5" t="inlineStr"/>
    </row>
    <row r="44" ht="18" customHeight="1">
      <c r="A44" s="10" t="inlineStr"/>
      <c r="B44" s="5" t="inlineStr">
        <is>
          <t>成人升降桌架</t>
        </is>
      </c>
      <c r="C44" s="6" t="inlineStr">
        <is>
          <t>1个</t>
        </is>
      </c>
      <c r="D44" s="7" t="n">
        <v>800</v>
      </c>
      <c r="E44" s="5" t="inlineStr"/>
    </row>
    <row r="45" ht="18" customHeight="1">
      <c r="A45" s="10" t="inlineStr"/>
      <c r="B45" s="5" t="inlineStr">
        <is>
          <t>鞋柜翻盖五金</t>
        </is>
      </c>
      <c r="C45" s="6" t="inlineStr">
        <is>
          <t>1个</t>
        </is>
      </c>
      <c r="D45" s="7" t="n">
        <v>30</v>
      </c>
      <c r="E45" s="5" t="inlineStr"/>
    </row>
    <row r="46" ht="18" customHeight="1">
      <c r="A46" s="10" t="inlineStr"/>
      <c r="B46" s="5" t="inlineStr">
        <is>
          <t>金属钩子</t>
        </is>
      </c>
      <c r="C46" s="6" t="inlineStr">
        <is>
          <t>1个</t>
        </is>
      </c>
      <c r="D46" s="7" t="n">
        <v>10</v>
      </c>
      <c r="E46" s="5" t="inlineStr"/>
    </row>
    <row r="47" ht="18" customHeight="1">
      <c r="A47" s="10" t="inlineStr"/>
      <c r="B47" s="5" t="inlineStr">
        <is>
          <t>圆木球</t>
        </is>
      </c>
      <c r="C47" s="6" t="inlineStr">
        <is>
          <t>1个</t>
        </is>
      </c>
      <c r="D47" s="7" t="n">
        <v>10</v>
      </c>
      <c r="E47" s="5" t="inlineStr"/>
    </row>
    <row r="48" ht="18" customHeight="1">
      <c r="A48" s="10" t="inlineStr"/>
      <c r="B48" s="5" t="inlineStr">
        <is>
          <t>覆膜金属板</t>
        </is>
      </c>
      <c r="C48" s="6" t="inlineStr">
        <is>
          <t>平方米</t>
        </is>
      </c>
      <c r="D48" s="7" t="n">
        <v>200</v>
      </c>
      <c r="E48" s="5" t="inlineStr"/>
    </row>
    <row r="49" ht="18" customHeight="1">
      <c r="A49" s="10" t="inlineStr"/>
      <c r="B49" s="5" t="inlineStr">
        <is>
          <t>鎏金板</t>
        </is>
      </c>
      <c r="C49" s="6" t="inlineStr">
        <is>
          <t>平方米</t>
        </is>
      </c>
      <c r="D49" s="7" t="n">
        <v>280</v>
      </c>
      <c r="E49" s="5" t="inlineStr"/>
    </row>
    <row r="50" ht="18" customHeight="1">
      <c r="A50" s="10" t="inlineStr"/>
      <c r="B50" s="5" t="inlineStr">
        <is>
          <t>藤编</t>
        </is>
      </c>
      <c r="C50" s="6" t="inlineStr">
        <is>
          <t>平方米</t>
        </is>
      </c>
      <c r="D50" s="7" t="n">
        <v>260</v>
      </c>
      <c r="E50" s="5" t="inlineStr"/>
    </row>
    <row r="51" ht="18" customHeight="1">
      <c r="A51" s="10" t="inlineStr"/>
      <c r="B51" s="5" t="inlineStr">
        <is>
          <t>金属腿</t>
        </is>
      </c>
      <c r="C51" s="6" t="inlineStr">
        <is>
          <t>个</t>
        </is>
      </c>
      <c r="D51" s="7" t="n">
        <v>40</v>
      </c>
      <c r="E51" s="5" t="inlineStr"/>
    </row>
    <row r="52" ht="18" customHeight="1">
      <c r="A52" s="10" t="inlineStr"/>
      <c r="B52" s="5" t="inlineStr">
        <is>
          <t>床头软包</t>
        </is>
      </c>
      <c r="C52" s="6" t="inlineStr">
        <is>
          <t>个</t>
        </is>
      </c>
      <c r="D52" s="7" t="n">
        <v>400</v>
      </c>
      <c r="E52" s="5" t="inlineStr"/>
    </row>
    <row r="53" ht="18" customHeight="1">
      <c r="A53" s="10" t="inlineStr"/>
      <c r="B53" s="5" t="inlineStr">
        <is>
          <t>床铺板-榉木</t>
        </is>
      </c>
      <c r="C53" s="6" t="inlineStr">
        <is>
          <t>副</t>
        </is>
      </c>
      <c r="D53" s="7" t="n">
        <v>600</v>
      </c>
      <c r="E53" s="5" t="inlineStr"/>
    </row>
    <row r="54" ht="18" customHeight="1">
      <c r="A54" s="10" t="inlineStr"/>
      <c r="B54" s="5" t="inlineStr">
        <is>
          <t>床铺板-松木</t>
        </is>
      </c>
      <c r="C54" s="6" t="inlineStr">
        <is>
          <t>副</t>
        </is>
      </c>
      <c r="D54" s="7" t="n">
        <v>400</v>
      </c>
      <c r="E54" s="5" t="inlineStr"/>
    </row>
    <row r="55" ht="18" customHeight="1">
      <c r="A55" s="4" t="inlineStr">
        <is>
          <t>工厂人工费用</t>
        </is>
      </c>
      <c r="B55" s="5" t="inlineStr">
        <is>
          <t>床-人工费-小型</t>
        </is>
      </c>
      <c r="C55" s="6" t="inlineStr">
        <is>
          <t>1件</t>
        </is>
      </c>
      <c r="D55" s="7" t="n">
        <v>600</v>
      </c>
      <c r="E55" s="5" t="inlineStr"/>
    </row>
    <row r="56" ht="18" customHeight="1">
      <c r="A56" s="10" t="inlineStr"/>
      <c r="B56" s="5" t="inlineStr">
        <is>
          <t>床头柜-人工费-小型</t>
        </is>
      </c>
      <c r="C56" s="6" t="inlineStr">
        <is>
          <t>1件</t>
        </is>
      </c>
      <c r="D56" s="7" t="n">
        <v>300</v>
      </c>
      <c r="E56" s="5" t="inlineStr"/>
    </row>
    <row r="57" ht="18" customHeight="1">
      <c r="A57" s="10" t="inlineStr"/>
      <c r="B57" s="5" t="inlineStr">
        <is>
          <t>梳妆台-人工费-小型</t>
        </is>
      </c>
      <c r="C57" s="6" t="inlineStr">
        <is>
          <t>1件</t>
        </is>
      </c>
      <c r="D57" s="7" t="n">
        <v>600</v>
      </c>
      <c r="E57" s="5" t="inlineStr"/>
    </row>
    <row r="58" ht="18" customHeight="1">
      <c r="A58" s="10" t="inlineStr"/>
      <c r="B58" s="5" t="inlineStr">
        <is>
          <t>斗柜-人工费-小型</t>
        </is>
      </c>
      <c r="C58" s="6" t="inlineStr">
        <is>
          <t>1件</t>
        </is>
      </c>
      <c r="D58" s="7" t="n">
        <v>600</v>
      </c>
      <c r="E58" s="5" t="inlineStr"/>
    </row>
    <row r="59" ht="18" customHeight="1">
      <c r="A59" s="10" t="inlineStr"/>
      <c r="B59" s="5" t="inlineStr">
        <is>
          <t>镜子-人工费-小型</t>
        </is>
      </c>
      <c r="C59" s="6" t="inlineStr">
        <is>
          <t>1件</t>
        </is>
      </c>
      <c r="D59" s="7" t="n">
        <v>400</v>
      </c>
      <c r="E59" s="5" t="inlineStr"/>
    </row>
    <row r="60" ht="18" customHeight="1">
      <c r="A60" s="10" t="inlineStr"/>
      <c r="B60" s="5" t="inlineStr">
        <is>
          <t>电视柜-人工费-小型</t>
        </is>
      </c>
      <c r="C60" s="6" t="inlineStr">
        <is>
          <t>1件</t>
        </is>
      </c>
      <c r="D60" s="7" t="n">
        <v>600</v>
      </c>
      <c r="E60" s="5" t="inlineStr"/>
    </row>
    <row r="61" ht="18" customHeight="1">
      <c r="A61" s="10" t="inlineStr"/>
      <c r="B61" s="5" t="inlineStr">
        <is>
          <t>茶几-人工费-小型</t>
        </is>
      </c>
      <c r="C61" s="6" t="inlineStr">
        <is>
          <t>1件</t>
        </is>
      </c>
      <c r="D61" s="7" t="n">
        <v>400</v>
      </c>
      <c r="E61" s="5" t="inlineStr"/>
    </row>
    <row r="62" ht="18" customHeight="1">
      <c r="A62" s="10" t="inlineStr"/>
      <c r="B62" s="5" t="inlineStr">
        <is>
          <t>组合柜-人工费-小型</t>
        </is>
      </c>
      <c r="C62" s="6" t="inlineStr">
        <is>
          <t>1件</t>
        </is>
      </c>
      <c r="D62" s="7" t="n">
        <v>300</v>
      </c>
      <c r="E62" s="5" t="inlineStr"/>
    </row>
    <row r="63" ht="18" customHeight="1">
      <c r="A63" s="10" t="inlineStr"/>
      <c r="B63" s="5" t="inlineStr">
        <is>
          <t>小推车-人工费-小型</t>
        </is>
      </c>
      <c r="C63" s="6" t="inlineStr">
        <is>
          <t>1件</t>
        </is>
      </c>
      <c r="D63" s="7" t="n">
        <v>400</v>
      </c>
      <c r="E63" s="5" t="inlineStr"/>
    </row>
    <row r="64" ht="18" customHeight="1">
      <c r="A64" s="10" t="inlineStr"/>
      <c r="B64" s="5" t="inlineStr">
        <is>
          <t>餐边柜-人工费-小型</t>
        </is>
      </c>
      <c r="C64" s="6" t="inlineStr">
        <is>
          <t>1件</t>
        </is>
      </c>
      <c r="D64" s="7" t="n">
        <v>840</v>
      </c>
      <c r="E64" s="5" t="inlineStr"/>
    </row>
    <row r="65" ht="18" customHeight="1">
      <c r="A65" s="10" t="inlineStr"/>
      <c r="B65" s="5" t="inlineStr">
        <is>
          <t>餐桌-人工费-小型</t>
        </is>
      </c>
      <c r="C65" s="6" t="inlineStr">
        <is>
          <t>1件</t>
        </is>
      </c>
      <c r="D65" s="7" t="n">
        <v>300</v>
      </c>
      <c r="E65" s="5" t="inlineStr"/>
    </row>
    <row r="66" ht="18" customHeight="1">
      <c r="A66" s="10" t="inlineStr"/>
      <c r="B66" s="5" t="inlineStr">
        <is>
          <t>餐凳-人工费-小型</t>
        </is>
      </c>
      <c r="C66" s="6" t="inlineStr">
        <is>
          <t>1件</t>
        </is>
      </c>
      <c r="D66" s="7" t="n">
        <v>300</v>
      </c>
      <c r="E66" s="5" t="inlineStr"/>
    </row>
    <row r="67" ht="18" customHeight="1">
      <c r="A67" s="10" t="inlineStr"/>
      <c r="B67" s="5" t="inlineStr">
        <is>
          <t>岛台-人工费-小型</t>
        </is>
      </c>
      <c r="C67" s="6" t="inlineStr">
        <is>
          <t>1件</t>
        </is>
      </c>
      <c r="D67" s="7" t="n">
        <v>600</v>
      </c>
      <c r="E67" s="5" t="inlineStr"/>
    </row>
    <row r="68" ht="18" customHeight="1">
      <c r="A68" s="10" t="inlineStr"/>
      <c r="B68" s="5" t="inlineStr">
        <is>
          <t>书柜-人工费-小型</t>
        </is>
      </c>
      <c r="C68" s="6" t="inlineStr">
        <is>
          <t>1件</t>
        </is>
      </c>
      <c r="D68" s="7" t="n">
        <v>800</v>
      </c>
      <c r="E68" s="5" t="inlineStr"/>
    </row>
    <row r="69" ht="18" customHeight="1">
      <c r="A69" s="10" t="inlineStr"/>
      <c r="B69" s="5" t="inlineStr">
        <is>
          <t>书桌-人工费-小型</t>
        </is>
      </c>
      <c r="C69" s="6" t="inlineStr">
        <is>
          <t>1件</t>
        </is>
      </c>
      <c r="D69" s="7" t="n">
        <v>700</v>
      </c>
      <c r="E69" s="5" t="inlineStr"/>
    </row>
    <row r="70" ht="18" customHeight="1">
      <c r="A70" s="10" t="inlineStr"/>
      <c r="B70" s="5" t="inlineStr">
        <is>
          <t>升降桌-人工费-小型</t>
        </is>
      </c>
      <c r="C70" s="6" t="inlineStr">
        <is>
          <t>1件</t>
        </is>
      </c>
      <c r="D70" s="7" t="n">
        <v>600</v>
      </c>
      <c r="E70" s="5" t="inlineStr"/>
    </row>
    <row r="71" ht="18" customHeight="1">
      <c r="A71" s="10" t="inlineStr"/>
      <c r="B71" s="5" t="inlineStr">
        <is>
          <t>鞋柜-人工费-小型</t>
        </is>
      </c>
      <c r="C71" s="6" t="inlineStr">
        <is>
          <t>1件</t>
        </is>
      </c>
      <c r="D71" s="7" t="n">
        <v>900</v>
      </c>
      <c r="E71" s="5" t="inlineStr"/>
    </row>
    <row r="72" ht="18" customHeight="1">
      <c r="A72" s="10" t="inlineStr"/>
      <c r="B72" s="5" t="inlineStr">
        <is>
          <t>衣帽架-人工费-小型</t>
        </is>
      </c>
      <c r="C72" s="6" t="inlineStr">
        <is>
          <t>1件</t>
        </is>
      </c>
      <c r="D72" s="7" t="n">
        <v>300</v>
      </c>
      <c r="E72" s="5" t="inlineStr"/>
    </row>
    <row r="73" ht="18" customHeight="1">
      <c r="A73" s="10" t="inlineStr"/>
      <c r="B73" s="5" t="inlineStr">
        <is>
          <t>床-人工费-中型</t>
        </is>
      </c>
      <c r="C73" s="6" t="inlineStr">
        <is>
          <t>1件</t>
        </is>
      </c>
      <c r="D73" s="7" t="n">
        <v>700</v>
      </c>
      <c r="E73" s="5" t="inlineStr"/>
    </row>
    <row r="74" ht="18" customHeight="1">
      <c r="A74" s="10" t="inlineStr"/>
      <c r="B74" s="5" t="inlineStr">
        <is>
          <t>床头柜-人工费-中型</t>
        </is>
      </c>
      <c r="C74" s="6" t="inlineStr">
        <is>
          <t>1件</t>
        </is>
      </c>
      <c r="D74" s="7" t="n">
        <v>350</v>
      </c>
      <c r="E74" s="5" t="inlineStr"/>
    </row>
    <row r="75" ht="18" customHeight="1">
      <c r="A75" s="10" t="inlineStr"/>
      <c r="B75" s="5" t="inlineStr">
        <is>
          <t>梳妆台-人工费-中型</t>
        </is>
      </c>
      <c r="C75" s="6" t="inlineStr">
        <is>
          <t>1件</t>
        </is>
      </c>
      <c r="D75" s="7" t="n">
        <v>700</v>
      </c>
      <c r="E75" s="5" t="inlineStr"/>
    </row>
    <row r="76" ht="18" customHeight="1">
      <c r="A76" s="10" t="inlineStr"/>
      <c r="B76" s="5" t="inlineStr">
        <is>
          <t>斗柜-人工费-中型</t>
        </is>
      </c>
      <c r="C76" s="6" t="inlineStr">
        <is>
          <t>1件</t>
        </is>
      </c>
      <c r="D76" s="7" t="n">
        <v>800</v>
      </c>
      <c r="E76" s="5" t="inlineStr"/>
    </row>
    <row r="77" ht="18" customHeight="1">
      <c r="A77" s="10" t="inlineStr"/>
      <c r="B77" s="5" t="inlineStr">
        <is>
          <t>镜子-人工费-中型</t>
        </is>
      </c>
      <c r="C77" s="6" t="inlineStr">
        <is>
          <t>1件</t>
        </is>
      </c>
      <c r="D77" s="7" t="n">
        <v>500</v>
      </c>
      <c r="E77" s="5" t="inlineStr"/>
    </row>
    <row r="78" ht="18" customHeight="1">
      <c r="A78" s="10" t="inlineStr"/>
      <c r="B78" s="5" t="inlineStr">
        <is>
          <t>电视柜-人工费-中型</t>
        </is>
      </c>
      <c r="C78" s="6" t="inlineStr">
        <is>
          <t>1件</t>
        </is>
      </c>
      <c r="D78" s="7" t="n">
        <v>800</v>
      </c>
      <c r="E78" s="5" t="inlineStr"/>
    </row>
    <row r="79" ht="18" customHeight="1">
      <c r="A79" s="10" t="inlineStr"/>
      <c r="B79" s="5" t="inlineStr">
        <is>
          <t>茶几-人工费-中型</t>
        </is>
      </c>
      <c r="C79" s="6" t="inlineStr">
        <is>
          <t>1件</t>
        </is>
      </c>
      <c r="D79" s="7" t="n">
        <v>500</v>
      </c>
      <c r="E79" s="5" t="inlineStr"/>
    </row>
    <row r="80" ht="18" customHeight="1">
      <c r="A80" s="10" t="inlineStr"/>
      <c r="B80" s="5" t="inlineStr">
        <is>
          <t>组合柜-人工费-中型</t>
        </is>
      </c>
      <c r="C80" s="6" t="inlineStr">
        <is>
          <t>1件</t>
        </is>
      </c>
      <c r="D80" s="7" t="n">
        <v>436</v>
      </c>
      <c r="E80" s="5" t="inlineStr"/>
    </row>
    <row r="81" ht="18" customHeight="1">
      <c r="A81" s="10" t="inlineStr"/>
      <c r="B81" s="5" t="inlineStr">
        <is>
          <t>小推车-人工费-中型</t>
        </is>
      </c>
      <c r="C81" s="6" t="inlineStr">
        <is>
          <t>1件</t>
        </is>
      </c>
      <c r="D81" s="7" t="n">
        <v>500</v>
      </c>
      <c r="E81" s="5" t="inlineStr"/>
    </row>
    <row r="82" ht="18" customHeight="1">
      <c r="A82" s="10" t="inlineStr"/>
      <c r="B82" s="5" t="inlineStr">
        <is>
          <t>餐边柜-人工费-中型</t>
        </is>
      </c>
      <c r="C82" s="6" t="inlineStr">
        <is>
          <t>1件</t>
        </is>
      </c>
      <c r="D82" s="7" t="n">
        <v>1070</v>
      </c>
      <c r="E82" s="5" t="inlineStr"/>
    </row>
    <row r="83" ht="18" customHeight="1">
      <c r="A83" s="10" t="inlineStr"/>
      <c r="B83" s="5" t="inlineStr">
        <is>
          <t>餐桌-人工费-中型</t>
        </is>
      </c>
      <c r="C83" s="6" t="inlineStr">
        <is>
          <t>1件</t>
        </is>
      </c>
      <c r="D83" s="7" t="n">
        <v>400</v>
      </c>
      <c r="E83" s="5" t="inlineStr"/>
    </row>
    <row r="84" ht="18" customHeight="1">
      <c r="A84" s="10" t="inlineStr"/>
      <c r="B84" s="5" t="inlineStr">
        <is>
          <t>餐凳-人工费-中型</t>
        </is>
      </c>
      <c r="C84" s="6" t="inlineStr">
        <is>
          <t>1件</t>
        </is>
      </c>
      <c r="D84" s="7" t="n">
        <v>350</v>
      </c>
      <c r="E84" s="5" t="inlineStr"/>
    </row>
    <row r="85" ht="18" customHeight="1">
      <c r="A85" s="10" t="inlineStr"/>
      <c r="B85" s="5" t="inlineStr">
        <is>
          <t>岛台-人工费-中型</t>
        </is>
      </c>
      <c r="C85" s="6" t="inlineStr">
        <is>
          <t>1件</t>
        </is>
      </c>
      <c r="D85" s="7" t="n">
        <v>800</v>
      </c>
      <c r="E85" s="5" t="inlineStr"/>
    </row>
    <row r="86" ht="18" customHeight="1">
      <c r="A86" s="10" t="inlineStr"/>
      <c r="B86" s="5" t="inlineStr">
        <is>
          <t>书柜-人工费-中型</t>
        </is>
      </c>
      <c r="C86" s="6" t="inlineStr">
        <is>
          <t>1件</t>
        </is>
      </c>
      <c r="D86" s="7" t="n">
        <v>1000</v>
      </c>
      <c r="E86" s="5" t="inlineStr"/>
    </row>
    <row r="87" ht="18" customHeight="1">
      <c r="A87" s="10" t="inlineStr"/>
      <c r="B87" s="5" t="inlineStr">
        <is>
          <t>书桌-人工费-中型</t>
        </is>
      </c>
      <c r="C87" s="6" t="inlineStr">
        <is>
          <t>1件</t>
        </is>
      </c>
      <c r="D87" s="7" t="n">
        <v>800</v>
      </c>
      <c r="E87" s="5" t="inlineStr"/>
    </row>
    <row r="88" ht="18" customHeight="1">
      <c r="A88" s="10" t="inlineStr"/>
      <c r="B88" s="5" t="inlineStr">
        <is>
          <t>升降桌-人工费-中型</t>
        </is>
      </c>
      <c r="C88" s="6" t="inlineStr">
        <is>
          <t>1件</t>
        </is>
      </c>
      <c r="D88" s="7" t="n">
        <v>700</v>
      </c>
      <c r="E88" s="5" t="inlineStr"/>
    </row>
    <row r="89" ht="18" customHeight="1">
      <c r="A89" s="10" t="inlineStr"/>
      <c r="B89" s="5" t="inlineStr">
        <is>
          <t>鞋柜-人工费-中型</t>
        </is>
      </c>
      <c r="C89" s="6" t="inlineStr">
        <is>
          <t>1件</t>
        </is>
      </c>
      <c r="D89" s="7" t="n">
        <v>1070</v>
      </c>
      <c r="E89" s="5" t="inlineStr"/>
    </row>
    <row r="90" ht="18" customHeight="1">
      <c r="A90" s="10" t="inlineStr"/>
      <c r="B90" s="5" t="inlineStr">
        <is>
          <t>衣帽架-人工费-中型</t>
        </is>
      </c>
      <c r="C90" s="6" t="inlineStr">
        <is>
          <t>1件</t>
        </is>
      </c>
      <c r="D90" s="7" t="n">
        <v>300</v>
      </c>
      <c r="E90" s="5" t="inlineStr"/>
    </row>
    <row r="91" ht="18" customHeight="1">
      <c r="A91" s="10" t="inlineStr"/>
      <c r="B91" s="5" t="inlineStr">
        <is>
          <t>床-人工费-大型</t>
        </is>
      </c>
      <c r="C91" s="6" t="inlineStr">
        <is>
          <t>1件</t>
        </is>
      </c>
      <c r="D91" s="7" t="n">
        <v>780</v>
      </c>
      <c r="E91" s="5" t="inlineStr"/>
    </row>
    <row r="92" ht="18" customHeight="1">
      <c r="A92" s="10" t="inlineStr"/>
      <c r="B92" s="5" t="inlineStr">
        <is>
          <t>床头柜-人工费-大型</t>
        </is>
      </c>
      <c r="C92" s="6" t="inlineStr">
        <is>
          <t>1件</t>
        </is>
      </c>
      <c r="D92" s="7" t="n">
        <v>436</v>
      </c>
      <c r="E92" s="5" t="inlineStr"/>
    </row>
    <row r="93" ht="18" customHeight="1">
      <c r="A93" s="10" t="inlineStr"/>
      <c r="B93" s="5" t="inlineStr">
        <is>
          <t>梳妆台-人工费-大型</t>
        </is>
      </c>
      <c r="C93" s="6" t="inlineStr">
        <is>
          <t>1件</t>
        </is>
      </c>
      <c r="D93" s="7" t="n">
        <v>800</v>
      </c>
      <c r="E93" s="5" t="inlineStr"/>
    </row>
    <row r="94" ht="18" customHeight="1">
      <c r="A94" s="10" t="inlineStr"/>
      <c r="B94" s="5" t="inlineStr">
        <is>
          <t>斗柜-人工费-大型</t>
        </is>
      </c>
      <c r="C94" s="6" t="inlineStr">
        <is>
          <t>1件</t>
        </is>
      </c>
      <c r="D94" s="7" t="n">
        <v>1000</v>
      </c>
      <c r="E94" s="5" t="inlineStr"/>
    </row>
    <row r="95" ht="18" customHeight="1">
      <c r="A95" s="10" t="inlineStr"/>
      <c r="B95" s="5" t="inlineStr">
        <is>
          <t>镜子-人工费-大型</t>
        </is>
      </c>
      <c r="C95" s="6" t="inlineStr">
        <is>
          <t>1件</t>
        </is>
      </c>
      <c r="D95" s="7" t="n">
        <v>600</v>
      </c>
      <c r="E95" s="5" t="inlineStr"/>
    </row>
    <row r="96" ht="18" customHeight="1">
      <c r="A96" s="10" t="inlineStr"/>
      <c r="B96" s="5" t="inlineStr">
        <is>
          <t>电视柜-人工费-大型</t>
        </is>
      </c>
      <c r="C96" s="6" t="inlineStr">
        <is>
          <t>1件</t>
        </is>
      </c>
      <c r="D96" s="7" t="n">
        <v>1000</v>
      </c>
      <c r="E96" s="5" t="inlineStr"/>
    </row>
    <row r="97" ht="18" customHeight="1">
      <c r="A97" s="10" t="inlineStr"/>
      <c r="B97" s="5" t="inlineStr">
        <is>
          <t>茶几-人工费-大型</t>
        </is>
      </c>
      <c r="C97" s="6" t="inlineStr">
        <is>
          <t>1件</t>
        </is>
      </c>
      <c r="D97" s="7" t="n">
        <v>600</v>
      </c>
      <c r="E97" s="5" t="inlineStr"/>
    </row>
    <row r="98" ht="18" customHeight="1">
      <c r="A98" s="10" t="inlineStr"/>
      <c r="B98" s="5" t="inlineStr">
        <is>
          <t>组合柜-人工费-大型</t>
        </is>
      </c>
      <c r="C98" s="6" t="inlineStr">
        <is>
          <t>1件</t>
        </is>
      </c>
      <c r="D98" s="7" t="n">
        <v>500</v>
      </c>
      <c r="E98" s="5" t="inlineStr"/>
    </row>
    <row r="99" ht="18" customHeight="1">
      <c r="A99" s="10" t="inlineStr"/>
      <c r="B99" s="5" t="inlineStr">
        <is>
          <t>小推车-人工费-大型</t>
        </is>
      </c>
      <c r="C99" s="6" t="inlineStr">
        <is>
          <t>1件</t>
        </is>
      </c>
      <c r="D99" s="7" t="n">
        <v>600</v>
      </c>
      <c r="E99" s="5" t="inlineStr"/>
    </row>
    <row r="100" ht="18" customHeight="1">
      <c r="A100" s="10" t="inlineStr"/>
      <c r="B100" s="5" t="inlineStr">
        <is>
          <t>餐边柜-人工费-大型</t>
        </is>
      </c>
      <c r="C100" s="6" t="inlineStr">
        <is>
          <t>1件</t>
        </is>
      </c>
      <c r="D100" s="7" t="n">
        <v>1480</v>
      </c>
      <c r="E100" s="5" t="inlineStr"/>
    </row>
    <row r="101" ht="18" customHeight="1">
      <c r="A101" s="10" t="inlineStr"/>
      <c r="B101" s="5" t="inlineStr">
        <is>
          <t>餐桌-人工费-大型</t>
        </is>
      </c>
      <c r="C101" s="6" t="inlineStr">
        <is>
          <t>1件</t>
        </is>
      </c>
      <c r="D101" s="7" t="n">
        <v>500</v>
      </c>
      <c r="E101" s="5" t="inlineStr"/>
    </row>
    <row r="102" ht="18" customHeight="1">
      <c r="A102" s="10" t="inlineStr"/>
      <c r="B102" s="5" t="inlineStr">
        <is>
          <t>餐凳-人工费-大型</t>
        </is>
      </c>
      <c r="C102" s="6" t="inlineStr">
        <is>
          <t>1件</t>
        </is>
      </c>
      <c r="D102" s="7" t="n">
        <v>400</v>
      </c>
      <c r="E102" s="5" t="inlineStr"/>
    </row>
    <row r="103" ht="18" customHeight="1">
      <c r="A103" s="10" t="inlineStr"/>
      <c r="B103" s="5" t="inlineStr">
        <is>
          <t>岛台-人工费-大型</t>
        </is>
      </c>
      <c r="C103" s="6" t="inlineStr">
        <is>
          <t>1件</t>
        </is>
      </c>
      <c r="D103" s="7" t="n">
        <v>1000</v>
      </c>
      <c r="E103" s="5" t="inlineStr"/>
    </row>
    <row r="104" ht="18" customHeight="1">
      <c r="A104" s="10" t="inlineStr"/>
      <c r="B104" s="5" t="inlineStr">
        <is>
          <t>书柜-人工费-大型</t>
        </is>
      </c>
      <c r="C104" s="6" t="inlineStr">
        <is>
          <t>1件</t>
        </is>
      </c>
      <c r="D104" s="7" t="n">
        <v>1200</v>
      </c>
      <c r="E104" s="5" t="inlineStr"/>
    </row>
    <row r="105" ht="18" customHeight="1">
      <c r="A105" s="10" t="inlineStr"/>
      <c r="B105" s="5" t="inlineStr">
        <is>
          <t>书桌-人工费-大型</t>
        </is>
      </c>
      <c r="C105" s="6" t="inlineStr">
        <is>
          <t>1件</t>
        </is>
      </c>
      <c r="D105" s="7" t="n">
        <v>900</v>
      </c>
      <c r="E105" s="5" t="inlineStr"/>
    </row>
    <row r="106" ht="18" customHeight="1">
      <c r="A106" s="10" t="inlineStr"/>
      <c r="B106" s="5" t="inlineStr">
        <is>
          <t>升降桌-人工费-大型</t>
        </is>
      </c>
      <c r="C106" s="6" t="inlineStr">
        <is>
          <t>1件</t>
        </is>
      </c>
      <c r="D106" s="7" t="n">
        <v>800</v>
      </c>
      <c r="E106" s="5" t="inlineStr"/>
    </row>
    <row r="107" ht="18" customHeight="1">
      <c r="A107" s="10" t="inlineStr"/>
      <c r="B107" s="5" t="inlineStr">
        <is>
          <t>鞋柜-人工费-大型</t>
        </is>
      </c>
      <c r="C107" s="6" t="inlineStr">
        <is>
          <t>1件</t>
        </is>
      </c>
      <c r="D107" s="7" t="n">
        <v>1200</v>
      </c>
      <c r="E107" s="5" t="inlineStr"/>
    </row>
    <row r="108" ht="18" customHeight="1">
      <c r="A108" s="10" t="inlineStr"/>
      <c r="B108" s="5" t="inlineStr">
        <is>
          <t>衣帽架-人工费-大型</t>
        </is>
      </c>
      <c r="C108" s="6" t="inlineStr">
        <is>
          <t>1件</t>
        </is>
      </c>
      <c r="D108" s="7" t="n">
        <v>300</v>
      </c>
      <c r="E108" s="5" t="inlineStr"/>
    </row>
    <row r="109" ht="18" customHeight="1">
      <c r="A109" s="4" t="inlineStr">
        <is>
          <t>打包费用</t>
        </is>
      </c>
      <c r="B109" s="5" t="inlineStr">
        <is>
          <t>打包费用-小型家具</t>
        </is>
      </c>
      <c r="C109" s="6" t="inlineStr">
        <is>
          <t>1件</t>
        </is>
      </c>
      <c r="D109" s="7" t="n">
        <v>100</v>
      </c>
      <c r="E109" s="5" t="inlineStr">
        <is>
          <t>包含类目：床头柜；组合柜；小推车；餐凳；衣帽架；</t>
        </is>
      </c>
    </row>
    <row r="110" ht="18" customHeight="1">
      <c r="A110" s="10" t="inlineStr"/>
      <c r="B110" s="5" t="inlineStr">
        <is>
          <t>打包费用-中型家具</t>
        </is>
      </c>
      <c r="C110" s="6" t="inlineStr">
        <is>
          <t>1件</t>
        </is>
      </c>
      <c r="D110" s="7" t="n">
        <v>200</v>
      </c>
      <c r="E110" s="5" t="inlineStr">
        <is>
          <t xml:space="preserve">包含类目：床；梳妆台；斗柜；镜子；电视柜；茶几；餐桌；升降桌；
</t>
        </is>
      </c>
    </row>
    <row r="111" ht="18" customHeight="1">
      <c r="A111" s="10" t="inlineStr"/>
      <c r="B111" s="5" t="inlineStr">
        <is>
          <t>打包费用-大型家具</t>
        </is>
      </c>
      <c r="C111" s="6" t="inlineStr">
        <is>
          <t>1件</t>
        </is>
      </c>
      <c r="D111" s="7" t="n">
        <v>400</v>
      </c>
      <c r="E111" s="5" t="inlineStr">
        <is>
          <t xml:space="preserve">包含类目：餐边柜；岛台；书柜；书桌；鞋柜；
</t>
        </is>
      </c>
    </row>
    <row r="112" ht="18" customHeight="1">
      <c r="A112" s="4" t="inlineStr">
        <is>
          <t>运费</t>
        </is>
      </c>
      <c r="B112" s="5" t="inlineStr">
        <is>
          <t>运费-小型家具</t>
        </is>
      </c>
      <c r="C112" s="6" t="inlineStr">
        <is>
          <t>1件</t>
        </is>
      </c>
      <c r="D112" s="7" t="n">
        <v>80</v>
      </c>
      <c r="E112" s="5" t="inlineStr"/>
    </row>
    <row r="113" ht="18" customHeight="1">
      <c r="A113" s="10" t="inlineStr"/>
      <c r="B113" s="5" t="inlineStr">
        <is>
          <t>运费-中型家具</t>
        </is>
      </c>
      <c r="C113" s="6" t="inlineStr">
        <is>
          <t>1件</t>
        </is>
      </c>
      <c r="D113" s="7" t="n">
        <v>100</v>
      </c>
      <c r="E113" s="5" t="inlineStr"/>
    </row>
    <row r="114" ht="18" customHeight="1">
      <c r="A114" s="10" t="inlineStr"/>
      <c r="B114" s="5" t="inlineStr">
        <is>
          <t>运费-大型家具</t>
        </is>
      </c>
      <c r="C114" s="6" t="inlineStr">
        <is>
          <t>1件</t>
        </is>
      </c>
      <c r="D114" s="7" t="n">
        <v>300</v>
      </c>
      <c r="E114" s="5" t="inlineStr"/>
    </row>
    <row r="115" ht="18" customHeight="1">
      <c r="A115" s="4" t="inlineStr">
        <is>
          <t>上门安装费</t>
        </is>
      </c>
      <c r="B115" s="5" t="inlineStr">
        <is>
          <t>上门安装费-小型家具</t>
        </is>
      </c>
      <c r="C115" s="6" t="inlineStr">
        <is>
          <t>1件</t>
        </is>
      </c>
      <c r="D115" s="7" t="n">
        <v>50</v>
      </c>
      <c r="E115" s="5" t="inlineStr"/>
    </row>
    <row r="116" ht="18" customHeight="1">
      <c r="A116" s="10" t="inlineStr"/>
      <c r="B116" s="5" t="inlineStr">
        <is>
          <t>上门安装费-中型家具</t>
        </is>
      </c>
      <c r="C116" s="6" t="inlineStr">
        <is>
          <t>1件</t>
        </is>
      </c>
      <c r="D116" s="7" t="n">
        <v>100</v>
      </c>
      <c r="E116" s="5" t="inlineStr"/>
    </row>
    <row r="117" ht="18" customHeight="1">
      <c r="A117" s="10" t="inlineStr"/>
      <c r="B117" s="5" t="inlineStr">
        <is>
          <t>上门安装费-大型家具</t>
        </is>
      </c>
      <c r="C117" s="6" t="inlineStr">
        <is>
          <t>1件</t>
        </is>
      </c>
      <c r="D117" s="7" t="n">
        <v>150</v>
      </c>
      <c r="E117" s="5" t="inlineStr"/>
    </row>
    <row r="118" ht="18" customHeight="1">
      <c r="A118" s="4" t="inlineStr">
        <is>
          <t>工厂利润</t>
        </is>
      </c>
      <c r="B118" s="5" t="inlineStr">
        <is>
          <t>工厂利润系数</t>
        </is>
      </c>
      <c r="C118" s="6" t="inlineStr">
        <is>
          <t>系数</t>
        </is>
      </c>
      <c r="D118" s="7" t="n">
        <v>0.25</v>
      </c>
      <c r="E118" s="5" t="inlineStr"/>
    </row>
    <row r="119" ht="18" customHeight="1">
      <c r="A119" s="4" t="inlineStr">
        <is>
          <t>畔色利润</t>
        </is>
      </c>
      <c r="B119" s="5" t="inlineStr">
        <is>
          <t>畔色利润系数</t>
        </is>
      </c>
      <c r="C119" s="6" t="inlineStr">
        <is>
          <t>系数</t>
        </is>
      </c>
      <c r="D119" s="7" t="n">
        <v>0.15</v>
      </c>
      <c r="E119" s="5" t="inlineStr"/>
    </row>
    <row r="120" ht="18" customHeight="1">
      <c r="A120" s="4" t="inlineStr">
        <is>
          <t>一般人工费</t>
        </is>
      </c>
      <c r="B120" s="5" t="inlineStr">
        <is>
          <t>人工占出厂一般比例</t>
        </is>
      </c>
      <c r="C120" s="6" t="inlineStr">
        <is>
          <t>系数</t>
        </is>
      </c>
      <c r="D120" s="7" t="n">
        <v>0.3</v>
      </c>
      <c r="E120" s="5" t="inlineStr"/>
    </row>
  </sheetData>
  <mergeCells count="2">
    <mergeCell ref="A1:E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2" customWidth="1" min="4" max="4"/>
    <col width="10" customWidth="1" min="5" max="5"/>
    <col width="12" customWidth="1" min="6" max="6"/>
    <col width="14" customWidth="1" min="7" max="7"/>
    <col width="11" customWidth="1" min="8" max="8"/>
    <col width="11" customWidth="1" min="9" max="9"/>
    <col width="9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8" customWidth="1" min="34" max="34"/>
  </cols>
  <sheetData>
    <row r="1" ht="28" customHeight="1">
      <c r="A1" s="12" t="inlineStr">
        <is>
          <t>畔色 轻定制报价表 — 在标准款基础上调整尺寸/材质，自动计算售价</t>
        </is>
      </c>
    </row>
    <row r="2" ht="22" customHeight="1">
      <c r="A2" s="13" t="inlineStr">
        <is>
          <t>产品信息</t>
        </is>
      </c>
      <c r="H2" s="14" t="inlineStr">
        <is>
          <t>标准款成本（等工厂报价填H/I列）</t>
        </is>
      </c>
      <c r="L2" s="3" t="inlineStr">
        <is>
          <t>四档利润率（黄色可改，每产品独立）</t>
        </is>
      </c>
      <c r="P2" s="15" t="inlineStr">
        <is>
          <t>四档售价（自动计算）</t>
        </is>
      </c>
      <c r="T2" s="15" t="inlineStr">
        <is>
          <t>四档实际毛利率（自动）</t>
        </is>
      </c>
      <c r="X2" s="3" t="inlineStr">
        <is>
          <t>轻定制—尺寸调整单价（每±1cm 或 每㎡ 的加减金额）</t>
        </is>
      </c>
      <c r="AF2" s="16" t="inlineStr">
        <is>
          <t>轻定制—换主材差价（手动填，正数=加价，负数=减价）</t>
        </is>
      </c>
      <c r="AH2" s="13" t="inlineStr">
        <is>
          <t>备注</t>
        </is>
      </c>
    </row>
    <row r="3" ht="42" customHeight="1">
      <c r="A3" s="17" t="inlineStr">
        <is>
          <t>产品编码</t>
        </is>
      </c>
      <c r="B3" s="18" t="inlineStr">
        <is>
          <t>类目</t>
        </is>
      </c>
      <c r="C3" s="18" t="inlineStr">
        <is>
          <t>产品名称</t>
        </is>
      </c>
      <c r="D3" s="18" t="inlineStr">
        <is>
          <t>SKU</t>
        </is>
      </c>
      <c r="E3" s="18" t="inlineStr">
        <is>
          <t>主材</t>
        </is>
      </c>
      <c r="F3" s="18" t="inlineStr">
        <is>
          <t>辅材</t>
        </is>
      </c>
      <c r="G3" s="18" t="inlineStr">
        <is>
          <t>尺寸明细</t>
        </is>
      </c>
      <c r="H3" s="19" t="inlineStr">
        <is>
          <t>出厂价
(工厂报价)</t>
        </is>
      </c>
      <c r="I3" s="19" t="inlineStr">
        <is>
          <t>木作成本
(纯材料)</t>
        </is>
      </c>
      <c r="J3" s="19" t="inlineStr">
        <is>
          <t>木材占
木作比</t>
        </is>
      </c>
      <c r="K3" s="20" t="inlineStr">
        <is>
          <t>畔色
总成本</t>
        </is>
      </c>
      <c r="L3" s="19" t="inlineStr">
        <is>
          <t>日常价
利润率</t>
        </is>
      </c>
      <c r="M3" s="19" t="inlineStr">
        <is>
          <t>小促价
利润率</t>
        </is>
      </c>
      <c r="N3" s="19" t="inlineStr">
        <is>
          <t>中促价
利润率</t>
        </is>
      </c>
      <c r="O3" s="19" t="inlineStr">
        <is>
          <t>大促价
利润率</t>
        </is>
      </c>
      <c r="P3" s="21" t="inlineStr">
        <is>
          <t>日常价
(自动)</t>
        </is>
      </c>
      <c r="Q3" s="21" t="inlineStr">
        <is>
          <t>小促价
(自动)</t>
        </is>
      </c>
      <c r="R3" s="21" t="inlineStr">
        <is>
          <t>中促价
(自动)</t>
        </is>
      </c>
      <c r="S3" s="21" t="inlineStr">
        <is>
          <t>大促价
(自动)</t>
        </is>
      </c>
      <c r="T3" s="20" t="inlineStr">
        <is>
          <t>日常
毛利率</t>
        </is>
      </c>
      <c r="U3" s="20" t="inlineStr">
        <is>
          <t>小促
毛利率</t>
        </is>
      </c>
      <c r="V3" s="20" t="inlineStr">
        <is>
          <t>中促
毛利率</t>
        </is>
      </c>
      <c r="W3" s="20" t="inlineStr">
        <is>
          <t>大促
毛利率</t>
        </is>
      </c>
      <c r="X3" s="22" t="inlineStr">
        <is>
          <t>长度
每±1cm</t>
        </is>
      </c>
      <c r="Y3" s="22" t="inlineStr">
        <is>
          <t>宽/深
每±1cm</t>
        </is>
      </c>
      <c r="Z3" s="22" t="inlineStr">
        <is>
          <t>高度
每±1cm</t>
        </is>
      </c>
      <c r="AA3" s="22" t="inlineStr">
        <is>
          <t>顶柜高
每±1cm</t>
        </is>
      </c>
      <c r="AB3" s="22" t="inlineStr">
        <is>
          <t>立收高
每±1cm</t>
        </is>
      </c>
      <c r="AC3" s="22" t="inlineStr">
        <is>
          <t>下柜深
每±1cm</t>
        </is>
      </c>
      <c r="AD3" s="22" t="inlineStr">
        <is>
          <t>追加隔板
每㎡</t>
        </is>
      </c>
      <c r="AE3" s="22" t="inlineStr">
        <is>
          <t>包装物流
加10cm↑</t>
        </is>
      </c>
      <c r="AF3" s="23" t="inlineStr">
        <is>
          <t>改榉木
差价¥</t>
        </is>
      </c>
      <c r="AG3" s="23" t="inlineStr">
        <is>
          <t>改黑胡桃
差价¥</t>
        </is>
      </c>
      <c r="AH3" s="24" t="inlineStr">
        <is>
          <t>备注</t>
        </is>
      </c>
    </row>
    <row r="4" ht="18" customHeight="1">
      <c r="A4" s="25" t="inlineStr">
        <is>
          <t>2633007032099</t>
        </is>
      </c>
      <c r="B4" s="6" t="inlineStr">
        <is>
          <t>卧室-床</t>
        </is>
      </c>
      <c r="C4" s="5" t="inlineStr">
        <is>
          <t>畔色榉木无边床 |榉木金属腿床</t>
        </is>
      </c>
      <c r="D4" s="5" t="inlineStr">
        <is>
          <t>榉木无边床-1.2米-榉木铺板</t>
        </is>
      </c>
      <c r="E4" s="6" t="inlineStr">
        <is>
          <t>未知</t>
        </is>
      </c>
      <c r="F4" s="6" t="inlineStr">
        <is>
          <t>未知</t>
        </is>
      </c>
      <c r="G4" s="5" t="inlineStr">
        <is>
          <t>未知</t>
        </is>
      </c>
      <c r="H4" s="26" t="n">
        <v>0</v>
      </c>
      <c r="I4" s="26" t="n">
        <v>0</v>
      </c>
      <c r="J4" s="27" t="n">
        <v>0.5</v>
      </c>
      <c r="K4" s="28">
        <f>IFERROR(H4,0)</f>
        <v/>
      </c>
      <c r="L4" s="29" t="n">
        <v>0.4676</v>
      </c>
      <c r="M4" s="29" t="n">
        <v>0.2188</v>
      </c>
      <c r="N4" s="29" t="n">
        <v>0.2015</v>
      </c>
      <c r="O4" s="29" t="n">
        <v>0.1833</v>
      </c>
      <c r="P4" s="30">
        <f>IFERROR(IF(K4=0,"待填成本",ROUND(K4/(1-L4),0)),"" )</f>
        <v/>
      </c>
      <c r="Q4" s="30">
        <f>IFERROR(IF(K4=0,"待填成本",ROUND(K4/(1-M4),0)),"" )</f>
        <v/>
      </c>
      <c r="R4" s="30">
        <f>IFERROR(IF(K4=0,"待填成本",ROUND(K4/(1-N4),0)),"" )</f>
        <v/>
      </c>
      <c r="S4" s="30">
        <f>IFERROR(IF(K4=0,"待填成本",ROUND(K4/(1-O4),0)),"" )</f>
        <v/>
      </c>
      <c r="T4" s="31">
        <f>IFERROR(IF(K4=0,"",(P4-K4)/P4),"" )</f>
        <v/>
      </c>
      <c r="U4" s="31">
        <f>IFERROR(IF(K4=0,"",(Q4-K4)/Q4),"" )</f>
        <v/>
      </c>
      <c r="V4" s="31">
        <f>IFERROR(IF(K4=0,"",(R4-K4)/R4),"" )</f>
        <v/>
      </c>
      <c r="W4" s="31">
        <f>IFERROR(IF(K4=0,"",(S4-K4)/S4),"" )</f>
        <v/>
      </c>
      <c r="X4" s="32" t="n"/>
      <c r="Y4" s="32" t="n"/>
      <c r="Z4" s="32" t="n"/>
      <c r="AA4" s="32" t="n"/>
      <c r="AB4" s="32" t="n"/>
      <c r="AC4" s="32" t="n"/>
      <c r="AD4" s="32" t="n"/>
      <c r="AE4" s="32" t="n"/>
      <c r="AF4" s="33" t="n"/>
      <c r="AG4" s="33" t="n"/>
      <c r="AH4" s="5" t="inlineStr"/>
    </row>
    <row r="5" ht="18" customHeight="1">
      <c r="A5" s="25" t="inlineStr">
        <is>
          <t>2633007032099</t>
        </is>
      </c>
      <c r="B5" s="34" t="inlineStr">
        <is>
          <t>卧室-床</t>
        </is>
      </c>
      <c r="C5" s="35" t="inlineStr">
        <is>
          <t>畔色榉木无边床 |榉木金属腿床</t>
        </is>
      </c>
      <c r="D5" s="35" t="inlineStr">
        <is>
          <t>榉木无边床-1.35米-榉木铺板</t>
        </is>
      </c>
      <c r="E5" s="34" t="inlineStr">
        <is>
          <t>未知</t>
        </is>
      </c>
      <c r="F5" s="34" t="inlineStr">
        <is>
          <t>未知</t>
        </is>
      </c>
      <c r="G5" s="35" t="inlineStr">
        <is>
          <t>未知</t>
        </is>
      </c>
      <c r="H5" s="26" t="n">
        <v>0</v>
      </c>
      <c r="I5" s="26" t="n">
        <v>0</v>
      </c>
      <c r="J5" s="27" t="n">
        <v>0.5</v>
      </c>
      <c r="K5" s="28">
        <f>IFERROR(H5,0)</f>
        <v/>
      </c>
      <c r="L5" s="29" t="n">
        <v>0.4676</v>
      </c>
      <c r="M5" s="29" t="n">
        <v>0.2188</v>
      </c>
      <c r="N5" s="29" t="n">
        <v>0.2015</v>
      </c>
      <c r="O5" s="29" t="n">
        <v>0.1833</v>
      </c>
      <c r="P5" s="30">
        <f>IFERROR(IF(K5=0,"待填成本",ROUND(K5/(1-L5),0)),"" )</f>
        <v/>
      </c>
      <c r="Q5" s="30">
        <f>IFERROR(IF(K5=0,"待填成本",ROUND(K5/(1-M5),0)),"" )</f>
        <v/>
      </c>
      <c r="R5" s="30">
        <f>IFERROR(IF(K5=0,"待填成本",ROUND(K5/(1-N5),0)),"" )</f>
        <v/>
      </c>
      <c r="S5" s="30">
        <f>IFERROR(IF(K5=0,"待填成本",ROUND(K5/(1-O5),0)),"" )</f>
        <v/>
      </c>
      <c r="T5" s="31">
        <f>IFERROR(IF(K5=0,"",(P5-K5)/P5),"" )</f>
        <v/>
      </c>
      <c r="U5" s="31">
        <f>IFERROR(IF(K5=0,"",(Q5-K5)/Q5),"" )</f>
        <v/>
      </c>
      <c r="V5" s="31">
        <f>IFERROR(IF(K5=0,"",(R5-K5)/R5),"" )</f>
        <v/>
      </c>
      <c r="W5" s="31">
        <f>IFERROR(IF(K5=0,"",(S5-K5)/S5),"" )</f>
        <v/>
      </c>
      <c r="X5" s="36" t="n"/>
      <c r="Y5" s="36" t="n"/>
      <c r="Z5" s="36" t="n"/>
      <c r="AA5" s="36" t="n"/>
      <c r="AB5" s="36" t="n"/>
      <c r="AC5" s="36" t="n"/>
      <c r="AD5" s="36" t="n"/>
      <c r="AE5" s="36" t="n"/>
      <c r="AF5" s="33" t="n"/>
      <c r="AG5" s="33" t="n"/>
      <c r="AH5" s="35" t="inlineStr"/>
    </row>
    <row r="6" ht="18" customHeight="1">
      <c r="A6" s="25" t="inlineStr">
        <is>
          <t>2633007032099</t>
        </is>
      </c>
      <c r="B6" s="6" t="inlineStr">
        <is>
          <t>卧室-床</t>
        </is>
      </c>
      <c r="C6" s="5" t="inlineStr">
        <is>
          <t>畔色榉木无边床 |榉木金属腿床</t>
        </is>
      </c>
      <c r="D6" s="5" t="inlineStr">
        <is>
          <t>榉木无边床-1.5米-榉木铺板</t>
        </is>
      </c>
      <c r="E6" s="6" t="inlineStr">
        <is>
          <t>未知</t>
        </is>
      </c>
      <c r="F6" s="6" t="inlineStr">
        <is>
          <t>未知</t>
        </is>
      </c>
      <c r="G6" s="5" t="inlineStr">
        <is>
          <t>未知</t>
        </is>
      </c>
      <c r="H6" s="26" t="n">
        <v>0</v>
      </c>
      <c r="I6" s="26" t="n">
        <v>0</v>
      </c>
      <c r="J6" s="27" t="n">
        <v>0.5</v>
      </c>
      <c r="K6" s="28">
        <f>IFERROR(H6,0)</f>
        <v/>
      </c>
      <c r="L6" s="29" t="n">
        <v>0.4676</v>
      </c>
      <c r="M6" s="29" t="n">
        <v>0.2188</v>
      </c>
      <c r="N6" s="29" t="n">
        <v>0.2015</v>
      </c>
      <c r="O6" s="29" t="n">
        <v>0.1833</v>
      </c>
      <c r="P6" s="30">
        <f>IFERROR(IF(K6=0,"待填成本",ROUND(K6/(1-L6),0)),"" )</f>
        <v/>
      </c>
      <c r="Q6" s="30">
        <f>IFERROR(IF(K6=0,"待填成本",ROUND(K6/(1-M6),0)),"" )</f>
        <v/>
      </c>
      <c r="R6" s="30">
        <f>IFERROR(IF(K6=0,"待填成本",ROUND(K6/(1-N6),0)),"" )</f>
        <v/>
      </c>
      <c r="S6" s="30">
        <f>IFERROR(IF(K6=0,"待填成本",ROUND(K6/(1-O6),0)),"" )</f>
        <v/>
      </c>
      <c r="T6" s="31">
        <f>IFERROR(IF(K6=0,"",(P6-K6)/P6),"" )</f>
        <v/>
      </c>
      <c r="U6" s="31">
        <f>IFERROR(IF(K6=0,"",(Q6-K6)/Q6),"" )</f>
        <v/>
      </c>
      <c r="V6" s="31">
        <f>IFERROR(IF(K6=0,"",(R6-K6)/R6),"" )</f>
        <v/>
      </c>
      <c r="W6" s="31">
        <f>IFERROR(IF(K6=0,"",(S6-K6)/S6),"" )</f>
        <v/>
      </c>
      <c r="X6" s="32" t="n"/>
      <c r="Y6" s="32" t="n"/>
      <c r="Z6" s="32" t="n"/>
      <c r="AA6" s="32" t="n"/>
      <c r="AB6" s="32" t="n"/>
      <c r="AC6" s="32" t="n"/>
      <c r="AD6" s="32" t="n"/>
      <c r="AE6" s="32" t="n"/>
      <c r="AF6" s="33" t="n"/>
      <c r="AG6" s="33" t="n"/>
      <c r="AH6" s="5" t="inlineStr"/>
    </row>
    <row r="7" ht="18" customHeight="1">
      <c r="A7" s="25" t="inlineStr">
        <is>
          <t>2633007032099</t>
        </is>
      </c>
      <c r="B7" s="34" t="inlineStr">
        <is>
          <t>卧室-床</t>
        </is>
      </c>
      <c r="C7" s="35" t="inlineStr">
        <is>
          <t>畔色榉木无边床 |榉木金属腿床</t>
        </is>
      </c>
      <c r="D7" s="35" t="inlineStr">
        <is>
          <t>榉木无边床-1.8米-榉木铺板</t>
        </is>
      </c>
      <c r="E7" s="34" t="inlineStr">
        <is>
          <t>未知</t>
        </is>
      </c>
      <c r="F7" s="34" t="inlineStr">
        <is>
          <t>未知</t>
        </is>
      </c>
      <c r="G7" s="35" t="inlineStr">
        <is>
          <t>未知</t>
        </is>
      </c>
      <c r="H7" s="26" t="n">
        <v>0</v>
      </c>
      <c r="I7" s="26" t="n">
        <v>0</v>
      </c>
      <c r="J7" s="27" t="n">
        <v>0.5</v>
      </c>
      <c r="K7" s="28">
        <f>IFERROR(H7,0)</f>
        <v/>
      </c>
      <c r="L7" s="29" t="n">
        <v>0.4676</v>
      </c>
      <c r="M7" s="29" t="n">
        <v>0.2188</v>
      </c>
      <c r="N7" s="29" t="n">
        <v>0.2015</v>
      </c>
      <c r="O7" s="29" t="n">
        <v>0.1833</v>
      </c>
      <c r="P7" s="30">
        <f>IFERROR(IF(K7=0,"待填成本",ROUND(K7/(1-L7),0)),"" )</f>
        <v/>
      </c>
      <c r="Q7" s="30">
        <f>IFERROR(IF(K7=0,"待填成本",ROUND(K7/(1-M7),0)),"" )</f>
        <v/>
      </c>
      <c r="R7" s="30">
        <f>IFERROR(IF(K7=0,"待填成本",ROUND(K7/(1-N7),0)),"" )</f>
        <v/>
      </c>
      <c r="S7" s="30">
        <f>IFERROR(IF(K7=0,"待填成本",ROUND(K7/(1-O7),0)),"" )</f>
        <v/>
      </c>
      <c r="T7" s="31">
        <f>IFERROR(IF(K7=0,"",(P7-K7)/P7),"" )</f>
        <v/>
      </c>
      <c r="U7" s="31">
        <f>IFERROR(IF(K7=0,"",(Q7-K7)/Q7),"" )</f>
        <v/>
      </c>
      <c r="V7" s="31">
        <f>IFERROR(IF(K7=0,"",(R7-K7)/R7),"" )</f>
        <v/>
      </c>
      <c r="W7" s="31">
        <f>IFERROR(IF(K7=0,"",(S7-K7)/S7),"" )</f>
        <v/>
      </c>
      <c r="X7" s="36" t="n"/>
      <c r="Y7" s="36" t="n"/>
      <c r="Z7" s="36" t="n"/>
      <c r="AA7" s="36" t="n"/>
      <c r="AB7" s="36" t="n"/>
      <c r="AC7" s="36" t="n"/>
      <c r="AD7" s="36" t="n"/>
      <c r="AE7" s="36" t="n"/>
      <c r="AF7" s="33" t="n"/>
      <c r="AG7" s="33" t="n"/>
      <c r="AH7" s="35" t="inlineStr"/>
    </row>
    <row r="8" ht="18" customHeight="1">
      <c r="A8" s="25" t="inlineStr">
        <is>
          <t>2633007032099</t>
        </is>
      </c>
      <c r="B8" s="6" t="inlineStr">
        <is>
          <t>卧室-床</t>
        </is>
      </c>
      <c r="C8" s="5" t="inlineStr">
        <is>
          <t>畔色榉木无边床 |榉木金属腿床</t>
        </is>
      </c>
      <c r="D8" s="5" t="inlineStr">
        <is>
          <t>榉木无边床-1.2米-松木铺板</t>
        </is>
      </c>
      <c r="E8" s="6" t="inlineStr">
        <is>
          <t>未知</t>
        </is>
      </c>
      <c r="F8" s="6" t="inlineStr">
        <is>
          <t>未知</t>
        </is>
      </c>
      <c r="G8" s="5" t="inlineStr">
        <is>
          <t>未知</t>
        </is>
      </c>
      <c r="H8" s="26" t="n">
        <v>0</v>
      </c>
      <c r="I8" s="26" t="n">
        <v>0</v>
      </c>
      <c r="J8" s="27" t="n">
        <v>0.5</v>
      </c>
      <c r="K8" s="28">
        <f>IFERROR(H8,0)</f>
        <v/>
      </c>
      <c r="L8" s="29" t="n">
        <v>0.4676</v>
      </c>
      <c r="M8" s="29" t="n">
        <v>0.2188</v>
      </c>
      <c r="N8" s="29" t="n">
        <v>0.2015</v>
      </c>
      <c r="O8" s="29" t="n">
        <v>0.1833</v>
      </c>
      <c r="P8" s="30">
        <f>IFERROR(IF(K8=0,"待填成本",ROUND(K8/(1-L8),0)),"" )</f>
        <v/>
      </c>
      <c r="Q8" s="30">
        <f>IFERROR(IF(K8=0,"待填成本",ROUND(K8/(1-M8),0)),"" )</f>
        <v/>
      </c>
      <c r="R8" s="30">
        <f>IFERROR(IF(K8=0,"待填成本",ROUND(K8/(1-N8),0)),"" )</f>
        <v/>
      </c>
      <c r="S8" s="30">
        <f>IFERROR(IF(K8=0,"待填成本",ROUND(K8/(1-O8),0)),"" )</f>
        <v/>
      </c>
      <c r="T8" s="31">
        <f>IFERROR(IF(K8=0,"",(P8-K8)/P8),"" )</f>
        <v/>
      </c>
      <c r="U8" s="31">
        <f>IFERROR(IF(K8=0,"",(Q8-K8)/Q8),"" )</f>
        <v/>
      </c>
      <c r="V8" s="31">
        <f>IFERROR(IF(K8=0,"",(R8-K8)/R8),"" )</f>
        <v/>
      </c>
      <c r="W8" s="31">
        <f>IFERROR(IF(K8=0,"",(S8-K8)/S8),"" )</f>
        <v/>
      </c>
      <c r="X8" s="32" t="n"/>
      <c r="Y8" s="32" t="n"/>
      <c r="Z8" s="32" t="n"/>
      <c r="AA8" s="32" t="n"/>
      <c r="AB8" s="32" t="n"/>
      <c r="AC8" s="32" t="n"/>
      <c r="AD8" s="32" t="n"/>
      <c r="AE8" s="32" t="n"/>
      <c r="AF8" s="33" t="n"/>
      <c r="AG8" s="33" t="n"/>
      <c r="AH8" s="5" t="inlineStr"/>
    </row>
    <row r="9" ht="18" customHeight="1">
      <c r="A9" s="25" t="inlineStr">
        <is>
          <t>2633007032099</t>
        </is>
      </c>
      <c r="B9" s="34" t="inlineStr">
        <is>
          <t>卧室-床</t>
        </is>
      </c>
      <c r="C9" s="35" t="inlineStr">
        <is>
          <t>畔色榉木无边床 |榉木金属腿床</t>
        </is>
      </c>
      <c r="D9" s="35" t="inlineStr">
        <is>
          <t>榉木无边床-1.35米-松木铺板</t>
        </is>
      </c>
      <c r="E9" s="34" t="inlineStr">
        <is>
          <t>未知</t>
        </is>
      </c>
      <c r="F9" s="34" t="inlineStr">
        <is>
          <t>未知</t>
        </is>
      </c>
      <c r="G9" s="35" t="inlineStr">
        <is>
          <t>未知</t>
        </is>
      </c>
      <c r="H9" s="26" t="n">
        <v>0</v>
      </c>
      <c r="I9" s="26" t="n">
        <v>0</v>
      </c>
      <c r="J9" s="27" t="n">
        <v>0.5</v>
      </c>
      <c r="K9" s="28">
        <f>IFERROR(H9,0)</f>
        <v/>
      </c>
      <c r="L9" s="29" t="n">
        <v>0.4676</v>
      </c>
      <c r="M9" s="29" t="n">
        <v>0.2188</v>
      </c>
      <c r="N9" s="29" t="n">
        <v>0.2015</v>
      </c>
      <c r="O9" s="29" t="n">
        <v>0.1833</v>
      </c>
      <c r="P9" s="30">
        <f>IFERROR(IF(K9=0,"待填成本",ROUND(K9/(1-L9),0)),"" )</f>
        <v/>
      </c>
      <c r="Q9" s="30">
        <f>IFERROR(IF(K9=0,"待填成本",ROUND(K9/(1-M9),0)),"" )</f>
        <v/>
      </c>
      <c r="R9" s="30">
        <f>IFERROR(IF(K9=0,"待填成本",ROUND(K9/(1-N9),0)),"" )</f>
        <v/>
      </c>
      <c r="S9" s="30">
        <f>IFERROR(IF(K9=0,"待填成本",ROUND(K9/(1-O9),0)),"" )</f>
        <v/>
      </c>
      <c r="T9" s="31">
        <f>IFERROR(IF(K9=0,"",(P9-K9)/P9),"" )</f>
        <v/>
      </c>
      <c r="U9" s="31">
        <f>IFERROR(IF(K9=0,"",(Q9-K9)/Q9),"" )</f>
        <v/>
      </c>
      <c r="V9" s="31">
        <f>IFERROR(IF(K9=0,"",(R9-K9)/R9),"" )</f>
        <v/>
      </c>
      <c r="W9" s="31">
        <f>IFERROR(IF(K9=0,"",(S9-K9)/S9),"" )</f>
        <v/>
      </c>
      <c r="X9" s="36" t="n"/>
      <c r="Y9" s="36" t="n"/>
      <c r="Z9" s="36" t="n"/>
      <c r="AA9" s="36" t="n"/>
      <c r="AB9" s="36" t="n"/>
      <c r="AC9" s="36" t="n"/>
      <c r="AD9" s="36" t="n"/>
      <c r="AE9" s="36" t="n"/>
      <c r="AF9" s="33" t="n"/>
      <c r="AG9" s="33" t="n"/>
      <c r="AH9" s="35" t="inlineStr"/>
    </row>
    <row r="10" ht="18" customHeight="1">
      <c r="A10" s="25" t="inlineStr">
        <is>
          <t>2633007032099</t>
        </is>
      </c>
      <c r="B10" s="6" t="inlineStr">
        <is>
          <t>卧室-床</t>
        </is>
      </c>
      <c r="C10" s="5" t="inlineStr">
        <is>
          <t>畔色榉木无边床 |榉木金属腿床</t>
        </is>
      </c>
      <c r="D10" s="5" t="inlineStr">
        <is>
          <t>榉木无边床-1.5米-松木铺板</t>
        </is>
      </c>
      <c r="E10" s="6" t="inlineStr">
        <is>
          <t>未知</t>
        </is>
      </c>
      <c r="F10" s="6" t="inlineStr">
        <is>
          <t>未知</t>
        </is>
      </c>
      <c r="G10" s="5" t="inlineStr">
        <is>
          <t>未知</t>
        </is>
      </c>
      <c r="H10" s="26" t="n">
        <v>0</v>
      </c>
      <c r="I10" s="26" t="n">
        <v>0</v>
      </c>
      <c r="J10" s="27" t="n">
        <v>0.5</v>
      </c>
      <c r="K10" s="28">
        <f>IFERROR(H10,0)</f>
        <v/>
      </c>
      <c r="L10" s="29" t="n">
        <v>0.4676</v>
      </c>
      <c r="M10" s="29" t="n">
        <v>0.2188</v>
      </c>
      <c r="N10" s="29" t="n">
        <v>0.2015</v>
      </c>
      <c r="O10" s="29" t="n">
        <v>0.1833</v>
      </c>
      <c r="P10" s="30">
        <f>IFERROR(IF(K10=0,"待填成本",ROUND(K10/(1-L10),0)),"" )</f>
        <v/>
      </c>
      <c r="Q10" s="30">
        <f>IFERROR(IF(K10=0,"待填成本",ROUND(K10/(1-M10),0)),"" )</f>
        <v/>
      </c>
      <c r="R10" s="30">
        <f>IFERROR(IF(K10=0,"待填成本",ROUND(K10/(1-N10),0)),"" )</f>
        <v/>
      </c>
      <c r="S10" s="30">
        <f>IFERROR(IF(K10=0,"待填成本",ROUND(K10/(1-O10),0)),"" )</f>
        <v/>
      </c>
      <c r="T10" s="31">
        <f>IFERROR(IF(K10=0,"",(P10-K10)/P10),"" )</f>
        <v/>
      </c>
      <c r="U10" s="31">
        <f>IFERROR(IF(K10=0,"",(Q10-K10)/Q10),"" )</f>
        <v/>
      </c>
      <c r="V10" s="31">
        <f>IFERROR(IF(K10=0,"",(R10-K10)/R10),"" )</f>
        <v/>
      </c>
      <c r="W10" s="31">
        <f>IFERROR(IF(K10=0,"",(S10-K10)/S10),"" )</f>
        <v/>
      </c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3" t="n"/>
      <c r="AH10" s="5" t="inlineStr"/>
    </row>
    <row r="11" ht="18" customHeight="1">
      <c r="A11" s="25" t="inlineStr">
        <is>
          <t>2633007032099</t>
        </is>
      </c>
      <c r="B11" s="34" t="inlineStr">
        <is>
          <t>卧室-床</t>
        </is>
      </c>
      <c r="C11" s="35" t="inlineStr">
        <is>
          <t>畔色榉木无边床 |榉木金属腿床</t>
        </is>
      </c>
      <c r="D11" s="35" t="inlineStr">
        <is>
          <t>榉木无边床-1.8米-松木铺板</t>
        </is>
      </c>
      <c r="E11" s="34" t="inlineStr">
        <is>
          <t>未知</t>
        </is>
      </c>
      <c r="F11" s="34" t="inlineStr">
        <is>
          <t>未知</t>
        </is>
      </c>
      <c r="G11" s="35" t="inlineStr">
        <is>
          <t>未知</t>
        </is>
      </c>
      <c r="H11" s="26" t="n">
        <v>0</v>
      </c>
      <c r="I11" s="26" t="n">
        <v>0</v>
      </c>
      <c r="J11" s="27" t="n">
        <v>0.5</v>
      </c>
      <c r="K11" s="28">
        <f>IFERROR(H11,0)</f>
        <v/>
      </c>
      <c r="L11" s="29" t="n">
        <v>0.4676</v>
      </c>
      <c r="M11" s="29" t="n">
        <v>0.2188</v>
      </c>
      <c r="N11" s="29" t="n">
        <v>0.2015</v>
      </c>
      <c r="O11" s="29" t="n">
        <v>0.1833</v>
      </c>
      <c r="P11" s="30">
        <f>IFERROR(IF(K11=0,"待填成本",ROUND(K11/(1-L11),0)),"" )</f>
        <v/>
      </c>
      <c r="Q11" s="30">
        <f>IFERROR(IF(K11=0,"待填成本",ROUND(K11/(1-M11),0)),"" )</f>
        <v/>
      </c>
      <c r="R11" s="30">
        <f>IFERROR(IF(K11=0,"待填成本",ROUND(K11/(1-N11),0)),"" )</f>
        <v/>
      </c>
      <c r="S11" s="30">
        <f>IFERROR(IF(K11=0,"待填成本",ROUND(K11/(1-O11),0)),"" )</f>
        <v/>
      </c>
      <c r="T11" s="31">
        <f>IFERROR(IF(K11=0,"",(P11-K11)/P11),"" )</f>
        <v/>
      </c>
      <c r="U11" s="31">
        <f>IFERROR(IF(K11=0,"",(Q11-K11)/Q11),"" )</f>
        <v/>
      </c>
      <c r="V11" s="31">
        <f>IFERROR(IF(K11=0,"",(R11-K11)/R11),"" )</f>
        <v/>
      </c>
      <c r="W11" s="31">
        <f>IFERROR(IF(K11=0,"",(S11-K11)/S11),"" )</f>
        <v/>
      </c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3" t="n"/>
      <c r="AG11" s="33" t="n"/>
      <c r="AH11" s="35" t="inlineStr"/>
    </row>
    <row r="12" ht="18" customHeight="1">
      <c r="A12" s="25" t="inlineStr">
        <is>
          <t>2633008032299</t>
        </is>
      </c>
      <c r="B12" s="6" t="inlineStr">
        <is>
          <t>卧室-床</t>
        </is>
      </c>
      <c r="C12" s="5" t="inlineStr">
        <is>
          <t>畔色榉木柔光双人床 |榉木小灯床</t>
        </is>
      </c>
      <c r="D12" s="5" t="inlineStr">
        <is>
          <t>榉木柔光床-1.2米-榉木铺板</t>
        </is>
      </c>
      <c r="E12" s="6" t="inlineStr">
        <is>
          <t>未知</t>
        </is>
      </c>
      <c r="F12" s="6" t="inlineStr">
        <is>
          <t>未知</t>
        </is>
      </c>
      <c r="G12" s="5" t="inlineStr">
        <is>
          <t>未知</t>
        </is>
      </c>
      <c r="H12" s="26" t="n">
        <v>0</v>
      </c>
      <c r="I12" s="26" t="n">
        <v>0</v>
      </c>
      <c r="J12" s="27" t="n">
        <v>0.5</v>
      </c>
      <c r="K12" s="28">
        <f>IFERROR(H12,0)</f>
        <v/>
      </c>
      <c r="L12" s="29" t="n">
        <v>0.4676</v>
      </c>
      <c r="M12" s="29" t="n">
        <v>0.2188</v>
      </c>
      <c r="N12" s="29" t="n">
        <v>0.2015</v>
      </c>
      <c r="O12" s="29" t="n">
        <v>0.1833</v>
      </c>
      <c r="P12" s="30">
        <f>IFERROR(IF(K12=0,"待填成本",ROUND(K12/(1-L12),0)),"" )</f>
        <v/>
      </c>
      <c r="Q12" s="30">
        <f>IFERROR(IF(K12=0,"待填成本",ROUND(K12/(1-M12),0)),"" )</f>
        <v/>
      </c>
      <c r="R12" s="30">
        <f>IFERROR(IF(K12=0,"待填成本",ROUND(K12/(1-N12),0)),"" )</f>
        <v/>
      </c>
      <c r="S12" s="30">
        <f>IFERROR(IF(K12=0,"待填成本",ROUND(K12/(1-O12),0)),"" )</f>
        <v/>
      </c>
      <c r="T12" s="31">
        <f>IFERROR(IF(K12=0,"",(P12-K12)/P12),"" )</f>
        <v/>
      </c>
      <c r="U12" s="31">
        <f>IFERROR(IF(K12=0,"",(Q12-K12)/Q12),"" )</f>
        <v/>
      </c>
      <c r="V12" s="31">
        <f>IFERROR(IF(K12=0,"",(R12-K12)/R12),"" )</f>
        <v/>
      </c>
      <c r="W12" s="31">
        <f>IFERROR(IF(K12=0,"",(S12-K12)/S12),"" )</f>
        <v/>
      </c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3" t="n"/>
      <c r="AG12" s="33" t="n"/>
      <c r="AH12" s="5" t="inlineStr"/>
    </row>
    <row r="13" ht="18" customHeight="1">
      <c r="A13" s="25" t="inlineStr">
        <is>
          <t>2633008032299</t>
        </is>
      </c>
      <c r="B13" s="34" t="inlineStr">
        <is>
          <t>卧室-床</t>
        </is>
      </c>
      <c r="C13" s="35" t="inlineStr">
        <is>
          <t>畔色榉木柔光双人床 |榉木小灯床</t>
        </is>
      </c>
      <c r="D13" s="35" t="inlineStr">
        <is>
          <t>榉木柔光床-1.35米-榉木铺板</t>
        </is>
      </c>
      <c r="E13" s="34" t="inlineStr">
        <is>
          <t>未知</t>
        </is>
      </c>
      <c r="F13" s="34" t="inlineStr">
        <is>
          <t>未知</t>
        </is>
      </c>
      <c r="G13" s="35" t="inlineStr">
        <is>
          <t>未知</t>
        </is>
      </c>
      <c r="H13" s="26" t="n">
        <v>0</v>
      </c>
      <c r="I13" s="26" t="n">
        <v>0</v>
      </c>
      <c r="J13" s="27" t="n">
        <v>0.5</v>
      </c>
      <c r="K13" s="28">
        <f>IFERROR(H13,0)</f>
        <v/>
      </c>
      <c r="L13" s="29" t="n">
        <v>0.4676</v>
      </c>
      <c r="M13" s="29" t="n">
        <v>0.2188</v>
      </c>
      <c r="N13" s="29" t="n">
        <v>0.2015</v>
      </c>
      <c r="O13" s="29" t="n">
        <v>0.1833</v>
      </c>
      <c r="P13" s="30">
        <f>IFERROR(IF(K13=0,"待填成本",ROUND(K13/(1-L13),0)),"" )</f>
        <v/>
      </c>
      <c r="Q13" s="30">
        <f>IFERROR(IF(K13=0,"待填成本",ROUND(K13/(1-M13),0)),"" )</f>
        <v/>
      </c>
      <c r="R13" s="30">
        <f>IFERROR(IF(K13=0,"待填成本",ROUND(K13/(1-N13),0)),"" )</f>
        <v/>
      </c>
      <c r="S13" s="30">
        <f>IFERROR(IF(K13=0,"待填成本",ROUND(K13/(1-O13),0)),"" )</f>
        <v/>
      </c>
      <c r="T13" s="31">
        <f>IFERROR(IF(K13=0,"",(P13-K13)/P13),"" )</f>
        <v/>
      </c>
      <c r="U13" s="31">
        <f>IFERROR(IF(K13=0,"",(Q13-K13)/Q13),"" )</f>
        <v/>
      </c>
      <c r="V13" s="31">
        <f>IFERROR(IF(K13=0,"",(R13-K13)/R13),"" )</f>
        <v/>
      </c>
      <c r="W13" s="31">
        <f>IFERROR(IF(K13=0,"",(S13-K13)/S13),"" )</f>
        <v/>
      </c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3" t="n"/>
      <c r="AG13" s="33" t="n"/>
      <c r="AH13" s="35" t="inlineStr"/>
    </row>
    <row r="14" ht="18" customHeight="1">
      <c r="A14" s="25" t="inlineStr">
        <is>
          <t>2633008032299</t>
        </is>
      </c>
      <c r="B14" s="6" t="inlineStr">
        <is>
          <t>卧室-床</t>
        </is>
      </c>
      <c r="C14" s="5" t="inlineStr">
        <is>
          <t>畔色榉木柔光双人床 |榉木小灯床</t>
        </is>
      </c>
      <c r="D14" s="5" t="inlineStr">
        <is>
          <t>榉木柔光床-1.5米-榉木铺板</t>
        </is>
      </c>
      <c r="E14" s="6" t="inlineStr">
        <is>
          <t>未知</t>
        </is>
      </c>
      <c r="F14" s="6" t="inlineStr">
        <is>
          <t>未知</t>
        </is>
      </c>
      <c r="G14" s="5" t="inlineStr">
        <is>
          <t>未知</t>
        </is>
      </c>
      <c r="H14" s="26" t="n">
        <v>0</v>
      </c>
      <c r="I14" s="26" t="n">
        <v>0</v>
      </c>
      <c r="J14" s="27" t="n">
        <v>0.5</v>
      </c>
      <c r="K14" s="28">
        <f>IFERROR(H14,0)</f>
        <v/>
      </c>
      <c r="L14" s="29" t="n">
        <v>0.4676</v>
      </c>
      <c r="M14" s="29" t="n">
        <v>0.2188</v>
      </c>
      <c r="N14" s="29" t="n">
        <v>0.2015</v>
      </c>
      <c r="O14" s="29" t="n">
        <v>0.1833</v>
      </c>
      <c r="P14" s="30">
        <f>IFERROR(IF(K14=0,"待填成本",ROUND(K14/(1-L14),0)),"" )</f>
        <v/>
      </c>
      <c r="Q14" s="30">
        <f>IFERROR(IF(K14=0,"待填成本",ROUND(K14/(1-M14),0)),"" )</f>
        <v/>
      </c>
      <c r="R14" s="30">
        <f>IFERROR(IF(K14=0,"待填成本",ROUND(K14/(1-N14),0)),"" )</f>
        <v/>
      </c>
      <c r="S14" s="30">
        <f>IFERROR(IF(K14=0,"待填成本",ROUND(K14/(1-O14),0)),"" )</f>
        <v/>
      </c>
      <c r="T14" s="31">
        <f>IFERROR(IF(K14=0,"",(P14-K14)/P14),"" )</f>
        <v/>
      </c>
      <c r="U14" s="31">
        <f>IFERROR(IF(K14=0,"",(Q14-K14)/Q14),"" )</f>
        <v/>
      </c>
      <c r="V14" s="31">
        <f>IFERROR(IF(K14=0,"",(R14-K14)/R14),"" )</f>
        <v/>
      </c>
      <c r="W14" s="31">
        <f>IFERROR(IF(K14=0,"",(S14-K14)/S14),"" )</f>
        <v/>
      </c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3" t="n"/>
      <c r="AG14" s="33" t="n"/>
      <c r="AH14" s="5" t="inlineStr"/>
    </row>
    <row r="15" ht="18" customHeight="1">
      <c r="A15" s="25" t="inlineStr">
        <is>
          <t>2633008032299</t>
        </is>
      </c>
      <c r="B15" s="34" t="inlineStr">
        <is>
          <t>卧室-床</t>
        </is>
      </c>
      <c r="C15" s="35" t="inlineStr">
        <is>
          <t>畔色榉木柔光双人床 |榉木小灯床</t>
        </is>
      </c>
      <c r="D15" s="35" t="inlineStr">
        <is>
          <t>榉木柔光床-1.8米-榉木铺板</t>
        </is>
      </c>
      <c r="E15" s="34" t="inlineStr">
        <is>
          <t>未知</t>
        </is>
      </c>
      <c r="F15" s="34" t="inlineStr">
        <is>
          <t>未知</t>
        </is>
      </c>
      <c r="G15" s="35" t="inlineStr">
        <is>
          <t>未知</t>
        </is>
      </c>
      <c r="H15" s="26" t="n">
        <v>0</v>
      </c>
      <c r="I15" s="26" t="n">
        <v>0</v>
      </c>
      <c r="J15" s="27" t="n">
        <v>0.5</v>
      </c>
      <c r="K15" s="28">
        <f>IFERROR(H15,0)</f>
        <v/>
      </c>
      <c r="L15" s="29" t="n">
        <v>0.4676</v>
      </c>
      <c r="M15" s="29" t="n">
        <v>0.2188</v>
      </c>
      <c r="N15" s="29" t="n">
        <v>0.2015</v>
      </c>
      <c r="O15" s="29" t="n">
        <v>0.1833</v>
      </c>
      <c r="P15" s="30">
        <f>IFERROR(IF(K15=0,"待填成本",ROUND(K15/(1-L15),0)),"" )</f>
        <v/>
      </c>
      <c r="Q15" s="30">
        <f>IFERROR(IF(K15=0,"待填成本",ROUND(K15/(1-M15),0)),"" )</f>
        <v/>
      </c>
      <c r="R15" s="30">
        <f>IFERROR(IF(K15=0,"待填成本",ROUND(K15/(1-N15),0)),"" )</f>
        <v/>
      </c>
      <c r="S15" s="30">
        <f>IFERROR(IF(K15=0,"待填成本",ROUND(K15/(1-O15),0)),"" )</f>
        <v/>
      </c>
      <c r="T15" s="31">
        <f>IFERROR(IF(K15=0,"",(P15-K15)/P15),"" )</f>
        <v/>
      </c>
      <c r="U15" s="31">
        <f>IFERROR(IF(K15=0,"",(Q15-K15)/Q15),"" )</f>
        <v/>
      </c>
      <c r="V15" s="31">
        <f>IFERROR(IF(K15=0,"",(R15-K15)/R15),"" )</f>
        <v/>
      </c>
      <c r="W15" s="31">
        <f>IFERROR(IF(K15=0,"",(S15-K15)/S15),"" )</f>
        <v/>
      </c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3" t="n"/>
      <c r="AG15" s="33" t="n"/>
      <c r="AH15" s="35" t="inlineStr"/>
    </row>
    <row r="16" ht="18" customHeight="1">
      <c r="A16" s="25" t="inlineStr">
        <is>
          <t>2633008032299</t>
        </is>
      </c>
      <c r="B16" s="6" t="inlineStr">
        <is>
          <t>卧室-床</t>
        </is>
      </c>
      <c r="C16" s="5" t="inlineStr">
        <is>
          <t>畔色榉木柔光双人床 |榉木小灯床</t>
        </is>
      </c>
      <c r="D16" s="5" t="inlineStr">
        <is>
          <t>榉木柔光床-1.2米-松木铺板</t>
        </is>
      </c>
      <c r="E16" s="6" t="inlineStr">
        <is>
          <t>未知</t>
        </is>
      </c>
      <c r="F16" s="6" t="inlineStr">
        <is>
          <t>未知</t>
        </is>
      </c>
      <c r="G16" s="5" t="inlineStr">
        <is>
          <t>未知</t>
        </is>
      </c>
      <c r="H16" s="26" t="n">
        <v>0</v>
      </c>
      <c r="I16" s="26" t="n">
        <v>0</v>
      </c>
      <c r="J16" s="27" t="n">
        <v>0.5</v>
      </c>
      <c r="K16" s="28">
        <f>IFERROR(H16,0)</f>
        <v/>
      </c>
      <c r="L16" s="29" t="n">
        <v>0.4676</v>
      </c>
      <c r="M16" s="29" t="n">
        <v>0.2188</v>
      </c>
      <c r="N16" s="29" t="n">
        <v>0.2015</v>
      </c>
      <c r="O16" s="29" t="n">
        <v>0.1833</v>
      </c>
      <c r="P16" s="30">
        <f>IFERROR(IF(K16=0,"待填成本",ROUND(K16/(1-L16),0)),"" )</f>
        <v/>
      </c>
      <c r="Q16" s="30">
        <f>IFERROR(IF(K16=0,"待填成本",ROUND(K16/(1-M16),0)),"" )</f>
        <v/>
      </c>
      <c r="R16" s="30">
        <f>IFERROR(IF(K16=0,"待填成本",ROUND(K16/(1-N16),0)),"" )</f>
        <v/>
      </c>
      <c r="S16" s="30">
        <f>IFERROR(IF(K16=0,"待填成本",ROUND(K16/(1-O16),0)),"" )</f>
        <v/>
      </c>
      <c r="T16" s="31">
        <f>IFERROR(IF(K16=0,"",(P16-K16)/P16),"" )</f>
        <v/>
      </c>
      <c r="U16" s="31">
        <f>IFERROR(IF(K16=0,"",(Q16-K16)/Q16),"" )</f>
        <v/>
      </c>
      <c r="V16" s="31">
        <f>IFERROR(IF(K16=0,"",(R16-K16)/R16),"" )</f>
        <v/>
      </c>
      <c r="W16" s="31">
        <f>IFERROR(IF(K16=0,"",(S16-K16)/S16),"" )</f>
        <v/>
      </c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3" t="n"/>
      <c r="AG16" s="33" t="n"/>
      <c r="AH16" s="5" t="inlineStr"/>
    </row>
    <row r="17" ht="18" customHeight="1">
      <c r="A17" s="25" t="inlineStr">
        <is>
          <t>2633008032299</t>
        </is>
      </c>
      <c r="B17" s="34" t="inlineStr">
        <is>
          <t>卧室-床</t>
        </is>
      </c>
      <c r="C17" s="35" t="inlineStr">
        <is>
          <t>畔色榉木柔光双人床 |榉木小灯床</t>
        </is>
      </c>
      <c r="D17" s="35" t="inlineStr">
        <is>
          <t>榉木柔光床-1.35米-松木铺板</t>
        </is>
      </c>
      <c r="E17" s="34" t="inlineStr">
        <is>
          <t>未知</t>
        </is>
      </c>
      <c r="F17" s="34" t="inlineStr">
        <is>
          <t>未知</t>
        </is>
      </c>
      <c r="G17" s="35" t="inlineStr">
        <is>
          <t>未知</t>
        </is>
      </c>
      <c r="H17" s="26" t="n">
        <v>0</v>
      </c>
      <c r="I17" s="26" t="n">
        <v>0</v>
      </c>
      <c r="J17" s="27" t="n">
        <v>0.5</v>
      </c>
      <c r="K17" s="28">
        <f>IFERROR(H17,0)</f>
        <v/>
      </c>
      <c r="L17" s="29" t="n">
        <v>0.4676</v>
      </c>
      <c r="M17" s="29" t="n">
        <v>0.2188</v>
      </c>
      <c r="N17" s="29" t="n">
        <v>0.2015</v>
      </c>
      <c r="O17" s="29" t="n">
        <v>0.1833</v>
      </c>
      <c r="P17" s="30">
        <f>IFERROR(IF(K17=0,"待填成本",ROUND(K17/(1-L17),0)),"" )</f>
        <v/>
      </c>
      <c r="Q17" s="30">
        <f>IFERROR(IF(K17=0,"待填成本",ROUND(K17/(1-M17),0)),"" )</f>
        <v/>
      </c>
      <c r="R17" s="30">
        <f>IFERROR(IF(K17=0,"待填成本",ROUND(K17/(1-N17),0)),"" )</f>
        <v/>
      </c>
      <c r="S17" s="30">
        <f>IFERROR(IF(K17=0,"待填成本",ROUND(K17/(1-O17),0)),"" )</f>
        <v/>
      </c>
      <c r="T17" s="31">
        <f>IFERROR(IF(K17=0,"",(P17-K17)/P17),"" )</f>
        <v/>
      </c>
      <c r="U17" s="31">
        <f>IFERROR(IF(K17=0,"",(Q17-K17)/Q17),"" )</f>
        <v/>
      </c>
      <c r="V17" s="31">
        <f>IFERROR(IF(K17=0,"",(R17-K17)/R17),"" )</f>
        <v/>
      </c>
      <c r="W17" s="31">
        <f>IFERROR(IF(K17=0,"",(S17-K17)/S17),"" )</f>
        <v/>
      </c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3" t="n"/>
      <c r="AG17" s="33" t="n"/>
      <c r="AH17" s="35" t="inlineStr"/>
    </row>
    <row r="18" ht="18" customHeight="1">
      <c r="A18" s="25" t="inlineStr">
        <is>
          <t>2633008032299</t>
        </is>
      </c>
      <c r="B18" s="6" t="inlineStr">
        <is>
          <t>卧室-床</t>
        </is>
      </c>
      <c r="C18" s="5" t="inlineStr">
        <is>
          <t>畔色榉木柔光双人床 |榉木小灯床</t>
        </is>
      </c>
      <c r="D18" s="5" t="inlineStr">
        <is>
          <t>榉木柔光床-1.5米-松木铺板</t>
        </is>
      </c>
      <c r="E18" s="6" t="inlineStr">
        <is>
          <t>未知</t>
        </is>
      </c>
      <c r="F18" s="6" t="inlineStr">
        <is>
          <t>未知</t>
        </is>
      </c>
      <c r="G18" s="5" t="inlineStr">
        <is>
          <t>未知</t>
        </is>
      </c>
      <c r="H18" s="26" t="n">
        <v>0</v>
      </c>
      <c r="I18" s="26" t="n">
        <v>0</v>
      </c>
      <c r="J18" s="27" t="n">
        <v>0.5</v>
      </c>
      <c r="K18" s="28">
        <f>IFERROR(H18,0)</f>
        <v/>
      </c>
      <c r="L18" s="29" t="n">
        <v>0.4676</v>
      </c>
      <c r="M18" s="29" t="n">
        <v>0.2188</v>
      </c>
      <c r="N18" s="29" t="n">
        <v>0.2015</v>
      </c>
      <c r="O18" s="29" t="n">
        <v>0.1833</v>
      </c>
      <c r="P18" s="30">
        <f>IFERROR(IF(K18=0,"待填成本",ROUND(K18/(1-L18),0)),"" )</f>
        <v/>
      </c>
      <c r="Q18" s="30">
        <f>IFERROR(IF(K18=0,"待填成本",ROUND(K18/(1-M18),0)),"" )</f>
        <v/>
      </c>
      <c r="R18" s="30">
        <f>IFERROR(IF(K18=0,"待填成本",ROUND(K18/(1-N18),0)),"" )</f>
        <v/>
      </c>
      <c r="S18" s="30">
        <f>IFERROR(IF(K18=0,"待填成本",ROUND(K18/(1-O18),0)),"" )</f>
        <v/>
      </c>
      <c r="T18" s="31">
        <f>IFERROR(IF(K18=0,"",(P18-K18)/P18),"" )</f>
        <v/>
      </c>
      <c r="U18" s="31">
        <f>IFERROR(IF(K18=0,"",(Q18-K18)/Q18),"" )</f>
        <v/>
      </c>
      <c r="V18" s="31">
        <f>IFERROR(IF(K18=0,"",(R18-K18)/R18),"" )</f>
        <v/>
      </c>
      <c r="W18" s="31">
        <f>IFERROR(IF(K18=0,"",(S18-K18)/S18),"" )</f>
        <v/>
      </c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3" t="n"/>
      <c r="AG18" s="33" t="n"/>
      <c r="AH18" s="5" t="inlineStr"/>
    </row>
    <row r="19" ht="18" customHeight="1">
      <c r="A19" s="25" t="inlineStr">
        <is>
          <t>2633008032299</t>
        </is>
      </c>
      <c r="B19" s="34" t="inlineStr">
        <is>
          <t>卧室-床</t>
        </is>
      </c>
      <c r="C19" s="35" t="inlineStr">
        <is>
          <t>畔色榉木柔光双人床 |榉木小灯床</t>
        </is>
      </c>
      <c r="D19" s="35" t="inlineStr">
        <is>
          <t>榉木柔光床-1.8米-松木铺板</t>
        </is>
      </c>
      <c r="E19" s="34" t="inlineStr">
        <is>
          <t>未知</t>
        </is>
      </c>
      <c r="F19" s="34" t="inlineStr">
        <is>
          <t>未知</t>
        </is>
      </c>
      <c r="G19" s="35" t="inlineStr">
        <is>
          <t>未知</t>
        </is>
      </c>
      <c r="H19" s="26" t="n">
        <v>0</v>
      </c>
      <c r="I19" s="26" t="n">
        <v>0</v>
      </c>
      <c r="J19" s="27" t="n">
        <v>0.5</v>
      </c>
      <c r="K19" s="28">
        <f>IFERROR(H19,0)</f>
        <v/>
      </c>
      <c r="L19" s="29" t="n">
        <v>0.4676</v>
      </c>
      <c r="M19" s="29" t="n">
        <v>0.2188</v>
      </c>
      <c r="N19" s="29" t="n">
        <v>0.2015</v>
      </c>
      <c r="O19" s="29" t="n">
        <v>0.1833</v>
      </c>
      <c r="P19" s="30">
        <f>IFERROR(IF(K19=0,"待填成本",ROUND(K19/(1-L19),0)),"" )</f>
        <v/>
      </c>
      <c r="Q19" s="30">
        <f>IFERROR(IF(K19=0,"待填成本",ROUND(K19/(1-M19),0)),"" )</f>
        <v/>
      </c>
      <c r="R19" s="30">
        <f>IFERROR(IF(K19=0,"待填成本",ROUND(K19/(1-N19),0)),"" )</f>
        <v/>
      </c>
      <c r="S19" s="30">
        <f>IFERROR(IF(K19=0,"待填成本",ROUND(K19/(1-O19),0)),"" )</f>
        <v/>
      </c>
      <c r="T19" s="31">
        <f>IFERROR(IF(K19=0,"",(P19-K19)/P19),"" )</f>
        <v/>
      </c>
      <c r="U19" s="31">
        <f>IFERROR(IF(K19=0,"",(Q19-K19)/Q19),"" )</f>
        <v/>
      </c>
      <c r="V19" s="31">
        <f>IFERROR(IF(K19=0,"",(R19-K19)/R19),"" )</f>
        <v/>
      </c>
      <c r="W19" s="31">
        <f>IFERROR(IF(K19=0,"",(S19-K19)/S19),"" )</f>
        <v/>
      </c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3" t="n"/>
      <c r="AG19" s="33" t="n"/>
      <c r="AH19" s="35" t="inlineStr"/>
    </row>
    <row r="20" ht="18" customHeight="1">
      <c r="A20" s="25" t="inlineStr">
        <is>
          <t>2633009032599</t>
        </is>
      </c>
      <c r="B20" s="6" t="inlineStr">
        <is>
          <t>卧室-床</t>
        </is>
      </c>
      <c r="C20" s="5" t="inlineStr">
        <is>
          <t>畔色榉木编织双人床 |榉木藤编床</t>
        </is>
      </c>
      <c r="D20" s="5" t="inlineStr">
        <is>
          <t>榉木编织床-1.2米-榉木铺板</t>
        </is>
      </c>
      <c r="E20" s="6" t="inlineStr">
        <is>
          <t>未知</t>
        </is>
      </c>
      <c r="F20" s="6" t="inlineStr">
        <is>
          <t>未知</t>
        </is>
      </c>
      <c r="G20" s="5" t="inlineStr">
        <is>
          <t>未知</t>
        </is>
      </c>
      <c r="H20" s="26" t="n">
        <v>0</v>
      </c>
      <c r="I20" s="26" t="n">
        <v>0</v>
      </c>
      <c r="J20" s="27" t="n">
        <v>0.5</v>
      </c>
      <c r="K20" s="28">
        <f>IFERROR(H20,0)</f>
        <v/>
      </c>
      <c r="L20" s="29" t="n">
        <v>0.4676</v>
      </c>
      <c r="M20" s="29" t="n">
        <v>0.2188</v>
      </c>
      <c r="N20" s="29" t="n">
        <v>0.2015</v>
      </c>
      <c r="O20" s="29" t="n">
        <v>0.1833</v>
      </c>
      <c r="P20" s="30">
        <f>IFERROR(IF(K20=0,"待填成本",ROUND(K20/(1-L20),0)),"" )</f>
        <v/>
      </c>
      <c r="Q20" s="30">
        <f>IFERROR(IF(K20=0,"待填成本",ROUND(K20/(1-M20),0)),"" )</f>
        <v/>
      </c>
      <c r="R20" s="30">
        <f>IFERROR(IF(K20=0,"待填成本",ROUND(K20/(1-N20),0)),"" )</f>
        <v/>
      </c>
      <c r="S20" s="30">
        <f>IFERROR(IF(K20=0,"待填成本",ROUND(K20/(1-O20),0)),"" )</f>
        <v/>
      </c>
      <c r="T20" s="31">
        <f>IFERROR(IF(K20=0,"",(P20-K20)/P20),"" )</f>
        <v/>
      </c>
      <c r="U20" s="31">
        <f>IFERROR(IF(K20=0,"",(Q20-K20)/Q20),"" )</f>
        <v/>
      </c>
      <c r="V20" s="31">
        <f>IFERROR(IF(K20=0,"",(R20-K20)/R20),"" )</f>
        <v/>
      </c>
      <c r="W20" s="31">
        <f>IFERROR(IF(K20=0,"",(S20-K20)/S20),"" )</f>
        <v/>
      </c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33" t="n"/>
      <c r="AG20" s="33" t="n"/>
      <c r="AH20" s="5" t="inlineStr"/>
    </row>
    <row r="21" ht="18" customHeight="1">
      <c r="A21" s="25" t="inlineStr">
        <is>
          <t>2633009032599</t>
        </is>
      </c>
      <c r="B21" s="34" t="inlineStr">
        <is>
          <t>卧室-床</t>
        </is>
      </c>
      <c r="C21" s="35" t="inlineStr">
        <is>
          <t>畔色榉木编织双人床 |榉木藤编床</t>
        </is>
      </c>
      <c r="D21" s="35" t="inlineStr">
        <is>
          <t>榉木编织床-1.35米-榉木铺板</t>
        </is>
      </c>
      <c r="E21" s="34" t="inlineStr">
        <is>
          <t>未知</t>
        </is>
      </c>
      <c r="F21" s="34" t="inlineStr">
        <is>
          <t>未知</t>
        </is>
      </c>
      <c r="G21" s="35" t="inlineStr">
        <is>
          <t>未知</t>
        </is>
      </c>
      <c r="H21" s="26" t="n">
        <v>0</v>
      </c>
      <c r="I21" s="26" t="n">
        <v>0</v>
      </c>
      <c r="J21" s="27" t="n">
        <v>0.5</v>
      </c>
      <c r="K21" s="28">
        <f>IFERROR(H21,0)</f>
        <v/>
      </c>
      <c r="L21" s="29" t="n">
        <v>0.4676</v>
      </c>
      <c r="M21" s="29" t="n">
        <v>0.2188</v>
      </c>
      <c r="N21" s="29" t="n">
        <v>0.2015</v>
      </c>
      <c r="O21" s="29" t="n">
        <v>0.1833</v>
      </c>
      <c r="P21" s="30">
        <f>IFERROR(IF(K21=0,"待填成本",ROUND(K21/(1-L21),0)),"" )</f>
        <v/>
      </c>
      <c r="Q21" s="30">
        <f>IFERROR(IF(K21=0,"待填成本",ROUND(K21/(1-M21),0)),"" )</f>
        <v/>
      </c>
      <c r="R21" s="30">
        <f>IFERROR(IF(K21=0,"待填成本",ROUND(K21/(1-N21),0)),"" )</f>
        <v/>
      </c>
      <c r="S21" s="30">
        <f>IFERROR(IF(K21=0,"待填成本",ROUND(K21/(1-O21),0)),"" )</f>
        <v/>
      </c>
      <c r="T21" s="31">
        <f>IFERROR(IF(K21=0,"",(P21-K21)/P21),"" )</f>
        <v/>
      </c>
      <c r="U21" s="31">
        <f>IFERROR(IF(K21=0,"",(Q21-K21)/Q21),"" )</f>
        <v/>
      </c>
      <c r="V21" s="31">
        <f>IFERROR(IF(K21=0,"",(R21-K21)/R21),"" )</f>
        <v/>
      </c>
      <c r="W21" s="31">
        <f>IFERROR(IF(K21=0,"",(S21-K21)/S21),"" )</f>
        <v/>
      </c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3" t="n"/>
      <c r="AG21" s="33" t="n"/>
      <c r="AH21" s="35" t="inlineStr"/>
    </row>
    <row r="22" ht="18" customHeight="1">
      <c r="A22" s="25" t="inlineStr">
        <is>
          <t>2633009032599</t>
        </is>
      </c>
      <c r="B22" s="6" t="inlineStr">
        <is>
          <t>卧室-床</t>
        </is>
      </c>
      <c r="C22" s="5" t="inlineStr">
        <is>
          <t>畔色榉木编织双人床 |榉木藤编床</t>
        </is>
      </c>
      <c r="D22" s="5" t="inlineStr">
        <is>
          <t>榉木编织床-1.5米-榉木铺板</t>
        </is>
      </c>
      <c r="E22" s="6" t="inlineStr">
        <is>
          <t>未知</t>
        </is>
      </c>
      <c r="F22" s="6" t="inlineStr">
        <is>
          <t>未知</t>
        </is>
      </c>
      <c r="G22" s="5" t="inlineStr">
        <is>
          <t>未知</t>
        </is>
      </c>
      <c r="H22" s="26" t="n">
        <v>0</v>
      </c>
      <c r="I22" s="26" t="n">
        <v>0</v>
      </c>
      <c r="J22" s="27" t="n">
        <v>0.5</v>
      </c>
      <c r="K22" s="28">
        <f>IFERROR(H22,0)</f>
        <v/>
      </c>
      <c r="L22" s="29" t="n">
        <v>0.4676</v>
      </c>
      <c r="M22" s="29" t="n">
        <v>0.2188</v>
      </c>
      <c r="N22" s="29" t="n">
        <v>0.2015</v>
      </c>
      <c r="O22" s="29" t="n">
        <v>0.1833</v>
      </c>
      <c r="P22" s="30">
        <f>IFERROR(IF(K22=0,"待填成本",ROUND(K22/(1-L22),0)),"" )</f>
        <v/>
      </c>
      <c r="Q22" s="30">
        <f>IFERROR(IF(K22=0,"待填成本",ROUND(K22/(1-M22),0)),"" )</f>
        <v/>
      </c>
      <c r="R22" s="30">
        <f>IFERROR(IF(K22=0,"待填成本",ROUND(K22/(1-N22),0)),"" )</f>
        <v/>
      </c>
      <c r="S22" s="30">
        <f>IFERROR(IF(K22=0,"待填成本",ROUND(K22/(1-O22),0)),"" )</f>
        <v/>
      </c>
      <c r="T22" s="31">
        <f>IFERROR(IF(K22=0,"",(P22-K22)/P22),"" )</f>
        <v/>
      </c>
      <c r="U22" s="31">
        <f>IFERROR(IF(K22=0,"",(Q22-K22)/Q22),"" )</f>
        <v/>
      </c>
      <c r="V22" s="31">
        <f>IFERROR(IF(K22=0,"",(R22-K22)/R22),"" )</f>
        <v/>
      </c>
      <c r="W22" s="31">
        <f>IFERROR(IF(K22=0,"",(S22-K22)/S22),"" )</f>
        <v/>
      </c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3" t="n"/>
      <c r="AG22" s="33" t="n"/>
      <c r="AH22" s="5" t="inlineStr"/>
    </row>
    <row r="23" ht="18" customHeight="1">
      <c r="A23" s="25" t="inlineStr">
        <is>
          <t>2633009032599</t>
        </is>
      </c>
      <c r="B23" s="34" t="inlineStr">
        <is>
          <t>卧室-床</t>
        </is>
      </c>
      <c r="C23" s="35" t="inlineStr">
        <is>
          <t>畔色榉木编织双人床 |榉木藤编床</t>
        </is>
      </c>
      <c r="D23" s="35" t="inlineStr">
        <is>
          <t>榉木编织床-1.8米-榉木铺板</t>
        </is>
      </c>
      <c r="E23" s="34" t="inlineStr">
        <is>
          <t>未知</t>
        </is>
      </c>
      <c r="F23" s="34" t="inlineStr">
        <is>
          <t>未知</t>
        </is>
      </c>
      <c r="G23" s="35" t="inlineStr">
        <is>
          <t>未知</t>
        </is>
      </c>
      <c r="H23" s="26" t="n">
        <v>0</v>
      </c>
      <c r="I23" s="26" t="n">
        <v>0</v>
      </c>
      <c r="J23" s="27" t="n">
        <v>0.5</v>
      </c>
      <c r="K23" s="28">
        <f>IFERROR(H23,0)</f>
        <v/>
      </c>
      <c r="L23" s="29" t="n">
        <v>0.4676</v>
      </c>
      <c r="M23" s="29" t="n">
        <v>0.2188</v>
      </c>
      <c r="N23" s="29" t="n">
        <v>0.2015</v>
      </c>
      <c r="O23" s="29" t="n">
        <v>0.1833</v>
      </c>
      <c r="P23" s="30">
        <f>IFERROR(IF(K23=0,"待填成本",ROUND(K23/(1-L23),0)),"" )</f>
        <v/>
      </c>
      <c r="Q23" s="30">
        <f>IFERROR(IF(K23=0,"待填成本",ROUND(K23/(1-M23),0)),"" )</f>
        <v/>
      </c>
      <c r="R23" s="30">
        <f>IFERROR(IF(K23=0,"待填成本",ROUND(K23/(1-N23),0)),"" )</f>
        <v/>
      </c>
      <c r="S23" s="30">
        <f>IFERROR(IF(K23=0,"待填成本",ROUND(K23/(1-O23),0)),"" )</f>
        <v/>
      </c>
      <c r="T23" s="31">
        <f>IFERROR(IF(K23=0,"",(P23-K23)/P23),"" )</f>
        <v/>
      </c>
      <c r="U23" s="31">
        <f>IFERROR(IF(K23=0,"",(Q23-K23)/Q23),"" )</f>
        <v/>
      </c>
      <c r="V23" s="31">
        <f>IFERROR(IF(K23=0,"",(R23-K23)/R23),"" )</f>
        <v/>
      </c>
      <c r="W23" s="31">
        <f>IFERROR(IF(K23=0,"",(S23-K23)/S23),"" )</f>
        <v/>
      </c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3" t="n"/>
      <c r="AG23" s="33" t="n"/>
      <c r="AH23" s="35" t="inlineStr"/>
    </row>
    <row r="24" ht="18" customHeight="1">
      <c r="A24" s="25" t="inlineStr">
        <is>
          <t>2633009032599</t>
        </is>
      </c>
      <c r="B24" s="6" t="inlineStr">
        <is>
          <t>卧室-床</t>
        </is>
      </c>
      <c r="C24" s="5" t="inlineStr">
        <is>
          <t>畔色榉木编织双人床 |榉木藤编床</t>
        </is>
      </c>
      <c r="D24" s="5" t="inlineStr">
        <is>
          <t>榉木编织床-1.2米-松木铺板</t>
        </is>
      </c>
      <c r="E24" s="6" t="inlineStr">
        <is>
          <t>未知</t>
        </is>
      </c>
      <c r="F24" s="6" t="inlineStr">
        <is>
          <t>未知</t>
        </is>
      </c>
      <c r="G24" s="5" t="inlineStr">
        <is>
          <t>未知</t>
        </is>
      </c>
      <c r="H24" s="26" t="n">
        <v>0</v>
      </c>
      <c r="I24" s="26" t="n">
        <v>0</v>
      </c>
      <c r="J24" s="27" t="n">
        <v>0.5</v>
      </c>
      <c r="K24" s="28">
        <f>IFERROR(H24,0)</f>
        <v/>
      </c>
      <c r="L24" s="29" t="n">
        <v>0.4676</v>
      </c>
      <c r="M24" s="29" t="n">
        <v>0.2188</v>
      </c>
      <c r="N24" s="29" t="n">
        <v>0.2015</v>
      </c>
      <c r="O24" s="29" t="n">
        <v>0.1833</v>
      </c>
      <c r="P24" s="30">
        <f>IFERROR(IF(K24=0,"待填成本",ROUND(K24/(1-L24),0)),"" )</f>
        <v/>
      </c>
      <c r="Q24" s="30">
        <f>IFERROR(IF(K24=0,"待填成本",ROUND(K24/(1-M24),0)),"" )</f>
        <v/>
      </c>
      <c r="R24" s="30">
        <f>IFERROR(IF(K24=0,"待填成本",ROUND(K24/(1-N24),0)),"" )</f>
        <v/>
      </c>
      <c r="S24" s="30">
        <f>IFERROR(IF(K24=0,"待填成本",ROUND(K24/(1-O24),0)),"" )</f>
        <v/>
      </c>
      <c r="T24" s="31">
        <f>IFERROR(IF(K24=0,"",(P24-K24)/P24),"" )</f>
        <v/>
      </c>
      <c r="U24" s="31">
        <f>IFERROR(IF(K24=0,"",(Q24-K24)/Q24),"" )</f>
        <v/>
      </c>
      <c r="V24" s="31">
        <f>IFERROR(IF(K24=0,"",(R24-K24)/R24),"" )</f>
        <v/>
      </c>
      <c r="W24" s="31">
        <f>IFERROR(IF(K24=0,"",(S24-K24)/S24),"" )</f>
        <v/>
      </c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3" t="n"/>
      <c r="AG24" s="33" t="n"/>
      <c r="AH24" s="5" t="inlineStr"/>
    </row>
    <row r="25" ht="18" customHeight="1">
      <c r="A25" s="25" t="inlineStr">
        <is>
          <t>2633009032599</t>
        </is>
      </c>
      <c r="B25" s="34" t="inlineStr">
        <is>
          <t>卧室-床</t>
        </is>
      </c>
      <c r="C25" s="35" t="inlineStr">
        <is>
          <t>畔色榉木编织双人床 |榉木藤编床</t>
        </is>
      </c>
      <c r="D25" s="35" t="inlineStr">
        <is>
          <t>榉木编织床-1.35米-松木铺板</t>
        </is>
      </c>
      <c r="E25" s="34" t="inlineStr">
        <is>
          <t>未知</t>
        </is>
      </c>
      <c r="F25" s="34" t="inlineStr">
        <is>
          <t>未知</t>
        </is>
      </c>
      <c r="G25" s="35" t="inlineStr">
        <is>
          <t>未知</t>
        </is>
      </c>
      <c r="H25" s="26" t="n">
        <v>0</v>
      </c>
      <c r="I25" s="26" t="n">
        <v>0</v>
      </c>
      <c r="J25" s="27" t="n">
        <v>0.5</v>
      </c>
      <c r="K25" s="28">
        <f>IFERROR(H25,0)</f>
        <v/>
      </c>
      <c r="L25" s="29" t="n">
        <v>0.4676</v>
      </c>
      <c r="M25" s="29" t="n">
        <v>0.2188</v>
      </c>
      <c r="N25" s="29" t="n">
        <v>0.2015</v>
      </c>
      <c r="O25" s="29" t="n">
        <v>0.1833</v>
      </c>
      <c r="P25" s="30">
        <f>IFERROR(IF(K25=0,"待填成本",ROUND(K25/(1-L25),0)),"" )</f>
        <v/>
      </c>
      <c r="Q25" s="30">
        <f>IFERROR(IF(K25=0,"待填成本",ROUND(K25/(1-M25),0)),"" )</f>
        <v/>
      </c>
      <c r="R25" s="30">
        <f>IFERROR(IF(K25=0,"待填成本",ROUND(K25/(1-N25),0)),"" )</f>
        <v/>
      </c>
      <c r="S25" s="30">
        <f>IFERROR(IF(K25=0,"待填成本",ROUND(K25/(1-O25),0)),"" )</f>
        <v/>
      </c>
      <c r="T25" s="31">
        <f>IFERROR(IF(K25=0,"",(P25-K25)/P25),"" )</f>
        <v/>
      </c>
      <c r="U25" s="31">
        <f>IFERROR(IF(K25=0,"",(Q25-K25)/Q25),"" )</f>
        <v/>
      </c>
      <c r="V25" s="31">
        <f>IFERROR(IF(K25=0,"",(R25-K25)/R25),"" )</f>
        <v/>
      </c>
      <c r="W25" s="31">
        <f>IFERROR(IF(K25=0,"",(S25-K25)/S25),"" )</f>
        <v/>
      </c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3" t="n"/>
      <c r="AG25" s="33" t="n"/>
      <c r="AH25" s="35" t="inlineStr"/>
    </row>
    <row r="26" ht="18" customHeight="1">
      <c r="A26" s="25" t="inlineStr">
        <is>
          <t>2633009032599</t>
        </is>
      </c>
      <c r="B26" s="6" t="inlineStr">
        <is>
          <t>卧室-床</t>
        </is>
      </c>
      <c r="C26" s="5" t="inlineStr">
        <is>
          <t>畔色榉木编织双人床 |榉木藤编床</t>
        </is>
      </c>
      <c r="D26" s="5" t="inlineStr">
        <is>
          <t>榉木编织床-1.5米-松木铺板</t>
        </is>
      </c>
      <c r="E26" s="6" t="inlineStr">
        <is>
          <t>未知</t>
        </is>
      </c>
      <c r="F26" s="6" t="inlineStr">
        <is>
          <t>未知</t>
        </is>
      </c>
      <c r="G26" s="5" t="inlineStr">
        <is>
          <t>未知</t>
        </is>
      </c>
      <c r="H26" s="26" t="n">
        <v>0</v>
      </c>
      <c r="I26" s="26" t="n">
        <v>0</v>
      </c>
      <c r="J26" s="27" t="n">
        <v>0.5</v>
      </c>
      <c r="K26" s="28">
        <f>IFERROR(H26,0)</f>
        <v/>
      </c>
      <c r="L26" s="29" t="n">
        <v>0.4676</v>
      </c>
      <c r="M26" s="29" t="n">
        <v>0.2188</v>
      </c>
      <c r="N26" s="29" t="n">
        <v>0.2015</v>
      </c>
      <c r="O26" s="29" t="n">
        <v>0.1833</v>
      </c>
      <c r="P26" s="30">
        <f>IFERROR(IF(K26=0,"待填成本",ROUND(K26/(1-L26),0)),"" )</f>
        <v/>
      </c>
      <c r="Q26" s="30">
        <f>IFERROR(IF(K26=0,"待填成本",ROUND(K26/(1-M26),0)),"" )</f>
        <v/>
      </c>
      <c r="R26" s="30">
        <f>IFERROR(IF(K26=0,"待填成本",ROUND(K26/(1-N26),0)),"" )</f>
        <v/>
      </c>
      <c r="S26" s="30">
        <f>IFERROR(IF(K26=0,"待填成本",ROUND(K26/(1-O26),0)),"" )</f>
        <v/>
      </c>
      <c r="T26" s="31">
        <f>IFERROR(IF(K26=0,"",(P26-K26)/P26),"" )</f>
        <v/>
      </c>
      <c r="U26" s="31">
        <f>IFERROR(IF(K26=0,"",(Q26-K26)/Q26),"" )</f>
        <v/>
      </c>
      <c r="V26" s="31">
        <f>IFERROR(IF(K26=0,"",(R26-K26)/R26),"" )</f>
        <v/>
      </c>
      <c r="W26" s="31">
        <f>IFERROR(IF(K26=0,"",(S26-K26)/S26),"" )</f>
        <v/>
      </c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3" t="n"/>
      <c r="AG26" s="33" t="n"/>
      <c r="AH26" s="5" t="inlineStr"/>
    </row>
    <row r="27" ht="18" customHeight="1">
      <c r="A27" s="25" t="inlineStr">
        <is>
          <t>2633009032599</t>
        </is>
      </c>
      <c r="B27" s="34" t="inlineStr">
        <is>
          <t>卧室-床</t>
        </is>
      </c>
      <c r="C27" s="35" t="inlineStr">
        <is>
          <t>畔色榉木编织双人床 |榉木藤编床</t>
        </is>
      </c>
      <c r="D27" s="35" t="inlineStr">
        <is>
          <t>榉木编织床-1.8米-松木铺板</t>
        </is>
      </c>
      <c r="E27" s="34" t="inlineStr">
        <is>
          <t>未知</t>
        </is>
      </c>
      <c r="F27" s="34" t="inlineStr">
        <is>
          <t>未知</t>
        </is>
      </c>
      <c r="G27" s="35" t="inlineStr">
        <is>
          <t>未知</t>
        </is>
      </c>
      <c r="H27" s="26" t="n">
        <v>0</v>
      </c>
      <c r="I27" s="26" t="n">
        <v>0</v>
      </c>
      <c r="J27" s="27" t="n">
        <v>0.5</v>
      </c>
      <c r="K27" s="28">
        <f>IFERROR(H27,0)</f>
        <v/>
      </c>
      <c r="L27" s="29" t="n">
        <v>0.4676</v>
      </c>
      <c r="M27" s="29" t="n">
        <v>0.2188</v>
      </c>
      <c r="N27" s="29" t="n">
        <v>0.2015</v>
      </c>
      <c r="O27" s="29" t="n">
        <v>0.1833</v>
      </c>
      <c r="P27" s="30">
        <f>IFERROR(IF(K27=0,"待填成本",ROUND(K27/(1-L27),0)),"" )</f>
        <v/>
      </c>
      <c r="Q27" s="30">
        <f>IFERROR(IF(K27=0,"待填成本",ROUND(K27/(1-M27),0)),"" )</f>
        <v/>
      </c>
      <c r="R27" s="30">
        <f>IFERROR(IF(K27=0,"待填成本",ROUND(K27/(1-N27),0)),"" )</f>
        <v/>
      </c>
      <c r="S27" s="30">
        <f>IFERROR(IF(K27=0,"待填成本",ROUND(K27/(1-O27),0)),"" )</f>
        <v/>
      </c>
      <c r="T27" s="31">
        <f>IFERROR(IF(K27=0,"",(P27-K27)/P27),"" )</f>
        <v/>
      </c>
      <c r="U27" s="31">
        <f>IFERROR(IF(K27=0,"",(Q27-K27)/Q27),"" )</f>
        <v/>
      </c>
      <c r="V27" s="31">
        <f>IFERROR(IF(K27=0,"",(R27-K27)/R27),"" )</f>
        <v/>
      </c>
      <c r="W27" s="31">
        <f>IFERROR(IF(K27=0,"",(S27-K27)/S27),"" )</f>
        <v/>
      </c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3" t="n"/>
      <c r="AG27" s="33" t="n"/>
      <c r="AH27" s="35" t="inlineStr"/>
    </row>
    <row r="28" ht="18" customHeight="1">
      <c r="A28" s="25" t="inlineStr">
        <is>
          <t>2633010022599</t>
        </is>
      </c>
      <c r="B28" s="6" t="inlineStr">
        <is>
          <t>卧室-床</t>
        </is>
      </c>
      <c r="C28" s="5" t="inlineStr">
        <is>
          <t>畔色樱桃木齐边双人床 |樱桃木方腿床</t>
        </is>
      </c>
      <c r="D28" s="5" t="inlineStr">
        <is>
          <t>樱桃木齐边床-1.2米-榉木铺板</t>
        </is>
      </c>
      <c r="E28" s="6" t="inlineStr">
        <is>
          <t>未知</t>
        </is>
      </c>
      <c r="F28" s="6" t="inlineStr">
        <is>
          <t>未知</t>
        </is>
      </c>
      <c r="G28" s="5" t="inlineStr">
        <is>
          <t>未知</t>
        </is>
      </c>
      <c r="H28" s="26" t="n">
        <v>0</v>
      </c>
      <c r="I28" s="26" t="n">
        <v>0</v>
      </c>
      <c r="J28" s="27" t="n">
        <v>0.5</v>
      </c>
      <c r="K28" s="28">
        <f>IFERROR(H28,0)</f>
        <v/>
      </c>
      <c r="L28" s="29" t="n">
        <v>0.4676</v>
      </c>
      <c r="M28" s="29" t="n">
        <v>0.2188</v>
      </c>
      <c r="N28" s="29" t="n">
        <v>0.2015</v>
      </c>
      <c r="O28" s="29" t="n">
        <v>0.1833</v>
      </c>
      <c r="P28" s="30">
        <f>IFERROR(IF(K28=0,"待填成本",ROUND(K28/(1-L28),0)),"" )</f>
        <v/>
      </c>
      <c r="Q28" s="30">
        <f>IFERROR(IF(K28=0,"待填成本",ROUND(K28/(1-M28),0)),"" )</f>
        <v/>
      </c>
      <c r="R28" s="30">
        <f>IFERROR(IF(K28=0,"待填成本",ROUND(K28/(1-N28),0)),"" )</f>
        <v/>
      </c>
      <c r="S28" s="30">
        <f>IFERROR(IF(K28=0,"待填成本",ROUND(K28/(1-O28),0)),"" )</f>
        <v/>
      </c>
      <c r="T28" s="31">
        <f>IFERROR(IF(K28=0,"",(P28-K28)/P28),"" )</f>
        <v/>
      </c>
      <c r="U28" s="31">
        <f>IFERROR(IF(K28=0,"",(Q28-K28)/Q28),"" )</f>
        <v/>
      </c>
      <c r="V28" s="31">
        <f>IFERROR(IF(K28=0,"",(R28-K28)/R28),"" )</f>
        <v/>
      </c>
      <c r="W28" s="31">
        <f>IFERROR(IF(K28=0,"",(S28-K28)/S28),"" )</f>
        <v/>
      </c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3" t="n"/>
      <c r="AG28" s="33" t="n"/>
      <c r="AH28" s="5" t="inlineStr"/>
    </row>
    <row r="29" ht="18" customHeight="1">
      <c r="A29" s="25" t="inlineStr">
        <is>
          <t>2633010022599</t>
        </is>
      </c>
      <c r="B29" s="34" t="inlineStr">
        <is>
          <t>卧室-床</t>
        </is>
      </c>
      <c r="C29" s="35" t="inlineStr">
        <is>
          <t>畔色樱桃木齐边双人床 |樱桃木方腿床</t>
        </is>
      </c>
      <c r="D29" s="35" t="inlineStr">
        <is>
          <t>樱桃木齐边床-1.35米-榉木铺板</t>
        </is>
      </c>
      <c r="E29" s="34" t="inlineStr">
        <is>
          <t>未知</t>
        </is>
      </c>
      <c r="F29" s="34" t="inlineStr">
        <is>
          <t>未知</t>
        </is>
      </c>
      <c r="G29" s="35" t="inlineStr">
        <is>
          <t>未知</t>
        </is>
      </c>
      <c r="H29" s="26" t="n">
        <v>0</v>
      </c>
      <c r="I29" s="26" t="n">
        <v>0</v>
      </c>
      <c r="J29" s="27" t="n">
        <v>0.5</v>
      </c>
      <c r="K29" s="28">
        <f>IFERROR(H29,0)</f>
        <v/>
      </c>
      <c r="L29" s="29" t="n">
        <v>0.4676</v>
      </c>
      <c r="M29" s="29" t="n">
        <v>0.2188</v>
      </c>
      <c r="N29" s="29" t="n">
        <v>0.2015</v>
      </c>
      <c r="O29" s="29" t="n">
        <v>0.1833</v>
      </c>
      <c r="P29" s="30">
        <f>IFERROR(IF(K29=0,"待填成本",ROUND(K29/(1-L29),0)),"" )</f>
        <v/>
      </c>
      <c r="Q29" s="30">
        <f>IFERROR(IF(K29=0,"待填成本",ROUND(K29/(1-M29),0)),"" )</f>
        <v/>
      </c>
      <c r="R29" s="30">
        <f>IFERROR(IF(K29=0,"待填成本",ROUND(K29/(1-N29),0)),"" )</f>
        <v/>
      </c>
      <c r="S29" s="30">
        <f>IFERROR(IF(K29=0,"待填成本",ROUND(K29/(1-O29),0)),"" )</f>
        <v/>
      </c>
      <c r="T29" s="31">
        <f>IFERROR(IF(K29=0,"",(P29-K29)/P29),"" )</f>
        <v/>
      </c>
      <c r="U29" s="31">
        <f>IFERROR(IF(K29=0,"",(Q29-K29)/Q29),"" )</f>
        <v/>
      </c>
      <c r="V29" s="31">
        <f>IFERROR(IF(K29=0,"",(R29-K29)/R29),"" )</f>
        <v/>
      </c>
      <c r="W29" s="31">
        <f>IFERROR(IF(K29=0,"",(S29-K29)/S29),"" )</f>
        <v/>
      </c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3" t="n"/>
      <c r="AG29" s="33" t="n"/>
      <c r="AH29" s="35" t="inlineStr"/>
    </row>
    <row r="30" ht="18" customHeight="1">
      <c r="A30" s="25" t="inlineStr">
        <is>
          <t>2633010022599</t>
        </is>
      </c>
      <c r="B30" s="6" t="inlineStr">
        <is>
          <t>卧室-床</t>
        </is>
      </c>
      <c r="C30" s="5" t="inlineStr">
        <is>
          <t>畔色樱桃木齐边双人床 |樱桃木方腿床</t>
        </is>
      </c>
      <c r="D30" s="5" t="inlineStr">
        <is>
          <t>樱桃木齐边床-1.5米-榉木铺板</t>
        </is>
      </c>
      <c r="E30" s="6" t="inlineStr">
        <is>
          <t>未知</t>
        </is>
      </c>
      <c r="F30" s="6" t="inlineStr">
        <is>
          <t>未知</t>
        </is>
      </c>
      <c r="G30" s="5" t="inlineStr">
        <is>
          <t>未知</t>
        </is>
      </c>
      <c r="H30" s="26" t="n">
        <v>0</v>
      </c>
      <c r="I30" s="26" t="n">
        <v>0</v>
      </c>
      <c r="J30" s="27" t="n">
        <v>0.5</v>
      </c>
      <c r="K30" s="28">
        <f>IFERROR(H30,0)</f>
        <v/>
      </c>
      <c r="L30" s="29" t="n">
        <v>0.4676</v>
      </c>
      <c r="M30" s="29" t="n">
        <v>0.2188</v>
      </c>
      <c r="N30" s="29" t="n">
        <v>0.2015</v>
      </c>
      <c r="O30" s="29" t="n">
        <v>0.1833</v>
      </c>
      <c r="P30" s="30">
        <f>IFERROR(IF(K30=0,"待填成本",ROUND(K30/(1-L30),0)),"" )</f>
        <v/>
      </c>
      <c r="Q30" s="30">
        <f>IFERROR(IF(K30=0,"待填成本",ROUND(K30/(1-M30),0)),"" )</f>
        <v/>
      </c>
      <c r="R30" s="30">
        <f>IFERROR(IF(K30=0,"待填成本",ROUND(K30/(1-N30),0)),"" )</f>
        <v/>
      </c>
      <c r="S30" s="30">
        <f>IFERROR(IF(K30=0,"待填成本",ROUND(K30/(1-O30),0)),"" )</f>
        <v/>
      </c>
      <c r="T30" s="31">
        <f>IFERROR(IF(K30=0,"",(P30-K30)/P30),"" )</f>
        <v/>
      </c>
      <c r="U30" s="31">
        <f>IFERROR(IF(K30=0,"",(Q30-K30)/Q30),"" )</f>
        <v/>
      </c>
      <c r="V30" s="31">
        <f>IFERROR(IF(K30=0,"",(R30-K30)/R30),"" )</f>
        <v/>
      </c>
      <c r="W30" s="31">
        <f>IFERROR(IF(K30=0,"",(S30-K30)/S30),"" )</f>
        <v/>
      </c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3" t="n"/>
      <c r="AG30" s="33" t="n"/>
      <c r="AH30" s="5" t="inlineStr"/>
    </row>
    <row r="31" ht="18" customHeight="1">
      <c r="A31" s="25" t="inlineStr">
        <is>
          <t>2633010022599</t>
        </is>
      </c>
      <c r="B31" s="34" t="inlineStr">
        <is>
          <t>卧室-床</t>
        </is>
      </c>
      <c r="C31" s="35" t="inlineStr">
        <is>
          <t>畔色樱桃木齐边双人床 |樱桃木方腿床</t>
        </is>
      </c>
      <c r="D31" s="35" t="inlineStr">
        <is>
          <t>樱桃木齐边床-1.8米-榉木铺板</t>
        </is>
      </c>
      <c r="E31" s="34" t="inlineStr">
        <is>
          <t>未知</t>
        </is>
      </c>
      <c r="F31" s="34" t="inlineStr">
        <is>
          <t>未知</t>
        </is>
      </c>
      <c r="G31" s="35" t="inlineStr">
        <is>
          <t>未知</t>
        </is>
      </c>
      <c r="H31" s="26" t="n">
        <v>0</v>
      </c>
      <c r="I31" s="26" t="n">
        <v>0</v>
      </c>
      <c r="J31" s="27" t="n">
        <v>0.5</v>
      </c>
      <c r="K31" s="28">
        <f>IFERROR(H31,0)</f>
        <v/>
      </c>
      <c r="L31" s="29" t="n">
        <v>0.4676</v>
      </c>
      <c r="M31" s="29" t="n">
        <v>0.2188</v>
      </c>
      <c r="N31" s="29" t="n">
        <v>0.2015</v>
      </c>
      <c r="O31" s="29" t="n">
        <v>0.1833</v>
      </c>
      <c r="P31" s="30">
        <f>IFERROR(IF(K31=0,"待填成本",ROUND(K31/(1-L31),0)),"" )</f>
        <v/>
      </c>
      <c r="Q31" s="30">
        <f>IFERROR(IF(K31=0,"待填成本",ROUND(K31/(1-M31),0)),"" )</f>
        <v/>
      </c>
      <c r="R31" s="30">
        <f>IFERROR(IF(K31=0,"待填成本",ROUND(K31/(1-N31),0)),"" )</f>
        <v/>
      </c>
      <c r="S31" s="30">
        <f>IFERROR(IF(K31=0,"待填成本",ROUND(K31/(1-O31),0)),"" )</f>
        <v/>
      </c>
      <c r="T31" s="31">
        <f>IFERROR(IF(K31=0,"",(P31-K31)/P31),"" )</f>
        <v/>
      </c>
      <c r="U31" s="31">
        <f>IFERROR(IF(K31=0,"",(Q31-K31)/Q31),"" )</f>
        <v/>
      </c>
      <c r="V31" s="31">
        <f>IFERROR(IF(K31=0,"",(R31-K31)/R31),"" )</f>
        <v/>
      </c>
      <c r="W31" s="31">
        <f>IFERROR(IF(K31=0,"",(S31-K31)/S31),"" )</f>
        <v/>
      </c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3" t="n"/>
      <c r="AG31" s="33" t="n"/>
      <c r="AH31" s="35" t="inlineStr"/>
    </row>
    <row r="32" ht="18" customHeight="1">
      <c r="A32" s="25" t="inlineStr">
        <is>
          <t>2633010022599</t>
        </is>
      </c>
      <c r="B32" s="6" t="inlineStr">
        <is>
          <t>卧室-床</t>
        </is>
      </c>
      <c r="C32" s="5" t="inlineStr">
        <is>
          <t>畔色樱桃木齐边双人床 |樱桃木方腿床</t>
        </is>
      </c>
      <c r="D32" s="5" t="inlineStr">
        <is>
          <t>樱桃木齐边床-1.2米-松木铺板</t>
        </is>
      </c>
      <c r="E32" s="6" t="inlineStr">
        <is>
          <t>未知</t>
        </is>
      </c>
      <c r="F32" s="6" t="inlineStr">
        <is>
          <t>未知</t>
        </is>
      </c>
      <c r="G32" s="5" t="inlineStr">
        <is>
          <t>未知</t>
        </is>
      </c>
      <c r="H32" s="26" t="n">
        <v>0</v>
      </c>
      <c r="I32" s="26" t="n">
        <v>0</v>
      </c>
      <c r="J32" s="27" t="n">
        <v>0.5</v>
      </c>
      <c r="K32" s="28">
        <f>IFERROR(H32,0)</f>
        <v/>
      </c>
      <c r="L32" s="29" t="n">
        <v>0.4676</v>
      </c>
      <c r="M32" s="29" t="n">
        <v>0.2188</v>
      </c>
      <c r="N32" s="29" t="n">
        <v>0.2015</v>
      </c>
      <c r="O32" s="29" t="n">
        <v>0.1833</v>
      </c>
      <c r="P32" s="30">
        <f>IFERROR(IF(K32=0,"待填成本",ROUND(K32/(1-L32),0)),"" )</f>
        <v/>
      </c>
      <c r="Q32" s="30">
        <f>IFERROR(IF(K32=0,"待填成本",ROUND(K32/(1-M32),0)),"" )</f>
        <v/>
      </c>
      <c r="R32" s="30">
        <f>IFERROR(IF(K32=0,"待填成本",ROUND(K32/(1-N32),0)),"" )</f>
        <v/>
      </c>
      <c r="S32" s="30">
        <f>IFERROR(IF(K32=0,"待填成本",ROUND(K32/(1-O32),0)),"" )</f>
        <v/>
      </c>
      <c r="T32" s="31">
        <f>IFERROR(IF(K32=0,"",(P32-K32)/P32),"" )</f>
        <v/>
      </c>
      <c r="U32" s="31">
        <f>IFERROR(IF(K32=0,"",(Q32-K32)/Q32),"" )</f>
        <v/>
      </c>
      <c r="V32" s="31">
        <f>IFERROR(IF(K32=0,"",(R32-K32)/R32),"" )</f>
        <v/>
      </c>
      <c r="W32" s="31">
        <f>IFERROR(IF(K32=0,"",(S32-K32)/S32),"" )</f>
        <v/>
      </c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3" t="n"/>
      <c r="AG32" s="33" t="n"/>
      <c r="AH32" s="5" t="inlineStr"/>
    </row>
    <row r="33" ht="18" customHeight="1">
      <c r="A33" s="25" t="inlineStr">
        <is>
          <t>2633010022599</t>
        </is>
      </c>
      <c r="B33" s="34" t="inlineStr">
        <is>
          <t>卧室-床</t>
        </is>
      </c>
      <c r="C33" s="35" t="inlineStr">
        <is>
          <t>畔色樱桃木齐边双人床 |樱桃木方腿床</t>
        </is>
      </c>
      <c r="D33" s="35" t="inlineStr">
        <is>
          <t>樱桃木齐边床-1.35米-松木铺板</t>
        </is>
      </c>
      <c r="E33" s="34" t="inlineStr">
        <is>
          <t>未知</t>
        </is>
      </c>
      <c r="F33" s="34" t="inlineStr">
        <is>
          <t>未知</t>
        </is>
      </c>
      <c r="G33" s="35" t="inlineStr">
        <is>
          <t>未知</t>
        </is>
      </c>
      <c r="H33" s="26" t="n">
        <v>0</v>
      </c>
      <c r="I33" s="26" t="n">
        <v>0</v>
      </c>
      <c r="J33" s="27" t="n">
        <v>0.5</v>
      </c>
      <c r="K33" s="28">
        <f>IFERROR(H33,0)</f>
        <v/>
      </c>
      <c r="L33" s="29" t="n">
        <v>0.4676</v>
      </c>
      <c r="M33" s="29" t="n">
        <v>0.2188</v>
      </c>
      <c r="N33" s="29" t="n">
        <v>0.2015</v>
      </c>
      <c r="O33" s="29" t="n">
        <v>0.1833</v>
      </c>
      <c r="P33" s="30">
        <f>IFERROR(IF(K33=0,"待填成本",ROUND(K33/(1-L33),0)),"" )</f>
        <v/>
      </c>
      <c r="Q33" s="30">
        <f>IFERROR(IF(K33=0,"待填成本",ROUND(K33/(1-M33),0)),"" )</f>
        <v/>
      </c>
      <c r="R33" s="30">
        <f>IFERROR(IF(K33=0,"待填成本",ROUND(K33/(1-N33),0)),"" )</f>
        <v/>
      </c>
      <c r="S33" s="30">
        <f>IFERROR(IF(K33=0,"待填成本",ROUND(K33/(1-O33),0)),"" )</f>
        <v/>
      </c>
      <c r="T33" s="31">
        <f>IFERROR(IF(K33=0,"",(P33-K33)/P33),"" )</f>
        <v/>
      </c>
      <c r="U33" s="31">
        <f>IFERROR(IF(K33=0,"",(Q33-K33)/Q33),"" )</f>
        <v/>
      </c>
      <c r="V33" s="31">
        <f>IFERROR(IF(K33=0,"",(R33-K33)/R33),"" )</f>
        <v/>
      </c>
      <c r="W33" s="31">
        <f>IFERROR(IF(K33=0,"",(S33-K33)/S33),"" )</f>
        <v/>
      </c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3" t="n"/>
      <c r="AG33" s="33" t="n"/>
      <c r="AH33" s="35" t="inlineStr"/>
    </row>
    <row r="34" ht="18" customHeight="1">
      <c r="A34" s="25" t="inlineStr">
        <is>
          <t>2633010022599</t>
        </is>
      </c>
      <c r="B34" s="6" t="inlineStr">
        <is>
          <t>卧室-床</t>
        </is>
      </c>
      <c r="C34" s="5" t="inlineStr">
        <is>
          <t>畔色樱桃木齐边双人床 |樱桃木方腿床</t>
        </is>
      </c>
      <c r="D34" s="5" t="inlineStr">
        <is>
          <t>樱桃木齐边床-1.5米-松木铺板</t>
        </is>
      </c>
      <c r="E34" s="6" t="inlineStr">
        <is>
          <t>未知</t>
        </is>
      </c>
      <c r="F34" s="6" t="inlineStr">
        <is>
          <t>未知</t>
        </is>
      </c>
      <c r="G34" s="5" t="inlineStr">
        <is>
          <t>未知</t>
        </is>
      </c>
      <c r="H34" s="26" t="n">
        <v>0</v>
      </c>
      <c r="I34" s="26" t="n">
        <v>0</v>
      </c>
      <c r="J34" s="27" t="n">
        <v>0.5</v>
      </c>
      <c r="K34" s="28">
        <f>IFERROR(H34,0)</f>
        <v/>
      </c>
      <c r="L34" s="29" t="n">
        <v>0.4676</v>
      </c>
      <c r="M34" s="29" t="n">
        <v>0.2188</v>
      </c>
      <c r="N34" s="29" t="n">
        <v>0.2015</v>
      </c>
      <c r="O34" s="29" t="n">
        <v>0.1833</v>
      </c>
      <c r="P34" s="30">
        <f>IFERROR(IF(K34=0,"待填成本",ROUND(K34/(1-L34),0)),"" )</f>
        <v/>
      </c>
      <c r="Q34" s="30">
        <f>IFERROR(IF(K34=0,"待填成本",ROUND(K34/(1-M34),0)),"" )</f>
        <v/>
      </c>
      <c r="R34" s="30">
        <f>IFERROR(IF(K34=0,"待填成本",ROUND(K34/(1-N34),0)),"" )</f>
        <v/>
      </c>
      <c r="S34" s="30">
        <f>IFERROR(IF(K34=0,"待填成本",ROUND(K34/(1-O34),0)),"" )</f>
        <v/>
      </c>
      <c r="T34" s="31">
        <f>IFERROR(IF(K34=0,"",(P34-K34)/P34),"" )</f>
        <v/>
      </c>
      <c r="U34" s="31">
        <f>IFERROR(IF(K34=0,"",(Q34-K34)/Q34),"" )</f>
        <v/>
      </c>
      <c r="V34" s="31">
        <f>IFERROR(IF(K34=0,"",(R34-K34)/R34),"" )</f>
        <v/>
      </c>
      <c r="W34" s="31">
        <f>IFERROR(IF(K34=0,"",(S34-K34)/S34),"" )</f>
        <v/>
      </c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3" t="n"/>
      <c r="AG34" s="33" t="n"/>
      <c r="AH34" s="5" t="inlineStr"/>
    </row>
    <row r="35" ht="18" customHeight="1">
      <c r="A35" s="25" t="inlineStr">
        <is>
          <t>2633010022599</t>
        </is>
      </c>
      <c r="B35" s="34" t="inlineStr">
        <is>
          <t>卧室-床</t>
        </is>
      </c>
      <c r="C35" s="35" t="inlineStr">
        <is>
          <t>畔色樱桃木齐边双人床 |樱桃木方腿床</t>
        </is>
      </c>
      <c r="D35" s="35" t="inlineStr">
        <is>
          <t>樱桃木齐边床-1.8米-松木铺板</t>
        </is>
      </c>
      <c r="E35" s="34" t="inlineStr">
        <is>
          <t>未知</t>
        </is>
      </c>
      <c r="F35" s="34" t="inlineStr">
        <is>
          <t>未知</t>
        </is>
      </c>
      <c r="G35" s="35" t="inlineStr">
        <is>
          <t>未知</t>
        </is>
      </c>
      <c r="H35" s="26" t="n">
        <v>0</v>
      </c>
      <c r="I35" s="26" t="n">
        <v>0</v>
      </c>
      <c r="J35" s="27" t="n">
        <v>0.5</v>
      </c>
      <c r="K35" s="28">
        <f>IFERROR(H35,0)</f>
        <v/>
      </c>
      <c r="L35" s="29" t="n">
        <v>0.4676</v>
      </c>
      <c r="M35" s="29" t="n">
        <v>0.2188</v>
      </c>
      <c r="N35" s="29" t="n">
        <v>0.2015</v>
      </c>
      <c r="O35" s="29" t="n">
        <v>0.1833</v>
      </c>
      <c r="P35" s="30">
        <f>IFERROR(IF(K35=0,"待填成本",ROUND(K35/(1-L35),0)),"" )</f>
        <v/>
      </c>
      <c r="Q35" s="30">
        <f>IFERROR(IF(K35=0,"待填成本",ROUND(K35/(1-M35),0)),"" )</f>
        <v/>
      </c>
      <c r="R35" s="30">
        <f>IFERROR(IF(K35=0,"待填成本",ROUND(K35/(1-N35),0)),"" )</f>
        <v/>
      </c>
      <c r="S35" s="30">
        <f>IFERROR(IF(K35=0,"待填成本",ROUND(K35/(1-O35),0)),"" )</f>
        <v/>
      </c>
      <c r="T35" s="31">
        <f>IFERROR(IF(K35=0,"",(P35-K35)/P35),"" )</f>
        <v/>
      </c>
      <c r="U35" s="31">
        <f>IFERROR(IF(K35=0,"",(Q35-K35)/Q35),"" )</f>
        <v/>
      </c>
      <c r="V35" s="31">
        <f>IFERROR(IF(K35=0,"",(R35-K35)/R35),"" )</f>
        <v/>
      </c>
      <c r="W35" s="31">
        <f>IFERROR(IF(K35=0,"",(S35-K35)/S35),"" )</f>
        <v/>
      </c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3" t="n"/>
      <c r="AG35" s="33" t="n"/>
      <c r="AH35" s="35" t="inlineStr"/>
    </row>
    <row r="36" ht="18" customHeight="1">
      <c r="A36" s="25" t="inlineStr">
        <is>
          <t>2633011022699</t>
        </is>
      </c>
      <c r="B36" s="6" t="inlineStr">
        <is>
          <t>卧室-床</t>
        </is>
      </c>
      <c r="C36" s="5" t="inlineStr">
        <is>
          <t>畔色樱桃木静音双人床 |樱桃木小金属腿床</t>
        </is>
      </c>
      <c r="D36" s="5" t="inlineStr">
        <is>
          <t>樱桃木静音床-1.2米-榉木铺板</t>
        </is>
      </c>
      <c r="E36" s="6" t="inlineStr">
        <is>
          <t>未知</t>
        </is>
      </c>
      <c r="F36" s="6" t="inlineStr">
        <is>
          <t>未知</t>
        </is>
      </c>
      <c r="G36" s="5" t="inlineStr">
        <is>
          <t>未知</t>
        </is>
      </c>
      <c r="H36" s="26" t="n">
        <v>0</v>
      </c>
      <c r="I36" s="26" t="n">
        <v>0</v>
      </c>
      <c r="J36" s="27" t="n">
        <v>0.5</v>
      </c>
      <c r="K36" s="28">
        <f>IFERROR(H36,0)</f>
        <v/>
      </c>
      <c r="L36" s="29" t="n">
        <v>0.4676</v>
      </c>
      <c r="M36" s="29" t="n">
        <v>0.2188</v>
      </c>
      <c r="N36" s="29" t="n">
        <v>0.2015</v>
      </c>
      <c r="O36" s="29" t="n">
        <v>0.1833</v>
      </c>
      <c r="P36" s="30">
        <f>IFERROR(IF(K36=0,"待填成本",ROUND(K36/(1-L36),0)),"" )</f>
        <v/>
      </c>
      <c r="Q36" s="30">
        <f>IFERROR(IF(K36=0,"待填成本",ROUND(K36/(1-M36),0)),"" )</f>
        <v/>
      </c>
      <c r="R36" s="30">
        <f>IFERROR(IF(K36=0,"待填成本",ROUND(K36/(1-N36),0)),"" )</f>
        <v/>
      </c>
      <c r="S36" s="30">
        <f>IFERROR(IF(K36=0,"待填成本",ROUND(K36/(1-O36),0)),"" )</f>
        <v/>
      </c>
      <c r="T36" s="31">
        <f>IFERROR(IF(K36=0,"",(P36-K36)/P36),"" )</f>
        <v/>
      </c>
      <c r="U36" s="31">
        <f>IFERROR(IF(K36=0,"",(Q36-K36)/Q36),"" )</f>
        <v/>
      </c>
      <c r="V36" s="31">
        <f>IFERROR(IF(K36=0,"",(R36-K36)/R36),"" )</f>
        <v/>
      </c>
      <c r="W36" s="31">
        <f>IFERROR(IF(K36=0,"",(S36-K36)/S36),"" )</f>
        <v/>
      </c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3" t="n"/>
      <c r="AG36" s="33" t="n"/>
      <c r="AH36" s="5" t="inlineStr"/>
    </row>
    <row r="37" ht="18" customHeight="1">
      <c r="A37" s="25" t="inlineStr">
        <is>
          <t>2633011022699</t>
        </is>
      </c>
      <c r="B37" s="34" t="inlineStr">
        <is>
          <t>卧室-床</t>
        </is>
      </c>
      <c r="C37" s="35" t="inlineStr">
        <is>
          <t>畔色樱桃木静音双人床 |樱桃木小金属腿床</t>
        </is>
      </c>
      <c r="D37" s="35" t="inlineStr">
        <is>
          <t>樱桃木静音床-1.35米-榉木铺板</t>
        </is>
      </c>
      <c r="E37" s="34" t="inlineStr">
        <is>
          <t>未知</t>
        </is>
      </c>
      <c r="F37" s="34" t="inlineStr">
        <is>
          <t>未知</t>
        </is>
      </c>
      <c r="G37" s="35" t="inlineStr">
        <is>
          <t>未知</t>
        </is>
      </c>
      <c r="H37" s="26" t="n">
        <v>0</v>
      </c>
      <c r="I37" s="26" t="n">
        <v>0</v>
      </c>
      <c r="J37" s="27" t="n">
        <v>0.5</v>
      </c>
      <c r="K37" s="28">
        <f>IFERROR(H37,0)</f>
        <v/>
      </c>
      <c r="L37" s="29" t="n">
        <v>0.4676</v>
      </c>
      <c r="M37" s="29" t="n">
        <v>0.2188</v>
      </c>
      <c r="N37" s="29" t="n">
        <v>0.2015</v>
      </c>
      <c r="O37" s="29" t="n">
        <v>0.1833</v>
      </c>
      <c r="P37" s="30">
        <f>IFERROR(IF(K37=0,"待填成本",ROUND(K37/(1-L37),0)),"" )</f>
        <v/>
      </c>
      <c r="Q37" s="30">
        <f>IFERROR(IF(K37=0,"待填成本",ROUND(K37/(1-M37),0)),"" )</f>
        <v/>
      </c>
      <c r="R37" s="30">
        <f>IFERROR(IF(K37=0,"待填成本",ROUND(K37/(1-N37),0)),"" )</f>
        <v/>
      </c>
      <c r="S37" s="30">
        <f>IFERROR(IF(K37=0,"待填成本",ROUND(K37/(1-O37),0)),"" )</f>
        <v/>
      </c>
      <c r="T37" s="31">
        <f>IFERROR(IF(K37=0,"",(P37-K37)/P37),"" )</f>
        <v/>
      </c>
      <c r="U37" s="31">
        <f>IFERROR(IF(K37=0,"",(Q37-K37)/Q37),"" )</f>
        <v/>
      </c>
      <c r="V37" s="31">
        <f>IFERROR(IF(K37=0,"",(R37-K37)/R37),"" )</f>
        <v/>
      </c>
      <c r="W37" s="31">
        <f>IFERROR(IF(K37=0,"",(S37-K37)/S37),"" )</f>
        <v/>
      </c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3" t="n"/>
      <c r="AG37" s="33" t="n"/>
      <c r="AH37" s="35" t="inlineStr"/>
    </row>
    <row r="38" ht="18" customHeight="1">
      <c r="A38" s="25" t="inlineStr">
        <is>
          <t>2633011022699</t>
        </is>
      </c>
      <c r="B38" s="6" t="inlineStr">
        <is>
          <t>卧室-床</t>
        </is>
      </c>
      <c r="C38" s="5" t="inlineStr">
        <is>
          <t>畔色樱桃木静音双人床 |樱桃木小金属腿床</t>
        </is>
      </c>
      <c r="D38" s="5" t="inlineStr">
        <is>
          <t>樱桃木静音床-1.5米-榉木铺板</t>
        </is>
      </c>
      <c r="E38" s="6" t="inlineStr">
        <is>
          <t>未知</t>
        </is>
      </c>
      <c r="F38" s="6" t="inlineStr">
        <is>
          <t>未知</t>
        </is>
      </c>
      <c r="G38" s="5" t="inlineStr">
        <is>
          <t>未知</t>
        </is>
      </c>
      <c r="H38" s="26" t="n">
        <v>0</v>
      </c>
      <c r="I38" s="26" t="n">
        <v>0</v>
      </c>
      <c r="J38" s="27" t="n">
        <v>0.5</v>
      </c>
      <c r="K38" s="28">
        <f>IFERROR(H38,0)</f>
        <v/>
      </c>
      <c r="L38" s="29" t="n">
        <v>0.4676</v>
      </c>
      <c r="M38" s="29" t="n">
        <v>0.2188</v>
      </c>
      <c r="N38" s="29" t="n">
        <v>0.2015</v>
      </c>
      <c r="O38" s="29" t="n">
        <v>0.1833</v>
      </c>
      <c r="P38" s="30">
        <f>IFERROR(IF(K38=0,"待填成本",ROUND(K38/(1-L38),0)),"" )</f>
        <v/>
      </c>
      <c r="Q38" s="30">
        <f>IFERROR(IF(K38=0,"待填成本",ROUND(K38/(1-M38),0)),"" )</f>
        <v/>
      </c>
      <c r="R38" s="30">
        <f>IFERROR(IF(K38=0,"待填成本",ROUND(K38/(1-N38),0)),"" )</f>
        <v/>
      </c>
      <c r="S38" s="30">
        <f>IFERROR(IF(K38=0,"待填成本",ROUND(K38/(1-O38),0)),"" )</f>
        <v/>
      </c>
      <c r="T38" s="31">
        <f>IFERROR(IF(K38=0,"",(P38-K38)/P38),"" )</f>
        <v/>
      </c>
      <c r="U38" s="31">
        <f>IFERROR(IF(K38=0,"",(Q38-K38)/Q38),"" )</f>
        <v/>
      </c>
      <c r="V38" s="31">
        <f>IFERROR(IF(K38=0,"",(R38-K38)/R38),"" )</f>
        <v/>
      </c>
      <c r="W38" s="31">
        <f>IFERROR(IF(K38=0,"",(S38-K38)/S38),"" )</f>
        <v/>
      </c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3" t="n"/>
      <c r="AG38" s="33" t="n"/>
      <c r="AH38" s="5" t="inlineStr"/>
    </row>
    <row r="39" ht="18" customHeight="1">
      <c r="A39" s="25" t="inlineStr">
        <is>
          <t>2633011022699</t>
        </is>
      </c>
      <c r="B39" s="34" t="inlineStr">
        <is>
          <t>卧室-床</t>
        </is>
      </c>
      <c r="C39" s="35" t="inlineStr">
        <is>
          <t>畔色樱桃木静音双人床 |樱桃木小金属腿床</t>
        </is>
      </c>
      <c r="D39" s="35" t="inlineStr">
        <is>
          <t>樱桃木静音床-1.8米-榉木铺板</t>
        </is>
      </c>
      <c r="E39" s="34" t="inlineStr">
        <is>
          <t>未知</t>
        </is>
      </c>
      <c r="F39" s="34" t="inlineStr">
        <is>
          <t>未知</t>
        </is>
      </c>
      <c r="G39" s="35" t="inlineStr">
        <is>
          <t>未知</t>
        </is>
      </c>
      <c r="H39" s="26" t="n">
        <v>0</v>
      </c>
      <c r="I39" s="26" t="n">
        <v>0</v>
      </c>
      <c r="J39" s="27" t="n">
        <v>0.5</v>
      </c>
      <c r="K39" s="28">
        <f>IFERROR(H39,0)</f>
        <v/>
      </c>
      <c r="L39" s="29" t="n">
        <v>0.4676</v>
      </c>
      <c r="M39" s="29" t="n">
        <v>0.2188</v>
      </c>
      <c r="N39" s="29" t="n">
        <v>0.2015</v>
      </c>
      <c r="O39" s="29" t="n">
        <v>0.1833</v>
      </c>
      <c r="P39" s="30">
        <f>IFERROR(IF(K39=0,"待填成本",ROUND(K39/(1-L39),0)),"" )</f>
        <v/>
      </c>
      <c r="Q39" s="30">
        <f>IFERROR(IF(K39=0,"待填成本",ROUND(K39/(1-M39),0)),"" )</f>
        <v/>
      </c>
      <c r="R39" s="30">
        <f>IFERROR(IF(K39=0,"待填成本",ROUND(K39/(1-N39),0)),"" )</f>
        <v/>
      </c>
      <c r="S39" s="30">
        <f>IFERROR(IF(K39=0,"待填成本",ROUND(K39/(1-O39),0)),"" )</f>
        <v/>
      </c>
      <c r="T39" s="31">
        <f>IFERROR(IF(K39=0,"",(P39-K39)/P39),"" )</f>
        <v/>
      </c>
      <c r="U39" s="31">
        <f>IFERROR(IF(K39=0,"",(Q39-K39)/Q39),"" )</f>
        <v/>
      </c>
      <c r="V39" s="31">
        <f>IFERROR(IF(K39=0,"",(R39-K39)/R39),"" )</f>
        <v/>
      </c>
      <c r="W39" s="31">
        <f>IFERROR(IF(K39=0,"",(S39-K39)/S39),"" )</f>
        <v/>
      </c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3" t="n"/>
      <c r="AG39" s="33" t="n"/>
      <c r="AH39" s="35" t="inlineStr"/>
    </row>
    <row r="40" ht="18" customHeight="1">
      <c r="A40" s="25" t="inlineStr">
        <is>
          <t>2633011022699</t>
        </is>
      </c>
      <c r="B40" s="6" t="inlineStr">
        <is>
          <t>卧室-床</t>
        </is>
      </c>
      <c r="C40" s="5" t="inlineStr">
        <is>
          <t>畔色樱桃木静音双人床 |樱桃木小金属腿床</t>
        </is>
      </c>
      <c r="D40" s="5" t="inlineStr">
        <is>
          <t>樱桃木静音床-1.2米-松木铺板</t>
        </is>
      </c>
      <c r="E40" s="6" t="inlineStr">
        <is>
          <t>未知</t>
        </is>
      </c>
      <c r="F40" s="6" t="inlineStr">
        <is>
          <t>未知</t>
        </is>
      </c>
      <c r="G40" s="5" t="inlineStr">
        <is>
          <t>未知</t>
        </is>
      </c>
      <c r="H40" s="26" t="n">
        <v>0</v>
      </c>
      <c r="I40" s="26" t="n">
        <v>0</v>
      </c>
      <c r="J40" s="27" t="n">
        <v>0.5</v>
      </c>
      <c r="K40" s="28">
        <f>IFERROR(H40,0)</f>
        <v/>
      </c>
      <c r="L40" s="29" t="n">
        <v>0.4676</v>
      </c>
      <c r="M40" s="29" t="n">
        <v>0.2188</v>
      </c>
      <c r="N40" s="29" t="n">
        <v>0.2015</v>
      </c>
      <c r="O40" s="29" t="n">
        <v>0.1833</v>
      </c>
      <c r="P40" s="30">
        <f>IFERROR(IF(K40=0,"待填成本",ROUND(K40/(1-L40),0)),"" )</f>
        <v/>
      </c>
      <c r="Q40" s="30">
        <f>IFERROR(IF(K40=0,"待填成本",ROUND(K40/(1-M40),0)),"" )</f>
        <v/>
      </c>
      <c r="R40" s="30">
        <f>IFERROR(IF(K40=0,"待填成本",ROUND(K40/(1-N40),0)),"" )</f>
        <v/>
      </c>
      <c r="S40" s="30">
        <f>IFERROR(IF(K40=0,"待填成本",ROUND(K40/(1-O40),0)),"" )</f>
        <v/>
      </c>
      <c r="T40" s="31">
        <f>IFERROR(IF(K40=0,"",(P40-K40)/P40),"" )</f>
        <v/>
      </c>
      <c r="U40" s="31">
        <f>IFERROR(IF(K40=0,"",(Q40-K40)/Q40),"" )</f>
        <v/>
      </c>
      <c r="V40" s="31">
        <f>IFERROR(IF(K40=0,"",(R40-K40)/R40),"" )</f>
        <v/>
      </c>
      <c r="W40" s="31">
        <f>IFERROR(IF(K40=0,"",(S40-K40)/S40),"" )</f>
        <v/>
      </c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3" t="n"/>
      <c r="AG40" s="33" t="n"/>
      <c r="AH40" s="5" t="inlineStr"/>
    </row>
    <row r="41" ht="18" customHeight="1">
      <c r="A41" s="25" t="inlineStr">
        <is>
          <t>2633011022699</t>
        </is>
      </c>
      <c r="B41" s="34" t="inlineStr">
        <is>
          <t>卧室-床</t>
        </is>
      </c>
      <c r="C41" s="35" t="inlineStr">
        <is>
          <t>畔色樱桃木静音双人床 |樱桃木小金属腿床</t>
        </is>
      </c>
      <c r="D41" s="35" t="inlineStr">
        <is>
          <t>樱桃木静音床-1.35米-松木铺板</t>
        </is>
      </c>
      <c r="E41" s="34" t="inlineStr">
        <is>
          <t>未知</t>
        </is>
      </c>
      <c r="F41" s="34" t="inlineStr">
        <is>
          <t>未知</t>
        </is>
      </c>
      <c r="G41" s="35" t="inlineStr">
        <is>
          <t>未知</t>
        </is>
      </c>
      <c r="H41" s="26" t="n">
        <v>0</v>
      </c>
      <c r="I41" s="26" t="n">
        <v>0</v>
      </c>
      <c r="J41" s="27" t="n">
        <v>0.5</v>
      </c>
      <c r="K41" s="28">
        <f>IFERROR(H41,0)</f>
        <v/>
      </c>
      <c r="L41" s="29" t="n">
        <v>0.4676</v>
      </c>
      <c r="M41" s="29" t="n">
        <v>0.2188</v>
      </c>
      <c r="N41" s="29" t="n">
        <v>0.2015</v>
      </c>
      <c r="O41" s="29" t="n">
        <v>0.1833</v>
      </c>
      <c r="P41" s="30">
        <f>IFERROR(IF(K41=0,"待填成本",ROUND(K41/(1-L41),0)),"" )</f>
        <v/>
      </c>
      <c r="Q41" s="30">
        <f>IFERROR(IF(K41=0,"待填成本",ROUND(K41/(1-M41),0)),"" )</f>
        <v/>
      </c>
      <c r="R41" s="30">
        <f>IFERROR(IF(K41=0,"待填成本",ROUND(K41/(1-N41),0)),"" )</f>
        <v/>
      </c>
      <c r="S41" s="30">
        <f>IFERROR(IF(K41=0,"待填成本",ROUND(K41/(1-O41),0)),"" )</f>
        <v/>
      </c>
      <c r="T41" s="31">
        <f>IFERROR(IF(K41=0,"",(P41-K41)/P41),"" )</f>
        <v/>
      </c>
      <c r="U41" s="31">
        <f>IFERROR(IF(K41=0,"",(Q41-K41)/Q41),"" )</f>
        <v/>
      </c>
      <c r="V41" s="31">
        <f>IFERROR(IF(K41=0,"",(R41-K41)/R41),"" )</f>
        <v/>
      </c>
      <c r="W41" s="31">
        <f>IFERROR(IF(K41=0,"",(S41-K41)/S41),"" )</f>
        <v/>
      </c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3" t="n"/>
      <c r="AG41" s="33" t="n"/>
      <c r="AH41" s="35" t="inlineStr"/>
    </row>
    <row r="42" ht="18" customHeight="1">
      <c r="A42" s="25" t="inlineStr">
        <is>
          <t>2633011022699</t>
        </is>
      </c>
      <c r="B42" s="6" t="inlineStr">
        <is>
          <t>卧室-床</t>
        </is>
      </c>
      <c r="C42" s="5" t="inlineStr">
        <is>
          <t>畔色樱桃木静音双人床 |樱桃木小金属腿床</t>
        </is>
      </c>
      <c r="D42" s="5" t="inlineStr">
        <is>
          <t>樱桃木静音床-1.5米-松木铺板</t>
        </is>
      </c>
      <c r="E42" s="6" t="inlineStr">
        <is>
          <t>未知</t>
        </is>
      </c>
      <c r="F42" s="6" t="inlineStr">
        <is>
          <t>未知</t>
        </is>
      </c>
      <c r="G42" s="5" t="inlineStr">
        <is>
          <t>未知</t>
        </is>
      </c>
      <c r="H42" s="26" t="n">
        <v>0</v>
      </c>
      <c r="I42" s="26" t="n">
        <v>0</v>
      </c>
      <c r="J42" s="27" t="n">
        <v>0.5</v>
      </c>
      <c r="K42" s="28">
        <f>IFERROR(H42,0)</f>
        <v/>
      </c>
      <c r="L42" s="29" t="n">
        <v>0.4676</v>
      </c>
      <c r="M42" s="29" t="n">
        <v>0.2188</v>
      </c>
      <c r="N42" s="29" t="n">
        <v>0.2015</v>
      </c>
      <c r="O42" s="29" t="n">
        <v>0.1833</v>
      </c>
      <c r="P42" s="30">
        <f>IFERROR(IF(K42=0,"待填成本",ROUND(K42/(1-L42),0)),"" )</f>
        <v/>
      </c>
      <c r="Q42" s="30">
        <f>IFERROR(IF(K42=0,"待填成本",ROUND(K42/(1-M42),0)),"" )</f>
        <v/>
      </c>
      <c r="R42" s="30">
        <f>IFERROR(IF(K42=0,"待填成本",ROUND(K42/(1-N42),0)),"" )</f>
        <v/>
      </c>
      <c r="S42" s="30">
        <f>IFERROR(IF(K42=0,"待填成本",ROUND(K42/(1-O42),0)),"" )</f>
        <v/>
      </c>
      <c r="T42" s="31">
        <f>IFERROR(IF(K42=0,"",(P42-K42)/P42),"" )</f>
        <v/>
      </c>
      <c r="U42" s="31">
        <f>IFERROR(IF(K42=0,"",(Q42-K42)/Q42),"" )</f>
        <v/>
      </c>
      <c r="V42" s="31">
        <f>IFERROR(IF(K42=0,"",(R42-K42)/R42),"" )</f>
        <v/>
      </c>
      <c r="W42" s="31">
        <f>IFERROR(IF(K42=0,"",(S42-K42)/S42),"" )</f>
        <v/>
      </c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3" t="n"/>
      <c r="AG42" s="33" t="n"/>
      <c r="AH42" s="5" t="inlineStr"/>
    </row>
    <row r="43" ht="18" customHeight="1">
      <c r="A43" s="25" t="inlineStr">
        <is>
          <t>2633011022699</t>
        </is>
      </c>
      <c r="B43" s="34" t="inlineStr">
        <is>
          <t>卧室-床</t>
        </is>
      </c>
      <c r="C43" s="35" t="inlineStr">
        <is>
          <t>畔色樱桃木静音双人床 |樱桃木小金属腿床</t>
        </is>
      </c>
      <c r="D43" s="35" t="inlineStr">
        <is>
          <t>樱桃木静音床-1.8米-松木铺板</t>
        </is>
      </c>
      <c r="E43" s="34" t="inlineStr">
        <is>
          <t>未知</t>
        </is>
      </c>
      <c r="F43" s="34" t="inlineStr">
        <is>
          <t>未知</t>
        </is>
      </c>
      <c r="G43" s="35" t="inlineStr">
        <is>
          <t>未知</t>
        </is>
      </c>
      <c r="H43" s="26" t="n">
        <v>0</v>
      </c>
      <c r="I43" s="26" t="n">
        <v>0</v>
      </c>
      <c r="J43" s="27" t="n">
        <v>0.5</v>
      </c>
      <c r="K43" s="28">
        <f>IFERROR(H43,0)</f>
        <v/>
      </c>
      <c r="L43" s="29" t="n">
        <v>0.4676</v>
      </c>
      <c r="M43" s="29" t="n">
        <v>0.2188</v>
      </c>
      <c r="N43" s="29" t="n">
        <v>0.2015</v>
      </c>
      <c r="O43" s="29" t="n">
        <v>0.1833</v>
      </c>
      <c r="P43" s="30">
        <f>IFERROR(IF(K43=0,"待填成本",ROUND(K43/(1-L43),0)),"" )</f>
        <v/>
      </c>
      <c r="Q43" s="30">
        <f>IFERROR(IF(K43=0,"待填成本",ROUND(K43/(1-M43),0)),"" )</f>
        <v/>
      </c>
      <c r="R43" s="30">
        <f>IFERROR(IF(K43=0,"待填成本",ROUND(K43/(1-N43),0)),"" )</f>
        <v/>
      </c>
      <c r="S43" s="30">
        <f>IFERROR(IF(K43=0,"待填成本",ROUND(K43/(1-O43),0)),"" )</f>
        <v/>
      </c>
      <c r="T43" s="31">
        <f>IFERROR(IF(K43=0,"",(P43-K43)/P43),"" )</f>
        <v/>
      </c>
      <c r="U43" s="31">
        <f>IFERROR(IF(K43=0,"",(Q43-K43)/Q43),"" )</f>
        <v/>
      </c>
      <c r="V43" s="31">
        <f>IFERROR(IF(K43=0,"",(R43-K43)/R43),"" )</f>
        <v/>
      </c>
      <c r="W43" s="31">
        <f>IFERROR(IF(K43=0,"",(S43-K43)/S43),"" )</f>
        <v/>
      </c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3" t="n"/>
      <c r="AG43" s="33" t="n"/>
      <c r="AH43" s="35" t="inlineStr"/>
    </row>
    <row r="44" ht="18" customHeight="1">
      <c r="A44" s="25" t="inlineStr">
        <is>
          <t>2633011022699</t>
        </is>
      </c>
      <c r="B44" s="6" t="inlineStr">
        <is>
          <t>卧室-床</t>
        </is>
      </c>
      <c r="C44" s="5" t="inlineStr">
        <is>
          <t>畔色樱桃木静音双人床 |樱桃木小金属腿床</t>
        </is>
      </c>
      <c r="D44" s="5" t="inlineStr">
        <is>
          <t>樱桃木静音床-配件-mini床头柜</t>
        </is>
      </c>
      <c r="E44" s="6" t="inlineStr">
        <is>
          <t>未知</t>
        </is>
      </c>
      <c r="F44" s="6" t="inlineStr">
        <is>
          <t>未知</t>
        </is>
      </c>
      <c r="G44" s="5" t="inlineStr">
        <is>
          <t>未知</t>
        </is>
      </c>
      <c r="H44" s="26" t="n">
        <v>0</v>
      </c>
      <c r="I44" s="26" t="n">
        <v>0</v>
      </c>
      <c r="J44" s="27" t="n">
        <v>0.5</v>
      </c>
      <c r="K44" s="28">
        <f>IFERROR(H44,0)</f>
        <v/>
      </c>
      <c r="L44" s="29" t="n">
        <v>0.4676</v>
      </c>
      <c r="M44" s="29" t="n">
        <v>0.2188</v>
      </c>
      <c r="N44" s="29" t="n">
        <v>0.2015</v>
      </c>
      <c r="O44" s="29" t="n">
        <v>0.1833</v>
      </c>
      <c r="P44" s="30">
        <f>IFERROR(IF(K44=0,"待填成本",ROUND(K44/(1-L44),0)),"" )</f>
        <v/>
      </c>
      <c r="Q44" s="30">
        <f>IFERROR(IF(K44=0,"待填成本",ROUND(K44/(1-M44),0)),"" )</f>
        <v/>
      </c>
      <c r="R44" s="30">
        <f>IFERROR(IF(K44=0,"待填成本",ROUND(K44/(1-N44),0)),"" )</f>
        <v/>
      </c>
      <c r="S44" s="30">
        <f>IFERROR(IF(K44=0,"待填成本",ROUND(K44/(1-O44),0)),"" )</f>
        <v/>
      </c>
      <c r="T44" s="31">
        <f>IFERROR(IF(K44=0,"",(P44-K44)/P44),"" )</f>
        <v/>
      </c>
      <c r="U44" s="31">
        <f>IFERROR(IF(K44=0,"",(Q44-K44)/Q44),"" )</f>
        <v/>
      </c>
      <c r="V44" s="31">
        <f>IFERROR(IF(K44=0,"",(R44-K44)/R44),"" )</f>
        <v/>
      </c>
      <c r="W44" s="31">
        <f>IFERROR(IF(K44=0,"",(S44-K44)/S44),"" )</f>
        <v/>
      </c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3" t="n"/>
      <c r="AG44" s="33" t="n"/>
      <c r="AH44" s="5" t="inlineStr"/>
    </row>
    <row r="45" ht="18" customHeight="1">
      <c r="A45" s="25" t="inlineStr">
        <is>
          <t>2633012032799</t>
        </is>
      </c>
      <c r="B45" s="34" t="inlineStr">
        <is>
          <t>卧室-床</t>
        </is>
      </c>
      <c r="C45" s="35" t="inlineStr">
        <is>
          <t>畔色樱桃木箱体床 |樱桃木软包箱体床</t>
        </is>
      </c>
      <c r="D45" s="35" t="inlineStr">
        <is>
          <t>樱桃木箱体床-软包床头-1.5米-榉木铺板</t>
        </is>
      </c>
      <c r="E45" s="34" t="inlineStr">
        <is>
          <t>未知</t>
        </is>
      </c>
      <c r="F45" s="34" t="inlineStr">
        <is>
          <t>未知</t>
        </is>
      </c>
      <c r="G45" s="35" t="inlineStr">
        <is>
          <t>未知</t>
        </is>
      </c>
      <c r="H45" s="26" t="n">
        <v>0</v>
      </c>
      <c r="I45" s="26" t="n">
        <v>0</v>
      </c>
      <c r="J45" s="27" t="n">
        <v>0.5</v>
      </c>
      <c r="K45" s="28">
        <f>IFERROR(H45,0)</f>
        <v/>
      </c>
      <c r="L45" s="29" t="n">
        <v>0.4676</v>
      </c>
      <c r="M45" s="29" t="n">
        <v>0.2188</v>
      </c>
      <c r="N45" s="29" t="n">
        <v>0.2015</v>
      </c>
      <c r="O45" s="29" t="n">
        <v>0.1833</v>
      </c>
      <c r="P45" s="30">
        <f>IFERROR(IF(K45=0,"待填成本",ROUND(K45/(1-L45),0)),"" )</f>
        <v/>
      </c>
      <c r="Q45" s="30">
        <f>IFERROR(IF(K45=0,"待填成本",ROUND(K45/(1-M45),0)),"" )</f>
        <v/>
      </c>
      <c r="R45" s="30">
        <f>IFERROR(IF(K45=0,"待填成本",ROUND(K45/(1-N45),0)),"" )</f>
        <v/>
      </c>
      <c r="S45" s="30">
        <f>IFERROR(IF(K45=0,"待填成本",ROUND(K45/(1-O45),0)),"" )</f>
        <v/>
      </c>
      <c r="T45" s="31">
        <f>IFERROR(IF(K45=0,"",(P45-K45)/P45),"" )</f>
        <v/>
      </c>
      <c r="U45" s="31">
        <f>IFERROR(IF(K45=0,"",(Q45-K45)/Q45),"" )</f>
        <v/>
      </c>
      <c r="V45" s="31">
        <f>IFERROR(IF(K45=0,"",(R45-K45)/R45),"" )</f>
        <v/>
      </c>
      <c r="W45" s="31">
        <f>IFERROR(IF(K45=0,"",(S45-K45)/S45),"" )</f>
        <v/>
      </c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3" t="n"/>
      <c r="AG45" s="33" t="n"/>
      <c r="AH45" s="35" t="inlineStr"/>
    </row>
    <row r="46" ht="18" customHeight="1">
      <c r="A46" s="25" t="inlineStr">
        <is>
          <t>2633012032799</t>
        </is>
      </c>
      <c r="B46" s="6" t="inlineStr">
        <is>
          <t>卧室-床</t>
        </is>
      </c>
      <c r="C46" s="5" t="inlineStr">
        <is>
          <t>畔色樱桃木箱体床 |樱桃木软包箱体床</t>
        </is>
      </c>
      <c r="D46" s="5" t="inlineStr">
        <is>
          <t>樱桃木箱体床-软包床头-1.8米-榉木铺板</t>
        </is>
      </c>
      <c r="E46" s="6" t="inlineStr">
        <is>
          <t>未知</t>
        </is>
      </c>
      <c r="F46" s="6" t="inlineStr">
        <is>
          <t>未知</t>
        </is>
      </c>
      <c r="G46" s="5" t="inlineStr">
        <is>
          <t>未知</t>
        </is>
      </c>
      <c r="H46" s="26" t="n">
        <v>0</v>
      </c>
      <c r="I46" s="26" t="n">
        <v>0</v>
      </c>
      <c r="J46" s="27" t="n">
        <v>0.5</v>
      </c>
      <c r="K46" s="28">
        <f>IFERROR(H46,0)</f>
        <v/>
      </c>
      <c r="L46" s="29" t="n">
        <v>0.4676</v>
      </c>
      <c r="M46" s="29" t="n">
        <v>0.2188</v>
      </c>
      <c r="N46" s="29" t="n">
        <v>0.2015</v>
      </c>
      <c r="O46" s="29" t="n">
        <v>0.1833</v>
      </c>
      <c r="P46" s="30">
        <f>IFERROR(IF(K46=0,"待填成本",ROUND(K46/(1-L46),0)),"" )</f>
        <v/>
      </c>
      <c r="Q46" s="30">
        <f>IFERROR(IF(K46=0,"待填成本",ROUND(K46/(1-M46),0)),"" )</f>
        <v/>
      </c>
      <c r="R46" s="30">
        <f>IFERROR(IF(K46=0,"待填成本",ROUND(K46/(1-N46),0)),"" )</f>
        <v/>
      </c>
      <c r="S46" s="30">
        <f>IFERROR(IF(K46=0,"待填成本",ROUND(K46/(1-O46),0)),"" )</f>
        <v/>
      </c>
      <c r="T46" s="31">
        <f>IFERROR(IF(K46=0,"",(P46-K46)/P46),"" )</f>
        <v/>
      </c>
      <c r="U46" s="31">
        <f>IFERROR(IF(K46=0,"",(Q46-K46)/Q46),"" )</f>
        <v/>
      </c>
      <c r="V46" s="31">
        <f>IFERROR(IF(K46=0,"",(R46-K46)/R46),"" )</f>
        <v/>
      </c>
      <c r="W46" s="31">
        <f>IFERROR(IF(K46=0,"",(S46-K46)/S46),"" )</f>
        <v/>
      </c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3" t="n"/>
      <c r="AG46" s="33" t="n"/>
      <c r="AH46" s="5" t="inlineStr"/>
    </row>
    <row r="47" ht="18" customHeight="1">
      <c r="A47" s="25" t="inlineStr">
        <is>
          <t>2633012032799</t>
        </is>
      </c>
      <c r="B47" s="34" t="inlineStr">
        <is>
          <t>卧室-床</t>
        </is>
      </c>
      <c r="C47" s="35" t="inlineStr">
        <is>
          <t>畔色樱桃木箱体床 |樱桃木软包箱体床</t>
        </is>
      </c>
      <c r="D47" s="35" t="inlineStr">
        <is>
          <t>樱桃木箱体床-无床头-1.5米-榉木铺板</t>
        </is>
      </c>
      <c r="E47" s="34" t="inlineStr">
        <is>
          <t>未知</t>
        </is>
      </c>
      <c r="F47" s="34" t="inlineStr">
        <is>
          <t>未知</t>
        </is>
      </c>
      <c r="G47" s="35" t="inlineStr">
        <is>
          <t>未知</t>
        </is>
      </c>
      <c r="H47" s="26" t="n">
        <v>0</v>
      </c>
      <c r="I47" s="26" t="n">
        <v>0</v>
      </c>
      <c r="J47" s="27" t="n">
        <v>0.5</v>
      </c>
      <c r="K47" s="28">
        <f>IFERROR(H47,0)</f>
        <v/>
      </c>
      <c r="L47" s="29" t="n">
        <v>0.4676</v>
      </c>
      <c r="M47" s="29" t="n">
        <v>0.2188</v>
      </c>
      <c r="N47" s="29" t="n">
        <v>0.2015</v>
      </c>
      <c r="O47" s="29" t="n">
        <v>0.1833</v>
      </c>
      <c r="P47" s="30">
        <f>IFERROR(IF(K47=0,"待填成本",ROUND(K47/(1-L47),0)),"" )</f>
        <v/>
      </c>
      <c r="Q47" s="30">
        <f>IFERROR(IF(K47=0,"待填成本",ROUND(K47/(1-M47),0)),"" )</f>
        <v/>
      </c>
      <c r="R47" s="30">
        <f>IFERROR(IF(K47=0,"待填成本",ROUND(K47/(1-N47),0)),"" )</f>
        <v/>
      </c>
      <c r="S47" s="30">
        <f>IFERROR(IF(K47=0,"待填成本",ROUND(K47/(1-O47),0)),"" )</f>
        <v/>
      </c>
      <c r="T47" s="31">
        <f>IFERROR(IF(K47=0,"",(P47-K47)/P47),"" )</f>
        <v/>
      </c>
      <c r="U47" s="31">
        <f>IFERROR(IF(K47=0,"",(Q47-K47)/Q47),"" )</f>
        <v/>
      </c>
      <c r="V47" s="31">
        <f>IFERROR(IF(K47=0,"",(R47-K47)/R47),"" )</f>
        <v/>
      </c>
      <c r="W47" s="31">
        <f>IFERROR(IF(K47=0,"",(S47-K47)/S47),"" )</f>
        <v/>
      </c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3" t="n"/>
      <c r="AG47" s="33" t="n"/>
      <c r="AH47" s="35" t="inlineStr"/>
    </row>
    <row r="48" ht="18" customHeight="1">
      <c r="A48" s="25" t="inlineStr">
        <is>
          <t>2633012032799</t>
        </is>
      </c>
      <c r="B48" s="6" t="inlineStr">
        <is>
          <t>卧室-床</t>
        </is>
      </c>
      <c r="C48" s="5" t="inlineStr">
        <is>
          <t>畔色樱桃木箱体床 |樱桃木软包箱体床</t>
        </is>
      </c>
      <c r="D48" s="5" t="inlineStr">
        <is>
          <t>樱桃木箱体床-无床头-1.8米-榉木铺板</t>
        </is>
      </c>
      <c r="E48" s="6" t="inlineStr">
        <is>
          <t>未知</t>
        </is>
      </c>
      <c r="F48" s="6" t="inlineStr">
        <is>
          <t>未知</t>
        </is>
      </c>
      <c r="G48" s="5" t="inlineStr">
        <is>
          <t>未知</t>
        </is>
      </c>
      <c r="H48" s="26" t="n">
        <v>0</v>
      </c>
      <c r="I48" s="26" t="n">
        <v>0</v>
      </c>
      <c r="J48" s="27" t="n">
        <v>0.5</v>
      </c>
      <c r="K48" s="28">
        <f>IFERROR(H48,0)</f>
        <v/>
      </c>
      <c r="L48" s="29" t="n">
        <v>0.4676</v>
      </c>
      <c r="M48" s="29" t="n">
        <v>0.2188</v>
      </c>
      <c r="N48" s="29" t="n">
        <v>0.2015</v>
      </c>
      <c r="O48" s="29" t="n">
        <v>0.1833</v>
      </c>
      <c r="P48" s="30">
        <f>IFERROR(IF(K48=0,"待填成本",ROUND(K48/(1-L48),0)),"" )</f>
        <v/>
      </c>
      <c r="Q48" s="30">
        <f>IFERROR(IF(K48=0,"待填成本",ROUND(K48/(1-M48),0)),"" )</f>
        <v/>
      </c>
      <c r="R48" s="30">
        <f>IFERROR(IF(K48=0,"待填成本",ROUND(K48/(1-N48),0)),"" )</f>
        <v/>
      </c>
      <c r="S48" s="30">
        <f>IFERROR(IF(K48=0,"待填成本",ROUND(K48/(1-O48),0)),"" )</f>
        <v/>
      </c>
      <c r="T48" s="31">
        <f>IFERROR(IF(K48=0,"",(P48-K48)/P48),"" )</f>
        <v/>
      </c>
      <c r="U48" s="31">
        <f>IFERROR(IF(K48=0,"",(Q48-K48)/Q48),"" )</f>
        <v/>
      </c>
      <c r="V48" s="31">
        <f>IFERROR(IF(K48=0,"",(R48-K48)/R48),"" )</f>
        <v/>
      </c>
      <c r="W48" s="31">
        <f>IFERROR(IF(K48=0,"",(S48-K48)/S48),"" )</f>
        <v/>
      </c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3" t="n"/>
      <c r="AG48" s="33" t="n"/>
      <c r="AH48" s="5" t="inlineStr"/>
    </row>
    <row r="49" ht="18" customHeight="1">
      <c r="A49" s="25" t="inlineStr">
        <is>
          <t>2633013011599</t>
        </is>
      </c>
      <c r="B49" s="34" t="inlineStr">
        <is>
          <t>卧室-床</t>
        </is>
      </c>
      <c r="C49" s="35" t="inlineStr">
        <is>
          <t>畔色黑胡桃木梯形腿双人床 |黑胡桃木拱形腿床</t>
        </is>
      </c>
      <c r="D49" s="35" t="inlineStr">
        <is>
          <t>黑胡桃木梯形腿床-1.2米-榉木铺板</t>
        </is>
      </c>
      <c r="E49" s="34" t="inlineStr">
        <is>
          <t>未知</t>
        </is>
      </c>
      <c r="F49" s="34" t="inlineStr">
        <is>
          <t>未知</t>
        </is>
      </c>
      <c r="G49" s="35" t="inlineStr">
        <is>
          <t>未知</t>
        </is>
      </c>
      <c r="H49" s="26" t="n">
        <v>0</v>
      </c>
      <c r="I49" s="26" t="n">
        <v>0</v>
      </c>
      <c r="J49" s="27" t="n">
        <v>0.5</v>
      </c>
      <c r="K49" s="28">
        <f>IFERROR(H49,0)</f>
        <v/>
      </c>
      <c r="L49" s="29" t="n">
        <v>0.4676</v>
      </c>
      <c r="M49" s="29" t="n">
        <v>0.2188</v>
      </c>
      <c r="N49" s="29" t="n">
        <v>0.2015</v>
      </c>
      <c r="O49" s="29" t="n">
        <v>0.1833</v>
      </c>
      <c r="P49" s="30">
        <f>IFERROR(IF(K49=0,"待填成本",ROUND(K49/(1-L49),0)),"" )</f>
        <v/>
      </c>
      <c r="Q49" s="30">
        <f>IFERROR(IF(K49=0,"待填成本",ROUND(K49/(1-M49),0)),"" )</f>
        <v/>
      </c>
      <c r="R49" s="30">
        <f>IFERROR(IF(K49=0,"待填成本",ROUND(K49/(1-N49),0)),"" )</f>
        <v/>
      </c>
      <c r="S49" s="30">
        <f>IFERROR(IF(K49=0,"待填成本",ROUND(K49/(1-O49),0)),"" )</f>
        <v/>
      </c>
      <c r="T49" s="31">
        <f>IFERROR(IF(K49=0,"",(P49-K49)/P49),"" )</f>
        <v/>
      </c>
      <c r="U49" s="31">
        <f>IFERROR(IF(K49=0,"",(Q49-K49)/Q49),"" )</f>
        <v/>
      </c>
      <c r="V49" s="31">
        <f>IFERROR(IF(K49=0,"",(R49-K49)/R49),"" )</f>
        <v/>
      </c>
      <c r="W49" s="31">
        <f>IFERROR(IF(K49=0,"",(S49-K49)/S49),"" )</f>
        <v/>
      </c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3" t="n"/>
      <c r="AG49" s="33" t="n"/>
      <c r="AH49" s="35" t="inlineStr"/>
    </row>
    <row r="50" ht="18" customHeight="1">
      <c r="A50" s="25" t="inlineStr">
        <is>
          <t>2633013011599</t>
        </is>
      </c>
      <c r="B50" s="6" t="inlineStr">
        <is>
          <t>卧室-床</t>
        </is>
      </c>
      <c r="C50" s="5" t="inlineStr">
        <is>
          <t>畔色黑胡桃木梯形腿双人床 |黑胡桃木拱形腿床</t>
        </is>
      </c>
      <c r="D50" s="5" t="inlineStr">
        <is>
          <t>黑胡桃木梯形腿床-1.35米-榉木铺板</t>
        </is>
      </c>
      <c r="E50" s="6" t="inlineStr">
        <is>
          <t>未知</t>
        </is>
      </c>
      <c r="F50" s="6" t="inlineStr">
        <is>
          <t>未知</t>
        </is>
      </c>
      <c r="G50" s="5" t="inlineStr">
        <is>
          <t>未知</t>
        </is>
      </c>
      <c r="H50" s="26" t="n">
        <v>0</v>
      </c>
      <c r="I50" s="26" t="n">
        <v>0</v>
      </c>
      <c r="J50" s="27" t="n">
        <v>0.5</v>
      </c>
      <c r="K50" s="28">
        <f>IFERROR(H50,0)</f>
        <v/>
      </c>
      <c r="L50" s="29" t="n">
        <v>0.4676</v>
      </c>
      <c r="M50" s="29" t="n">
        <v>0.2188</v>
      </c>
      <c r="N50" s="29" t="n">
        <v>0.2015</v>
      </c>
      <c r="O50" s="29" t="n">
        <v>0.1833</v>
      </c>
      <c r="P50" s="30">
        <f>IFERROR(IF(K50=0,"待填成本",ROUND(K50/(1-L50),0)),"" )</f>
        <v/>
      </c>
      <c r="Q50" s="30">
        <f>IFERROR(IF(K50=0,"待填成本",ROUND(K50/(1-M50),0)),"" )</f>
        <v/>
      </c>
      <c r="R50" s="30">
        <f>IFERROR(IF(K50=0,"待填成本",ROUND(K50/(1-N50),0)),"" )</f>
        <v/>
      </c>
      <c r="S50" s="30">
        <f>IFERROR(IF(K50=0,"待填成本",ROUND(K50/(1-O50),0)),"" )</f>
        <v/>
      </c>
      <c r="T50" s="31">
        <f>IFERROR(IF(K50=0,"",(P50-K50)/P50),"" )</f>
        <v/>
      </c>
      <c r="U50" s="31">
        <f>IFERROR(IF(K50=0,"",(Q50-K50)/Q50),"" )</f>
        <v/>
      </c>
      <c r="V50" s="31">
        <f>IFERROR(IF(K50=0,"",(R50-K50)/R50),"" )</f>
        <v/>
      </c>
      <c r="W50" s="31">
        <f>IFERROR(IF(K50=0,"",(S50-K50)/S50),"" )</f>
        <v/>
      </c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3" t="n"/>
      <c r="AG50" s="33" t="n"/>
      <c r="AH50" s="5" t="inlineStr"/>
    </row>
    <row r="51" ht="18" customHeight="1">
      <c r="A51" s="25" t="inlineStr">
        <is>
          <t>2633013011599</t>
        </is>
      </c>
      <c r="B51" s="34" t="inlineStr">
        <is>
          <t>卧室-床</t>
        </is>
      </c>
      <c r="C51" s="35" t="inlineStr">
        <is>
          <t>畔色黑胡桃木梯形腿双人床 |黑胡桃木拱形腿床</t>
        </is>
      </c>
      <c r="D51" s="35" t="inlineStr">
        <is>
          <t>黑胡桃木梯形腿床-1.5米-榉木铺板</t>
        </is>
      </c>
      <c r="E51" s="34" t="inlineStr">
        <is>
          <t>未知</t>
        </is>
      </c>
      <c r="F51" s="34" t="inlineStr">
        <is>
          <t>未知</t>
        </is>
      </c>
      <c r="G51" s="35" t="inlineStr">
        <is>
          <t>未知</t>
        </is>
      </c>
      <c r="H51" s="26" t="n">
        <v>0</v>
      </c>
      <c r="I51" s="26" t="n">
        <v>0</v>
      </c>
      <c r="J51" s="27" t="n">
        <v>0.5</v>
      </c>
      <c r="K51" s="28">
        <f>IFERROR(H51,0)</f>
        <v/>
      </c>
      <c r="L51" s="29" t="n">
        <v>0.4676</v>
      </c>
      <c r="M51" s="29" t="n">
        <v>0.2188</v>
      </c>
      <c r="N51" s="29" t="n">
        <v>0.2015</v>
      </c>
      <c r="O51" s="29" t="n">
        <v>0.1833</v>
      </c>
      <c r="P51" s="30">
        <f>IFERROR(IF(K51=0,"待填成本",ROUND(K51/(1-L51),0)),"" )</f>
        <v/>
      </c>
      <c r="Q51" s="30">
        <f>IFERROR(IF(K51=0,"待填成本",ROUND(K51/(1-M51),0)),"" )</f>
        <v/>
      </c>
      <c r="R51" s="30">
        <f>IFERROR(IF(K51=0,"待填成本",ROUND(K51/(1-N51),0)),"" )</f>
        <v/>
      </c>
      <c r="S51" s="30">
        <f>IFERROR(IF(K51=0,"待填成本",ROUND(K51/(1-O51),0)),"" )</f>
        <v/>
      </c>
      <c r="T51" s="31">
        <f>IFERROR(IF(K51=0,"",(P51-K51)/P51),"" )</f>
        <v/>
      </c>
      <c r="U51" s="31">
        <f>IFERROR(IF(K51=0,"",(Q51-K51)/Q51),"" )</f>
        <v/>
      </c>
      <c r="V51" s="31">
        <f>IFERROR(IF(K51=0,"",(R51-K51)/R51),"" )</f>
        <v/>
      </c>
      <c r="W51" s="31">
        <f>IFERROR(IF(K51=0,"",(S51-K51)/S51),"" )</f>
        <v/>
      </c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3" t="n"/>
      <c r="AG51" s="33" t="n"/>
      <c r="AH51" s="35" t="inlineStr"/>
    </row>
    <row r="52" ht="18" customHeight="1">
      <c r="A52" s="25" t="inlineStr">
        <is>
          <t>2633013011599</t>
        </is>
      </c>
      <c r="B52" s="6" t="inlineStr">
        <is>
          <t>卧室-床</t>
        </is>
      </c>
      <c r="C52" s="5" t="inlineStr">
        <is>
          <t>畔色黑胡桃木梯形腿双人床 |黑胡桃木拱形腿床</t>
        </is>
      </c>
      <c r="D52" s="5" t="inlineStr">
        <is>
          <t>黑胡桃木梯形腿床-1.8米-榉木铺板</t>
        </is>
      </c>
      <c r="E52" s="6" t="inlineStr">
        <is>
          <t>未知</t>
        </is>
      </c>
      <c r="F52" s="6" t="inlineStr">
        <is>
          <t>未知</t>
        </is>
      </c>
      <c r="G52" s="5" t="inlineStr">
        <is>
          <t>未知</t>
        </is>
      </c>
      <c r="H52" s="26" t="n">
        <v>0</v>
      </c>
      <c r="I52" s="26" t="n">
        <v>0</v>
      </c>
      <c r="J52" s="27" t="n">
        <v>0.5</v>
      </c>
      <c r="K52" s="28">
        <f>IFERROR(H52,0)</f>
        <v/>
      </c>
      <c r="L52" s="29" t="n">
        <v>0.4676</v>
      </c>
      <c r="M52" s="29" t="n">
        <v>0.2188</v>
      </c>
      <c r="N52" s="29" t="n">
        <v>0.2015</v>
      </c>
      <c r="O52" s="29" t="n">
        <v>0.1833</v>
      </c>
      <c r="P52" s="30">
        <f>IFERROR(IF(K52=0,"待填成本",ROUND(K52/(1-L52),0)),"" )</f>
        <v/>
      </c>
      <c r="Q52" s="30">
        <f>IFERROR(IF(K52=0,"待填成本",ROUND(K52/(1-M52),0)),"" )</f>
        <v/>
      </c>
      <c r="R52" s="30">
        <f>IFERROR(IF(K52=0,"待填成本",ROUND(K52/(1-N52),0)),"" )</f>
        <v/>
      </c>
      <c r="S52" s="30">
        <f>IFERROR(IF(K52=0,"待填成本",ROUND(K52/(1-O52),0)),"" )</f>
        <v/>
      </c>
      <c r="T52" s="31">
        <f>IFERROR(IF(K52=0,"",(P52-K52)/P52),"" )</f>
        <v/>
      </c>
      <c r="U52" s="31">
        <f>IFERROR(IF(K52=0,"",(Q52-K52)/Q52),"" )</f>
        <v/>
      </c>
      <c r="V52" s="31">
        <f>IFERROR(IF(K52=0,"",(R52-K52)/R52),"" )</f>
        <v/>
      </c>
      <c r="W52" s="31">
        <f>IFERROR(IF(K52=0,"",(S52-K52)/S52),"" )</f>
        <v/>
      </c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3" t="n"/>
      <c r="AG52" s="33" t="n"/>
      <c r="AH52" s="5" t="inlineStr"/>
    </row>
    <row r="53" ht="18" customHeight="1">
      <c r="A53" s="25" t="inlineStr">
        <is>
          <t>2633013011599</t>
        </is>
      </c>
      <c r="B53" s="34" t="inlineStr">
        <is>
          <t>卧室-床</t>
        </is>
      </c>
      <c r="C53" s="35" t="inlineStr">
        <is>
          <t>畔色黑胡桃木梯形腿双人床 |黑胡桃木拱形腿床</t>
        </is>
      </c>
      <c r="D53" s="35" t="inlineStr">
        <is>
          <t>黑胡桃木梯形腿床-1.2米-松木铺板</t>
        </is>
      </c>
      <c r="E53" s="34" t="inlineStr">
        <is>
          <t>未知</t>
        </is>
      </c>
      <c r="F53" s="34" t="inlineStr">
        <is>
          <t>未知</t>
        </is>
      </c>
      <c r="G53" s="35" t="inlineStr">
        <is>
          <t>未知</t>
        </is>
      </c>
      <c r="H53" s="26" t="n">
        <v>0</v>
      </c>
      <c r="I53" s="26" t="n">
        <v>0</v>
      </c>
      <c r="J53" s="27" t="n">
        <v>0.5</v>
      </c>
      <c r="K53" s="28">
        <f>IFERROR(H53,0)</f>
        <v/>
      </c>
      <c r="L53" s="29" t="n">
        <v>0.4676</v>
      </c>
      <c r="M53" s="29" t="n">
        <v>0.2188</v>
      </c>
      <c r="N53" s="29" t="n">
        <v>0.2015</v>
      </c>
      <c r="O53" s="29" t="n">
        <v>0.1833</v>
      </c>
      <c r="P53" s="30">
        <f>IFERROR(IF(K53=0,"待填成本",ROUND(K53/(1-L53),0)),"" )</f>
        <v/>
      </c>
      <c r="Q53" s="30">
        <f>IFERROR(IF(K53=0,"待填成本",ROUND(K53/(1-M53),0)),"" )</f>
        <v/>
      </c>
      <c r="R53" s="30">
        <f>IFERROR(IF(K53=0,"待填成本",ROUND(K53/(1-N53),0)),"" )</f>
        <v/>
      </c>
      <c r="S53" s="30">
        <f>IFERROR(IF(K53=0,"待填成本",ROUND(K53/(1-O53),0)),"" )</f>
        <v/>
      </c>
      <c r="T53" s="31">
        <f>IFERROR(IF(K53=0,"",(P53-K53)/P53),"" )</f>
        <v/>
      </c>
      <c r="U53" s="31">
        <f>IFERROR(IF(K53=0,"",(Q53-K53)/Q53),"" )</f>
        <v/>
      </c>
      <c r="V53" s="31">
        <f>IFERROR(IF(K53=0,"",(R53-K53)/R53),"" )</f>
        <v/>
      </c>
      <c r="W53" s="31">
        <f>IFERROR(IF(K53=0,"",(S53-K53)/S53),"" )</f>
        <v/>
      </c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3" t="n"/>
      <c r="AG53" s="33" t="n"/>
      <c r="AH53" s="35" t="inlineStr"/>
    </row>
    <row r="54" ht="18" customHeight="1">
      <c r="A54" s="25" t="inlineStr">
        <is>
          <t>2633013011599</t>
        </is>
      </c>
      <c r="B54" s="6" t="inlineStr">
        <is>
          <t>卧室-床</t>
        </is>
      </c>
      <c r="C54" s="5" t="inlineStr">
        <is>
          <t>畔色黑胡桃木梯形腿双人床 |黑胡桃木拱形腿床</t>
        </is>
      </c>
      <c r="D54" s="5" t="inlineStr">
        <is>
          <t>黑胡桃木梯形腿床-1.35米-松木铺板</t>
        </is>
      </c>
      <c r="E54" s="6" t="inlineStr">
        <is>
          <t>未知</t>
        </is>
      </c>
      <c r="F54" s="6" t="inlineStr">
        <is>
          <t>未知</t>
        </is>
      </c>
      <c r="G54" s="5" t="inlineStr">
        <is>
          <t>未知</t>
        </is>
      </c>
      <c r="H54" s="26" t="n">
        <v>0</v>
      </c>
      <c r="I54" s="26" t="n">
        <v>0</v>
      </c>
      <c r="J54" s="27" t="n">
        <v>0.5</v>
      </c>
      <c r="K54" s="28">
        <f>IFERROR(H54,0)</f>
        <v/>
      </c>
      <c r="L54" s="29" t="n">
        <v>0.4676</v>
      </c>
      <c r="M54" s="29" t="n">
        <v>0.2188</v>
      </c>
      <c r="N54" s="29" t="n">
        <v>0.2015</v>
      </c>
      <c r="O54" s="29" t="n">
        <v>0.1833</v>
      </c>
      <c r="P54" s="30">
        <f>IFERROR(IF(K54=0,"待填成本",ROUND(K54/(1-L54),0)),"" )</f>
        <v/>
      </c>
      <c r="Q54" s="30">
        <f>IFERROR(IF(K54=0,"待填成本",ROUND(K54/(1-M54),0)),"" )</f>
        <v/>
      </c>
      <c r="R54" s="30">
        <f>IFERROR(IF(K54=0,"待填成本",ROUND(K54/(1-N54),0)),"" )</f>
        <v/>
      </c>
      <c r="S54" s="30">
        <f>IFERROR(IF(K54=0,"待填成本",ROUND(K54/(1-O54),0)),"" )</f>
        <v/>
      </c>
      <c r="T54" s="31">
        <f>IFERROR(IF(K54=0,"",(P54-K54)/P54),"" )</f>
        <v/>
      </c>
      <c r="U54" s="31">
        <f>IFERROR(IF(K54=0,"",(Q54-K54)/Q54),"" )</f>
        <v/>
      </c>
      <c r="V54" s="31">
        <f>IFERROR(IF(K54=0,"",(R54-K54)/R54),"" )</f>
        <v/>
      </c>
      <c r="W54" s="31">
        <f>IFERROR(IF(K54=0,"",(S54-K54)/S54),"" )</f>
        <v/>
      </c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3" t="n"/>
      <c r="AG54" s="33" t="n"/>
      <c r="AH54" s="5" t="inlineStr"/>
    </row>
    <row r="55" ht="18" customHeight="1">
      <c r="A55" s="25" t="inlineStr">
        <is>
          <t>2633013011599</t>
        </is>
      </c>
      <c r="B55" s="34" t="inlineStr">
        <is>
          <t>卧室-床</t>
        </is>
      </c>
      <c r="C55" s="35" t="inlineStr">
        <is>
          <t>畔色黑胡桃木梯形腿双人床 |黑胡桃木拱形腿床</t>
        </is>
      </c>
      <c r="D55" s="35" t="inlineStr">
        <is>
          <t>黑胡桃木梯形腿床-1.5米-松木铺板</t>
        </is>
      </c>
      <c r="E55" s="34" t="inlineStr">
        <is>
          <t>未知</t>
        </is>
      </c>
      <c r="F55" s="34" t="inlineStr">
        <is>
          <t>未知</t>
        </is>
      </c>
      <c r="G55" s="35" t="inlineStr">
        <is>
          <t>未知</t>
        </is>
      </c>
      <c r="H55" s="26" t="n">
        <v>0</v>
      </c>
      <c r="I55" s="26" t="n">
        <v>0</v>
      </c>
      <c r="J55" s="27" t="n">
        <v>0.5</v>
      </c>
      <c r="K55" s="28">
        <f>IFERROR(H55,0)</f>
        <v/>
      </c>
      <c r="L55" s="29" t="n">
        <v>0.4676</v>
      </c>
      <c r="M55" s="29" t="n">
        <v>0.2188</v>
      </c>
      <c r="N55" s="29" t="n">
        <v>0.2015</v>
      </c>
      <c r="O55" s="29" t="n">
        <v>0.1833</v>
      </c>
      <c r="P55" s="30">
        <f>IFERROR(IF(K55=0,"待填成本",ROUND(K55/(1-L55),0)),"" )</f>
        <v/>
      </c>
      <c r="Q55" s="30">
        <f>IFERROR(IF(K55=0,"待填成本",ROUND(K55/(1-M55),0)),"" )</f>
        <v/>
      </c>
      <c r="R55" s="30">
        <f>IFERROR(IF(K55=0,"待填成本",ROUND(K55/(1-N55),0)),"" )</f>
        <v/>
      </c>
      <c r="S55" s="30">
        <f>IFERROR(IF(K55=0,"待填成本",ROUND(K55/(1-O55),0)),"" )</f>
        <v/>
      </c>
      <c r="T55" s="31">
        <f>IFERROR(IF(K55=0,"",(P55-K55)/P55),"" )</f>
        <v/>
      </c>
      <c r="U55" s="31">
        <f>IFERROR(IF(K55=0,"",(Q55-K55)/Q55),"" )</f>
        <v/>
      </c>
      <c r="V55" s="31">
        <f>IFERROR(IF(K55=0,"",(R55-K55)/R55),"" )</f>
        <v/>
      </c>
      <c r="W55" s="31">
        <f>IFERROR(IF(K55=0,"",(S55-K55)/S55),"" )</f>
        <v/>
      </c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3" t="n"/>
      <c r="AG55" s="33" t="n"/>
      <c r="AH55" s="35" t="inlineStr"/>
    </row>
    <row r="56" ht="18" customHeight="1">
      <c r="A56" s="25" t="inlineStr">
        <is>
          <t>2633013011599</t>
        </is>
      </c>
      <c r="B56" s="6" t="inlineStr">
        <is>
          <t>卧室-床</t>
        </is>
      </c>
      <c r="C56" s="5" t="inlineStr">
        <is>
          <t>畔色黑胡桃木梯形腿双人床 |黑胡桃木拱形腿床</t>
        </is>
      </c>
      <c r="D56" s="5" t="inlineStr">
        <is>
          <t>黑胡桃木梯形腿床-1.8米-松木铺板</t>
        </is>
      </c>
      <c r="E56" s="6" t="inlineStr">
        <is>
          <t>未知</t>
        </is>
      </c>
      <c r="F56" s="6" t="inlineStr">
        <is>
          <t>未知</t>
        </is>
      </c>
      <c r="G56" s="5" t="inlineStr">
        <is>
          <t>未知</t>
        </is>
      </c>
      <c r="H56" s="26" t="n">
        <v>0</v>
      </c>
      <c r="I56" s="26" t="n">
        <v>0</v>
      </c>
      <c r="J56" s="27" t="n">
        <v>0.5</v>
      </c>
      <c r="K56" s="28">
        <f>IFERROR(H56,0)</f>
        <v/>
      </c>
      <c r="L56" s="29" t="n">
        <v>0.4676</v>
      </c>
      <c r="M56" s="29" t="n">
        <v>0.2188</v>
      </c>
      <c r="N56" s="29" t="n">
        <v>0.2015</v>
      </c>
      <c r="O56" s="29" t="n">
        <v>0.1833</v>
      </c>
      <c r="P56" s="30">
        <f>IFERROR(IF(K56=0,"待填成本",ROUND(K56/(1-L56),0)),"" )</f>
        <v/>
      </c>
      <c r="Q56" s="30">
        <f>IFERROR(IF(K56=0,"待填成本",ROUND(K56/(1-M56),0)),"" )</f>
        <v/>
      </c>
      <c r="R56" s="30">
        <f>IFERROR(IF(K56=0,"待填成本",ROUND(K56/(1-N56),0)),"" )</f>
        <v/>
      </c>
      <c r="S56" s="30">
        <f>IFERROR(IF(K56=0,"待填成本",ROUND(K56/(1-O56),0)),"" )</f>
        <v/>
      </c>
      <c r="T56" s="31">
        <f>IFERROR(IF(K56=0,"",(P56-K56)/P56),"" )</f>
        <v/>
      </c>
      <c r="U56" s="31">
        <f>IFERROR(IF(K56=0,"",(Q56-K56)/Q56),"" )</f>
        <v/>
      </c>
      <c r="V56" s="31">
        <f>IFERROR(IF(K56=0,"",(R56-K56)/R56),"" )</f>
        <v/>
      </c>
      <c r="W56" s="31">
        <f>IFERROR(IF(K56=0,"",(S56-K56)/S56),"" )</f>
        <v/>
      </c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3" t="n"/>
      <c r="AG56" s="33" t="n"/>
      <c r="AH56" s="5" t="inlineStr"/>
    </row>
    <row r="57" ht="18" customHeight="1">
      <c r="A57" s="25" t="inlineStr">
        <is>
          <t>2633014011799</t>
        </is>
      </c>
      <c r="B57" s="34" t="inlineStr">
        <is>
          <t>卧室-床</t>
        </is>
      </c>
      <c r="C57" s="35" t="inlineStr">
        <is>
          <t>畔色黑胡桃木软包双人床 |黑胡桃木落地大软包床</t>
        </is>
      </c>
      <c r="D57" s="35" t="inlineStr">
        <is>
          <t>黑胡桃木软包床-1.2米-榉木铺板</t>
        </is>
      </c>
      <c r="E57" s="34" t="inlineStr">
        <is>
          <t>未知</t>
        </is>
      </c>
      <c r="F57" s="34" t="inlineStr">
        <is>
          <t>未知</t>
        </is>
      </c>
      <c r="G57" s="35" t="inlineStr">
        <is>
          <t>未知</t>
        </is>
      </c>
      <c r="H57" s="26" t="n">
        <v>0</v>
      </c>
      <c r="I57" s="26" t="n">
        <v>0</v>
      </c>
      <c r="J57" s="27" t="n">
        <v>0.5</v>
      </c>
      <c r="K57" s="28">
        <f>IFERROR(H57,0)</f>
        <v/>
      </c>
      <c r="L57" s="29" t="n">
        <v>0.4676</v>
      </c>
      <c r="M57" s="29" t="n">
        <v>0.2188</v>
      </c>
      <c r="N57" s="29" t="n">
        <v>0.2015</v>
      </c>
      <c r="O57" s="29" t="n">
        <v>0.1833</v>
      </c>
      <c r="P57" s="30">
        <f>IFERROR(IF(K57=0,"待填成本",ROUND(K57/(1-L57),0)),"" )</f>
        <v/>
      </c>
      <c r="Q57" s="30">
        <f>IFERROR(IF(K57=0,"待填成本",ROUND(K57/(1-M57),0)),"" )</f>
        <v/>
      </c>
      <c r="R57" s="30">
        <f>IFERROR(IF(K57=0,"待填成本",ROUND(K57/(1-N57),0)),"" )</f>
        <v/>
      </c>
      <c r="S57" s="30">
        <f>IFERROR(IF(K57=0,"待填成本",ROUND(K57/(1-O57),0)),"" )</f>
        <v/>
      </c>
      <c r="T57" s="31">
        <f>IFERROR(IF(K57=0,"",(P57-K57)/P57),"" )</f>
        <v/>
      </c>
      <c r="U57" s="31">
        <f>IFERROR(IF(K57=0,"",(Q57-K57)/Q57),"" )</f>
        <v/>
      </c>
      <c r="V57" s="31">
        <f>IFERROR(IF(K57=0,"",(R57-K57)/R57),"" )</f>
        <v/>
      </c>
      <c r="W57" s="31">
        <f>IFERROR(IF(K57=0,"",(S57-K57)/S57),"" )</f>
        <v/>
      </c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3" t="n"/>
      <c r="AG57" s="33" t="n"/>
      <c r="AH57" s="35" t="inlineStr"/>
    </row>
    <row r="58" ht="18" customHeight="1">
      <c r="A58" s="25" t="inlineStr">
        <is>
          <t>2633014011799</t>
        </is>
      </c>
      <c r="B58" s="6" t="inlineStr">
        <is>
          <t>卧室-床</t>
        </is>
      </c>
      <c r="C58" s="5" t="inlineStr">
        <is>
          <t>畔色黑胡桃木软包双人床 |黑胡桃木落地大软包床</t>
        </is>
      </c>
      <c r="D58" s="5" t="inlineStr">
        <is>
          <t>黑胡桃木软包床-1.35米-榉木铺板</t>
        </is>
      </c>
      <c r="E58" s="6" t="inlineStr">
        <is>
          <t>未知</t>
        </is>
      </c>
      <c r="F58" s="6" t="inlineStr">
        <is>
          <t>未知</t>
        </is>
      </c>
      <c r="G58" s="5" t="inlineStr">
        <is>
          <t>未知</t>
        </is>
      </c>
      <c r="H58" s="26" t="n">
        <v>0</v>
      </c>
      <c r="I58" s="26" t="n">
        <v>0</v>
      </c>
      <c r="J58" s="27" t="n">
        <v>0.5</v>
      </c>
      <c r="K58" s="28">
        <f>IFERROR(H58,0)</f>
        <v/>
      </c>
      <c r="L58" s="29" t="n">
        <v>0.4676</v>
      </c>
      <c r="M58" s="29" t="n">
        <v>0.2188</v>
      </c>
      <c r="N58" s="29" t="n">
        <v>0.2015</v>
      </c>
      <c r="O58" s="29" t="n">
        <v>0.1833</v>
      </c>
      <c r="P58" s="30">
        <f>IFERROR(IF(K58=0,"待填成本",ROUND(K58/(1-L58),0)),"" )</f>
        <v/>
      </c>
      <c r="Q58" s="30">
        <f>IFERROR(IF(K58=0,"待填成本",ROUND(K58/(1-M58),0)),"" )</f>
        <v/>
      </c>
      <c r="R58" s="30">
        <f>IFERROR(IF(K58=0,"待填成本",ROUND(K58/(1-N58),0)),"" )</f>
        <v/>
      </c>
      <c r="S58" s="30">
        <f>IFERROR(IF(K58=0,"待填成本",ROUND(K58/(1-O58),0)),"" )</f>
        <v/>
      </c>
      <c r="T58" s="31">
        <f>IFERROR(IF(K58=0,"",(P58-K58)/P58),"" )</f>
        <v/>
      </c>
      <c r="U58" s="31">
        <f>IFERROR(IF(K58=0,"",(Q58-K58)/Q58),"" )</f>
        <v/>
      </c>
      <c r="V58" s="31">
        <f>IFERROR(IF(K58=0,"",(R58-K58)/R58),"" )</f>
        <v/>
      </c>
      <c r="W58" s="31">
        <f>IFERROR(IF(K58=0,"",(S58-K58)/S58),"" )</f>
        <v/>
      </c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3" t="n"/>
      <c r="AG58" s="33" t="n"/>
      <c r="AH58" s="5" t="inlineStr"/>
    </row>
    <row r="59" ht="18" customHeight="1">
      <c r="A59" s="25" t="inlineStr">
        <is>
          <t>2633014011799</t>
        </is>
      </c>
      <c r="B59" s="34" t="inlineStr">
        <is>
          <t>卧室-床</t>
        </is>
      </c>
      <c r="C59" s="35" t="inlineStr">
        <is>
          <t>畔色黑胡桃木软包双人床 |黑胡桃木落地大软包床</t>
        </is>
      </c>
      <c r="D59" s="35" t="inlineStr">
        <is>
          <t>黑胡桃木软包床-1.5米-榉木铺板</t>
        </is>
      </c>
      <c r="E59" s="34" t="inlineStr">
        <is>
          <t>未知</t>
        </is>
      </c>
      <c r="F59" s="34" t="inlineStr">
        <is>
          <t>未知</t>
        </is>
      </c>
      <c r="G59" s="35" t="inlineStr">
        <is>
          <t>未知</t>
        </is>
      </c>
      <c r="H59" s="26" t="n">
        <v>0</v>
      </c>
      <c r="I59" s="26" t="n">
        <v>0</v>
      </c>
      <c r="J59" s="27" t="n">
        <v>0.5</v>
      </c>
      <c r="K59" s="28">
        <f>IFERROR(H59,0)</f>
        <v/>
      </c>
      <c r="L59" s="29" t="n">
        <v>0.4676</v>
      </c>
      <c r="M59" s="29" t="n">
        <v>0.2188</v>
      </c>
      <c r="N59" s="29" t="n">
        <v>0.2015</v>
      </c>
      <c r="O59" s="29" t="n">
        <v>0.1833</v>
      </c>
      <c r="P59" s="30">
        <f>IFERROR(IF(K59=0,"待填成本",ROUND(K59/(1-L59),0)),"" )</f>
        <v/>
      </c>
      <c r="Q59" s="30">
        <f>IFERROR(IF(K59=0,"待填成本",ROUND(K59/(1-M59),0)),"" )</f>
        <v/>
      </c>
      <c r="R59" s="30">
        <f>IFERROR(IF(K59=0,"待填成本",ROUND(K59/(1-N59),0)),"" )</f>
        <v/>
      </c>
      <c r="S59" s="30">
        <f>IFERROR(IF(K59=0,"待填成本",ROUND(K59/(1-O59),0)),"" )</f>
        <v/>
      </c>
      <c r="T59" s="31">
        <f>IFERROR(IF(K59=0,"",(P59-K59)/P59),"" )</f>
        <v/>
      </c>
      <c r="U59" s="31">
        <f>IFERROR(IF(K59=0,"",(Q59-K59)/Q59),"" )</f>
        <v/>
      </c>
      <c r="V59" s="31">
        <f>IFERROR(IF(K59=0,"",(R59-K59)/R59),"" )</f>
        <v/>
      </c>
      <c r="W59" s="31">
        <f>IFERROR(IF(K59=0,"",(S59-K59)/S59),"" )</f>
        <v/>
      </c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3" t="n"/>
      <c r="AG59" s="33" t="n"/>
      <c r="AH59" s="35" t="inlineStr"/>
    </row>
    <row r="60" ht="18" customHeight="1">
      <c r="A60" s="25" t="inlineStr">
        <is>
          <t>2633014011799</t>
        </is>
      </c>
      <c r="B60" s="6" t="inlineStr">
        <is>
          <t>卧室-床</t>
        </is>
      </c>
      <c r="C60" s="5" t="inlineStr">
        <is>
          <t>畔色黑胡桃木软包双人床 |黑胡桃木落地大软包床</t>
        </is>
      </c>
      <c r="D60" s="5" t="inlineStr">
        <is>
          <t>黑胡桃木软包床-1.8米-榉木铺板</t>
        </is>
      </c>
      <c r="E60" s="6" t="inlineStr">
        <is>
          <t>未知</t>
        </is>
      </c>
      <c r="F60" s="6" t="inlineStr">
        <is>
          <t>未知</t>
        </is>
      </c>
      <c r="G60" s="5" t="inlineStr">
        <is>
          <t>未知</t>
        </is>
      </c>
      <c r="H60" s="26" t="n">
        <v>0</v>
      </c>
      <c r="I60" s="26" t="n">
        <v>0</v>
      </c>
      <c r="J60" s="27" t="n">
        <v>0.5</v>
      </c>
      <c r="K60" s="28">
        <f>IFERROR(H60,0)</f>
        <v/>
      </c>
      <c r="L60" s="29" t="n">
        <v>0.4676</v>
      </c>
      <c r="M60" s="29" t="n">
        <v>0.2188</v>
      </c>
      <c r="N60" s="29" t="n">
        <v>0.2015</v>
      </c>
      <c r="O60" s="29" t="n">
        <v>0.1833</v>
      </c>
      <c r="P60" s="30">
        <f>IFERROR(IF(K60=0,"待填成本",ROUND(K60/(1-L60),0)),"" )</f>
        <v/>
      </c>
      <c r="Q60" s="30">
        <f>IFERROR(IF(K60=0,"待填成本",ROUND(K60/(1-M60),0)),"" )</f>
        <v/>
      </c>
      <c r="R60" s="30">
        <f>IFERROR(IF(K60=0,"待填成本",ROUND(K60/(1-N60),0)),"" )</f>
        <v/>
      </c>
      <c r="S60" s="30">
        <f>IFERROR(IF(K60=0,"待填成本",ROUND(K60/(1-O60),0)),"" )</f>
        <v/>
      </c>
      <c r="T60" s="31">
        <f>IFERROR(IF(K60=0,"",(P60-K60)/P60),"" )</f>
        <v/>
      </c>
      <c r="U60" s="31">
        <f>IFERROR(IF(K60=0,"",(Q60-K60)/Q60),"" )</f>
        <v/>
      </c>
      <c r="V60" s="31">
        <f>IFERROR(IF(K60=0,"",(R60-K60)/R60),"" )</f>
        <v/>
      </c>
      <c r="W60" s="31">
        <f>IFERROR(IF(K60=0,"",(S60-K60)/S60),"" )</f>
        <v/>
      </c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3" t="n"/>
      <c r="AG60" s="33" t="n"/>
      <c r="AH60" s="5" t="inlineStr"/>
    </row>
    <row r="61" ht="18" customHeight="1">
      <c r="A61" s="25" t="inlineStr">
        <is>
          <t>2633014011799</t>
        </is>
      </c>
      <c r="B61" s="34" t="inlineStr">
        <is>
          <t>卧室-床</t>
        </is>
      </c>
      <c r="C61" s="35" t="inlineStr">
        <is>
          <t>畔色黑胡桃木软包双人床 |黑胡桃木落地大软包床</t>
        </is>
      </c>
      <c r="D61" s="35" t="inlineStr">
        <is>
          <t>黑胡桃木软包床-1.2米-松木铺板</t>
        </is>
      </c>
      <c r="E61" s="34" t="inlineStr">
        <is>
          <t>未知</t>
        </is>
      </c>
      <c r="F61" s="34" t="inlineStr">
        <is>
          <t>未知</t>
        </is>
      </c>
      <c r="G61" s="35" t="inlineStr">
        <is>
          <t>未知</t>
        </is>
      </c>
      <c r="H61" s="26" t="n">
        <v>0</v>
      </c>
      <c r="I61" s="26" t="n">
        <v>0</v>
      </c>
      <c r="J61" s="27" t="n">
        <v>0.5</v>
      </c>
      <c r="K61" s="28">
        <f>IFERROR(H61,0)</f>
        <v/>
      </c>
      <c r="L61" s="29" t="n">
        <v>0.4676</v>
      </c>
      <c r="M61" s="29" t="n">
        <v>0.2188</v>
      </c>
      <c r="N61" s="29" t="n">
        <v>0.2015</v>
      </c>
      <c r="O61" s="29" t="n">
        <v>0.1833</v>
      </c>
      <c r="P61" s="30">
        <f>IFERROR(IF(K61=0,"待填成本",ROUND(K61/(1-L61),0)),"" )</f>
        <v/>
      </c>
      <c r="Q61" s="30">
        <f>IFERROR(IF(K61=0,"待填成本",ROUND(K61/(1-M61),0)),"" )</f>
        <v/>
      </c>
      <c r="R61" s="30">
        <f>IFERROR(IF(K61=0,"待填成本",ROUND(K61/(1-N61),0)),"" )</f>
        <v/>
      </c>
      <c r="S61" s="30">
        <f>IFERROR(IF(K61=0,"待填成本",ROUND(K61/(1-O61),0)),"" )</f>
        <v/>
      </c>
      <c r="T61" s="31">
        <f>IFERROR(IF(K61=0,"",(P61-K61)/P61),"" )</f>
        <v/>
      </c>
      <c r="U61" s="31">
        <f>IFERROR(IF(K61=0,"",(Q61-K61)/Q61),"" )</f>
        <v/>
      </c>
      <c r="V61" s="31">
        <f>IFERROR(IF(K61=0,"",(R61-K61)/R61),"" )</f>
        <v/>
      </c>
      <c r="W61" s="31">
        <f>IFERROR(IF(K61=0,"",(S61-K61)/S61),"" )</f>
        <v/>
      </c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3" t="n"/>
      <c r="AG61" s="33" t="n"/>
      <c r="AH61" s="35" t="inlineStr"/>
    </row>
    <row r="62" ht="18" customHeight="1">
      <c r="A62" s="25" t="inlineStr">
        <is>
          <t>2633014011799</t>
        </is>
      </c>
      <c r="B62" s="6" t="inlineStr">
        <is>
          <t>卧室-床</t>
        </is>
      </c>
      <c r="C62" s="5" t="inlineStr">
        <is>
          <t>畔色黑胡桃木软包双人床 |黑胡桃木落地大软包床</t>
        </is>
      </c>
      <c r="D62" s="5" t="inlineStr">
        <is>
          <t>黑胡桃木软包床-1.35米-松木铺板</t>
        </is>
      </c>
      <c r="E62" s="6" t="inlineStr">
        <is>
          <t>未知</t>
        </is>
      </c>
      <c r="F62" s="6" t="inlineStr">
        <is>
          <t>未知</t>
        </is>
      </c>
      <c r="G62" s="5" t="inlineStr">
        <is>
          <t>未知</t>
        </is>
      </c>
      <c r="H62" s="26" t="n">
        <v>0</v>
      </c>
      <c r="I62" s="26" t="n">
        <v>0</v>
      </c>
      <c r="J62" s="27" t="n">
        <v>0.5</v>
      </c>
      <c r="K62" s="28">
        <f>IFERROR(H62,0)</f>
        <v/>
      </c>
      <c r="L62" s="29" t="n">
        <v>0.4676</v>
      </c>
      <c r="M62" s="29" t="n">
        <v>0.2188</v>
      </c>
      <c r="N62" s="29" t="n">
        <v>0.2015</v>
      </c>
      <c r="O62" s="29" t="n">
        <v>0.1833</v>
      </c>
      <c r="P62" s="30">
        <f>IFERROR(IF(K62=0,"待填成本",ROUND(K62/(1-L62),0)),"" )</f>
        <v/>
      </c>
      <c r="Q62" s="30">
        <f>IFERROR(IF(K62=0,"待填成本",ROUND(K62/(1-M62),0)),"" )</f>
        <v/>
      </c>
      <c r="R62" s="30">
        <f>IFERROR(IF(K62=0,"待填成本",ROUND(K62/(1-N62),0)),"" )</f>
        <v/>
      </c>
      <c r="S62" s="30">
        <f>IFERROR(IF(K62=0,"待填成本",ROUND(K62/(1-O62),0)),"" )</f>
        <v/>
      </c>
      <c r="T62" s="31">
        <f>IFERROR(IF(K62=0,"",(P62-K62)/P62),"" )</f>
        <v/>
      </c>
      <c r="U62" s="31">
        <f>IFERROR(IF(K62=0,"",(Q62-K62)/Q62),"" )</f>
        <v/>
      </c>
      <c r="V62" s="31">
        <f>IFERROR(IF(K62=0,"",(R62-K62)/R62),"" )</f>
        <v/>
      </c>
      <c r="W62" s="31">
        <f>IFERROR(IF(K62=0,"",(S62-K62)/S62),"" )</f>
        <v/>
      </c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3" t="n"/>
      <c r="AG62" s="33" t="n"/>
      <c r="AH62" s="5" t="inlineStr"/>
    </row>
    <row r="63" ht="18" customHeight="1">
      <c r="A63" s="25" t="inlineStr">
        <is>
          <t>2633014011799</t>
        </is>
      </c>
      <c r="B63" s="34" t="inlineStr">
        <is>
          <t>卧室-床</t>
        </is>
      </c>
      <c r="C63" s="35" t="inlineStr">
        <is>
          <t>畔色黑胡桃木软包双人床 |黑胡桃木落地大软包床</t>
        </is>
      </c>
      <c r="D63" s="35" t="inlineStr">
        <is>
          <t>黑胡桃木软包床-1.5米-松木铺板</t>
        </is>
      </c>
      <c r="E63" s="34" t="inlineStr">
        <is>
          <t>未知</t>
        </is>
      </c>
      <c r="F63" s="34" t="inlineStr">
        <is>
          <t>未知</t>
        </is>
      </c>
      <c r="G63" s="35" t="inlineStr">
        <is>
          <t>未知</t>
        </is>
      </c>
      <c r="H63" s="26" t="n">
        <v>0</v>
      </c>
      <c r="I63" s="26" t="n">
        <v>0</v>
      </c>
      <c r="J63" s="27" t="n">
        <v>0.5</v>
      </c>
      <c r="K63" s="28">
        <f>IFERROR(H63,0)</f>
        <v/>
      </c>
      <c r="L63" s="29" t="n">
        <v>0.4676</v>
      </c>
      <c r="M63" s="29" t="n">
        <v>0.2188</v>
      </c>
      <c r="N63" s="29" t="n">
        <v>0.2015</v>
      </c>
      <c r="O63" s="29" t="n">
        <v>0.1833</v>
      </c>
      <c r="P63" s="30">
        <f>IFERROR(IF(K63=0,"待填成本",ROUND(K63/(1-L63),0)),"" )</f>
        <v/>
      </c>
      <c r="Q63" s="30">
        <f>IFERROR(IF(K63=0,"待填成本",ROUND(K63/(1-M63),0)),"" )</f>
        <v/>
      </c>
      <c r="R63" s="30">
        <f>IFERROR(IF(K63=0,"待填成本",ROUND(K63/(1-N63),0)),"" )</f>
        <v/>
      </c>
      <c r="S63" s="30">
        <f>IFERROR(IF(K63=0,"待填成本",ROUND(K63/(1-O63),0)),"" )</f>
        <v/>
      </c>
      <c r="T63" s="31">
        <f>IFERROR(IF(K63=0,"",(P63-K63)/P63),"" )</f>
        <v/>
      </c>
      <c r="U63" s="31">
        <f>IFERROR(IF(K63=0,"",(Q63-K63)/Q63),"" )</f>
        <v/>
      </c>
      <c r="V63" s="31">
        <f>IFERROR(IF(K63=0,"",(R63-K63)/R63),"" )</f>
        <v/>
      </c>
      <c r="W63" s="31">
        <f>IFERROR(IF(K63=0,"",(S63-K63)/S63),"" )</f>
        <v/>
      </c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3" t="n"/>
      <c r="AG63" s="33" t="n"/>
      <c r="AH63" s="35" t="inlineStr"/>
    </row>
    <row r="64" ht="18" customHeight="1">
      <c r="A64" s="25" t="inlineStr">
        <is>
          <t>2633014011799</t>
        </is>
      </c>
      <c r="B64" s="6" t="inlineStr">
        <is>
          <t>卧室-床</t>
        </is>
      </c>
      <c r="C64" s="5" t="inlineStr">
        <is>
          <t>畔色黑胡桃木软包双人床 |黑胡桃木落地大软包床</t>
        </is>
      </c>
      <c r="D64" s="5" t="inlineStr">
        <is>
          <t>黑胡桃木软包床-1.8米-松木铺板</t>
        </is>
      </c>
      <c r="E64" s="6" t="inlineStr">
        <is>
          <t>未知</t>
        </is>
      </c>
      <c r="F64" s="6" t="inlineStr">
        <is>
          <t>未知</t>
        </is>
      </c>
      <c r="G64" s="5" t="inlineStr">
        <is>
          <t>未知</t>
        </is>
      </c>
      <c r="H64" s="26" t="n">
        <v>0</v>
      </c>
      <c r="I64" s="26" t="n">
        <v>0</v>
      </c>
      <c r="J64" s="27" t="n">
        <v>0.5</v>
      </c>
      <c r="K64" s="28">
        <f>IFERROR(H64,0)</f>
        <v/>
      </c>
      <c r="L64" s="29" t="n">
        <v>0.4676</v>
      </c>
      <c r="M64" s="29" t="n">
        <v>0.2188</v>
      </c>
      <c r="N64" s="29" t="n">
        <v>0.2015</v>
      </c>
      <c r="O64" s="29" t="n">
        <v>0.1833</v>
      </c>
      <c r="P64" s="30">
        <f>IFERROR(IF(K64=0,"待填成本",ROUND(K64/(1-L64),0)),"" )</f>
        <v/>
      </c>
      <c r="Q64" s="30">
        <f>IFERROR(IF(K64=0,"待填成本",ROUND(K64/(1-M64),0)),"" )</f>
        <v/>
      </c>
      <c r="R64" s="30">
        <f>IFERROR(IF(K64=0,"待填成本",ROUND(K64/(1-N64),0)),"" )</f>
        <v/>
      </c>
      <c r="S64" s="30">
        <f>IFERROR(IF(K64=0,"待填成本",ROUND(K64/(1-O64),0)),"" )</f>
        <v/>
      </c>
      <c r="T64" s="31">
        <f>IFERROR(IF(K64=0,"",(P64-K64)/P64),"" )</f>
        <v/>
      </c>
      <c r="U64" s="31">
        <f>IFERROR(IF(K64=0,"",(Q64-K64)/Q64),"" )</f>
        <v/>
      </c>
      <c r="V64" s="31">
        <f>IFERROR(IF(K64=0,"",(R64-K64)/R64),"" )</f>
        <v/>
      </c>
      <c r="W64" s="31">
        <f>IFERROR(IF(K64=0,"",(S64-K64)/S64),"" )</f>
        <v/>
      </c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3" t="n"/>
      <c r="AG64" s="33" t="n"/>
      <c r="AH64" s="5" t="inlineStr"/>
    </row>
    <row r="65" ht="18" customHeight="1">
      <c r="A65" s="25" t="inlineStr">
        <is>
          <t>2633015011899</t>
        </is>
      </c>
      <c r="B65" s="34" t="inlineStr">
        <is>
          <t>卧室-床</t>
        </is>
      </c>
      <c r="C65" s="35" t="inlineStr">
        <is>
          <t>畔色黑胡桃木悬浮双人床 |黑胡桃木标准床</t>
        </is>
      </c>
      <c r="D65" s="35" t="inlineStr">
        <is>
          <t>黑胡桃木悬浮床-1.2米-榉木铺板</t>
        </is>
      </c>
      <c r="E65" s="34" t="inlineStr">
        <is>
          <t>未知</t>
        </is>
      </c>
      <c r="F65" s="34" t="inlineStr">
        <is>
          <t>未知</t>
        </is>
      </c>
      <c r="G65" s="35" t="inlineStr">
        <is>
          <t>未知</t>
        </is>
      </c>
      <c r="H65" s="26" t="n">
        <v>0</v>
      </c>
      <c r="I65" s="26" t="n">
        <v>0</v>
      </c>
      <c r="J65" s="27" t="n">
        <v>0.5</v>
      </c>
      <c r="K65" s="28">
        <f>IFERROR(H65,0)</f>
        <v/>
      </c>
      <c r="L65" s="29" t="n">
        <v>0.4676</v>
      </c>
      <c r="M65" s="29" t="n">
        <v>0.2188</v>
      </c>
      <c r="N65" s="29" t="n">
        <v>0.2015</v>
      </c>
      <c r="O65" s="29" t="n">
        <v>0.1833</v>
      </c>
      <c r="P65" s="30">
        <f>IFERROR(IF(K65=0,"待填成本",ROUND(K65/(1-L65),0)),"" )</f>
        <v/>
      </c>
      <c r="Q65" s="30">
        <f>IFERROR(IF(K65=0,"待填成本",ROUND(K65/(1-M65),0)),"" )</f>
        <v/>
      </c>
      <c r="R65" s="30">
        <f>IFERROR(IF(K65=0,"待填成本",ROUND(K65/(1-N65),0)),"" )</f>
        <v/>
      </c>
      <c r="S65" s="30">
        <f>IFERROR(IF(K65=0,"待填成本",ROUND(K65/(1-O65),0)),"" )</f>
        <v/>
      </c>
      <c r="T65" s="31">
        <f>IFERROR(IF(K65=0,"",(P65-K65)/P65),"" )</f>
        <v/>
      </c>
      <c r="U65" s="31">
        <f>IFERROR(IF(K65=0,"",(Q65-K65)/Q65),"" )</f>
        <v/>
      </c>
      <c r="V65" s="31">
        <f>IFERROR(IF(K65=0,"",(R65-K65)/R65),"" )</f>
        <v/>
      </c>
      <c r="W65" s="31">
        <f>IFERROR(IF(K65=0,"",(S65-K65)/S65),"" )</f>
        <v/>
      </c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3" t="n"/>
      <c r="AG65" s="33" t="n"/>
      <c r="AH65" s="35" t="inlineStr"/>
    </row>
    <row r="66" ht="18" customHeight="1">
      <c r="A66" s="25" t="inlineStr">
        <is>
          <t>2633015011899</t>
        </is>
      </c>
      <c r="B66" s="6" t="inlineStr">
        <is>
          <t>卧室-床</t>
        </is>
      </c>
      <c r="C66" s="5" t="inlineStr">
        <is>
          <t>畔色黑胡桃木悬浮双人床 |黑胡桃木标准床</t>
        </is>
      </c>
      <c r="D66" s="5" t="inlineStr">
        <is>
          <t>黑胡桃木悬浮床-1.35米-榉木铺板</t>
        </is>
      </c>
      <c r="E66" s="6" t="inlineStr">
        <is>
          <t>未知</t>
        </is>
      </c>
      <c r="F66" s="6" t="inlineStr">
        <is>
          <t>未知</t>
        </is>
      </c>
      <c r="G66" s="5" t="inlineStr">
        <is>
          <t>未知</t>
        </is>
      </c>
      <c r="H66" s="26" t="n">
        <v>0</v>
      </c>
      <c r="I66" s="26" t="n">
        <v>0</v>
      </c>
      <c r="J66" s="27" t="n">
        <v>0.5</v>
      </c>
      <c r="K66" s="28">
        <f>IFERROR(H66,0)</f>
        <v/>
      </c>
      <c r="L66" s="29" t="n">
        <v>0.4676</v>
      </c>
      <c r="M66" s="29" t="n">
        <v>0.2188</v>
      </c>
      <c r="N66" s="29" t="n">
        <v>0.2015</v>
      </c>
      <c r="O66" s="29" t="n">
        <v>0.1833</v>
      </c>
      <c r="P66" s="30">
        <f>IFERROR(IF(K66=0,"待填成本",ROUND(K66/(1-L66),0)),"" )</f>
        <v/>
      </c>
      <c r="Q66" s="30">
        <f>IFERROR(IF(K66=0,"待填成本",ROUND(K66/(1-M66),0)),"" )</f>
        <v/>
      </c>
      <c r="R66" s="30">
        <f>IFERROR(IF(K66=0,"待填成本",ROUND(K66/(1-N66),0)),"" )</f>
        <v/>
      </c>
      <c r="S66" s="30">
        <f>IFERROR(IF(K66=0,"待填成本",ROUND(K66/(1-O66),0)),"" )</f>
        <v/>
      </c>
      <c r="T66" s="31">
        <f>IFERROR(IF(K66=0,"",(P66-K66)/P66),"" )</f>
        <v/>
      </c>
      <c r="U66" s="31">
        <f>IFERROR(IF(K66=0,"",(Q66-K66)/Q66),"" )</f>
        <v/>
      </c>
      <c r="V66" s="31">
        <f>IFERROR(IF(K66=0,"",(R66-K66)/R66),"" )</f>
        <v/>
      </c>
      <c r="W66" s="31">
        <f>IFERROR(IF(K66=0,"",(S66-K66)/S66),"" )</f>
        <v/>
      </c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3" t="n"/>
      <c r="AG66" s="33" t="n"/>
      <c r="AH66" s="5" t="inlineStr"/>
    </row>
    <row r="67" ht="18" customHeight="1">
      <c r="A67" s="25" t="inlineStr">
        <is>
          <t>2633015011899</t>
        </is>
      </c>
      <c r="B67" s="34" t="inlineStr">
        <is>
          <t>卧室-床</t>
        </is>
      </c>
      <c r="C67" s="35" t="inlineStr">
        <is>
          <t>畔色黑胡桃木悬浮双人床 |黑胡桃木标准床</t>
        </is>
      </c>
      <c r="D67" s="35" t="inlineStr">
        <is>
          <t>黑胡桃木悬浮床-1.5米-榉木铺板</t>
        </is>
      </c>
      <c r="E67" s="34" t="inlineStr">
        <is>
          <t>未知</t>
        </is>
      </c>
      <c r="F67" s="34" t="inlineStr">
        <is>
          <t>未知</t>
        </is>
      </c>
      <c r="G67" s="35" t="inlineStr">
        <is>
          <t>未知</t>
        </is>
      </c>
      <c r="H67" s="26" t="n">
        <v>0</v>
      </c>
      <c r="I67" s="26" t="n">
        <v>0</v>
      </c>
      <c r="J67" s="27" t="n">
        <v>0.5</v>
      </c>
      <c r="K67" s="28">
        <f>IFERROR(H67,0)</f>
        <v/>
      </c>
      <c r="L67" s="29" t="n">
        <v>0.4676</v>
      </c>
      <c r="M67" s="29" t="n">
        <v>0.2188</v>
      </c>
      <c r="N67" s="29" t="n">
        <v>0.2015</v>
      </c>
      <c r="O67" s="29" t="n">
        <v>0.1833</v>
      </c>
      <c r="P67" s="30">
        <f>IFERROR(IF(K67=0,"待填成本",ROUND(K67/(1-L67),0)),"" )</f>
        <v/>
      </c>
      <c r="Q67" s="30">
        <f>IFERROR(IF(K67=0,"待填成本",ROUND(K67/(1-M67),0)),"" )</f>
        <v/>
      </c>
      <c r="R67" s="30">
        <f>IFERROR(IF(K67=0,"待填成本",ROUND(K67/(1-N67),0)),"" )</f>
        <v/>
      </c>
      <c r="S67" s="30">
        <f>IFERROR(IF(K67=0,"待填成本",ROUND(K67/(1-O67),0)),"" )</f>
        <v/>
      </c>
      <c r="T67" s="31">
        <f>IFERROR(IF(K67=0,"",(P67-K67)/P67),"" )</f>
        <v/>
      </c>
      <c r="U67" s="31">
        <f>IFERROR(IF(K67=0,"",(Q67-K67)/Q67),"" )</f>
        <v/>
      </c>
      <c r="V67" s="31">
        <f>IFERROR(IF(K67=0,"",(R67-K67)/R67),"" )</f>
        <v/>
      </c>
      <c r="W67" s="31">
        <f>IFERROR(IF(K67=0,"",(S67-K67)/S67),"" )</f>
        <v/>
      </c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3" t="n"/>
      <c r="AG67" s="33" t="n"/>
      <c r="AH67" s="35" t="inlineStr"/>
    </row>
    <row r="68" ht="18" customHeight="1">
      <c r="A68" s="25" t="inlineStr">
        <is>
          <t>2633015011899</t>
        </is>
      </c>
      <c r="B68" s="6" t="inlineStr">
        <is>
          <t>卧室-床</t>
        </is>
      </c>
      <c r="C68" s="5" t="inlineStr">
        <is>
          <t>畔色黑胡桃木悬浮双人床 |黑胡桃木标准床</t>
        </is>
      </c>
      <c r="D68" s="5" t="inlineStr">
        <is>
          <t>黑胡桃木悬浮床-1.8米-榉木铺板</t>
        </is>
      </c>
      <c r="E68" s="6" t="inlineStr">
        <is>
          <t>未知</t>
        </is>
      </c>
      <c r="F68" s="6" t="inlineStr">
        <is>
          <t>未知</t>
        </is>
      </c>
      <c r="G68" s="5" t="inlineStr">
        <is>
          <t>未知</t>
        </is>
      </c>
      <c r="H68" s="26" t="n">
        <v>0</v>
      </c>
      <c r="I68" s="26" t="n">
        <v>0</v>
      </c>
      <c r="J68" s="27" t="n">
        <v>0.5</v>
      </c>
      <c r="K68" s="28">
        <f>IFERROR(H68,0)</f>
        <v/>
      </c>
      <c r="L68" s="29" t="n">
        <v>0.4676</v>
      </c>
      <c r="M68" s="29" t="n">
        <v>0.2188</v>
      </c>
      <c r="N68" s="29" t="n">
        <v>0.2015</v>
      </c>
      <c r="O68" s="29" t="n">
        <v>0.1833</v>
      </c>
      <c r="P68" s="30">
        <f>IFERROR(IF(K68=0,"待填成本",ROUND(K68/(1-L68),0)),"" )</f>
        <v/>
      </c>
      <c r="Q68" s="30">
        <f>IFERROR(IF(K68=0,"待填成本",ROUND(K68/(1-M68),0)),"" )</f>
        <v/>
      </c>
      <c r="R68" s="30">
        <f>IFERROR(IF(K68=0,"待填成本",ROUND(K68/(1-N68),0)),"" )</f>
        <v/>
      </c>
      <c r="S68" s="30">
        <f>IFERROR(IF(K68=0,"待填成本",ROUND(K68/(1-O68),0)),"" )</f>
        <v/>
      </c>
      <c r="T68" s="31">
        <f>IFERROR(IF(K68=0,"",(P68-K68)/P68),"" )</f>
        <v/>
      </c>
      <c r="U68" s="31">
        <f>IFERROR(IF(K68=0,"",(Q68-K68)/Q68),"" )</f>
        <v/>
      </c>
      <c r="V68" s="31">
        <f>IFERROR(IF(K68=0,"",(R68-K68)/R68),"" )</f>
        <v/>
      </c>
      <c r="W68" s="31">
        <f>IFERROR(IF(K68=0,"",(S68-K68)/S68),"" )</f>
        <v/>
      </c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3" t="n"/>
      <c r="AG68" s="33" t="n"/>
      <c r="AH68" s="5" t="inlineStr"/>
    </row>
    <row r="69" ht="18" customHeight="1">
      <c r="A69" s="25" t="inlineStr">
        <is>
          <t>2633015011899</t>
        </is>
      </c>
      <c r="B69" s="34" t="inlineStr">
        <is>
          <t>卧室-床</t>
        </is>
      </c>
      <c r="C69" s="35" t="inlineStr">
        <is>
          <t>畔色黑胡桃木悬浮双人床 |黑胡桃木标准床</t>
        </is>
      </c>
      <c r="D69" s="35" t="inlineStr">
        <is>
          <t>黑胡桃木悬浮床-1.2米-松木铺板</t>
        </is>
      </c>
      <c r="E69" s="34" t="inlineStr">
        <is>
          <t>未知</t>
        </is>
      </c>
      <c r="F69" s="34" t="inlineStr">
        <is>
          <t>未知</t>
        </is>
      </c>
      <c r="G69" s="35" t="inlineStr">
        <is>
          <t>未知</t>
        </is>
      </c>
      <c r="H69" s="26" t="n">
        <v>0</v>
      </c>
      <c r="I69" s="26" t="n">
        <v>0</v>
      </c>
      <c r="J69" s="27" t="n">
        <v>0.5</v>
      </c>
      <c r="K69" s="28">
        <f>IFERROR(H69,0)</f>
        <v/>
      </c>
      <c r="L69" s="29" t="n">
        <v>0.4676</v>
      </c>
      <c r="M69" s="29" t="n">
        <v>0.2188</v>
      </c>
      <c r="N69" s="29" t="n">
        <v>0.2015</v>
      </c>
      <c r="O69" s="29" t="n">
        <v>0.1833</v>
      </c>
      <c r="P69" s="30">
        <f>IFERROR(IF(K69=0,"待填成本",ROUND(K69/(1-L69),0)),"" )</f>
        <v/>
      </c>
      <c r="Q69" s="30">
        <f>IFERROR(IF(K69=0,"待填成本",ROUND(K69/(1-M69),0)),"" )</f>
        <v/>
      </c>
      <c r="R69" s="30">
        <f>IFERROR(IF(K69=0,"待填成本",ROUND(K69/(1-N69),0)),"" )</f>
        <v/>
      </c>
      <c r="S69" s="30">
        <f>IFERROR(IF(K69=0,"待填成本",ROUND(K69/(1-O69),0)),"" )</f>
        <v/>
      </c>
      <c r="T69" s="31">
        <f>IFERROR(IF(K69=0,"",(P69-K69)/P69),"" )</f>
        <v/>
      </c>
      <c r="U69" s="31">
        <f>IFERROR(IF(K69=0,"",(Q69-K69)/Q69),"" )</f>
        <v/>
      </c>
      <c r="V69" s="31">
        <f>IFERROR(IF(K69=0,"",(R69-K69)/R69),"" )</f>
        <v/>
      </c>
      <c r="W69" s="31">
        <f>IFERROR(IF(K69=0,"",(S69-K69)/S69),"" )</f>
        <v/>
      </c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3" t="n"/>
      <c r="AG69" s="33" t="n"/>
      <c r="AH69" s="35" t="inlineStr"/>
    </row>
    <row r="70" ht="18" customHeight="1">
      <c r="A70" s="25" t="inlineStr">
        <is>
          <t>2633015011899</t>
        </is>
      </c>
      <c r="B70" s="6" t="inlineStr">
        <is>
          <t>卧室-床</t>
        </is>
      </c>
      <c r="C70" s="5" t="inlineStr">
        <is>
          <t>畔色黑胡桃木悬浮双人床 |黑胡桃木标准床</t>
        </is>
      </c>
      <c r="D70" s="5" t="inlineStr">
        <is>
          <t>黑胡桃木悬浮床-1.35米-松木铺板</t>
        </is>
      </c>
      <c r="E70" s="6" t="inlineStr">
        <is>
          <t>未知</t>
        </is>
      </c>
      <c r="F70" s="6" t="inlineStr">
        <is>
          <t>未知</t>
        </is>
      </c>
      <c r="G70" s="5" t="inlineStr">
        <is>
          <t>未知</t>
        </is>
      </c>
      <c r="H70" s="26" t="n">
        <v>0</v>
      </c>
      <c r="I70" s="26" t="n">
        <v>0</v>
      </c>
      <c r="J70" s="27" t="n">
        <v>0.5</v>
      </c>
      <c r="K70" s="28">
        <f>IFERROR(H70,0)</f>
        <v/>
      </c>
      <c r="L70" s="29" t="n">
        <v>0.4676</v>
      </c>
      <c r="M70" s="29" t="n">
        <v>0.2188</v>
      </c>
      <c r="N70" s="29" t="n">
        <v>0.2015</v>
      </c>
      <c r="O70" s="29" t="n">
        <v>0.1833</v>
      </c>
      <c r="P70" s="30">
        <f>IFERROR(IF(K70=0,"待填成本",ROUND(K70/(1-L70),0)),"" )</f>
        <v/>
      </c>
      <c r="Q70" s="30">
        <f>IFERROR(IF(K70=0,"待填成本",ROUND(K70/(1-M70),0)),"" )</f>
        <v/>
      </c>
      <c r="R70" s="30">
        <f>IFERROR(IF(K70=0,"待填成本",ROUND(K70/(1-N70),0)),"" )</f>
        <v/>
      </c>
      <c r="S70" s="30">
        <f>IFERROR(IF(K70=0,"待填成本",ROUND(K70/(1-O70),0)),"" )</f>
        <v/>
      </c>
      <c r="T70" s="31">
        <f>IFERROR(IF(K70=0,"",(P70-K70)/P70),"" )</f>
        <v/>
      </c>
      <c r="U70" s="31">
        <f>IFERROR(IF(K70=0,"",(Q70-K70)/Q70),"" )</f>
        <v/>
      </c>
      <c r="V70" s="31">
        <f>IFERROR(IF(K70=0,"",(R70-K70)/R70),"" )</f>
        <v/>
      </c>
      <c r="W70" s="31">
        <f>IFERROR(IF(K70=0,"",(S70-K70)/S70),"" )</f>
        <v/>
      </c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3" t="n"/>
      <c r="AG70" s="33" t="n"/>
      <c r="AH70" s="5" t="inlineStr"/>
    </row>
    <row r="71" ht="18" customHeight="1">
      <c r="A71" s="25" t="inlineStr">
        <is>
          <t>2633015011899</t>
        </is>
      </c>
      <c r="B71" s="34" t="inlineStr">
        <is>
          <t>卧室-床</t>
        </is>
      </c>
      <c r="C71" s="35" t="inlineStr">
        <is>
          <t>畔色黑胡桃木悬浮双人床 |黑胡桃木标准床</t>
        </is>
      </c>
      <c r="D71" s="35" t="inlineStr">
        <is>
          <t>黑胡桃木悬浮床-1.5米-松木铺板</t>
        </is>
      </c>
      <c r="E71" s="34" t="inlineStr">
        <is>
          <t>未知</t>
        </is>
      </c>
      <c r="F71" s="34" t="inlineStr">
        <is>
          <t>未知</t>
        </is>
      </c>
      <c r="G71" s="35" t="inlineStr">
        <is>
          <t>未知</t>
        </is>
      </c>
      <c r="H71" s="26" t="n">
        <v>0</v>
      </c>
      <c r="I71" s="26" t="n">
        <v>0</v>
      </c>
      <c r="J71" s="27" t="n">
        <v>0.5</v>
      </c>
      <c r="K71" s="28">
        <f>IFERROR(H71,0)</f>
        <v/>
      </c>
      <c r="L71" s="29" t="n">
        <v>0.4676</v>
      </c>
      <c r="M71" s="29" t="n">
        <v>0.2188</v>
      </c>
      <c r="N71" s="29" t="n">
        <v>0.2015</v>
      </c>
      <c r="O71" s="29" t="n">
        <v>0.1833</v>
      </c>
      <c r="P71" s="30">
        <f>IFERROR(IF(K71=0,"待填成本",ROUND(K71/(1-L71),0)),"" )</f>
        <v/>
      </c>
      <c r="Q71" s="30">
        <f>IFERROR(IF(K71=0,"待填成本",ROUND(K71/(1-M71),0)),"" )</f>
        <v/>
      </c>
      <c r="R71" s="30">
        <f>IFERROR(IF(K71=0,"待填成本",ROUND(K71/(1-N71),0)),"" )</f>
        <v/>
      </c>
      <c r="S71" s="30">
        <f>IFERROR(IF(K71=0,"待填成本",ROUND(K71/(1-O71),0)),"" )</f>
        <v/>
      </c>
      <c r="T71" s="31">
        <f>IFERROR(IF(K71=0,"",(P71-K71)/P71),"" )</f>
        <v/>
      </c>
      <c r="U71" s="31">
        <f>IFERROR(IF(K71=0,"",(Q71-K71)/Q71),"" )</f>
        <v/>
      </c>
      <c r="V71" s="31">
        <f>IFERROR(IF(K71=0,"",(R71-K71)/R71),"" )</f>
        <v/>
      </c>
      <c r="W71" s="31">
        <f>IFERROR(IF(K71=0,"",(S71-K71)/S71),"" )</f>
        <v/>
      </c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3" t="n"/>
      <c r="AG71" s="33" t="n"/>
      <c r="AH71" s="35" t="inlineStr"/>
    </row>
    <row r="72" ht="18" customHeight="1">
      <c r="A72" s="25" t="inlineStr">
        <is>
          <t>2633015011899</t>
        </is>
      </c>
      <c r="B72" s="6" t="inlineStr">
        <is>
          <t>卧室-床</t>
        </is>
      </c>
      <c r="C72" s="5" t="inlineStr">
        <is>
          <t>畔色黑胡桃木悬浮双人床 |黑胡桃木标准床</t>
        </is>
      </c>
      <c r="D72" s="5" t="inlineStr">
        <is>
          <t>黑胡桃木悬浮床-1.8米-松木铺板</t>
        </is>
      </c>
      <c r="E72" s="6" t="inlineStr">
        <is>
          <t>未知</t>
        </is>
      </c>
      <c r="F72" s="6" t="inlineStr">
        <is>
          <t>未知</t>
        </is>
      </c>
      <c r="G72" s="5" t="inlineStr">
        <is>
          <t>未知</t>
        </is>
      </c>
      <c r="H72" s="26" t="n">
        <v>0</v>
      </c>
      <c r="I72" s="26" t="n">
        <v>0</v>
      </c>
      <c r="J72" s="27" t="n">
        <v>0.5</v>
      </c>
      <c r="K72" s="28">
        <f>IFERROR(H72,0)</f>
        <v/>
      </c>
      <c r="L72" s="29" t="n">
        <v>0.4676</v>
      </c>
      <c r="M72" s="29" t="n">
        <v>0.2188</v>
      </c>
      <c r="N72" s="29" t="n">
        <v>0.2015</v>
      </c>
      <c r="O72" s="29" t="n">
        <v>0.1833</v>
      </c>
      <c r="P72" s="30">
        <f>IFERROR(IF(K72=0,"待填成本",ROUND(K72/(1-L72),0)),"" )</f>
        <v/>
      </c>
      <c r="Q72" s="30">
        <f>IFERROR(IF(K72=0,"待填成本",ROUND(K72/(1-M72),0)),"" )</f>
        <v/>
      </c>
      <c r="R72" s="30">
        <f>IFERROR(IF(K72=0,"待填成本",ROUND(K72/(1-N72),0)),"" )</f>
        <v/>
      </c>
      <c r="S72" s="30">
        <f>IFERROR(IF(K72=0,"待填成本",ROUND(K72/(1-O72),0)),"" )</f>
        <v/>
      </c>
      <c r="T72" s="31">
        <f>IFERROR(IF(K72=0,"",(P72-K72)/P72),"" )</f>
        <v/>
      </c>
      <c r="U72" s="31">
        <f>IFERROR(IF(K72=0,"",(Q72-K72)/Q72),"" )</f>
        <v/>
      </c>
      <c r="V72" s="31">
        <f>IFERROR(IF(K72=0,"",(R72-K72)/R72),"" )</f>
        <v/>
      </c>
      <c r="W72" s="31">
        <f>IFERROR(IF(K72=0,"",(S72-K72)/S72),"" )</f>
        <v/>
      </c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3" t="n"/>
      <c r="AG72" s="33" t="n"/>
      <c r="AH72" s="5" t="inlineStr"/>
    </row>
    <row r="73" ht="18" customHeight="1">
      <c r="A73" s="25" t="inlineStr">
        <is>
          <t>2638004022599</t>
        </is>
      </c>
      <c r="B73" s="34" t="inlineStr">
        <is>
          <t>卧室-床头柜</t>
        </is>
      </c>
      <c r="C73" s="35" t="inlineStr">
        <is>
          <t>畔色榉木床头柜 |榉木铁板床头柜</t>
        </is>
      </c>
      <c r="D73" s="35" t="inlineStr">
        <is>
          <t>榉木床头柜-标准</t>
        </is>
      </c>
      <c r="E73" s="34" t="inlineStr">
        <is>
          <t>未知</t>
        </is>
      </c>
      <c r="F73" s="34" t="inlineStr">
        <is>
          <t>未知</t>
        </is>
      </c>
      <c r="G73" s="35" t="inlineStr">
        <is>
          <t>未知</t>
        </is>
      </c>
      <c r="H73" s="26" t="n">
        <v>0</v>
      </c>
      <c r="I73" s="26" t="n">
        <v>0</v>
      </c>
      <c r="J73" s="27" t="n">
        <v>0.55</v>
      </c>
      <c r="K73" s="28">
        <f>IFERROR(H73,0)</f>
        <v/>
      </c>
      <c r="L73" s="29" t="n">
        <v>0.4785</v>
      </c>
      <c r="M73" s="29" t="n">
        <v>0.2533</v>
      </c>
      <c r="N73" s="29" t="n">
        <v>0.2533</v>
      </c>
      <c r="O73" s="29" t="n">
        <v>0.2533</v>
      </c>
      <c r="P73" s="30">
        <f>IFERROR(IF(K73=0,"待填成本",ROUND(K73/(1-L73),0)),"" )</f>
        <v/>
      </c>
      <c r="Q73" s="30">
        <f>IFERROR(IF(K73=0,"待填成本",ROUND(K73/(1-M73),0)),"" )</f>
        <v/>
      </c>
      <c r="R73" s="30">
        <f>IFERROR(IF(K73=0,"待填成本",ROUND(K73/(1-N73),0)),"" )</f>
        <v/>
      </c>
      <c r="S73" s="30">
        <f>IFERROR(IF(K73=0,"待填成本",ROUND(K73/(1-O73),0)),"" )</f>
        <v/>
      </c>
      <c r="T73" s="31">
        <f>IFERROR(IF(K73=0,"",(P73-K73)/P73),"" )</f>
        <v/>
      </c>
      <c r="U73" s="31">
        <f>IFERROR(IF(K73=0,"",(Q73-K73)/Q73),"" )</f>
        <v/>
      </c>
      <c r="V73" s="31">
        <f>IFERROR(IF(K73=0,"",(R73-K73)/R73),"" )</f>
        <v/>
      </c>
      <c r="W73" s="31">
        <f>IFERROR(IF(K73=0,"",(S73-K73)/S73),"" )</f>
        <v/>
      </c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3" t="n"/>
      <c r="AG73" s="33" t="n"/>
      <c r="AH73" s="35" t="inlineStr"/>
    </row>
    <row r="74" ht="18" customHeight="1">
      <c r="A74" s="25" t="inlineStr">
        <is>
          <t>2638005030199</t>
        </is>
      </c>
      <c r="B74" s="6" t="inlineStr">
        <is>
          <t>卧室-床头柜</t>
        </is>
      </c>
      <c r="C74" s="5" t="inlineStr">
        <is>
          <t>畔色樱桃木轻盈边柜 |樱桃木玻璃床头柜 |黑色玻璃床头柜 |樱桃木玻璃边柜</t>
        </is>
      </c>
      <c r="D74" s="5" t="inlineStr">
        <is>
          <t>轻盈边柜-榉木黑-木底座</t>
        </is>
      </c>
      <c r="E74" s="6" t="inlineStr">
        <is>
          <t>未知</t>
        </is>
      </c>
      <c r="F74" s="6" t="inlineStr">
        <is>
          <t>未知</t>
        </is>
      </c>
      <c r="G74" s="5" t="inlineStr">
        <is>
          <t>未知</t>
        </is>
      </c>
      <c r="H74" s="26" t="n">
        <v>0</v>
      </c>
      <c r="I74" s="26" t="n">
        <v>0</v>
      </c>
      <c r="J74" s="27" t="n">
        <v>0.55</v>
      </c>
      <c r="K74" s="28">
        <f>IFERROR(H74,0)</f>
        <v/>
      </c>
      <c r="L74" s="29" t="n">
        <v>0.4785</v>
      </c>
      <c r="M74" s="29" t="n">
        <v>0.2533</v>
      </c>
      <c r="N74" s="29" t="n">
        <v>0.2533</v>
      </c>
      <c r="O74" s="29" t="n">
        <v>0.2533</v>
      </c>
      <c r="P74" s="30">
        <f>IFERROR(IF(K74=0,"待填成本",ROUND(K74/(1-L74),0)),"" )</f>
        <v/>
      </c>
      <c r="Q74" s="30">
        <f>IFERROR(IF(K74=0,"待填成本",ROUND(K74/(1-M74),0)),"" )</f>
        <v/>
      </c>
      <c r="R74" s="30">
        <f>IFERROR(IF(K74=0,"待填成本",ROUND(K74/(1-N74),0)),"" )</f>
        <v/>
      </c>
      <c r="S74" s="30">
        <f>IFERROR(IF(K74=0,"待填成本",ROUND(K74/(1-O74),0)),"" )</f>
        <v/>
      </c>
      <c r="T74" s="31">
        <f>IFERROR(IF(K74=0,"",(P74-K74)/P74),"" )</f>
        <v/>
      </c>
      <c r="U74" s="31">
        <f>IFERROR(IF(K74=0,"",(Q74-K74)/Q74),"" )</f>
        <v/>
      </c>
      <c r="V74" s="31">
        <f>IFERROR(IF(K74=0,"",(R74-K74)/R74),"" )</f>
        <v/>
      </c>
      <c r="W74" s="31">
        <f>IFERROR(IF(K74=0,"",(S74-K74)/S74),"" )</f>
        <v/>
      </c>
      <c r="X74" s="37" t="n">
        <v>20</v>
      </c>
      <c r="Y74" s="37" t="n">
        <v>20</v>
      </c>
      <c r="Z74" s="32" t="n"/>
      <c r="AA74" s="32" t="n"/>
      <c r="AB74" s="32" t="n"/>
      <c r="AC74" s="32" t="n"/>
      <c r="AD74" s="32" t="n"/>
      <c r="AE74" s="32" t="n"/>
      <c r="AF74" s="33" t="n"/>
      <c r="AG74" s="33" t="n"/>
      <c r="AH74" s="5" t="inlineStr"/>
    </row>
    <row r="75" ht="18" customHeight="1">
      <c r="A75" s="25" t="inlineStr">
        <is>
          <t>2638005030199</t>
        </is>
      </c>
      <c r="B75" s="34" t="inlineStr">
        <is>
          <t>卧室-床头柜</t>
        </is>
      </c>
      <c r="C75" s="35" t="inlineStr">
        <is>
          <t>畔色樱桃木轻盈边柜 |樱桃木玻璃床头柜 |黑色玻璃床头柜 |樱桃木玻璃边柜</t>
        </is>
      </c>
      <c r="D75" s="35" t="inlineStr">
        <is>
          <t>轻盈边柜-樱桃木-木底座</t>
        </is>
      </c>
      <c r="E75" s="34" t="inlineStr">
        <is>
          <t>未知</t>
        </is>
      </c>
      <c r="F75" s="34" t="inlineStr">
        <is>
          <t>未知</t>
        </is>
      </c>
      <c r="G75" s="35" t="inlineStr">
        <is>
          <t>未知</t>
        </is>
      </c>
      <c r="H75" s="26" t="n">
        <v>0</v>
      </c>
      <c r="I75" s="26" t="n">
        <v>0</v>
      </c>
      <c r="J75" s="27" t="n">
        <v>0.55</v>
      </c>
      <c r="K75" s="28">
        <f>IFERROR(H75,0)</f>
        <v/>
      </c>
      <c r="L75" s="29" t="n">
        <v>0.4785</v>
      </c>
      <c r="M75" s="29" t="n">
        <v>0.2533</v>
      </c>
      <c r="N75" s="29" t="n">
        <v>0.2533</v>
      </c>
      <c r="O75" s="29" t="n">
        <v>0.2533</v>
      </c>
      <c r="P75" s="30">
        <f>IFERROR(IF(K75=0,"待填成本",ROUND(K75/(1-L75),0)),"" )</f>
        <v/>
      </c>
      <c r="Q75" s="30">
        <f>IFERROR(IF(K75=0,"待填成本",ROUND(K75/(1-M75),0)),"" )</f>
        <v/>
      </c>
      <c r="R75" s="30">
        <f>IFERROR(IF(K75=0,"待填成本",ROUND(K75/(1-N75),0)),"" )</f>
        <v/>
      </c>
      <c r="S75" s="30">
        <f>IFERROR(IF(K75=0,"待填成本",ROUND(K75/(1-O75),0)),"" )</f>
        <v/>
      </c>
      <c r="T75" s="31">
        <f>IFERROR(IF(K75=0,"",(P75-K75)/P75),"" )</f>
        <v/>
      </c>
      <c r="U75" s="31">
        <f>IFERROR(IF(K75=0,"",(Q75-K75)/Q75),"" )</f>
        <v/>
      </c>
      <c r="V75" s="31">
        <f>IFERROR(IF(K75=0,"",(R75-K75)/R75),"" )</f>
        <v/>
      </c>
      <c r="W75" s="31">
        <f>IFERROR(IF(K75=0,"",(S75-K75)/S75),"" )</f>
        <v/>
      </c>
      <c r="X75" s="37" t="n">
        <v>20</v>
      </c>
      <c r="Y75" s="37" t="n">
        <v>20</v>
      </c>
      <c r="Z75" s="36" t="n"/>
      <c r="AA75" s="36" t="n"/>
      <c r="AB75" s="36" t="n"/>
      <c r="AC75" s="36" t="n"/>
      <c r="AD75" s="36" t="n"/>
      <c r="AE75" s="36" t="n"/>
      <c r="AF75" s="33" t="n"/>
      <c r="AG75" s="33" t="n"/>
      <c r="AH75" s="35" t="inlineStr"/>
    </row>
    <row r="76" ht="18" customHeight="1">
      <c r="A76" s="25" t="inlineStr">
        <is>
          <t>2638005030199</t>
        </is>
      </c>
      <c r="B76" s="6" t="inlineStr">
        <is>
          <t>卧室-床头柜</t>
        </is>
      </c>
      <c r="C76" s="5" t="inlineStr">
        <is>
          <t>畔色樱桃木轻盈边柜 |樱桃木玻璃床头柜 |黑色玻璃床头柜 |樱桃木玻璃边柜</t>
        </is>
      </c>
      <c r="D76" s="5" t="inlineStr">
        <is>
          <t>轻盈边柜-黑胡桃木-木底座</t>
        </is>
      </c>
      <c r="E76" s="6" t="inlineStr">
        <is>
          <t>未知</t>
        </is>
      </c>
      <c r="F76" s="6" t="inlineStr">
        <is>
          <t>未知</t>
        </is>
      </c>
      <c r="G76" s="5" t="inlineStr">
        <is>
          <t>未知</t>
        </is>
      </c>
      <c r="H76" s="26" t="n">
        <v>0</v>
      </c>
      <c r="I76" s="26" t="n">
        <v>0</v>
      </c>
      <c r="J76" s="27" t="n">
        <v>0.55</v>
      </c>
      <c r="K76" s="28">
        <f>IFERROR(H76,0)</f>
        <v/>
      </c>
      <c r="L76" s="29" t="n">
        <v>0.4785</v>
      </c>
      <c r="M76" s="29" t="n">
        <v>0.2533</v>
      </c>
      <c r="N76" s="29" t="n">
        <v>0.2533</v>
      </c>
      <c r="O76" s="29" t="n">
        <v>0.2533</v>
      </c>
      <c r="P76" s="30">
        <f>IFERROR(IF(K76=0,"待填成本",ROUND(K76/(1-L76),0)),"" )</f>
        <v/>
      </c>
      <c r="Q76" s="30">
        <f>IFERROR(IF(K76=0,"待填成本",ROUND(K76/(1-M76),0)),"" )</f>
        <v/>
      </c>
      <c r="R76" s="30">
        <f>IFERROR(IF(K76=0,"待填成本",ROUND(K76/(1-N76),0)),"" )</f>
        <v/>
      </c>
      <c r="S76" s="30">
        <f>IFERROR(IF(K76=0,"待填成本",ROUND(K76/(1-O76),0)),"" )</f>
        <v/>
      </c>
      <c r="T76" s="31">
        <f>IFERROR(IF(K76=0,"",(P76-K76)/P76),"" )</f>
        <v/>
      </c>
      <c r="U76" s="31">
        <f>IFERROR(IF(K76=0,"",(Q76-K76)/Q76),"" )</f>
        <v/>
      </c>
      <c r="V76" s="31">
        <f>IFERROR(IF(K76=0,"",(R76-K76)/R76),"" )</f>
        <v/>
      </c>
      <c r="W76" s="31">
        <f>IFERROR(IF(K76=0,"",(S76-K76)/S76),"" )</f>
        <v/>
      </c>
      <c r="X76" s="37" t="n">
        <v>20</v>
      </c>
      <c r="Y76" s="37" t="n">
        <v>20</v>
      </c>
      <c r="Z76" s="32" t="n"/>
      <c r="AA76" s="32" t="n"/>
      <c r="AB76" s="32" t="n"/>
      <c r="AC76" s="32" t="n"/>
      <c r="AD76" s="32" t="n"/>
      <c r="AE76" s="32" t="n"/>
      <c r="AF76" s="33" t="n"/>
      <c r="AG76" s="33" t="n"/>
      <c r="AH76" s="5" t="inlineStr"/>
    </row>
    <row r="77" ht="18" customHeight="1">
      <c r="A77" s="25" t="inlineStr">
        <is>
          <t>2638005030199</t>
        </is>
      </c>
      <c r="B77" s="34" t="inlineStr">
        <is>
          <t>卧室-床头柜</t>
        </is>
      </c>
      <c r="C77" s="35" t="inlineStr">
        <is>
          <t>畔色樱桃木轻盈边柜 |樱桃木玻璃床头柜 |黑色玻璃床头柜 |樱桃木玻璃边柜</t>
        </is>
      </c>
      <c r="D77" s="35" t="inlineStr">
        <is>
          <t>轻盈边柜-榉木黑-玻璃底座</t>
        </is>
      </c>
      <c r="E77" s="34" t="inlineStr">
        <is>
          <t>未知</t>
        </is>
      </c>
      <c r="F77" s="34" t="inlineStr">
        <is>
          <t>未知</t>
        </is>
      </c>
      <c r="G77" s="35" t="inlineStr">
        <is>
          <t>未知</t>
        </is>
      </c>
      <c r="H77" s="26" t="n">
        <v>0</v>
      </c>
      <c r="I77" s="26" t="n">
        <v>0</v>
      </c>
      <c r="J77" s="27" t="n">
        <v>0.55</v>
      </c>
      <c r="K77" s="28">
        <f>IFERROR(H77,0)</f>
        <v/>
      </c>
      <c r="L77" s="29" t="n">
        <v>0.4785</v>
      </c>
      <c r="M77" s="29" t="n">
        <v>0.2533</v>
      </c>
      <c r="N77" s="29" t="n">
        <v>0.2533</v>
      </c>
      <c r="O77" s="29" t="n">
        <v>0.2533</v>
      </c>
      <c r="P77" s="30">
        <f>IFERROR(IF(K77=0,"待填成本",ROUND(K77/(1-L77),0)),"" )</f>
        <v/>
      </c>
      <c r="Q77" s="30">
        <f>IFERROR(IF(K77=0,"待填成本",ROUND(K77/(1-M77),0)),"" )</f>
        <v/>
      </c>
      <c r="R77" s="30">
        <f>IFERROR(IF(K77=0,"待填成本",ROUND(K77/(1-N77),0)),"" )</f>
        <v/>
      </c>
      <c r="S77" s="30">
        <f>IFERROR(IF(K77=0,"待填成本",ROUND(K77/(1-O77),0)),"" )</f>
        <v/>
      </c>
      <c r="T77" s="31">
        <f>IFERROR(IF(K77=0,"",(P77-K77)/P77),"" )</f>
        <v/>
      </c>
      <c r="U77" s="31">
        <f>IFERROR(IF(K77=0,"",(Q77-K77)/Q77),"" )</f>
        <v/>
      </c>
      <c r="V77" s="31">
        <f>IFERROR(IF(K77=0,"",(R77-K77)/R77),"" )</f>
        <v/>
      </c>
      <c r="W77" s="31">
        <f>IFERROR(IF(K77=0,"",(S77-K77)/S77),"" )</f>
        <v/>
      </c>
      <c r="X77" s="37" t="n">
        <v>20</v>
      </c>
      <c r="Y77" s="37" t="n">
        <v>20</v>
      </c>
      <c r="Z77" s="36" t="n"/>
      <c r="AA77" s="36" t="n"/>
      <c r="AB77" s="36" t="n"/>
      <c r="AC77" s="36" t="n"/>
      <c r="AD77" s="36" t="n"/>
      <c r="AE77" s="36" t="n"/>
      <c r="AF77" s="33" t="n"/>
      <c r="AG77" s="33" t="n"/>
      <c r="AH77" s="35" t="inlineStr"/>
    </row>
    <row r="78" ht="18" customHeight="1">
      <c r="A78" s="25" t="inlineStr">
        <is>
          <t>2638005030199</t>
        </is>
      </c>
      <c r="B78" s="6" t="inlineStr">
        <is>
          <t>卧室-床头柜</t>
        </is>
      </c>
      <c r="C78" s="5" t="inlineStr">
        <is>
          <t>畔色樱桃木轻盈边柜 |樱桃木玻璃床头柜 |黑色玻璃床头柜 |樱桃木玻璃边柜</t>
        </is>
      </c>
      <c r="D78" s="5" t="inlineStr">
        <is>
          <t>轻盈边柜-樱桃木-玻璃底座</t>
        </is>
      </c>
      <c r="E78" s="6" t="inlineStr">
        <is>
          <t>未知</t>
        </is>
      </c>
      <c r="F78" s="6" t="inlineStr">
        <is>
          <t>未知</t>
        </is>
      </c>
      <c r="G78" s="5" t="inlineStr">
        <is>
          <t>未知</t>
        </is>
      </c>
      <c r="H78" s="26" t="n">
        <v>0</v>
      </c>
      <c r="I78" s="26" t="n">
        <v>0</v>
      </c>
      <c r="J78" s="27" t="n">
        <v>0.55</v>
      </c>
      <c r="K78" s="28">
        <f>IFERROR(H78,0)</f>
        <v/>
      </c>
      <c r="L78" s="29" t="n">
        <v>0.4785</v>
      </c>
      <c r="M78" s="29" t="n">
        <v>0.2533</v>
      </c>
      <c r="N78" s="29" t="n">
        <v>0.2533</v>
      </c>
      <c r="O78" s="29" t="n">
        <v>0.2533</v>
      </c>
      <c r="P78" s="30">
        <f>IFERROR(IF(K78=0,"待填成本",ROUND(K78/(1-L78),0)),"" )</f>
        <v/>
      </c>
      <c r="Q78" s="30">
        <f>IFERROR(IF(K78=0,"待填成本",ROUND(K78/(1-M78),0)),"" )</f>
        <v/>
      </c>
      <c r="R78" s="30">
        <f>IFERROR(IF(K78=0,"待填成本",ROUND(K78/(1-N78),0)),"" )</f>
        <v/>
      </c>
      <c r="S78" s="30">
        <f>IFERROR(IF(K78=0,"待填成本",ROUND(K78/(1-O78),0)),"" )</f>
        <v/>
      </c>
      <c r="T78" s="31">
        <f>IFERROR(IF(K78=0,"",(P78-K78)/P78),"" )</f>
        <v/>
      </c>
      <c r="U78" s="31">
        <f>IFERROR(IF(K78=0,"",(Q78-K78)/Q78),"" )</f>
        <v/>
      </c>
      <c r="V78" s="31">
        <f>IFERROR(IF(K78=0,"",(R78-K78)/R78),"" )</f>
        <v/>
      </c>
      <c r="W78" s="31">
        <f>IFERROR(IF(K78=0,"",(S78-K78)/S78),"" )</f>
        <v/>
      </c>
      <c r="X78" s="37" t="n">
        <v>20</v>
      </c>
      <c r="Y78" s="37" t="n">
        <v>20</v>
      </c>
      <c r="Z78" s="32" t="n"/>
      <c r="AA78" s="32" t="n"/>
      <c r="AB78" s="32" t="n"/>
      <c r="AC78" s="32" t="n"/>
      <c r="AD78" s="32" t="n"/>
      <c r="AE78" s="32" t="n"/>
      <c r="AF78" s="33" t="n"/>
      <c r="AG78" s="33" t="n"/>
      <c r="AH78" s="5" t="inlineStr"/>
    </row>
    <row r="79" ht="18" customHeight="1">
      <c r="A79" s="25" t="inlineStr">
        <is>
          <t>2638005030199</t>
        </is>
      </c>
      <c r="B79" s="34" t="inlineStr">
        <is>
          <t>卧室-床头柜</t>
        </is>
      </c>
      <c r="C79" s="35" t="inlineStr">
        <is>
          <t>畔色樱桃木轻盈边柜 |樱桃木玻璃床头柜 |黑色玻璃床头柜 |樱桃木玻璃边柜</t>
        </is>
      </c>
      <c r="D79" s="35" t="inlineStr">
        <is>
          <t>轻盈边柜-黑胡桃木-玻璃底座</t>
        </is>
      </c>
      <c r="E79" s="34" t="inlineStr">
        <is>
          <t>未知</t>
        </is>
      </c>
      <c r="F79" s="34" t="inlineStr">
        <is>
          <t>未知</t>
        </is>
      </c>
      <c r="G79" s="35" t="inlineStr">
        <is>
          <t>未知</t>
        </is>
      </c>
      <c r="H79" s="26" t="n">
        <v>0</v>
      </c>
      <c r="I79" s="26" t="n">
        <v>0</v>
      </c>
      <c r="J79" s="27" t="n">
        <v>0.55</v>
      </c>
      <c r="K79" s="28">
        <f>IFERROR(H79,0)</f>
        <v/>
      </c>
      <c r="L79" s="29" t="n">
        <v>0.4785</v>
      </c>
      <c r="M79" s="29" t="n">
        <v>0.2533</v>
      </c>
      <c r="N79" s="29" t="n">
        <v>0.2533</v>
      </c>
      <c r="O79" s="29" t="n">
        <v>0.2533</v>
      </c>
      <c r="P79" s="30">
        <f>IFERROR(IF(K79=0,"待填成本",ROUND(K79/(1-L79),0)),"" )</f>
        <v/>
      </c>
      <c r="Q79" s="30">
        <f>IFERROR(IF(K79=0,"待填成本",ROUND(K79/(1-M79),0)),"" )</f>
        <v/>
      </c>
      <c r="R79" s="30">
        <f>IFERROR(IF(K79=0,"待填成本",ROUND(K79/(1-N79),0)),"" )</f>
        <v/>
      </c>
      <c r="S79" s="30">
        <f>IFERROR(IF(K79=0,"待填成本",ROUND(K79/(1-O79),0)),"" )</f>
        <v/>
      </c>
      <c r="T79" s="31">
        <f>IFERROR(IF(K79=0,"",(P79-K79)/P79),"" )</f>
        <v/>
      </c>
      <c r="U79" s="31">
        <f>IFERROR(IF(K79=0,"",(Q79-K79)/Q79),"" )</f>
        <v/>
      </c>
      <c r="V79" s="31">
        <f>IFERROR(IF(K79=0,"",(R79-K79)/R79),"" )</f>
        <v/>
      </c>
      <c r="W79" s="31">
        <f>IFERROR(IF(K79=0,"",(S79-K79)/S79),"" )</f>
        <v/>
      </c>
      <c r="X79" s="37" t="n">
        <v>20</v>
      </c>
      <c r="Y79" s="37" t="n">
        <v>20</v>
      </c>
      <c r="Z79" s="36" t="n"/>
      <c r="AA79" s="36" t="n"/>
      <c r="AB79" s="36" t="n"/>
      <c r="AC79" s="36" t="n"/>
      <c r="AD79" s="36" t="n"/>
      <c r="AE79" s="36" t="n"/>
      <c r="AF79" s="33" t="n"/>
      <c r="AG79" s="33" t="n"/>
      <c r="AH79" s="35" t="inlineStr"/>
    </row>
    <row r="80" ht="18" customHeight="1">
      <c r="A80" s="25" t="inlineStr">
        <is>
          <t>2638006032099</t>
        </is>
      </c>
      <c r="B80" s="6" t="inlineStr">
        <is>
          <t>卧室-床头柜</t>
        </is>
      </c>
      <c r="C80" s="5" t="inlineStr">
        <is>
          <t>畔色黑胡桃木床头柜 |黑胡桃木岩板床头柜</t>
        </is>
      </c>
      <c r="D80" s="5" t="inlineStr">
        <is>
          <t>黑胡桃木床头柜-岩板台面</t>
        </is>
      </c>
      <c r="E80" s="6" t="inlineStr">
        <is>
          <t>未知</t>
        </is>
      </c>
      <c r="F80" s="6" t="inlineStr">
        <is>
          <t>未知</t>
        </is>
      </c>
      <c r="G80" s="5" t="inlineStr">
        <is>
          <t>未知</t>
        </is>
      </c>
      <c r="H80" s="26" t="n">
        <v>0</v>
      </c>
      <c r="I80" s="26" t="n">
        <v>0</v>
      </c>
      <c r="J80" s="27" t="n">
        <v>0.55</v>
      </c>
      <c r="K80" s="28">
        <f>IFERROR(H80,0)</f>
        <v/>
      </c>
      <c r="L80" s="29" t="n">
        <v>0.4785</v>
      </c>
      <c r="M80" s="29" t="n">
        <v>0.2533</v>
      </c>
      <c r="N80" s="29" t="n">
        <v>0.2533</v>
      </c>
      <c r="O80" s="29" t="n">
        <v>0.2533</v>
      </c>
      <c r="P80" s="30">
        <f>IFERROR(IF(K80=0,"待填成本",ROUND(K80/(1-L80),0)),"" )</f>
        <v/>
      </c>
      <c r="Q80" s="30">
        <f>IFERROR(IF(K80=0,"待填成本",ROUND(K80/(1-M80),0)),"" )</f>
        <v/>
      </c>
      <c r="R80" s="30">
        <f>IFERROR(IF(K80=0,"待填成本",ROUND(K80/(1-N80),0)),"" )</f>
        <v/>
      </c>
      <c r="S80" s="30">
        <f>IFERROR(IF(K80=0,"待填成本",ROUND(K80/(1-O80),0)),"" )</f>
        <v/>
      </c>
      <c r="T80" s="31">
        <f>IFERROR(IF(K80=0,"",(P80-K80)/P80),"" )</f>
        <v/>
      </c>
      <c r="U80" s="31">
        <f>IFERROR(IF(K80=0,"",(Q80-K80)/Q80),"" )</f>
        <v/>
      </c>
      <c r="V80" s="31">
        <f>IFERROR(IF(K80=0,"",(R80-K80)/R80),"" )</f>
        <v/>
      </c>
      <c r="W80" s="31">
        <f>IFERROR(IF(K80=0,"",(S80-K80)/S80),"" )</f>
        <v/>
      </c>
      <c r="X80" s="37" t="n">
        <v>25</v>
      </c>
      <c r="Y80" s="37" t="n">
        <v>25</v>
      </c>
      <c r="Z80" s="32" t="n"/>
      <c r="AA80" s="32" t="n"/>
      <c r="AB80" s="32" t="n"/>
      <c r="AC80" s="32" t="n"/>
      <c r="AD80" s="32" t="n"/>
      <c r="AE80" s="32" t="n"/>
      <c r="AF80" s="33" t="n"/>
      <c r="AG80" s="33" t="n"/>
      <c r="AH80" s="5" t="inlineStr"/>
    </row>
    <row r="81" ht="18" customHeight="1">
      <c r="A81" s="25" t="inlineStr">
        <is>
          <t>2638006032099</t>
        </is>
      </c>
      <c r="B81" s="34" t="inlineStr">
        <is>
          <t>卧室-床头柜</t>
        </is>
      </c>
      <c r="C81" s="35" t="inlineStr">
        <is>
          <t>畔色黑胡桃木床头柜 |黑胡桃木岩板床头柜</t>
        </is>
      </c>
      <c r="D81" s="35" t="inlineStr">
        <is>
          <t>黑胡桃木床头柜-木台面</t>
        </is>
      </c>
      <c r="E81" s="34" t="inlineStr">
        <is>
          <t>未知</t>
        </is>
      </c>
      <c r="F81" s="34" t="inlineStr">
        <is>
          <t>未知</t>
        </is>
      </c>
      <c r="G81" s="35" t="inlineStr">
        <is>
          <t>未知</t>
        </is>
      </c>
      <c r="H81" s="26" t="n">
        <v>0</v>
      </c>
      <c r="I81" s="26" t="n">
        <v>0</v>
      </c>
      <c r="J81" s="27" t="n">
        <v>0.55</v>
      </c>
      <c r="K81" s="28">
        <f>IFERROR(H81,0)</f>
        <v/>
      </c>
      <c r="L81" s="29" t="n">
        <v>0.4785</v>
      </c>
      <c r="M81" s="29" t="n">
        <v>0.2533</v>
      </c>
      <c r="N81" s="29" t="n">
        <v>0.2533</v>
      </c>
      <c r="O81" s="29" t="n">
        <v>0.2533</v>
      </c>
      <c r="P81" s="30">
        <f>IFERROR(IF(K81=0,"待填成本",ROUND(K81/(1-L81),0)),"" )</f>
        <v/>
      </c>
      <c r="Q81" s="30">
        <f>IFERROR(IF(K81=0,"待填成本",ROUND(K81/(1-M81),0)),"" )</f>
        <v/>
      </c>
      <c r="R81" s="30">
        <f>IFERROR(IF(K81=0,"待填成本",ROUND(K81/(1-N81),0)),"" )</f>
        <v/>
      </c>
      <c r="S81" s="30">
        <f>IFERROR(IF(K81=0,"待填成本",ROUND(K81/(1-O81),0)),"" )</f>
        <v/>
      </c>
      <c r="T81" s="31">
        <f>IFERROR(IF(K81=0,"",(P81-K81)/P81),"" )</f>
        <v/>
      </c>
      <c r="U81" s="31">
        <f>IFERROR(IF(K81=0,"",(Q81-K81)/Q81),"" )</f>
        <v/>
      </c>
      <c r="V81" s="31">
        <f>IFERROR(IF(K81=0,"",(R81-K81)/R81),"" )</f>
        <v/>
      </c>
      <c r="W81" s="31">
        <f>IFERROR(IF(K81=0,"",(S81-K81)/S81),"" )</f>
        <v/>
      </c>
      <c r="X81" s="37" t="n">
        <v>20</v>
      </c>
      <c r="Y81" s="37" t="n">
        <v>20</v>
      </c>
      <c r="Z81" s="36" t="n"/>
      <c r="AA81" s="36" t="n"/>
      <c r="AB81" s="36" t="n"/>
      <c r="AC81" s="36" t="n"/>
      <c r="AD81" s="36" t="n"/>
      <c r="AE81" s="36" t="n"/>
      <c r="AF81" s="33" t="n"/>
      <c r="AG81" s="33" t="n"/>
      <c r="AH81" s="35" t="inlineStr"/>
    </row>
    <row r="82" ht="18" customHeight="1">
      <c r="A82" s="25" t="inlineStr">
        <is>
          <t>2525009040199</t>
        </is>
      </c>
      <c r="B82" s="6" t="inlineStr">
        <is>
          <t>餐厅-柜</t>
        </is>
      </c>
      <c r="C82" s="5" t="inlineStr">
        <is>
          <t>樱桃木基础餐边柜 |樱桃木AA柱餐边柜</t>
        </is>
      </c>
      <c r="D82" s="5" t="inlineStr">
        <is>
          <t>基础柜-下柜-2.1米</t>
        </is>
      </c>
      <c r="E82" s="6" t="inlineStr">
        <is>
          <t>北美进口FAS级樱桃木</t>
        </is>
      </c>
      <c r="F82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82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82" s="26" t="n">
        <v>4061</v>
      </c>
      <c r="I82" s="26" t="n">
        <v>3761</v>
      </c>
      <c r="J82" s="27" t="n">
        <v>0.48</v>
      </c>
      <c r="K82" s="28">
        <f>IFERROR(H82,0)</f>
        <v/>
      </c>
      <c r="L82" s="29" t="n">
        <v>0.4669</v>
      </c>
      <c r="M82" s="29" t="n">
        <v>0.2109</v>
      </c>
      <c r="N82" s="29" t="n">
        <v>0.2009</v>
      </c>
      <c r="O82" s="29" t="n">
        <v>0.1801</v>
      </c>
      <c r="P82" s="30">
        <f>IFERROR(IF(K82=0,"待填成本",ROUND(K82/(1-L82),0)),"" )</f>
        <v/>
      </c>
      <c r="Q82" s="30">
        <f>IFERROR(IF(K82=0,"待填成本",ROUND(K82/(1-M82),0)),"" )</f>
        <v/>
      </c>
      <c r="R82" s="30">
        <f>IFERROR(IF(K82=0,"待填成本",ROUND(K82/(1-N82),0)),"" )</f>
        <v/>
      </c>
      <c r="S82" s="30">
        <f>IFERROR(IF(K82=0,"待填成本",ROUND(K82/(1-O82),0)),"" )</f>
        <v/>
      </c>
      <c r="T82" s="31">
        <f>IFERROR(IF(K82=0,"",(P82-K82)/P82),"" )</f>
        <v/>
      </c>
      <c r="U82" s="31">
        <f>IFERROR(IF(K82=0,"",(Q82-K82)/Q82),"" )</f>
        <v/>
      </c>
      <c r="V82" s="31">
        <f>IFERROR(IF(K82=0,"",(R82-K82)/R82),"" )</f>
        <v/>
      </c>
      <c r="W82" s="31">
        <f>IFERROR(IF(K82=0,"",(S82-K82)/S82),"" )</f>
        <v/>
      </c>
      <c r="X82" s="32" t="n"/>
      <c r="Y82" s="32" t="n"/>
      <c r="Z82" s="32" t="n"/>
      <c r="AA82" s="32" t="n"/>
      <c r="AB82" s="32" t="n"/>
      <c r="AC82" s="37" t="n">
        <v>21.2175</v>
      </c>
      <c r="AD82" s="37" t="n">
        <v>300</v>
      </c>
      <c r="AE82" s="37" t="n">
        <v>150</v>
      </c>
      <c r="AF82" s="33" t="n"/>
      <c r="AG82" s="33" t="n"/>
      <c r="AH82" s="5" t="inlineStr"/>
    </row>
    <row r="83" ht="18" customHeight="1">
      <c r="A83" s="25" t="inlineStr">
        <is>
          <t>2525009040199</t>
        </is>
      </c>
      <c r="B83" s="34" t="inlineStr">
        <is>
          <t>餐厅-柜</t>
        </is>
      </c>
      <c r="C83" s="35" t="inlineStr">
        <is>
          <t>樱桃木基础餐边柜 |樱桃木AA柱餐边柜</t>
        </is>
      </c>
      <c r="D83" s="35" t="inlineStr">
        <is>
          <t>基础柜-下柜-2.0米</t>
        </is>
      </c>
      <c r="E83" s="34" t="inlineStr">
        <is>
          <t>北美进口FAS级樱桃木</t>
        </is>
      </c>
      <c r="F83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83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83" s="26" t="n">
        <v>3964.333333333333</v>
      </c>
      <c r="I83" s="26" t="n">
        <v>3677.666666666667</v>
      </c>
      <c r="J83" s="27" t="n">
        <v>0.48</v>
      </c>
      <c r="K83" s="28">
        <f>IFERROR(H83,0)</f>
        <v/>
      </c>
      <c r="L83" s="29" t="n">
        <v>0.4669</v>
      </c>
      <c r="M83" s="29" t="n">
        <v>0.2108</v>
      </c>
      <c r="N83" s="29" t="n">
        <v>0.201</v>
      </c>
      <c r="O83" s="29" t="n">
        <v>0.1803</v>
      </c>
      <c r="P83" s="30">
        <f>IFERROR(IF(K83=0,"待填成本",ROUND(K83/(1-L83),0)),"" )</f>
        <v/>
      </c>
      <c r="Q83" s="30">
        <f>IFERROR(IF(K83=0,"待填成本",ROUND(K83/(1-M83),0)),"" )</f>
        <v/>
      </c>
      <c r="R83" s="30">
        <f>IFERROR(IF(K83=0,"待填成本",ROUND(K83/(1-N83),0)),"" )</f>
        <v/>
      </c>
      <c r="S83" s="30">
        <f>IFERROR(IF(K83=0,"待填成本",ROUND(K83/(1-O83),0)),"" )</f>
        <v/>
      </c>
      <c r="T83" s="31">
        <f>IFERROR(IF(K83=0,"",(P83-K83)/P83),"" )</f>
        <v/>
      </c>
      <c r="U83" s="31">
        <f>IFERROR(IF(K83=0,"",(Q83-K83)/Q83),"" )</f>
        <v/>
      </c>
      <c r="V83" s="31">
        <f>IFERROR(IF(K83=0,"",(R83-K83)/R83),"" )</f>
        <v/>
      </c>
      <c r="W83" s="31">
        <f>IFERROR(IF(K83=0,"",(S83-K83)/S83),"" )</f>
        <v/>
      </c>
      <c r="X83" s="36" t="n"/>
      <c r="Y83" s="36" t="n"/>
      <c r="Z83" s="36" t="n"/>
      <c r="AA83" s="36" t="n"/>
      <c r="AB83" s="36" t="n"/>
      <c r="AC83" s="37" t="n">
        <v>20.93</v>
      </c>
      <c r="AD83" s="37" t="n">
        <v>300</v>
      </c>
      <c r="AE83" s="37" t="n">
        <v>150</v>
      </c>
      <c r="AF83" s="33" t="n"/>
      <c r="AG83" s="33" t="n"/>
      <c r="AH83" s="35" t="inlineStr"/>
    </row>
    <row r="84" ht="18" customHeight="1">
      <c r="A84" s="25" t="inlineStr">
        <is>
          <t>2525009040199</t>
        </is>
      </c>
      <c r="B84" s="6" t="inlineStr">
        <is>
          <t>餐厅-柜</t>
        </is>
      </c>
      <c r="C84" s="5" t="inlineStr">
        <is>
          <t>樱桃木基础餐边柜 |樱桃木AA柱餐边柜</t>
        </is>
      </c>
      <c r="D84" s="5" t="inlineStr">
        <is>
          <t>基础柜-下柜-1.9米</t>
        </is>
      </c>
      <c r="E84" s="6" t="inlineStr">
        <is>
          <t>北美进口FAS级樱桃木</t>
        </is>
      </c>
      <c r="F84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84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84" s="26" t="n">
        <v>3867.666666666667</v>
      </c>
      <c r="I84" s="26" t="n">
        <v>3594.333333333333</v>
      </c>
      <c r="J84" s="27" t="n">
        <v>0.48</v>
      </c>
      <c r="K84" s="28">
        <f>IFERROR(H84,0)</f>
        <v/>
      </c>
      <c r="L84" s="29" t="n">
        <v>0.467</v>
      </c>
      <c r="M84" s="29" t="n">
        <v>0.2107</v>
      </c>
      <c r="N84" s="29" t="n">
        <v>0.2012</v>
      </c>
      <c r="O84" s="29" t="n">
        <v>0.1804</v>
      </c>
      <c r="P84" s="30">
        <f>IFERROR(IF(K84=0,"待填成本",ROUND(K84/(1-L84),0)),"" )</f>
        <v/>
      </c>
      <c r="Q84" s="30">
        <f>IFERROR(IF(K84=0,"待填成本",ROUND(K84/(1-M84),0)),"" )</f>
        <v/>
      </c>
      <c r="R84" s="30">
        <f>IFERROR(IF(K84=0,"待填成本",ROUND(K84/(1-N84),0)),"" )</f>
        <v/>
      </c>
      <c r="S84" s="30">
        <f>IFERROR(IF(K84=0,"待填成本",ROUND(K84/(1-O84),0)),"" )</f>
        <v/>
      </c>
      <c r="T84" s="31">
        <f>IFERROR(IF(K84=0,"",(P84-K84)/P84),"" )</f>
        <v/>
      </c>
      <c r="U84" s="31">
        <f>IFERROR(IF(K84=0,"",(Q84-K84)/Q84),"" )</f>
        <v/>
      </c>
      <c r="V84" s="31">
        <f>IFERROR(IF(K84=0,"",(R84-K84)/R84),"" )</f>
        <v/>
      </c>
      <c r="W84" s="31">
        <f>IFERROR(IF(K84=0,"",(S84-K84)/S84),"" )</f>
        <v/>
      </c>
      <c r="X84" s="32" t="n"/>
      <c r="Y84" s="32" t="n"/>
      <c r="Z84" s="32" t="n"/>
      <c r="AA84" s="32" t="n"/>
      <c r="AB84" s="32" t="n"/>
      <c r="AC84" s="37" t="n">
        <v>20.6425</v>
      </c>
      <c r="AD84" s="37" t="n">
        <v>300</v>
      </c>
      <c r="AE84" s="37" t="n">
        <v>150</v>
      </c>
      <c r="AF84" s="33" t="n"/>
      <c r="AG84" s="33" t="n"/>
      <c r="AH84" s="5" t="inlineStr"/>
    </row>
    <row r="85" ht="18" customHeight="1">
      <c r="A85" s="25" t="inlineStr">
        <is>
          <t>2525009040199</t>
        </is>
      </c>
      <c r="B85" s="34" t="inlineStr">
        <is>
          <t>餐厅-柜</t>
        </is>
      </c>
      <c r="C85" s="35" t="inlineStr">
        <is>
          <t>樱桃木基础餐边柜 |樱桃木AA柱餐边柜</t>
        </is>
      </c>
      <c r="D85" s="35" t="inlineStr">
        <is>
          <t>基础柜-下柜-1.8米</t>
        </is>
      </c>
      <c r="E85" s="34" t="inlineStr">
        <is>
          <t>北美进口FAS级樱桃木</t>
        </is>
      </c>
      <c r="F85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85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85" s="26" t="n">
        <v>3771</v>
      </c>
      <c r="I85" s="26" t="n">
        <v>3511</v>
      </c>
      <c r="J85" s="27" t="n">
        <v>0.48</v>
      </c>
      <c r="K85" s="28">
        <f>IFERROR(H85,0)</f>
        <v/>
      </c>
      <c r="L85" s="29" t="n">
        <v>0.4671</v>
      </c>
      <c r="M85" s="29" t="n">
        <v>0.2106</v>
      </c>
      <c r="N85" s="29" t="n">
        <v>0.2013</v>
      </c>
      <c r="O85" s="29" t="n">
        <v>0.1806</v>
      </c>
      <c r="P85" s="30">
        <f>IFERROR(IF(K85=0,"待填成本",ROUND(K85/(1-L85),0)),"" )</f>
        <v/>
      </c>
      <c r="Q85" s="30">
        <f>IFERROR(IF(K85=0,"待填成本",ROUND(K85/(1-M85),0)),"" )</f>
        <v/>
      </c>
      <c r="R85" s="30">
        <f>IFERROR(IF(K85=0,"待填成本",ROUND(K85/(1-N85),0)),"" )</f>
        <v/>
      </c>
      <c r="S85" s="30">
        <f>IFERROR(IF(K85=0,"待填成本",ROUND(K85/(1-O85),0)),"" )</f>
        <v/>
      </c>
      <c r="T85" s="31">
        <f>IFERROR(IF(K85=0,"",(P85-K85)/P85),"" )</f>
        <v/>
      </c>
      <c r="U85" s="31">
        <f>IFERROR(IF(K85=0,"",(Q85-K85)/Q85),"" )</f>
        <v/>
      </c>
      <c r="V85" s="31">
        <f>IFERROR(IF(K85=0,"",(R85-K85)/R85),"" )</f>
        <v/>
      </c>
      <c r="W85" s="31">
        <f>IFERROR(IF(K85=0,"",(S85-K85)/S85),"" )</f>
        <v/>
      </c>
      <c r="X85" s="36" t="n"/>
      <c r="Y85" s="36" t="n"/>
      <c r="Z85" s="36" t="n"/>
      <c r="AA85" s="36" t="n"/>
      <c r="AB85" s="36" t="n"/>
      <c r="AC85" s="37" t="n">
        <v>20.355</v>
      </c>
      <c r="AD85" s="37" t="n">
        <v>300</v>
      </c>
      <c r="AE85" s="37" t="n">
        <v>150</v>
      </c>
      <c r="AF85" s="33" t="n"/>
      <c r="AG85" s="33" t="n"/>
      <c r="AH85" s="35" t="inlineStr"/>
    </row>
    <row r="86" ht="18" customHeight="1">
      <c r="A86" s="25" t="inlineStr">
        <is>
          <t>2525009040199</t>
        </is>
      </c>
      <c r="B86" s="6" t="inlineStr">
        <is>
          <t>餐厅-柜</t>
        </is>
      </c>
      <c r="C86" s="5" t="inlineStr">
        <is>
          <t>樱桃木基础餐边柜 |樱桃木AA柱餐边柜</t>
        </is>
      </c>
      <c r="D86" s="5" t="inlineStr">
        <is>
          <t>基础柜-下柜-1.7米</t>
        </is>
      </c>
      <c r="E86" s="6" t="inlineStr">
        <is>
          <t>北美进口FAS级樱桃木</t>
        </is>
      </c>
      <c r="F86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86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86" s="26" t="n">
        <v>3681</v>
      </c>
      <c r="I86" s="26" t="n">
        <v>3427.666666666667</v>
      </c>
      <c r="J86" s="27" t="n">
        <v>0.48</v>
      </c>
      <c r="K86" s="28">
        <f>IFERROR(H86,0)</f>
        <v/>
      </c>
      <c r="L86" s="29" t="n">
        <v>0.467</v>
      </c>
      <c r="M86" s="29" t="n">
        <v>0.2106</v>
      </c>
      <c r="N86" s="29" t="n">
        <v>0.2012</v>
      </c>
      <c r="O86" s="29" t="n">
        <v>0.1805</v>
      </c>
      <c r="P86" s="30">
        <f>IFERROR(IF(K86=0,"待填成本",ROUND(K86/(1-L86),0)),"" )</f>
        <v/>
      </c>
      <c r="Q86" s="30">
        <f>IFERROR(IF(K86=0,"待填成本",ROUND(K86/(1-M86),0)),"" )</f>
        <v/>
      </c>
      <c r="R86" s="30">
        <f>IFERROR(IF(K86=0,"待填成本",ROUND(K86/(1-N86),0)),"" )</f>
        <v/>
      </c>
      <c r="S86" s="30">
        <f>IFERROR(IF(K86=0,"待填成本",ROUND(K86/(1-O86),0)),"" )</f>
        <v/>
      </c>
      <c r="T86" s="31">
        <f>IFERROR(IF(K86=0,"",(P86-K86)/P86),"" )</f>
        <v/>
      </c>
      <c r="U86" s="31">
        <f>IFERROR(IF(K86=0,"",(Q86-K86)/Q86),"" )</f>
        <v/>
      </c>
      <c r="V86" s="31">
        <f>IFERROR(IF(K86=0,"",(R86-K86)/R86),"" )</f>
        <v/>
      </c>
      <c r="W86" s="31">
        <f>IFERROR(IF(K86=0,"",(S86-K86)/S86),"" )</f>
        <v/>
      </c>
      <c r="X86" s="32" t="n"/>
      <c r="Y86" s="32" t="n"/>
      <c r="Z86" s="32" t="n"/>
      <c r="AA86" s="32" t="n"/>
      <c r="AB86" s="32" t="n"/>
      <c r="AC86" s="37" t="n">
        <v>20.0675</v>
      </c>
      <c r="AD86" s="37" t="n">
        <v>300</v>
      </c>
      <c r="AE86" s="37" t="n">
        <v>150</v>
      </c>
      <c r="AF86" s="33" t="n"/>
      <c r="AG86" s="33" t="n"/>
      <c r="AH86" s="5" t="inlineStr"/>
    </row>
    <row r="87" ht="18" customHeight="1">
      <c r="A87" s="25" t="inlineStr">
        <is>
          <t>2525009040199</t>
        </is>
      </c>
      <c r="B87" s="34" t="inlineStr">
        <is>
          <t>餐厅-柜</t>
        </is>
      </c>
      <c r="C87" s="35" t="inlineStr">
        <is>
          <t>樱桃木基础餐边柜 |樱桃木AA柱餐边柜</t>
        </is>
      </c>
      <c r="D87" s="35" t="inlineStr">
        <is>
          <t>基础柜-下柜-1.6米</t>
        </is>
      </c>
      <c r="E87" s="34" t="inlineStr">
        <is>
          <t>北美进口FAS级樱桃木</t>
        </is>
      </c>
      <c r="F87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87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87" s="26" t="n">
        <v>3591</v>
      </c>
      <c r="I87" s="26" t="n">
        <v>3344.333333333333</v>
      </c>
      <c r="J87" s="27" t="n">
        <v>0.48</v>
      </c>
      <c r="K87" s="28">
        <f>IFERROR(H87,0)</f>
        <v/>
      </c>
      <c r="L87" s="29" t="n">
        <v>0.4669</v>
      </c>
      <c r="M87" s="29" t="n">
        <v>0.2107</v>
      </c>
      <c r="N87" s="29" t="n">
        <v>0.201</v>
      </c>
      <c r="O87" s="29" t="n">
        <v>0.1804</v>
      </c>
      <c r="P87" s="30">
        <f>IFERROR(IF(K87=0,"待填成本",ROUND(K87/(1-L87),0)),"" )</f>
        <v/>
      </c>
      <c r="Q87" s="30">
        <f>IFERROR(IF(K87=0,"待填成本",ROUND(K87/(1-M87),0)),"" )</f>
        <v/>
      </c>
      <c r="R87" s="30">
        <f>IFERROR(IF(K87=0,"待填成本",ROUND(K87/(1-N87),0)),"" )</f>
        <v/>
      </c>
      <c r="S87" s="30">
        <f>IFERROR(IF(K87=0,"待填成本",ROUND(K87/(1-O87),0)),"" )</f>
        <v/>
      </c>
      <c r="T87" s="31">
        <f>IFERROR(IF(K87=0,"",(P87-K87)/P87),"" )</f>
        <v/>
      </c>
      <c r="U87" s="31">
        <f>IFERROR(IF(K87=0,"",(Q87-K87)/Q87),"" )</f>
        <v/>
      </c>
      <c r="V87" s="31">
        <f>IFERROR(IF(K87=0,"",(R87-K87)/R87),"" )</f>
        <v/>
      </c>
      <c r="W87" s="31">
        <f>IFERROR(IF(K87=0,"",(S87-K87)/S87),"" )</f>
        <v/>
      </c>
      <c r="X87" s="36" t="n"/>
      <c r="Y87" s="36" t="n"/>
      <c r="Z87" s="36" t="n"/>
      <c r="AA87" s="36" t="n"/>
      <c r="AB87" s="36" t="n"/>
      <c r="AC87" s="37" t="n">
        <v>19.77999999999999</v>
      </c>
      <c r="AD87" s="37" t="n">
        <v>300</v>
      </c>
      <c r="AE87" s="37" t="n">
        <v>150</v>
      </c>
      <c r="AF87" s="33" t="n"/>
      <c r="AG87" s="33" t="n"/>
      <c r="AH87" s="35" t="inlineStr"/>
    </row>
    <row r="88" ht="18" customHeight="1">
      <c r="A88" s="25" t="inlineStr">
        <is>
          <t>2525009040199</t>
        </is>
      </c>
      <c r="B88" s="6" t="inlineStr">
        <is>
          <t>餐厅-柜</t>
        </is>
      </c>
      <c r="C88" s="5" t="inlineStr">
        <is>
          <t>樱桃木基础餐边柜 |樱桃木AA柱餐边柜</t>
        </is>
      </c>
      <c r="D88" s="5" t="inlineStr">
        <is>
          <t>基础柜-下柜-1.5米</t>
        </is>
      </c>
      <c r="E88" s="6" t="inlineStr">
        <is>
          <t>北美进口FAS级樱桃木</t>
        </is>
      </c>
      <c r="F88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88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88" s="26" t="n">
        <v>3501</v>
      </c>
      <c r="I88" s="26" t="n">
        <v>3261</v>
      </c>
      <c r="J88" s="27" t="n">
        <v>0.48</v>
      </c>
      <c r="K88" s="28">
        <f>IFERROR(H88,0)</f>
        <v/>
      </c>
      <c r="L88" s="29" t="n">
        <v>0.4668</v>
      </c>
      <c r="M88" s="29" t="n">
        <v>0.2108</v>
      </c>
      <c r="N88" s="29" t="n">
        <v>0.2009</v>
      </c>
      <c r="O88" s="29" t="n">
        <v>0.1803</v>
      </c>
      <c r="P88" s="30">
        <f>IFERROR(IF(K88=0,"待填成本",ROUND(K88/(1-L88),0)),"" )</f>
        <v/>
      </c>
      <c r="Q88" s="30">
        <f>IFERROR(IF(K88=0,"待填成本",ROUND(K88/(1-M88),0)),"" )</f>
        <v/>
      </c>
      <c r="R88" s="30">
        <f>IFERROR(IF(K88=0,"待填成本",ROUND(K88/(1-N88),0)),"" )</f>
        <v/>
      </c>
      <c r="S88" s="30">
        <f>IFERROR(IF(K88=0,"待填成本",ROUND(K88/(1-O88),0)),"" )</f>
        <v/>
      </c>
      <c r="T88" s="31">
        <f>IFERROR(IF(K88=0,"",(P88-K88)/P88),"" )</f>
        <v/>
      </c>
      <c r="U88" s="31">
        <f>IFERROR(IF(K88=0,"",(Q88-K88)/Q88),"" )</f>
        <v/>
      </c>
      <c r="V88" s="31">
        <f>IFERROR(IF(K88=0,"",(R88-K88)/R88),"" )</f>
        <v/>
      </c>
      <c r="W88" s="31">
        <f>IFERROR(IF(K88=0,"",(S88-K88)/S88),"" )</f>
        <v/>
      </c>
      <c r="X88" s="32" t="n"/>
      <c r="Y88" s="32" t="n"/>
      <c r="Z88" s="32" t="n"/>
      <c r="AA88" s="32" t="n"/>
      <c r="AB88" s="32" t="n"/>
      <c r="AC88" s="37" t="n">
        <v>19.4925</v>
      </c>
      <c r="AD88" s="37" t="n">
        <v>300</v>
      </c>
      <c r="AE88" s="37" t="n">
        <v>150</v>
      </c>
      <c r="AF88" s="33" t="n"/>
      <c r="AG88" s="33" t="n"/>
      <c r="AH88" s="5" t="inlineStr"/>
    </row>
    <row r="89" ht="18" customHeight="1">
      <c r="A89" s="25" t="inlineStr">
        <is>
          <t>2525009040199</t>
        </is>
      </c>
      <c r="B89" s="34" t="inlineStr">
        <is>
          <t>餐厅-柜</t>
        </is>
      </c>
      <c r="C89" s="35" t="inlineStr">
        <is>
          <t>樱桃木基础餐边柜 |樱桃木AA柱餐边柜</t>
        </is>
      </c>
      <c r="D89" s="35" t="inlineStr">
        <is>
          <t>基础柜-下柜-1.4米</t>
        </is>
      </c>
      <c r="E89" s="34" t="inlineStr">
        <is>
          <t>北美进口FAS级樱桃木</t>
        </is>
      </c>
      <c r="F89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89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89" s="26" t="n">
        <v>3404.333333333333</v>
      </c>
      <c r="I89" s="26" t="n">
        <v>3177.666666666667</v>
      </c>
      <c r="J89" s="27" t="n">
        <v>0.48</v>
      </c>
      <c r="K89" s="28">
        <f>IFERROR(H89,0)</f>
        <v/>
      </c>
      <c r="L89" s="29" t="n">
        <v>0.4668</v>
      </c>
      <c r="M89" s="29" t="n">
        <v>0.2106</v>
      </c>
      <c r="N89" s="29" t="n">
        <v>0.201</v>
      </c>
      <c r="O89" s="29" t="n">
        <v>0.1805</v>
      </c>
      <c r="P89" s="30">
        <f>IFERROR(IF(K89=0,"待填成本",ROUND(K89/(1-L89),0)),"" )</f>
        <v/>
      </c>
      <c r="Q89" s="30">
        <f>IFERROR(IF(K89=0,"待填成本",ROUND(K89/(1-M89),0)),"" )</f>
        <v/>
      </c>
      <c r="R89" s="30">
        <f>IFERROR(IF(K89=0,"待填成本",ROUND(K89/(1-N89),0)),"" )</f>
        <v/>
      </c>
      <c r="S89" s="30">
        <f>IFERROR(IF(K89=0,"待填成本",ROUND(K89/(1-O89),0)),"" )</f>
        <v/>
      </c>
      <c r="T89" s="31">
        <f>IFERROR(IF(K89=0,"",(P89-K89)/P89),"" )</f>
        <v/>
      </c>
      <c r="U89" s="31">
        <f>IFERROR(IF(K89=0,"",(Q89-K89)/Q89),"" )</f>
        <v/>
      </c>
      <c r="V89" s="31">
        <f>IFERROR(IF(K89=0,"",(R89-K89)/R89),"" )</f>
        <v/>
      </c>
      <c r="W89" s="31">
        <f>IFERROR(IF(K89=0,"",(S89-K89)/S89),"" )</f>
        <v/>
      </c>
      <c r="X89" s="36" t="n"/>
      <c r="Y89" s="36" t="n"/>
      <c r="Z89" s="36" t="n"/>
      <c r="AA89" s="36" t="n"/>
      <c r="AB89" s="36" t="n"/>
      <c r="AC89" s="37" t="n">
        <v>19.205</v>
      </c>
      <c r="AD89" s="37" t="n">
        <v>300</v>
      </c>
      <c r="AE89" s="37" t="n">
        <v>150</v>
      </c>
      <c r="AF89" s="33" t="n"/>
      <c r="AG89" s="33" t="n"/>
      <c r="AH89" s="35" t="inlineStr"/>
    </row>
    <row r="90" ht="18" customHeight="1">
      <c r="A90" s="25" t="inlineStr">
        <is>
          <t>2525009040199</t>
        </is>
      </c>
      <c r="B90" s="6" t="inlineStr">
        <is>
          <t>餐厅-柜</t>
        </is>
      </c>
      <c r="C90" s="5" t="inlineStr">
        <is>
          <t>樱桃木基础餐边柜 |樱桃木AA柱餐边柜</t>
        </is>
      </c>
      <c r="D90" s="5" t="inlineStr">
        <is>
          <t>基础柜-下柜-1.3米</t>
        </is>
      </c>
      <c r="E90" s="6" t="inlineStr">
        <is>
          <t>北美进口FAS级樱桃木</t>
        </is>
      </c>
      <c r="F90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0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0" s="26" t="n">
        <v>3307.666666666667</v>
      </c>
      <c r="I90" s="26" t="n">
        <v>3094.333333333333</v>
      </c>
      <c r="J90" s="27" t="n">
        <v>0.48</v>
      </c>
      <c r="K90" s="28">
        <f>IFERROR(H90,0)</f>
        <v/>
      </c>
      <c r="L90" s="29" t="n">
        <v>0.4669</v>
      </c>
      <c r="M90" s="29" t="n">
        <v>0.2105</v>
      </c>
      <c r="N90" s="29" t="n">
        <v>0.2011</v>
      </c>
      <c r="O90" s="29" t="n">
        <v>0.1807</v>
      </c>
      <c r="P90" s="30">
        <f>IFERROR(IF(K90=0,"待填成本",ROUND(K90/(1-L90),0)),"" )</f>
        <v/>
      </c>
      <c r="Q90" s="30">
        <f>IFERROR(IF(K90=0,"待填成本",ROUND(K90/(1-M90),0)),"" )</f>
        <v/>
      </c>
      <c r="R90" s="30">
        <f>IFERROR(IF(K90=0,"待填成本",ROUND(K90/(1-N90),0)),"" )</f>
        <v/>
      </c>
      <c r="S90" s="30">
        <f>IFERROR(IF(K90=0,"待填成本",ROUND(K90/(1-O90),0)),"" )</f>
        <v/>
      </c>
      <c r="T90" s="31">
        <f>IFERROR(IF(K90=0,"",(P90-K90)/P90),"" )</f>
        <v/>
      </c>
      <c r="U90" s="31">
        <f>IFERROR(IF(K90=0,"",(Q90-K90)/Q90),"" )</f>
        <v/>
      </c>
      <c r="V90" s="31">
        <f>IFERROR(IF(K90=0,"",(R90-K90)/R90),"" )</f>
        <v/>
      </c>
      <c r="W90" s="31">
        <f>IFERROR(IF(K90=0,"",(S90-K90)/S90),"" )</f>
        <v/>
      </c>
      <c r="X90" s="32" t="n"/>
      <c r="Y90" s="32" t="n"/>
      <c r="Z90" s="32" t="n"/>
      <c r="AA90" s="32" t="n"/>
      <c r="AB90" s="32" t="n"/>
      <c r="AC90" s="37" t="n">
        <v>18.9175</v>
      </c>
      <c r="AD90" s="37" t="n">
        <v>300</v>
      </c>
      <c r="AE90" s="37" t="n">
        <v>150</v>
      </c>
      <c r="AF90" s="33" t="n"/>
      <c r="AG90" s="33" t="n"/>
      <c r="AH90" s="5" t="inlineStr"/>
    </row>
    <row r="91" ht="18" customHeight="1">
      <c r="A91" s="25" t="inlineStr">
        <is>
          <t>2525009040199</t>
        </is>
      </c>
      <c r="B91" s="34" t="inlineStr">
        <is>
          <t>餐厅-柜</t>
        </is>
      </c>
      <c r="C91" s="35" t="inlineStr">
        <is>
          <t>樱桃木基础餐边柜 |樱桃木AA柱餐边柜</t>
        </is>
      </c>
      <c r="D91" s="35" t="inlineStr">
        <is>
          <t>基础柜-下柜-1.2米</t>
        </is>
      </c>
      <c r="E91" s="34" t="inlineStr">
        <is>
          <t>北美进口FAS级樱桃木</t>
        </is>
      </c>
      <c r="F91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1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1" s="26" t="n">
        <v>3211</v>
      </c>
      <c r="I91" s="26" t="n">
        <v>3011</v>
      </c>
      <c r="J91" s="27" t="n">
        <v>0.48</v>
      </c>
      <c r="K91" s="28">
        <f>IFERROR(H91,0)</f>
        <v/>
      </c>
      <c r="L91" s="29" t="n">
        <v>0.467</v>
      </c>
      <c r="M91" s="29" t="n">
        <v>0.2103</v>
      </c>
      <c r="N91" s="29" t="n">
        <v>0.2013</v>
      </c>
      <c r="O91" s="29" t="n">
        <v>0.1809</v>
      </c>
      <c r="P91" s="30">
        <f>IFERROR(IF(K91=0,"待填成本",ROUND(K91/(1-L91),0)),"" )</f>
        <v/>
      </c>
      <c r="Q91" s="30">
        <f>IFERROR(IF(K91=0,"待填成本",ROUND(K91/(1-M91),0)),"" )</f>
        <v/>
      </c>
      <c r="R91" s="30">
        <f>IFERROR(IF(K91=0,"待填成本",ROUND(K91/(1-N91),0)),"" )</f>
        <v/>
      </c>
      <c r="S91" s="30">
        <f>IFERROR(IF(K91=0,"待填成本",ROUND(K91/(1-O91),0)),"" )</f>
        <v/>
      </c>
      <c r="T91" s="31">
        <f>IFERROR(IF(K91=0,"",(P91-K91)/P91),"" )</f>
        <v/>
      </c>
      <c r="U91" s="31">
        <f>IFERROR(IF(K91=0,"",(Q91-K91)/Q91),"" )</f>
        <v/>
      </c>
      <c r="V91" s="31">
        <f>IFERROR(IF(K91=0,"",(R91-K91)/R91),"" )</f>
        <v/>
      </c>
      <c r="W91" s="31">
        <f>IFERROR(IF(K91=0,"",(S91-K91)/S91),"" )</f>
        <v/>
      </c>
      <c r="X91" s="36" t="n"/>
      <c r="Y91" s="36" t="n"/>
      <c r="Z91" s="36" t="n"/>
      <c r="AA91" s="36" t="n"/>
      <c r="AB91" s="36" t="n"/>
      <c r="AC91" s="37" t="n">
        <v>18.63</v>
      </c>
      <c r="AD91" s="37" t="n">
        <v>300</v>
      </c>
      <c r="AE91" s="37" t="n">
        <v>150</v>
      </c>
      <c r="AF91" s="33" t="n"/>
      <c r="AG91" s="33" t="n"/>
      <c r="AH91" s="35" t="inlineStr"/>
    </row>
    <row r="92" ht="18" customHeight="1">
      <c r="A92" s="25" t="inlineStr">
        <is>
          <t>2525009040199</t>
        </is>
      </c>
      <c r="B92" s="6" t="inlineStr">
        <is>
          <t>餐厅-柜</t>
        </is>
      </c>
      <c r="C92" s="5" t="inlineStr">
        <is>
          <t>樱桃木基础餐边柜 |樱桃木AA柱餐边柜</t>
        </is>
      </c>
      <c r="D92" s="5" t="inlineStr">
        <is>
          <t>基础柜-下柜-1.1米</t>
        </is>
      </c>
      <c r="E92" s="6" t="inlineStr">
        <is>
          <t>北美进口FAS级樱桃木</t>
        </is>
      </c>
      <c r="F92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2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2" s="26" t="n">
        <v>3114.333333333333</v>
      </c>
      <c r="I92" s="26" t="n">
        <v>2927.666666666667</v>
      </c>
      <c r="J92" s="27" t="n">
        <v>0.48</v>
      </c>
      <c r="K92" s="28">
        <f>IFERROR(H92,0)</f>
        <v/>
      </c>
      <c r="L92" s="29" t="n">
        <v>0.4671</v>
      </c>
      <c r="M92" s="29" t="n">
        <v>0.2102</v>
      </c>
      <c r="N92" s="29" t="n">
        <v>0.2014</v>
      </c>
      <c r="O92" s="29" t="n">
        <v>0.1811</v>
      </c>
      <c r="P92" s="30">
        <f>IFERROR(IF(K92=0,"待填成本",ROUND(K92/(1-L92),0)),"" )</f>
        <v/>
      </c>
      <c r="Q92" s="30">
        <f>IFERROR(IF(K92=0,"待填成本",ROUND(K92/(1-M92),0)),"" )</f>
        <v/>
      </c>
      <c r="R92" s="30">
        <f>IFERROR(IF(K92=0,"待填成本",ROUND(K92/(1-N92),0)),"" )</f>
        <v/>
      </c>
      <c r="S92" s="30">
        <f>IFERROR(IF(K92=0,"待填成本",ROUND(K92/(1-O92),0)),"" )</f>
        <v/>
      </c>
      <c r="T92" s="31">
        <f>IFERROR(IF(K92=0,"",(P92-K92)/P92),"" )</f>
        <v/>
      </c>
      <c r="U92" s="31">
        <f>IFERROR(IF(K92=0,"",(Q92-K92)/Q92),"" )</f>
        <v/>
      </c>
      <c r="V92" s="31">
        <f>IFERROR(IF(K92=0,"",(R92-K92)/R92),"" )</f>
        <v/>
      </c>
      <c r="W92" s="31">
        <f>IFERROR(IF(K92=0,"",(S92-K92)/S92),"" )</f>
        <v/>
      </c>
      <c r="X92" s="32" t="n"/>
      <c r="Y92" s="32" t="n"/>
      <c r="Z92" s="32" t="n"/>
      <c r="AA92" s="32" t="n"/>
      <c r="AB92" s="32" t="n"/>
      <c r="AC92" s="37" t="n">
        <v>18.3425</v>
      </c>
      <c r="AD92" s="37" t="n">
        <v>300</v>
      </c>
      <c r="AE92" s="37" t="n">
        <v>150</v>
      </c>
      <c r="AF92" s="33" t="n"/>
      <c r="AG92" s="33" t="n"/>
      <c r="AH92" s="5" t="inlineStr"/>
    </row>
    <row r="93" ht="18" customHeight="1">
      <c r="A93" s="25" t="inlineStr">
        <is>
          <t>2525009040199</t>
        </is>
      </c>
      <c r="B93" s="34" t="inlineStr">
        <is>
          <t>餐厅-柜</t>
        </is>
      </c>
      <c r="C93" s="35" t="inlineStr">
        <is>
          <t>樱桃木基础餐边柜 |樱桃木AA柱餐边柜</t>
        </is>
      </c>
      <c r="D93" s="35" t="inlineStr">
        <is>
          <t>基础柜-下柜-1.0米</t>
        </is>
      </c>
      <c r="E93" s="34" t="inlineStr">
        <is>
          <t>北美进口FAS级樱桃木</t>
        </is>
      </c>
      <c r="F93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3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3" s="26" t="n">
        <v>3017.666666666667</v>
      </c>
      <c r="I93" s="26" t="n">
        <v>2844.333333333333</v>
      </c>
      <c r="J93" s="27" t="n">
        <v>0.48</v>
      </c>
      <c r="K93" s="28">
        <f>IFERROR(H93,0)</f>
        <v/>
      </c>
      <c r="L93" s="29" t="n">
        <v>0.4672</v>
      </c>
      <c r="M93" s="29" t="n">
        <v>0.21</v>
      </c>
      <c r="N93" s="29" t="n">
        <v>0.2016</v>
      </c>
      <c r="O93" s="29" t="n">
        <v>0.1813</v>
      </c>
      <c r="P93" s="30">
        <f>IFERROR(IF(K93=0,"待填成本",ROUND(K93/(1-L93),0)),"" )</f>
        <v/>
      </c>
      <c r="Q93" s="30">
        <f>IFERROR(IF(K93=0,"待填成本",ROUND(K93/(1-M93),0)),"" )</f>
        <v/>
      </c>
      <c r="R93" s="30">
        <f>IFERROR(IF(K93=0,"待填成本",ROUND(K93/(1-N93),0)),"" )</f>
        <v/>
      </c>
      <c r="S93" s="30">
        <f>IFERROR(IF(K93=0,"待填成本",ROUND(K93/(1-O93),0)),"" )</f>
        <v/>
      </c>
      <c r="T93" s="31">
        <f>IFERROR(IF(K93=0,"",(P93-K93)/P93),"" )</f>
        <v/>
      </c>
      <c r="U93" s="31">
        <f>IFERROR(IF(K93=0,"",(Q93-K93)/Q93),"" )</f>
        <v/>
      </c>
      <c r="V93" s="31">
        <f>IFERROR(IF(K93=0,"",(R93-K93)/R93),"" )</f>
        <v/>
      </c>
      <c r="W93" s="31">
        <f>IFERROR(IF(K93=0,"",(S93-K93)/S93),"" )</f>
        <v/>
      </c>
      <c r="X93" s="36" t="n"/>
      <c r="Y93" s="36" t="n"/>
      <c r="Z93" s="36" t="n"/>
      <c r="AA93" s="36" t="n"/>
      <c r="AB93" s="36" t="n"/>
      <c r="AC93" s="37" t="n">
        <v>18.05500000000001</v>
      </c>
      <c r="AD93" s="37" t="n">
        <v>300</v>
      </c>
      <c r="AE93" s="37" t="n">
        <v>150</v>
      </c>
      <c r="AF93" s="33" t="n"/>
      <c r="AG93" s="33" t="n"/>
      <c r="AH93" s="35" t="inlineStr"/>
    </row>
    <row r="94" ht="18" customHeight="1">
      <c r="A94" s="25" t="inlineStr">
        <is>
          <t>2525009040199</t>
        </is>
      </c>
      <c r="B94" s="6" t="inlineStr">
        <is>
          <t>餐厅-柜</t>
        </is>
      </c>
      <c r="C94" s="5" t="inlineStr">
        <is>
          <t>樱桃木基础餐边柜 |樱桃木AA柱餐边柜</t>
        </is>
      </c>
      <c r="D94" s="5" t="inlineStr">
        <is>
          <t>基础柜-整柜AA柱背板-2.1米</t>
        </is>
      </c>
      <c r="E94" s="6" t="inlineStr">
        <is>
          <t>北美进口FAS级樱桃木</t>
        </is>
      </c>
      <c r="F94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4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4" s="26" t="n">
        <v>6422.04</v>
      </c>
      <c r="I94" s="26" t="n">
        <v>4700</v>
      </c>
      <c r="J94" s="27" t="n">
        <v>0.48</v>
      </c>
      <c r="K94" s="28">
        <f>IFERROR(H94,0)</f>
        <v/>
      </c>
      <c r="L94" s="29" t="n">
        <v>0.4667</v>
      </c>
      <c r="M94" s="29" t="n">
        <v>0.21</v>
      </c>
      <c r="N94" s="29" t="n">
        <v>0.2</v>
      </c>
      <c r="O94" s="29" t="n">
        <v>0.1802</v>
      </c>
      <c r="P94" s="30">
        <f>IFERROR(IF(K94=0,"待填成本",ROUND(K94/(1-L94),0)),"" )</f>
        <v/>
      </c>
      <c r="Q94" s="30">
        <f>IFERROR(IF(K94=0,"待填成本",ROUND(K94/(1-M94),0)),"" )</f>
        <v/>
      </c>
      <c r="R94" s="30">
        <f>IFERROR(IF(K94=0,"待填成本",ROUND(K94/(1-N94),0)),"" )</f>
        <v/>
      </c>
      <c r="S94" s="30">
        <f>IFERROR(IF(K94=0,"待填成本",ROUND(K94/(1-O94),0)),"" )</f>
        <v/>
      </c>
      <c r="T94" s="31">
        <f>IFERROR(IF(K94=0,"",(P94-K94)/P94),"" )</f>
        <v/>
      </c>
      <c r="U94" s="31">
        <f>IFERROR(IF(K94=0,"",(Q94-K94)/Q94),"" )</f>
        <v/>
      </c>
      <c r="V94" s="31">
        <f>IFERROR(IF(K94=0,"",(R94-K94)/R94),"" )</f>
        <v/>
      </c>
      <c r="W94" s="31">
        <f>IFERROR(IF(K94=0,"",(S94-K94)/S94),"" )</f>
        <v/>
      </c>
      <c r="X94" s="32" t="n"/>
      <c r="Y94" s="32" t="n"/>
      <c r="Z94" s="32" t="n"/>
      <c r="AA94" s="37" t="n">
        <v>19.86625</v>
      </c>
      <c r="AB94" s="37" t="n">
        <v>11.64375</v>
      </c>
      <c r="AC94" s="37" t="n">
        <v>21.2175</v>
      </c>
      <c r="AD94" s="37" t="n">
        <v>300</v>
      </c>
      <c r="AE94" s="37" t="n">
        <v>150</v>
      </c>
      <c r="AF94" s="33" t="n"/>
      <c r="AG94" s="33" t="n"/>
      <c r="AH94" s="5" t="inlineStr"/>
    </row>
    <row r="95" ht="18" customHeight="1">
      <c r="A95" s="25" t="inlineStr">
        <is>
          <t>2525009040199</t>
        </is>
      </c>
      <c r="B95" s="34" t="inlineStr">
        <is>
          <t>餐厅-柜</t>
        </is>
      </c>
      <c r="C95" s="35" t="inlineStr">
        <is>
          <t>樱桃木基础餐边柜 |樱桃木AA柱餐边柜</t>
        </is>
      </c>
      <c r="D95" s="35" t="inlineStr">
        <is>
          <t>基础柜-整柜AA柱背板-2.0米</t>
        </is>
      </c>
      <c r="E95" s="34" t="inlineStr">
        <is>
          <t>北美进口FAS级樱桃木</t>
        </is>
      </c>
      <c r="F95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5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5" s="26" t="n">
        <v>6271.706666666667</v>
      </c>
      <c r="I95" s="26" t="n">
        <v>4633.333333333333</v>
      </c>
      <c r="J95" s="27" t="n">
        <v>0.48</v>
      </c>
      <c r="K95" s="28">
        <f>IFERROR(H95,0)</f>
        <v/>
      </c>
      <c r="L95" s="29" t="n">
        <v>0.4667</v>
      </c>
      <c r="M95" s="29" t="n">
        <v>0.2102</v>
      </c>
      <c r="N95" s="29" t="n">
        <v>0.2002</v>
      </c>
      <c r="O95" s="29" t="n">
        <v>0.1803</v>
      </c>
      <c r="P95" s="30">
        <f>IFERROR(IF(K95=0,"待填成本",ROUND(K95/(1-L95),0)),"" )</f>
        <v/>
      </c>
      <c r="Q95" s="30">
        <f>IFERROR(IF(K95=0,"待填成本",ROUND(K95/(1-M95),0)),"" )</f>
        <v/>
      </c>
      <c r="R95" s="30">
        <f>IFERROR(IF(K95=0,"待填成本",ROUND(K95/(1-N95),0)),"" )</f>
        <v/>
      </c>
      <c r="S95" s="30">
        <f>IFERROR(IF(K95=0,"待填成本",ROUND(K95/(1-O95),0)),"" )</f>
        <v/>
      </c>
      <c r="T95" s="31">
        <f>IFERROR(IF(K95=0,"",(P95-K95)/P95),"" )</f>
        <v/>
      </c>
      <c r="U95" s="31">
        <f>IFERROR(IF(K95=0,"",(Q95-K95)/Q95),"" )</f>
        <v/>
      </c>
      <c r="V95" s="31">
        <f>IFERROR(IF(K95=0,"",(R95-K95)/R95),"" )</f>
        <v/>
      </c>
      <c r="W95" s="31">
        <f>IFERROR(IF(K95=0,"",(S95-K95)/S95),"" )</f>
        <v/>
      </c>
      <c r="X95" s="36" t="n"/>
      <c r="Y95" s="36" t="n"/>
      <c r="Z95" s="36" t="n"/>
      <c r="AA95" s="37" t="n">
        <v>19.16666666666666</v>
      </c>
      <c r="AB95" s="37" t="n">
        <v>11.2125</v>
      </c>
      <c r="AC95" s="37" t="n">
        <v>20.93</v>
      </c>
      <c r="AD95" s="37" t="n">
        <v>300</v>
      </c>
      <c r="AE95" s="37" t="n">
        <v>150</v>
      </c>
      <c r="AF95" s="33" t="n"/>
      <c r="AG95" s="33" t="n"/>
      <c r="AH95" s="35" t="inlineStr"/>
    </row>
    <row r="96" ht="18" customHeight="1">
      <c r="A96" s="25" t="inlineStr">
        <is>
          <t>2525009040199</t>
        </is>
      </c>
      <c r="B96" s="6" t="inlineStr">
        <is>
          <t>餐厅-柜</t>
        </is>
      </c>
      <c r="C96" s="5" t="inlineStr">
        <is>
          <t>樱桃木基础餐边柜 |樱桃木AA柱餐边柜</t>
        </is>
      </c>
      <c r="D96" s="5" t="inlineStr">
        <is>
          <t>基础柜-整柜AA柱背板-1.9米</t>
        </is>
      </c>
      <c r="E96" s="6" t="inlineStr">
        <is>
          <t>北美进口FAS级樱桃木</t>
        </is>
      </c>
      <c r="F96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6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6" s="26" t="n">
        <v>6121.373333333334</v>
      </c>
      <c r="I96" s="26" t="n">
        <v>4566.666666666666</v>
      </c>
      <c r="J96" s="27" t="n">
        <v>0.48</v>
      </c>
      <c r="K96" s="28">
        <f>IFERROR(H96,0)</f>
        <v/>
      </c>
      <c r="L96" s="29" t="n">
        <v>0.4668</v>
      </c>
      <c r="M96" s="29" t="n">
        <v>0.2103</v>
      </c>
      <c r="N96" s="29" t="n">
        <v>0.2005</v>
      </c>
      <c r="O96" s="29" t="n">
        <v>0.1803</v>
      </c>
      <c r="P96" s="30">
        <f>IFERROR(IF(K96=0,"待填成本",ROUND(K96/(1-L96),0)),"" )</f>
        <v/>
      </c>
      <c r="Q96" s="30">
        <f>IFERROR(IF(K96=0,"待填成本",ROUND(K96/(1-M96),0)),"" )</f>
        <v/>
      </c>
      <c r="R96" s="30">
        <f>IFERROR(IF(K96=0,"待填成本",ROUND(K96/(1-N96),0)),"" )</f>
        <v/>
      </c>
      <c r="S96" s="30">
        <f>IFERROR(IF(K96=0,"待填成本",ROUND(K96/(1-O96),0)),"" )</f>
        <v/>
      </c>
      <c r="T96" s="31">
        <f>IFERROR(IF(K96=0,"",(P96-K96)/P96),"" )</f>
        <v/>
      </c>
      <c r="U96" s="31">
        <f>IFERROR(IF(K96=0,"",(Q96-K96)/Q96),"" )</f>
        <v/>
      </c>
      <c r="V96" s="31">
        <f>IFERROR(IF(K96=0,"",(R96-K96)/R96),"" )</f>
        <v/>
      </c>
      <c r="W96" s="31">
        <f>IFERROR(IF(K96=0,"",(S96-K96)/S96),"" )</f>
        <v/>
      </c>
      <c r="X96" s="32" t="n"/>
      <c r="Y96" s="32" t="n"/>
      <c r="Z96" s="32" t="n"/>
      <c r="AA96" s="37" t="n">
        <v>18.46708333333333</v>
      </c>
      <c r="AB96" s="37" t="n">
        <v>10.78125</v>
      </c>
      <c r="AC96" s="37" t="n">
        <v>20.6425</v>
      </c>
      <c r="AD96" s="37" t="n">
        <v>300</v>
      </c>
      <c r="AE96" s="37" t="n">
        <v>150</v>
      </c>
      <c r="AF96" s="33" t="n"/>
      <c r="AG96" s="33" t="n"/>
      <c r="AH96" s="5" t="inlineStr"/>
    </row>
    <row r="97" ht="18" customHeight="1">
      <c r="A97" s="25" t="inlineStr">
        <is>
          <t>2525009040199</t>
        </is>
      </c>
      <c r="B97" s="34" t="inlineStr">
        <is>
          <t>餐厅-柜</t>
        </is>
      </c>
      <c r="C97" s="35" t="inlineStr">
        <is>
          <t>樱桃木基础餐边柜 |樱桃木AA柱餐边柜</t>
        </is>
      </c>
      <c r="D97" s="35" t="inlineStr">
        <is>
          <t>基础柜-整柜AA柱背板-1.8米</t>
        </is>
      </c>
      <c r="E97" s="34" t="inlineStr">
        <is>
          <t>北美进口FAS级樱桃木</t>
        </is>
      </c>
      <c r="F97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7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7" s="26" t="n">
        <v>5971.04</v>
      </c>
      <c r="I97" s="26" t="n">
        <v>4500</v>
      </c>
      <c r="J97" s="27" t="n">
        <v>0.48</v>
      </c>
      <c r="K97" s="28">
        <f>IFERROR(H97,0)</f>
        <v/>
      </c>
      <c r="L97" s="29" t="n">
        <v>0.4668</v>
      </c>
      <c r="M97" s="29" t="n">
        <v>0.2105</v>
      </c>
      <c r="N97" s="29" t="n">
        <v>0.2007</v>
      </c>
      <c r="O97" s="29" t="n">
        <v>0.1804</v>
      </c>
      <c r="P97" s="30">
        <f>IFERROR(IF(K97=0,"待填成本",ROUND(K97/(1-L97),0)),"" )</f>
        <v/>
      </c>
      <c r="Q97" s="30">
        <f>IFERROR(IF(K97=0,"待填成本",ROUND(K97/(1-M97),0)),"" )</f>
        <v/>
      </c>
      <c r="R97" s="30">
        <f>IFERROR(IF(K97=0,"待填成本",ROUND(K97/(1-N97),0)),"" )</f>
        <v/>
      </c>
      <c r="S97" s="30">
        <f>IFERROR(IF(K97=0,"待填成本",ROUND(K97/(1-O97),0)),"" )</f>
        <v/>
      </c>
      <c r="T97" s="31">
        <f>IFERROR(IF(K97=0,"",(P97-K97)/P97),"" )</f>
        <v/>
      </c>
      <c r="U97" s="31">
        <f>IFERROR(IF(K97=0,"",(Q97-K97)/Q97),"" )</f>
        <v/>
      </c>
      <c r="V97" s="31">
        <f>IFERROR(IF(K97=0,"",(R97-K97)/R97),"" )</f>
        <v/>
      </c>
      <c r="W97" s="31">
        <f>IFERROR(IF(K97=0,"",(S97-K97)/S97),"" )</f>
        <v/>
      </c>
      <c r="X97" s="36" t="n"/>
      <c r="Y97" s="36" t="n"/>
      <c r="Z97" s="36" t="n"/>
      <c r="AA97" s="37" t="n">
        <v>17.7675</v>
      </c>
      <c r="AB97" s="37" t="n">
        <v>10.35</v>
      </c>
      <c r="AC97" s="37" t="n">
        <v>20.355</v>
      </c>
      <c r="AD97" s="37" t="n">
        <v>300</v>
      </c>
      <c r="AE97" s="37" t="n">
        <v>150</v>
      </c>
      <c r="AF97" s="33" t="n"/>
      <c r="AG97" s="33" t="n"/>
      <c r="AH97" s="35" t="inlineStr"/>
    </row>
    <row r="98" ht="18" customHeight="1">
      <c r="A98" s="25" t="inlineStr">
        <is>
          <t>2525009040199</t>
        </is>
      </c>
      <c r="B98" s="6" t="inlineStr">
        <is>
          <t>餐厅-柜</t>
        </is>
      </c>
      <c r="C98" s="5" t="inlineStr">
        <is>
          <t>樱桃木基础餐边柜 |樱桃木AA柱餐边柜</t>
        </is>
      </c>
      <c r="D98" s="5" t="inlineStr">
        <is>
          <t>基础柜-整柜AA柱背板-1.7米</t>
        </is>
      </c>
      <c r="E98" s="6" t="inlineStr">
        <is>
          <t>北美进口FAS级樱桃木</t>
        </is>
      </c>
      <c r="F98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8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8" s="26" t="n">
        <v>5863.68</v>
      </c>
      <c r="I98" s="26" t="n">
        <v>4433.333333333333</v>
      </c>
      <c r="J98" s="27" t="n">
        <v>0.48</v>
      </c>
      <c r="K98" s="28">
        <f>IFERROR(H98,0)</f>
        <v/>
      </c>
      <c r="L98" s="29" t="n">
        <v>0.4668</v>
      </c>
      <c r="M98" s="29" t="n">
        <v>0.2105</v>
      </c>
      <c r="N98" s="29" t="n">
        <v>0.2005</v>
      </c>
      <c r="O98" s="29" t="n">
        <v>0.1805</v>
      </c>
      <c r="P98" s="30">
        <f>IFERROR(IF(K98=0,"待填成本",ROUND(K98/(1-L98),0)),"" )</f>
        <v/>
      </c>
      <c r="Q98" s="30">
        <f>IFERROR(IF(K98=0,"待填成本",ROUND(K98/(1-M98),0)),"" )</f>
        <v/>
      </c>
      <c r="R98" s="30">
        <f>IFERROR(IF(K98=0,"待填成本",ROUND(K98/(1-N98),0)),"" )</f>
        <v/>
      </c>
      <c r="S98" s="30">
        <f>IFERROR(IF(K98=0,"待填成本",ROUND(K98/(1-O98),0)),"" )</f>
        <v/>
      </c>
      <c r="T98" s="31">
        <f>IFERROR(IF(K98=0,"",(P98-K98)/P98),"" )</f>
        <v/>
      </c>
      <c r="U98" s="31">
        <f>IFERROR(IF(K98=0,"",(Q98-K98)/Q98),"" )</f>
        <v/>
      </c>
      <c r="V98" s="31">
        <f>IFERROR(IF(K98=0,"",(R98-K98)/R98),"" )</f>
        <v/>
      </c>
      <c r="W98" s="31">
        <f>IFERROR(IF(K98=0,"",(S98-K98)/S98),"" )</f>
        <v/>
      </c>
      <c r="X98" s="32" t="n"/>
      <c r="Y98" s="32" t="n"/>
      <c r="Z98" s="32" t="n"/>
      <c r="AA98" s="37" t="n">
        <v>17.06791666666667</v>
      </c>
      <c r="AB98" s="37" t="n">
        <v>9.918749999999999</v>
      </c>
      <c r="AC98" s="37" t="n">
        <v>20.0675</v>
      </c>
      <c r="AD98" s="37" t="n">
        <v>300</v>
      </c>
      <c r="AE98" s="37" t="n">
        <v>150</v>
      </c>
      <c r="AF98" s="33" t="n"/>
      <c r="AG98" s="33" t="n"/>
      <c r="AH98" s="5" t="inlineStr"/>
    </row>
    <row r="99" ht="18" customHeight="1">
      <c r="A99" s="25" t="inlineStr">
        <is>
          <t>2525009040199</t>
        </is>
      </c>
      <c r="B99" s="34" t="inlineStr">
        <is>
          <t>餐厅-柜</t>
        </is>
      </c>
      <c r="C99" s="35" t="inlineStr">
        <is>
          <t>樱桃木基础餐边柜 |樱桃木AA柱餐边柜</t>
        </is>
      </c>
      <c r="D99" s="35" t="inlineStr">
        <is>
          <t>基础柜-整柜AA柱背板-1.6米</t>
        </is>
      </c>
      <c r="E99" s="34" t="inlineStr">
        <is>
          <t>北美进口FAS级樱桃木</t>
        </is>
      </c>
      <c r="F99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99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99" s="26" t="n">
        <v>5756.320000000001</v>
      </c>
      <c r="I99" s="26" t="n">
        <v>4366.666666666666</v>
      </c>
      <c r="J99" s="27" t="n">
        <v>0.48</v>
      </c>
      <c r="K99" s="28">
        <f>IFERROR(H99,0)</f>
        <v/>
      </c>
      <c r="L99" s="29" t="n">
        <v>0.4668</v>
      </c>
      <c r="M99" s="29" t="n">
        <v>0.2105</v>
      </c>
      <c r="N99" s="29" t="n">
        <v>0.2003</v>
      </c>
      <c r="O99" s="29" t="n">
        <v>0.1805</v>
      </c>
      <c r="P99" s="30">
        <f>IFERROR(IF(K99=0,"待填成本",ROUND(K99/(1-L99),0)),"" )</f>
        <v/>
      </c>
      <c r="Q99" s="30">
        <f>IFERROR(IF(K99=0,"待填成本",ROUND(K99/(1-M99),0)),"" )</f>
        <v/>
      </c>
      <c r="R99" s="30">
        <f>IFERROR(IF(K99=0,"待填成本",ROUND(K99/(1-N99),0)),"" )</f>
        <v/>
      </c>
      <c r="S99" s="30">
        <f>IFERROR(IF(K99=0,"待填成本",ROUND(K99/(1-O99),0)),"" )</f>
        <v/>
      </c>
      <c r="T99" s="31">
        <f>IFERROR(IF(K99=0,"",(P99-K99)/P99),"" )</f>
        <v/>
      </c>
      <c r="U99" s="31">
        <f>IFERROR(IF(K99=0,"",(Q99-K99)/Q99),"" )</f>
        <v/>
      </c>
      <c r="V99" s="31">
        <f>IFERROR(IF(K99=0,"",(R99-K99)/R99),"" )</f>
        <v/>
      </c>
      <c r="W99" s="31">
        <f>IFERROR(IF(K99=0,"",(S99-K99)/S99),"" )</f>
        <v/>
      </c>
      <c r="X99" s="36" t="n"/>
      <c r="Y99" s="36" t="n"/>
      <c r="Z99" s="36" t="n"/>
      <c r="AA99" s="37" t="n">
        <v>16.36833333333333</v>
      </c>
      <c r="AB99" s="37" t="n">
        <v>9.487499999999999</v>
      </c>
      <c r="AC99" s="37" t="n">
        <v>19.77999999999999</v>
      </c>
      <c r="AD99" s="37" t="n">
        <v>300</v>
      </c>
      <c r="AE99" s="37" t="n">
        <v>150</v>
      </c>
      <c r="AF99" s="33" t="n"/>
      <c r="AG99" s="33" t="n"/>
      <c r="AH99" s="35" t="inlineStr"/>
    </row>
    <row r="100" ht="18" customHeight="1">
      <c r="A100" s="25" t="inlineStr">
        <is>
          <t>2525009040199</t>
        </is>
      </c>
      <c r="B100" s="6" t="inlineStr">
        <is>
          <t>餐厅-柜</t>
        </is>
      </c>
      <c r="C100" s="5" t="inlineStr">
        <is>
          <t>樱桃木基础餐边柜 |樱桃木AA柱餐边柜</t>
        </is>
      </c>
      <c r="D100" s="5" t="inlineStr">
        <is>
          <t>基础柜-整柜AA柱背板-1.5米</t>
        </is>
      </c>
      <c r="E100" s="6" t="inlineStr">
        <is>
          <t>北美进口FAS级樱桃木</t>
        </is>
      </c>
      <c r="F100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0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0" s="26" t="n">
        <v>5648.96</v>
      </c>
      <c r="I100" s="26" t="n">
        <v>4300</v>
      </c>
      <c r="J100" s="27" t="n">
        <v>0.48</v>
      </c>
      <c r="K100" s="28">
        <f>IFERROR(H100,0)</f>
        <v/>
      </c>
      <c r="L100" s="29" t="n">
        <v>0.4667</v>
      </c>
      <c r="M100" s="29" t="n">
        <v>0.2105</v>
      </c>
      <c r="N100" s="29" t="n">
        <v>0.2001</v>
      </c>
      <c r="O100" s="29" t="n">
        <v>0.1805</v>
      </c>
      <c r="P100" s="30">
        <f>IFERROR(IF(K100=0,"待填成本",ROUND(K100/(1-L100),0)),"" )</f>
        <v/>
      </c>
      <c r="Q100" s="30">
        <f>IFERROR(IF(K100=0,"待填成本",ROUND(K100/(1-M100),0)),"" )</f>
        <v/>
      </c>
      <c r="R100" s="30">
        <f>IFERROR(IF(K100=0,"待填成本",ROUND(K100/(1-N100),0)),"" )</f>
        <v/>
      </c>
      <c r="S100" s="30">
        <f>IFERROR(IF(K100=0,"待填成本",ROUND(K100/(1-O100),0)),"" )</f>
        <v/>
      </c>
      <c r="T100" s="31">
        <f>IFERROR(IF(K100=0,"",(P100-K100)/P100),"" )</f>
        <v/>
      </c>
      <c r="U100" s="31">
        <f>IFERROR(IF(K100=0,"",(Q100-K100)/Q100),"" )</f>
        <v/>
      </c>
      <c r="V100" s="31">
        <f>IFERROR(IF(K100=0,"",(R100-K100)/R100),"" )</f>
        <v/>
      </c>
      <c r="W100" s="31">
        <f>IFERROR(IF(K100=0,"",(S100-K100)/S100),"" )</f>
        <v/>
      </c>
      <c r="X100" s="32" t="n"/>
      <c r="Y100" s="32" t="n"/>
      <c r="Z100" s="32" t="n"/>
      <c r="AA100" s="37" t="n">
        <v>15.66875</v>
      </c>
      <c r="AB100" s="37" t="n">
        <v>9.056249999999999</v>
      </c>
      <c r="AC100" s="37" t="n">
        <v>19.4925</v>
      </c>
      <c r="AD100" s="37" t="n">
        <v>300</v>
      </c>
      <c r="AE100" s="37" t="n">
        <v>150</v>
      </c>
      <c r="AF100" s="33" t="n"/>
      <c r="AG100" s="33" t="n"/>
      <c r="AH100" s="5" t="inlineStr"/>
    </row>
    <row r="101" ht="18" customHeight="1">
      <c r="A101" s="25" t="inlineStr">
        <is>
          <t>2525009040199</t>
        </is>
      </c>
      <c r="B101" s="34" t="inlineStr">
        <is>
          <t>餐厅-柜</t>
        </is>
      </c>
      <c r="C101" s="35" t="inlineStr">
        <is>
          <t>樱桃木基础餐边柜 |樱桃木AA柱餐边柜</t>
        </is>
      </c>
      <c r="D101" s="35" t="inlineStr">
        <is>
          <t>基础柜-整柜AA柱背板-1.4米</t>
        </is>
      </c>
      <c r="E101" s="34" t="inlineStr">
        <is>
          <t>北美进口FAS级樱桃木</t>
        </is>
      </c>
      <c r="F101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1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1" s="26" t="n">
        <v>5521.986666666667</v>
      </c>
      <c r="I101" s="26" t="n">
        <v>4233.333333333333</v>
      </c>
      <c r="J101" s="27" t="n">
        <v>0.48</v>
      </c>
      <c r="K101" s="28">
        <f>IFERROR(H101,0)</f>
        <v/>
      </c>
      <c r="L101" s="29" t="n">
        <v>0.4668</v>
      </c>
      <c r="M101" s="29" t="n">
        <v>0.2106</v>
      </c>
      <c r="N101" s="29" t="n">
        <v>0.2003</v>
      </c>
      <c r="O101" s="29" t="n">
        <v>0.1807</v>
      </c>
      <c r="P101" s="30">
        <f>IFERROR(IF(K101=0,"待填成本",ROUND(K101/(1-L101),0)),"" )</f>
        <v/>
      </c>
      <c r="Q101" s="30">
        <f>IFERROR(IF(K101=0,"待填成本",ROUND(K101/(1-M101),0)),"" )</f>
        <v/>
      </c>
      <c r="R101" s="30">
        <f>IFERROR(IF(K101=0,"待填成本",ROUND(K101/(1-N101),0)),"" )</f>
        <v/>
      </c>
      <c r="S101" s="30">
        <f>IFERROR(IF(K101=0,"待填成本",ROUND(K101/(1-O101),0)),"" )</f>
        <v/>
      </c>
      <c r="T101" s="31">
        <f>IFERROR(IF(K101=0,"",(P101-K101)/P101),"" )</f>
        <v/>
      </c>
      <c r="U101" s="31">
        <f>IFERROR(IF(K101=0,"",(Q101-K101)/Q101),"" )</f>
        <v/>
      </c>
      <c r="V101" s="31">
        <f>IFERROR(IF(K101=0,"",(R101-K101)/R101),"" )</f>
        <v/>
      </c>
      <c r="W101" s="31">
        <f>IFERROR(IF(K101=0,"",(S101-K101)/S101),"" )</f>
        <v/>
      </c>
      <c r="X101" s="36" t="n"/>
      <c r="Y101" s="36" t="n"/>
      <c r="Z101" s="36" t="n"/>
      <c r="AA101" s="37" t="n">
        <v>15.3525</v>
      </c>
      <c r="AB101" s="37" t="n">
        <v>8.624999999999998</v>
      </c>
      <c r="AC101" s="37" t="n">
        <v>19.205</v>
      </c>
      <c r="AD101" s="37" t="n">
        <v>300</v>
      </c>
      <c r="AE101" s="37" t="n">
        <v>150</v>
      </c>
      <c r="AF101" s="33" t="n"/>
      <c r="AG101" s="33" t="n"/>
      <c r="AH101" s="35" t="inlineStr"/>
    </row>
    <row r="102" ht="18" customHeight="1">
      <c r="A102" s="25" t="inlineStr">
        <is>
          <t>2525009040199</t>
        </is>
      </c>
      <c r="B102" s="6" t="inlineStr">
        <is>
          <t>餐厅-柜</t>
        </is>
      </c>
      <c r="C102" s="5" t="inlineStr">
        <is>
          <t>樱桃木基础餐边柜 |樱桃木AA柱餐边柜</t>
        </is>
      </c>
      <c r="D102" s="5" t="inlineStr">
        <is>
          <t>基础柜-整柜AA柱背板-1.3米</t>
        </is>
      </c>
      <c r="E102" s="6" t="inlineStr">
        <is>
          <t>北美进口FAS级樱桃木</t>
        </is>
      </c>
      <c r="F102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2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2" s="26" t="n">
        <v>5395.013333333333</v>
      </c>
      <c r="I102" s="26" t="n">
        <v>4166.666666666666</v>
      </c>
      <c r="J102" s="27" t="n">
        <v>0.48</v>
      </c>
      <c r="K102" s="28">
        <f>IFERROR(H102,0)</f>
        <v/>
      </c>
      <c r="L102" s="29" t="n">
        <v>0.4668</v>
      </c>
      <c r="M102" s="29" t="n">
        <v>0.2107</v>
      </c>
      <c r="N102" s="29" t="n">
        <v>0.2006</v>
      </c>
      <c r="O102" s="29" t="n">
        <v>0.1809</v>
      </c>
      <c r="P102" s="30">
        <f>IFERROR(IF(K102=0,"待填成本",ROUND(K102/(1-L102),0)),"" )</f>
        <v/>
      </c>
      <c r="Q102" s="30">
        <f>IFERROR(IF(K102=0,"待填成本",ROUND(K102/(1-M102),0)),"" )</f>
        <v/>
      </c>
      <c r="R102" s="30">
        <f>IFERROR(IF(K102=0,"待填成本",ROUND(K102/(1-N102),0)),"" )</f>
        <v/>
      </c>
      <c r="S102" s="30">
        <f>IFERROR(IF(K102=0,"待填成本",ROUND(K102/(1-O102),0)),"" )</f>
        <v/>
      </c>
      <c r="T102" s="31">
        <f>IFERROR(IF(K102=0,"",(P102-K102)/P102),"" )</f>
        <v/>
      </c>
      <c r="U102" s="31">
        <f>IFERROR(IF(K102=0,"",(Q102-K102)/Q102),"" )</f>
        <v/>
      </c>
      <c r="V102" s="31">
        <f>IFERROR(IF(K102=0,"",(R102-K102)/R102),"" )</f>
        <v/>
      </c>
      <c r="W102" s="31">
        <f>IFERROR(IF(K102=0,"",(S102-K102)/S102),"" )</f>
        <v/>
      </c>
      <c r="X102" s="32" t="n"/>
      <c r="Y102" s="32" t="n"/>
      <c r="Z102" s="32" t="n"/>
      <c r="AA102" s="37" t="n">
        <v>15.03625</v>
      </c>
      <c r="AB102" s="37" t="n">
        <v>8.193749999999998</v>
      </c>
      <c r="AC102" s="37" t="n">
        <v>18.9175</v>
      </c>
      <c r="AD102" s="37" t="n">
        <v>300</v>
      </c>
      <c r="AE102" s="37" t="n">
        <v>150</v>
      </c>
      <c r="AF102" s="33" t="n"/>
      <c r="AG102" s="33" t="n"/>
      <c r="AH102" s="5" t="inlineStr"/>
    </row>
    <row r="103" ht="18" customHeight="1">
      <c r="A103" s="25" t="inlineStr">
        <is>
          <t>2525009040199</t>
        </is>
      </c>
      <c r="B103" s="34" t="inlineStr">
        <is>
          <t>餐厅-柜</t>
        </is>
      </c>
      <c r="C103" s="35" t="inlineStr">
        <is>
          <t>樱桃木基础餐边柜 |樱桃木AA柱餐边柜</t>
        </is>
      </c>
      <c r="D103" s="35" t="inlineStr">
        <is>
          <t>基础柜-整柜AA柱背板-1.2米</t>
        </is>
      </c>
      <c r="E103" s="34" t="inlineStr">
        <is>
          <t>北美进口FAS级樱桃木</t>
        </is>
      </c>
      <c r="F103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3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3" s="26" t="n">
        <v>5268.04</v>
      </c>
      <c r="I103" s="26" t="n">
        <v>4100</v>
      </c>
      <c r="J103" s="27" t="n">
        <v>0.48</v>
      </c>
      <c r="K103" s="28">
        <f>IFERROR(H103,0)</f>
        <v/>
      </c>
      <c r="L103" s="29" t="n">
        <v>0.4669</v>
      </c>
      <c r="M103" s="29" t="n">
        <v>0.2109</v>
      </c>
      <c r="N103" s="29" t="n">
        <v>0.2008</v>
      </c>
      <c r="O103" s="29" t="n">
        <v>0.181</v>
      </c>
      <c r="P103" s="30">
        <f>IFERROR(IF(K103=0,"待填成本",ROUND(K103/(1-L103),0)),"" )</f>
        <v/>
      </c>
      <c r="Q103" s="30">
        <f>IFERROR(IF(K103=0,"待填成本",ROUND(K103/(1-M103),0)),"" )</f>
        <v/>
      </c>
      <c r="R103" s="30">
        <f>IFERROR(IF(K103=0,"待填成本",ROUND(K103/(1-N103),0)),"" )</f>
        <v/>
      </c>
      <c r="S103" s="30">
        <f>IFERROR(IF(K103=0,"待填成本",ROUND(K103/(1-O103),0)),"" )</f>
        <v/>
      </c>
      <c r="T103" s="31">
        <f>IFERROR(IF(K103=0,"",(P103-K103)/P103),"" )</f>
        <v/>
      </c>
      <c r="U103" s="31">
        <f>IFERROR(IF(K103=0,"",(Q103-K103)/Q103),"" )</f>
        <v/>
      </c>
      <c r="V103" s="31">
        <f>IFERROR(IF(K103=0,"",(R103-K103)/R103),"" )</f>
        <v/>
      </c>
      <c r="W103" s="31">
        <f>IFERROR(IF(K103=0,"",(S103-K103)/S103),"" )</f>
        <v/>
      </c>
      <c r="X103" s="36" t="n"/>
      <c r="Y103" s="36" t="n"/>
      <c r="Z103" s="36" t="n"/>
      <c r="AA103" s="37" t="n">
        <v>14.72</v>
      </c>
      <c r="AB103" s="37" t="n">
        <v>7.762499999999999</v>
      </c>
      <c r="AC103" s="37" t="n">
        <v>18.63</v>
      </c>
      <c r="AD103" s="37" t="n">
        <v>300</v>
      </c>
      <c r="AE103" s="37" t="n">
        <v>150</v>
      </c>
      <c r="AF103" s="33" t="n"/>
      <c r="AG103" s="33" t="n"/>
      <c r="AH103" s="35" t="inlineStr"/>
    </row>
    <row r="104" ht="18" customHeight="1">
      <c r="A104" s="25" t="inlineStr">
        <is>
          <t>2525009040199</t>
        </is>
      </c>
      <c r="B104" s="6" t="inlineStr">
        <is>
          <t>餐厅-柜</t>
        </is>
      </c>
      <c r="C104" s="5" t="inlineStr">
        <is>
          <t>樱桃木基础餐边柜 |樱桃木AA柱餐边柜</t>
        </is>
      </c>
      <c r="D104" s="5" t="inlineStr">
        <is>
          <t>基础柜-整柜AA柱背板-1.1米</t>
        </is>
      </c>
      <c r="E104" s="6" t="inlineStr">
        <is>
          <t>北美进口FAS级樱桃木</t>
        </is>
      </c>
      <c r="F104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4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4" s="26" t="n">
        <v>5141.066666666667</v>
      </c>
      <c r="I104" s="26" t="n">
        <v>4033.333333333333</v>
      </c>
      <c r="J104" s="27" t="n">
        <v>0.48</v>
      </c>
      <c r="K104" s="28">
        <f>IFERROR(H104,0)</f>
        <v/>
      </c>
      <c r="L104" s="29" t="n">
        <v>0.467</v>
      </c>
      <c r="M104" s="29" t="n">
        <v>0.211</v>
      </c>
      <c r="N104" s="29" t="n">
        <v>0.2011</v>
      </c>
      <c r="O104" s="29" t="n">
        <v>0.1812</v>
      </c>
      <c r="P104" s="30">
        <f>IFERROR(IF(K104=0,"待填成本",ROUND(K104/(1-L104),0)),"" )</f>
        <v/>
      </c>
      <c r="Q104" s="30">
        <f>IFERROR(IF(K104=0,"待填成本",ROUND(K104/(1-M104),0)),"" )</f>
        <v/>
      </c>
      <c r="R104" s="30">
        <f>IFERROR(IF(K104=0,"待填成本",ROUND(K104/(1-N104),0)),"" )</f>
        <v/>
      </c>
      <c r="S104" s="30">
        <f>IFERROR(IF(K104=0,"待填成本",ROUND(K104/(1-O104),0)),"" )</f>
        <v/>
      </c>
      <c r="T104" s="31">
        <f>IFERROR(IF(K104=0,"",(P104-K104)/P104),"" )</f>
        <v/>
      </c>
      <c r="U104" s="31">
        <f>IFERROR(IF(K104=0,"",(Q104-K104)/Q104),"" )</f>
        <v/>
      </c>
      <c r="V104" s="31">
        <f>IFERROR(IF(K104=0,"",(R104-K104)/R104),"" )</f>
        <v/>
      </c>
      <c r="W104" s="31">
        <f>IFERROR(IF(K104=0,"",(S104-K104)/S104),"" )</f>
        <v/>
      </c>
      <c r="X104" s="32" t="n"/>
      <c r="Y104" s="32" t="n"/>
      <c r="Z104" s="32" t="n"/>
      <c r="AA104" s="37" t="n">
        <v>14.40375</v>
      </c>
      <c r="AB104" s="37" t="n">
        <v>7.33125</v>
      </c>
      <c r="AC104" s="37" t="n">
        <v>18.3425</v>
      </c>
      <c r="AD104" s="37" t="n">
        <v>300</v>
      </c>
      <c r="AE104" s="37" t="n">
        <v>150</v>
      </c>
      <c r="AF104" s="33" t="n"/>
      <c r="AG104" s="33" t="n"/>
      <c r="AH104" s="5" t="inlineStr"/>
    </row>
    <row r="105" ht="18" customHeight="1">
      <c r="A105" s="25" t="inlineStr">
        <is>
          <t>2525009040199</t>
        </is>
      </c>
      <c r="B105" s="34" t="inlineStr">
        <is>
          <t>餐厅-柜</t>
        </is>
      </c>
      <c r="C105" s="35" t="inlineStr">
        <is>
          <t>樱桃木基础餐边柜 |樱桃木AA柱餐边柜</t>
        </is>
      </c>
      <c r="D105" s="35" t="inlineStr">
        <is>
          <t>基础柜-整柜AA柱背板-1.0米</t>
        </is>
      </c>
      <c r="E105" s="34" t="inlineStr">
        <is>
          <t>北美进口FAS级樱桃木</t>
        </is>
      </c>
      <c r="F105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5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5" s="26" t="n">
        <v>5014.093333333333</v>
      </c>
      <c r="I105" s="26" t="n">
        <v>3966.666666666667</v>
      </c>
      <c r="J105" s="27" t="n">
        <v>0.48</v>
      </c>
      <c r="K105" s="28">
        <f>IFERROR(H105,0)</f>
        <v/>
      </c>
      <c r="L105" s="29" t="n">
        <v>0.467</v>
      </c>
      <c r="M105" s="29" t="n">
        <v>0.2112</v>
      </c>
      <c r="N105" s="29" t="n">
        <v>0.2014</v>
      </c>
      <c r="O105" s="29" t="n">
        <v>0.1814</v>
      </c>
      <c r="P105" s="30">
        <f>IFERROR(IF(K105=0,"待填成本",ROUND(K105/(1-L105),0)),"" )</f>
        <v/>
      </c>
      <c r="Q105" s="30">
        <f>IFERROR(IF(K105=0,"待填成本",ROUND(K105/(1-M105),0)),"" )</f>
        <v/>
      </c>
      <c r="R105" s="30">
        <f>IFERROR(IF(K105=0,"待填成本",ROUND(K105/(1-N105),0)),"" )</f>
        <v/>
      </c>
      <c r="S105" s="30">
        <f>IFERROR(IF(K105=0,"待填成本",ROUND(K105/(1-O105),0)),"" )</f>
        <v/>
      </c>
      <c r="T105" s="31">
        <f>IFERROR(IF(K105=0,"",(P105-K105)/P105),"" )</f>
        <v/>
      </c>
      <c r="U105" s="31">
        <f>IFERROR(IF(K105=0,"",(Q105-K105)/Q105),"" )</f>
        <v/>
      </c>
      <c r="V105" s="31">
        <f>IFERROR(IF(K105=0,"",(R105-K105)/R105),"" )</f>
        <v/>
      </c>
      <c r="W105" s="31">
        <f>IFERROR(IF(K105=0,"",(S105-K105)/S105),"" )</f>
        <v/>
      </c>
      <c r="X105" s="36" t="n"/>
      <c r="Y105" s="36" t="n"/>
      <c r="Z105" s="36" t="n"/>
      <c r="AA105" s="37" t="n">
        <v>14.0875</v>
      </c>
      <c r="AB105" s="37" t="n">
        <v>6.9</v>
      </c>
      <c r="AC105" s="37" t="n">
        <v>18.05500000000001</v>
      </c>
      <c r="AD105" s="37" t="n">
        <v>300</v>
      </c>
      <c r="AE105" s="37" t="n">
        <v>150</v>
      </c>
      <c r="AF105" s="33" t="n"/>
      <c r="AG105" s="33" t="n"/>
      <c r="AH105" s="35" t="inlineStr"/>
    </row>
    <row r="106" ht="18" customHeight="1">
      <c r="A106" s="25" t="inlineStr">
        <is>
          <t>2525009040199</t>
        </is>
      </c>
      <c r="B106" s="6" t="inlineStr">
        <is>
          <t>餐厅-柜</t>
        </is>
      </c>
      <c r="C106" s="5" t="inlineStr">
        <is>
          <t>樱桃木基础餐边柜 |樱桃木AA柱餐边柜</t>
        </is>
      </c>
      <c r="D106" s="5" t="inlineStr">
        <is>
          <t>基础柜-整柜洞洞板背板-2.1米</t>
        </is>
      </c>
      <c r="E106" s="6" t="inlineStr">
        <is>
          <t>北美进口FAS级樱桃木</t>
        </is>
      </c>
      <c r="F106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6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6" s="26" t="n">
        <v>6572.05</v>
      </c>
      <c r="I106" s="26" t="n">
        <v>4550</v>
      </c>
      <c r="J106" s="27" t="n">
        <v>0.48</v>
      </c>
      <c r="K106" s="28">
        <f>IFERROR(H106,0)</f>
        <v/>
      </c>
      <c r="L106" s="29" t="n">
        <v>0.4668</v>
      </c>
      <c r="M106" s="29" t="n">
        <v>0.2104</v>
      </c>
      <c r="N106" s="29" t="n">
        <v>0.1906</v>
      </c>
      <c r="O106" s="29" t="n">
        <v>0.1804</v>
      </c>
      <c r="P106" s="30">
        <f>IFERROR(IF(K106=0,"待填成本",ROUND(K106/(1-L106),0)),"" )</f>
        <v/>
      </c>
      <c r="Q106" s="30">
        <f>IFERROR(IF(K106=0,"待填成本",ROUND(K106/(1-M106),0)),"" )</f>
        <v/>
      </c>
      <c r="R106" s="30">
        <f>IFERROR(IF(K106=0,"待填成本",ROUND(K106/(1-N106),0)),"" )</f>
        <v/>
      </c>
      <c r="S106" s="30">
        <f>IFERROR(IF(K106=0,"待填成本",ROUND(K106/(1-O106),0)),"" )</f>
        <v/>
      </c>
      <c r="T106" s="31">
        <f>IFERROR(IF(K106=0,"",(P106-K106)/P106),"" )</f>
        <v/>
      </c>
      <c r="U106" s="31">
        <f>IFERROR(IF(K106=0,"",(Q106-K106)/Q106),"" )</f>
        <v/>
      </c>
      <c r="V106" s="31">
        <f>IFERROR(IF(K106=0,"",(R106-K106)/R106),"" )</f>
        <v/>
      </c>
      <c r="W106" s="31">
        <f>IFERROR(IF(K106=0,"",(S106-K106)/S106),"" )</f>
        <v/>
      </c>
      <c r="X106" s="32" t="n"/>
      <c r="Y106" s="32" t="n"/>
      <c r="Z106" s="32" t="n"/>
      <c r="AA106" s="37" t="n">
        <v>19.86625</v>
      </c>
      <c r="AB106" s="37" t="n">
        <v>11.64375</v>
      </c>
      <c r="AC106" s="37" t="n">
        <v>21.2175</v>
      </c>
      <c r="AD106" s="37" t="n">
        <v>300</v>
      </c>
      <c r="AE106" s="37" t="n">
        <v>150</v>
      </c>
      <c r="AF106" s="33" t="n"/>
      <c r="AG106" s="33" t="n"/>
      <c r="AH106" s="5" t="inlineStr"/>
    </row>
    <row r="107" ht="18" customHeight="1">
      <c r="A107" s="25" t="inlineStr">
        <is>
          <t>2525009040199</t>
        </is>
      </c>
      <c r="B107" s="34" t="inlineStr">
        <is>
          <t>餐厅-柜</t>
        </is>
      </c>
      <c r="C107" s="35" t="inlineStr">
        <is>
          <t>樱桃木基础餐边柜 |樱桃木AA柱餐边柜</t>
        </is>
      </c>
      <c r="D107" s="35" t="inlineStr">
        <is>
          <t>基础柜-整柜洞洞板背板-2.0米</t>
        </is>
      </c>
      <c r="E107" s="34" t="inlineStr">
        <is>
          <t>北美进口FAS级樱桃木</t>
        </is>
      </c>
      <c r="F107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7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7" s="26" t="n">
        <v>6405.05</v>
      </c>
      <c r="I107" s="26" t="n">
        <v>4483.333333333333</v>
      </c>
      <c r="J107" s="27" t="n">
        <v>0.48</v>
      </c>
      <c r="K107" s="28">
        <f>IFERROR(H107,0)</f>
        <v/>
      </c>
      <c r="L107" s="29" t="n">
        <v>0.4669</v>
      </c>
      <c r="M107" s="29" t="n">
        <v>0.2104</v>
      </c>
      <c r="N107" s="29" t="n">
        <v>0.1905</v>
      </c>
      <c r="O107" s="29" t="n">
        <v>0.1805</v>
      </c>
      <c r="P107" s="30">
        <f>IFERROR(IF(K107=0,"待填成本",ROUND(K107/(1-L107),0)),"" )</f>
        <v/>
      </c>
      <c r="Q107" s="30">
        <f>IFERROR(IF(K107=0,"待填成本",ROUND(K107/(1-M107),0)),"" )</f>
        <v/>
      </c>
      <c r="R107" s="30">
        <f>IFERROR(IF(K107=0,"待填成本",ROUND(K107/(1-N107),0)),"" )</f>
        <v/>
      </c>
      <c r="S107" s="30">
        <f>IFERROR(IF(K107=0,"待填成本",ROUND(K107/(1-O107),0)),"" )</f>
        <v/>
      </c>
      <c r="T107" s="31">
        <f>IFERROR(IF(K107=0,"",(P107-K107)/P107),"" )</f>
        <v/>
      </c>
      <c r="U107" s="31">
        <f>IFERROR(IF(K107=0,"",(Q107-K107)/Q107),"" )</f>
        <v/>
      </c>
      <c r="V107" s="31">
        <f>IFERROR(IF(K107=0,"",(R107-K107)/R107),"" )</f>
        <v/>
      </c>
      <c r="W107" s="31">
        <f>IFERROR(IF(K107=0,"",(S107-K107)/S107),"" )</f>
        <v/>
      </c>
      <c r="X107" s="36" t="n"/>
      <c r="Y107" s="36" t="n"/>
      <c r="Z107" s="36" t="n"/>
      <c r="AA107" s="37" t="n">
        <v>19.16666666666666</v>
      </c>
      <c r="AB107" s="37" t="n">
        <v>11.2125</v>
      </c>
      <c r="AC107" s="37" t="n">
        <v>20.93</v>
      </c>
      <c r="AD107" s="37" t="n">
        <v>300</v>
      </c>
      <c r="AE107" s="37" t="n">
        <v>150</v>
      </c>
      <c r="AF107" s="33" t="n"/>
      <c r="AG107" s="33" t="n"/>
      <c r="AH107" s="35" t="inlineStr"/>
    </row>
    <row r="108" ht="18" customHeight="1">
      <c r="A108" s="25" t="inlineStr">
        <is>
          <t>2525009040199</t>
        </is>
      </c>
      <c r="B108" s="6" t="inlineStr">
        <is>
          <t>餐厅-柜</t>
        </is>
      </c>
      <c r="C108" s="5" t="inlineStr">
        <is>
          <t>樱桃木基础餐边柜 |樱桃木AA柱餐边柜</t>
        </is>
      </c>
      <c r="D108" s="5" t="inlineStr">
        <is>
          <t>基础柜-整柜洞洞板背板-1.9米</t>
        </is>
      </c>
      <c r="E108" s="6" t="inlineStr">
        <is>
          <t>北美进口FAS级樱桃木</t>
        </is>
      </c>
      <c r="F108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8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8" s="26" t="n">
        <v>6238.05</v>
      </c>
      <c r="I108" s="26" t="n">
        <v>4416.666666666666</v>
      </c>
      <c r="J108" s="27" t="n">
        <v>0.48</v>
      </c>
      <c r="K108" s="28">
        <f>IFERROR(H108,0)</f>
        <v/>
      </c>
      <c r="L108" s="29" t="n">
        <v>0.4669</v>
      </c>
      <c r="M108" s="29" t="n">
        <v>0.2104</v>
      </c>
      <c r="N108" s="29" t="n">
        <v>0.1903</v>
      </c>
      <c r="O108" s="29" t="n">
        <v>0.1807</v>
      </c>
      <c r="P108" s="30">
        <f>IFERROR(IF(K108=0,"待填成本",ROUND(K108/(1-L108),0)),"" )</f>
        <v/>
      </c>
      <c r="Q108" s="30">
        <f>IFERROR(IF(K108=0,"待填成本",ROUND(K108/(1-M108),0)),"" )</f>
        <v/>
      </c>
      <c r="R108" s="30">
        <f>IFERROR(IF(K108=0,"待填成本",ROUND(K108/(1-N108),0)),"" )</f>
        <v/>
      </c>
      <c r="S108" s="30">
        <f>IFERROR(IF(K108=0,"待填成本",ROUND(K108/(1-O108),0)),"" )</f>
        <v/>
      </c>
      <c r="T108" s="31">
        <f>IFERROR(IF(K108=0,"",(P108-K108)/P108),"" )</f>
        <v/>
      </c>
      <c r="U108" s="31">
        <f>IFERROR(IF(K108=0,"",(Q108-K108)/Q108),"" )</f>
        <v/>
      </c>
      <c r="V108" s="31">
        <f>IFERROR(IF(K108=0,"",(R108-K108)/R108),"" )</f>
        <v/>
      </c>
      <c r="W108" s="31">
        <f>IFERROR(IF(K108=0,"",(S108-K108)/S108),"" )</f>
        <v/>
      </c>
      <c r="X108" s="32" t="n"/>
      <c r="Y108" s="32" t="n"/>
      <c r="Z108" s="32" t="n"/>
      <c r="AA108" s="37" t="n">
        <v>18.46708333333333</v>
      </c>
      <c r="AB108" s="37" t="n">
        <v>10.78125</v>
      </c>
      <c r="AC108" s="37" t="n">
        <v>20.6425</v>
      </c>
      <c r="AD108" s="37" t="n">
        <v>300</v>
      </c>
      <c r="AE108" s="37" t="n">
        <v>150</v>
      </c>
      <c r="AF108" s="33" t="n"/>
      <c r="AG108" s="33" t="n"/>
      <c r="AH108" s="5" t="inlineStr"/>
    </row>
    <row r="109" ht="18" customHeight="1">
      <c r="A109" s="25" t="inlineStr">
        <is>
          <t>2525009040199</t>
        </is>
      </c>
      <c r="B109" s="34" t="inlineStr">
        <is>
          <t>餐厅-柜</t>
        </is>
      </c>
      <c r="C109" s="35" t="inlineStr">
        <is>
          <t>樱桃木基础餐边柜 |樱桃木AA柱餐边柜</t>
        </is>
      </c>
      <c r="D109" s="35" t="inlineStr">
        <is>
          <t>基础柜-整柜洞洞板背板-1.8米</t>
        </is>
      </c>
      <c r="E109" s="34" t="inlineStr">
        <is>
          <t>北美进口FAS级樱桃木</t>
        </is>
      </c>
      <c r="F109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09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09" s="26" t="n">
        <v>6071.05</v>
      </c>
      <c r="I109" s="26" t="n">
        <v>4350</v>
      </c>
      <c r="J109" s="27" t="n">
        <v>0.48</v>
      </c>
      <c r="K109" s="28">
        <f>IFERROR(H109,0)</f>
        <v/>
      </c>
      <c r="L109" s="29" t="n">
        <v>0.4669</v>
      </c>
      <c r="M109" s="29" t="n">
        <v>0.2105</v>
      </c>
      <c r="N109" s="29" t="n">
        <v>0.1901</v>
      </c>
      <c r="O109" s="29" t="n">
        <v>0.1809</v>
      </c>
      <c r="P109" s="30">
        <f>IFERROR(IF(K109=0,"待填成本",ROUND(K109/(1-L109),0)),"" )</f>
        <v/>
      </c>
      <c r="Q109" s="30">
        <f>IFERROR(IF(K109=0,"待填成本",ROUND(K109/(1-M109),0)),"" )</f>
        <v/>
      </c>
      <c r="R109" s="30">
        <f>IFERROR(IF(K109=0,"待填成本",ROUND(K109/(1-N109),0)),"" )</f>
        <v/>
      </c>
      <c r="S109" s="30">
        <f>IFERROR(IF(K109=0,"待填成本",ROUND(K109/(1-O109),0)),"" )</f>
        <v/>
      </c>
      <c r="T109" s="31">
        <f>IFERROR(IF(K109=0,"",(P109-K109)/P109),"" )</f>
        <v/>
      </c>
      <c r="U109" s="31">
        <f>IFERROR(IF(K109=0,"",(Q109-K109)/Q109),"" )</f>
        <v/>
      </c>
      <c r="V109" s="31">
        <f>IFERROR(IF(K109=0,"",(R109-K109)/R109),"" )</f>
        <v/>
      </c>
      <c r="W109" s="31">
        <f>IFERROR(IF(K109=0,"",(S109-K109)/S109),"" )</f>
        <v/>
      </c>
      <c r="X109" s="36" t="n"/>
      <c r="Y109" s="36" t="n"/>
      <c r="Z109" s="36" t="n"/>
      <c r="AA109" s="37" t="n">
        <v>17.7675</v>
      </c>
      <c r="AB109" s="37" t="n">
        <v>10.35</v>
      </c>
      <c r="AC109" s="37" t="n">
        <v>20.355</v>
      </c>
      <c r="AD109" s="37" t="n">
        <v>300</v>
      </c>
      <c r="AE109" s="37" t="n">
        <v>150</v>
      </c>
      <c r="AF109" s="33" t="n"/>
      <c r="AG109" s="33" t="n"/>
      <c r="AH109" s="35" t="inlineStr"/>
    </row>
    <row r="110" ht="18" customHeight="1">
      <c r="A110" s="25" t="inlineStr">
        <is>
          <t>2525009040199</t>
        </is>
      </c>
      <c r="B110" s="6" t="inlineStr">
        <is>
          <t>餐厅-柜</t>
        </is>
      </c>
      <c r="C110" s="5" t="inlineStr">
        <is>
          <t>樱桃木基础餐边柜 |樱桃木AA柱餐边柜</t>
        </is>
      </c>
      <c r="D110" s="5" t="inlineStr">
        <is>
          <t>基础柜-整柜洞洞板背板-1.7米</t>
        </is>
      </c>
      <c r="E110" s="6" t="inlineStr">
        <is>
          <t>北美进口FAS级樱桃木</t>
        </is>
      </c>
      <c r="F110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10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10" s="26" t="n">
        <v>5950.383333333333</v>
      </c>
      <c r="I110" s="26" t="n">
        <v>4283.333333333333</v>
      </c>
      <c r="J110" s="27" t="n">
        <v>0.48</v>
      </c>
      <c r="K110" s="28">
        <f>IFERROR(H110,0)</f>
        <v/>
      </c>
      <c r="L110" s="29" t="n">
        <v>0.4669</v>
      </c>
      <c r="M110" s="29" t="n">
        <v>0.2105</v>
      </c>
      <c r="N110" s="29" t="n">
        <v>0.1903</v>
      </c>
      <c r="O110" s="29" t="n">
        <v>0.1806</v>
      </c>
      <c r="P110" s="30">
        <f>IFERROR(IF(K110=0,"待填成本",ROUND(K110/(1-L110),0)),"" )</f>
        <v/>
      </c>
      <c r="Q110" s="30">
        <f>IFERROR(IF(K110=0,"待填成本",ROUND(K110/(1-M110),0)),"" )</f>
        <v/>
      </c>
      <c r="R110" s="30">
        <f>IFERROR(IF(K110=0,"待填成本",ROUND(K110/(1-N110),0)),"" )</f>
        <v/>
      </c>
      <c r="S110" s="30">
        <f>IFERROR(IF(K110=0,"待填成本",ROUND(K110/(1-O110),0)),"" )</f>
        <v/>
      </c>
      <c r="T110" s="31">
        <f>IFERROR(IF(K110=0,"",(P110-K110)/P110),"" )</f>
        <v/>
      </c>
      <c r="U110" s="31">
        <f>IFERROR(IF(K110=0,"",(Q110-K110)/Q110),"" )</f>
        <v/>
      </c>
      <c r="V110" s="31">
        <f>IFERROR(IF(K110=0,"",(R110-K110)/R110),"" )</f>
        <v/>
      </c>
      <c r="W110" s="31">
        <f>IFERROR(IF(K110=0,"",(S110-K110)/S110),"" )</f>
        <v/>
      </c>
      <c r="X110" s="32" t="n"/>
      <c r="Y110" s="32" t="n"/>
      <c r="Z110" s="32" t="n"/>
      <c r="AA110" s="37" t="n">
        <v>17.06791666666667</v>
      </c>
      <c r="AB110" s="37" t="n">
        <v>9.918749999999999</v>
      </c>
      <c r="AC110" s="37" t="n">
        <v>20.0675</v>
      </c>
      <c r="AD110" s="37" t="n">
        <v>300</v>
      </c>
      <c r="AE110" s="37" t="n">
        <v>150</v>
      </c>
      <c r="AF110" s="33" t="n"/>
      <c r="AG110" s="33" t="n"/>
      <c r="AH110" s="5" t="inlineStr"/>
    </row>
    <row r="111" ht="18" customHeight="1">
      <c r="A111" s="25" t="inlineStr">
        <is>
          <t>2525009040199</t>
        </is>
      </c>
      <c r="B111" s="34" t="inlineStr">
        <is>
          <t>餐厅-柜</t>
        </is>
      </c>
      <c r="C111" s="35" t="inlineStr">
        <is>
          <t>樱桃木基础餐边柜 |樱桃木AA柱餐边柜</t>
        </is>
      </c>
      <c r="D111" s="35" t="inlineStr">
        <is>
          <t>基础柜-整柜洞洞板背板-1.6米</t>
        </is>
      </c>
      <c r="E111" s="34" t="inlineStr">
        <is>
          <t>北美进口FAS级樱桃木</t>
        </is>
      </c>
      <c r="F111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11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11" s="26" t="n">
        <v>5829.716666666666</v>
      </c>
      <c r="I111" s="26" t="n">
        <v>4216.666666666666</v>
      </c>
      <c r="J111" s="27" t="n">
        <v>0.48</v>
      </c>
      <c r="K111" s="28">
        <f>IFERROR(H111,0)</f>
        <v/>
      </c>
      <c r="L111" s="29" t="n">
        <v>0.4669</v>
      </c>
      <c r="M111" s="29" t="n">
        <v>0.2106</v>
      </c>
      <c r="N111" s="29" t="n">
        <v>0.1905</v>
      </c>
      <c r="O111" s="29" t="n">
        <v>0.1803</v>
      </c>
      <c r="P111" s="30">
        <f>IFERROR(IF(K111=0,"待填成本",ROUND(K111/(1-L111),0)),"" )</f>
        <v/>
      </c>
      <c r="Q111" s="30">
        <f>IFERROR(IF(K111=0,"待填成本",ROUND(K111/(1-M111),0)),"" )</f>
        <v/>
      </c>
      <c r="R111" s="30">
        <f>IFERROR(IF(K111=0,"待填成本",ROUND(K111/(1-N111),0)),"" )</f>
        <v/>
      </c>
      <c r="S111" s="30">
        <f>IFERROR(IF(K111=0,"待填成本",ROUND(K111/(1-O111),0)),"" )</f>
        <v/>
      </c>
      <c r="T111" s="31">
        <f>IFERROR(IF(K111=0,"",(P111-K111)/P111),"" )</f>
        <v/>
      </c>
      <c r="U111" s="31">
        <f>IFERROR(IF(K111=0,"",(Q111-K111)/Q111),"" )</f>
        <v/>
      </c>
      <c r="V111" s="31">
        <f>IFERROR(IF(K111=0,"",(R111-K111)/R111),"" )</f>
        <v/>
      </c>
      <c r="W111" s="31">
        <f>IFERROR(IF(K111=0,"",(S111-K111)/S111),"" )</f>
        <v/>
      </c>
      <c r="X111" s="36" t="n"/>
      <c r="Y111" s="36" t="n"/>
      <c r="Z111" s="36" t="n"/>
      <c r="AA111" s="37" t="n">
        <v>16.36833333333333</v>
      </c>
      <c r="AB111" s="37" t="n">
        <v>9.487499999999999</v>
      </c>
      <c r="AC111" s="37" t="n">
        <v>19.77999999999999</v>
      </c>
      <c r="AD111" s="37" t="n">
        <v>300</v>
      </c>
      <c r="AE111" s="37" t="n">
        <v>150</v>
      </c>
      <c r="AF111" s="33" t="n"/>
      <c r="AG111" s="33" t="n"/>
      <c r="AH111" s="35" t="inlineStr"/>
    </row>
    <row r="112" ht="18" customHeight="1">
      <c r="A112" s="25" t="inlineStr">
        <is>
          <t>2525009040199</t>
        </is>
      </c>
      <c r="B112" s="6" t="inlineStr">
        <is>
          <t>餐厅-柜</t>
        </is>
      </c>
      <c r="C112" s="5" t="inlineStr">
        <is>
          <t>樱桃木基础餐边柜 |樱桃木AA柱餐边柜</t>
        </is>
      </c>
      <c r="D112" s="5" t="inlineStr">
        <is>
          <t>基础柜-整柜洞洞板背板-1.5米</t>
        </is>
      </c>
      <c r="E112" s="6" t="inlineStr">
        <is>
          <t>北美进口FAS级樱桃木</t>
        </is>
      </c>
      <c r="F112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12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12" s="26" t="n">
        <v>5709.05</v>
      </c>
      <c r="I112" s="26" t="n">
        <v>4150</v>
      </c>
      <c r="J112" s="27" t="n">
        <v>0.48</v>
      </c>
      <c r="K112" s="28">
        <f>IFERROR(H112,0)</f>
        <v/>
      </c>
      <c r="L112" s="29" t="n">
        <v>0.4669</v>
      </c>
      <c r="M112" s="29" t="n">
        <v>0.2106</v>
      </c>
      <c r="N112" s="29" t="n">
        <v>0.1908</v>
      </c>
      <c r="O112" s="29" t="n">
        <v>0.18</v>
      </c>
      <c r="P112" s="30">
        <f>IFERROR(IF(K112=0,"待填成本",ROUND(K112/(1-L112),0)),"" )</f>
        <v/>
      </c>
      <c r="Q112" s="30">
        <f>IFERROR(IF(K112=0,"待填成本",ROUND(K112/(1-M112),0)),"" )</f>
        <v/>
      </c>
      <c r="R112" s="30">
        <f>IFERROR(IF(K112=0,"待填成本",ROUND(K112/(1-N112),0)),"" )</f>
        <v/>
      </c>
      <c r="S112" s="30">
        <f>IFERROR(IF(K112=0,"待填成本",ROUND(K112/(1-O112),0)),"" )</f>
        <v/>
      </c>
      <c r="T112" s="31">
        <f>IFERROR(IF(K112=0,"",(P112-K112)/P112),"" )</f>
        <v/>
      </c>
      <c r="U112" s="31">
        <f>IFERROR(IF(K112=0,"",(Q112-K112)/Q112),"" )</f>
        <v/>
      </c>
      <c r="V112" s="31">
        <f>IFERROR(IF(K112=0,"",(R112-K112)/R112),"" )</f>
        <v/>
      </c>
      <c r="W112" s="31">
        <f>IFERROR(IF(K112=0,"",(S112-K112)/S112),"" )</f>
        <v/>
      </c>
      <c r="X112" s="32" t="n"/>
      <c r="Y112" s="32" t="n"/>
      <c r="Z112" s="32" t="n"/>
      <c r="AA112" s="37" t="n">
        <v>15.66875</v>
      </c>
      <c r="AB112" s="37" t="n">
        <v>9.056249999999999</v>
      </c>
      <c r="AC112" s="37" t="n">
        <v>19.4925</v>
      </c>
      <c r="AD112" s="37" t="n">
        <v>300</v>
      </c>
      <c r="AE112" s="37" t="n">
        <v>150</v>
      </c>
      <c r="AF112" s="33" t="n"/>
      <c r="AG112" s="33" t="n"/>
      <c r="AH112" s="5" t="inlineStr"/>
    </row>
    <row r="113" ht="18" customHeight="1">
      <c r="A113" s="25" t="inlineStr">
        <is>
          <t>2525009040199</t>
        </is>
      </c>
      <c r="B113" s="34" t="inlineStr">
        <is>
          <t>餐厅-柜</t>
        </is>
      </c>
      <c r="C113" s="35" t="inlineStr">
        <is>
          <t>樱桃木基础餐边柜 |樱桃木AA柱餐边柜</t>
        </is>
      </c>
      <c r="D113" s="35" t="inlineStr">
        <is>
          <t>基础柜-整柜洞洞板背板-1.4米</t>
        </is>
      </c>
      <c r="E113" s="34" t="inlineStr">
        <is>
          <t>北美进口FAS级樱桃木</t>
        </is>
      </c>
      <c r="F113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13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13" s="26" t="n">
        <v>5566.05</v>
      </c>
      <c r="I113" s="26" t="n">
        <v>4083.333333333333</v>
      </c>
      <c r="J113" s="27" t="n">
        <v>0.48</v>
      </c>
      <c r="K113" s="28">
        <f>IFERROR(H113,0)</f>
        <v/>
      </c>
      <c r="L113" s="29" t="n">
        <v>0.4669</v>
      </c>
      <c r="M113" s="29" t="n">
        <v>0.2105</v>
      </c>
      <c r="N113" s="29" t="n">
        <v>0.1905</v>
      </c>
      <c r="O113" s="29" t="n">
        <v>0.1802</v>
      </c>
      <c r="P113" s="30">
        <f>IFERROR(IF(K113=0,"待填成本",ROUND(K113/(1-L113),0)),"" )</f>
        <v/>
      </c>
      <c r="Q113" s="30">
        <f>IFERROR(IF(K113=0,"待填成本",ROUND(K113/(1-M113),0)),"" )</f>
        <v/>
      </c>
      <c r="R113" s="30">
        <f>IFERROR(IF(K113=0,"待填成本",ROUND(K113/(1-N113),0)),"" )</f>
        <v/>
      </c>
      <c r="S113" s="30">
        <f>IFERROR(IF(K113=0,"待填成本",ROUND(K113/(1-O113),0)),"" )</f>
        <v/>
      </c>
      <c r="T113" s="31">
        <f>IFERROR(IF(K113=0,"",(P113-K113)/P113),"" )</f>
        <v/>
      </c>
      <c r="U113" s="31">
        <f>IFERROR(IF(K113=0,"",(Q113-K113)/Q113),"" )</f>
        <v/>
      </c>
      <c r="V113" s="31">
        <f>IFERROR(IF(K113=0,"",(R113-K113)/R113),"" )</f>
        <v/>
      </c>
      <c r="W113" s="31">
        <f>IFERROR(IF(K113=0,"",(S113-K113)/S113),"" )</f>
        <v/>
      </c>
      <c r="X113" s="36" t="n"/>
      <c r="Y113" s="36" t="n"/>
      <c r="Z113" s="36" t="n"/>
      <c r="AA113" s="37" t="n">
        <v>15.3525</v>
      </c>
      <c r="AB113" s="37" t="n">
        <v>8.624999999999998</v>
      </c>
      <c r="AC113" s="37" t="n">
        <v>19.205</v>
      </c>
      <c r="AD113" s="37" t="n">
        <v>300</v>
      </c>
      <c r="AE113" s="37" t="n">
        <v>150</v>
      </c>
      <c r="AF113" s="33" t="n"/>
      <c r="AG113" s="33" t="n"/>
      <c r="AH113" s="35" t="inlineStr"/>
    </row>
    <row r="114" ht="18" customHeight="1">
      <c r="A114" s="25" t="inlineStr">
        <is>
          <t>2525009040199</t>
        </is>
      </c>
      <c r="B114" s="6" t="inlineStr">
        <is>
          <t>餐厅-柜</t>
        </is>
      </c>
      <c r="C114" s="5" t="inlineStr">
        <is>
          <t>樱桃木基础餐边柜 |樱桃木AA柱餐边柜</t>
        </is>
      </c>
      <c r="D114" s="5" t="inlineStr">
        <is>
          <t>基础柜-整柜洞洞板背板-1.3米</t>
        </is>
      </c>
      <c r="E114" s="6" t="inlineStr">
        <is>
          <t>北美进口FAS级樱桃木</t>
        </is>
      </c>
      <c r="F114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14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14" s="26" t="n">
        <v>5423.05</v>
      </c>
      <c r="I114" s="26" t="n">
        <v>4016.666666666667</v>
      </c>
      <c r="J114" s="27" t="n">
        <v>0.48</v>
      </c>
      <c r="K114" s="28">
        <f>IFERROR(H114,0)</f>
        <v/>
      </c>
      <c r="L114" s="29" t="n">
        <v>0.4669</v>
      </c>
      <c r="M114" s="29" t="n">
        <v>0.2104</v>
      </c>
      <c r="N114" s="29" t="n">
        <v>0.1903</v>
      </c>
      <c r="O114" s="29" t="n">
        <v>0.1803</v>
      </c>
      <c r="P114" s="30">
        <f>IFERROR(IF(K114=0,"待填成本",ROUND(K114/(1-L114),0)),"" )</f>
        <v/>
      </c>
      <c r="Q114" s="30">
        <f>IFERROR(IF(K114=0,"待填成本",ROUND(K114/(1-M114),0)),"" )</f>
        <v/>
      </c>
      <c r="R114" s="30">
        <f>IFERROR(IF(K114=0,"待填成本",ROUND(K114/(1-N114),0)),"" )</f>
        <v/>
      </c>
      <c r="S114" s="30">
        <f>IFERROR(IF(K114=0,"待填成本",ROUND(K114/(1-O114),0)),"" )</f>
        <v/>
      </c>
      <c r="T114" s="31">
        <f>IFERROR(IF(K114=0,"",(P114-K114)/P114),"" )</f>
        <v/>
      </c>
      <c r="U114" s="31">
        <f>IFERROR(IF(K114=0,"",(Q114-K114)/Q114),"" )</f>
        <v/>
      </c>
      <c r="V114" s="31">
        <f>IFERROR(IF(K114=0,"",(R114-K114)/R114),"" )</f>
        <v/>
      </c>
      <c r="W114" s="31">
        <f>IFERROR(IF(K114=0,"",(S114-K114)/S114),"" )</f>
        <v/>
      </c>
      <c r="X114" s="32" t="n"/>
      <c r="Y114" s="32" t="n"/>
      <c r="Z114" s="32" t="n"/>
      <c r="AA114" s="37" t="n">
        <v>15.03625</v>
      </c>
      <c r="AB114" s="37" t="n">
        <v>8.193749999999998</v>
      </c>
      <c r="AC114" s="37" t="n">
        <v>18.9175</v>
      </c>
      <c r="AD114" s="37" t="n">
        <v>300</v>
      </c>
      <c r="AE114" s="37" t="n">
        <v>150</v>
      </c>
      <c r="AF114" s="33" t="n"/>
      <c r="AG114" s="33" t="n"/>
      <c r="AH114" s="5" t="inlineStr"/>
    </row>
    <row r="115" ht="18" customHeight="1">
      <c r="A115" s="25" t="inlineStr">
        <is>
          <t>2525009040199</t>
        </is>
      </c>
      <c r="B115" s="34" t="inlineStr">
        <is>
          <t>餐厅-柜</t>
        </is>
      </c>
      <c r="C115" s="35" t="inlineStr">
        <is>
          <t>樱桃木基础餐边柜 |樱桃木AA柱餐边柜</t>
        </is>
      </c>
      <c r="D115" s="35" t="inlineStr">
        <is>
          <t>基础柜-整柜洞洞板背板-1.2米</t>
        </is>
      </c>
      <c r="E115" s="34" t="inlineStr">
        <is>
          <t>北美进口FAS级樱桃木</t>
        </is>
      </c>
      <c r="F115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15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15" s="26" t="n">
        <v>5280.05</v>
      </c>
      <c r="I115" s="26" t="n">
        <v>3950</v>
      </c>
      <c r="J115" s="27" t="n">
        <v>0.48</v>
      </c>
      <c r="K115" s="28">
        <f>IFERROR(H115,0)</f>
        <v/>
      </c>
      <c r="L115" s="29" t="n">
        <v>0.4669</v>
      </c>
      <c r="M115" s="29" t="n">
        <v>0.2103</v>
      </c>
      <c r="N115" s="29" t="n">
        <v>0.19</v>
      </c>
      <c r="O115" s="29" t="n">
        <v>0.1805</v>
      </c>
      <c r="P115" s="30">
        <f>IFERROR(IF(K115=0,"待填成本",ROUND(K115/(1-L115),0)),"" )</f>
        <v/>
      </c>
      <c r="Q115" s="30">
        <f>IFERROR(IF(K115=0,"待填成本",ROUND(K115/(1-M115),0)),"" )</f>
        <v/>
      </c>
      <c r="R115" s="30">
        <f>IFERROR(IF(K115=0,"待填成本",ROUND(K115/(1-N115),0)),"" )</f>
        <v/>
      </c>
      <c r="S115" s="30">
        <f>IFERROR(IF(K115=0,"待填成本",ROUND(K115/(1-O115),0)),"" )</f>
        <v/>
      </c>
      <c r="T115" s="31">
        <f>IFERROR(IF(K115=0,"",(P115-K115)/P115),"" )</f>
        <v/>
      </c>
      <c r="U115" s="31">
        <f>IFERROR(IF(K115=0,"",(Q115-K115)/Q115),"" )</f>
        <v/>
      </c>
      <c r="V115" s="31">
        <f>IFERROR(IF(K115=0,"",(R115-K115)/R115),"" )</f>
        <v/>
      </c>
      <c r="W115" s="31">
        <f>IFERROR(IF(K115=0,"",(S115-K115)/S115),"" )</f>
        <v/>
      </c>
      <c r="X115" s="36" t="n"/>
      <c r="Y115" s="36" t="n"/>
      <c r="Z115" s="36" t="n"/>
      <c r="AA115" s="37" t="n">
        <v>14.72</v>
      </c>
      <c r="AB115" s="37" t="n">
        <v>7.762499999999999</v>
      </c>
      <c r="AC115" s="37" t="n">
        <v>18.63</v>
      </c>
      <c r="AD115" s="37" t="n">
        <v>300</v>
      </c>
      <c r="AE115" s="37" t="n">
        <v>150</v>
      </c>
      <c r="AF115" s="33" t="n"/>
      <c r="AG115" s="33" t="n"/>
      <c r="AH115" s="35" t="inlineStr"/>
    </row>
    <row r="116" ht="18" customHeight="1">
      <c r="A116" s="25" t="inlineStr">
        <is>
          <t>2525009040199</t>
        </is>
      </c>
      <c r="B116" s="6" t="inlineStr">
        <is>
          <t>餐厅-柜</t>
        </is>
      </c>
      <c r="C116" s="5" t="inlineStr">
        <is>
          <t>樱桃木基础餐边柜 |樱桃木AA柱餐边柜</t>
        </is>
      </c>
      <c r="D116" s="5" t="inlineStr">
        <is>
          <t>基础柜-整柜洞洞板背板-1.1米</t>
        </is>
      </c>
      <c r="E116" s="6" t="inlineStr">
        <is>
          <t>北美进口FAS级樱桃木</t>
        </is>
      </c>
      <c r="F116" s="6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16" s="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16" s="26" t="n">
        <v>5137.05</v>
      </c>
      <c r="I116" s="26" t="n">
        <v>3883.333333333333</v>
      </c>
      <c r="J116" s="27" t="n">
        <v>0.48</v>
      </c>
      <c r="K116" s="28">
        <f>IFERROR(H116,0)</f>
        <v/>
      </c>
      <c r="L116" s="29" t="n">
        <v>0.4668</v>
      </c>
      <c r="M116" s="29" t="n">
        <v>0.2102</v>
      </c>
      <c r="N116" s="29" t="n">
        <v>0.1897</v>
      </c>
      <c r="O116" s="29" t="n">
        <v>0.1807</v>
      </c>
      <c r="P116" s="30">
        <f>IFERROR(IF(K116=0,"待填成本",ROUND(K116/(1-L116),0)),"" )</f>
        <v/>
      </c>
      <c r="Q116" s="30">
        <f>IFERROR(IF(K116=0,"待填成本",ROUND(K116/(1-M116),0)),"" )</f>
        <v/>
      </c>
      <c r="R116" s="30">
        <f>IFERROR(IF(K116=0,"待填成本",ROUND(K116/(1-N116),0)),"" )</f>
        <v/>
      </c>
      <c r="S116" s="30">
        <f>IFERROR(IF(K116=0,"待填成本",ROUND(K116/(1-O116),0)),"" )</f>
        <v/>
      </c>
      <c r="T116" s="31">
        <f>IFERROR(IF(K116=0,"",(P116-K116)/P116),"" )</f>
        <v/>
      </c>
      <c r="U116" s="31">
        <f>IFERROR(IF(K116=0,"",(Q116-K116)/Q116),"" )</f>
        <v/>
      </c>
      <c r="V116" s="31">
        <f>IFERROR(IF(K116=0,"",(R116-K116)/R116),"" )</f>
        <v/>
      </c>
      <c r="W116" s="31">
        <f>IFERROR(IF(K116=0,"",(S116-K116)/S116),"" )</f>
        <v/>
      </c>
      <c r="X116" s="32" t="n"/>
      <c r="Y116" s="32" t="n"/>
      <c r="Z116" s="32" t="n"/>
      <c r="AA116" s="37" t="n">
        <v>14.40375</v>
      </c>
      <c r="AB116" s="37" t="n">
        <v>7.33125</v>
      </c>
      <c r="AC116" s="37" t="n">
        <v>18.3425</v>
      </c>
      <c r="AD116" s="37" t="n">
        <v>300</v>
      </c>
      <c r="AE116" s="37" t="n">
        <v>150</v>
      </c>
      <c r="AF116" s="33" t="n"/>
      <c r="AG116" s="33" t="n"/>
      <c r="AH116" s="5" t="inlineStr"/>
    </row>
    <row r="117" ht="18" customHeight="1">
      <c r="A117" s="25" t="inlineStr">
        <is>
          <t>2525009040199</t>
        </is>
      </c>
      <c r="B117" s="34" t="inlineStr">
        <is>
          <t>餐厅-柜</t>
        </is>
      </c>
      <c r="C117" s="35" t="inlineStr">
        <is>
          <t>樱桃木基础餐边柜 |樱桃木AA柱餐边柜</t>
        </is>
      </c>
      <c r="D117" s="35" t="inlineStr">
        <is>
          <t>基础柜-整柜洞洞板背板-1.0米</t>
        </is>
      </c>
      <c r="E117" s="34" t="inlineStr">
        <is>
          <t>北美进口FAS级樱桃木</t>
        </is>
      </c>
      <c r="F117" s="34" t="inlineStr">
        <is>
          <t xml:space="preserve">抽屉围板：实木多层板
台面：12mm岩板
背板：实木多层板（AA柱）/亚克力洞洞板
内部赠送层板：实木多层板
电力轨道：xpower 内嵌电力轨道
顶柜玻璃：灰玻
</t>
        </is>
      </c>
      <c r="G117" s="35" t="inlineStr">
        <is>
          <t xml:space="preserve">整体长度：2100mm/1800mm/1500mm
整体深度：480mm
整体高度：1980mm
顶柜长度：2100mm/1800mm/1500mm
顶柜深度：300mm
顶柜高度：490mm
立体收纳长度：2100mm/1800mm/1500mm
立体收纳深度：300mm
立体收纳高度：610mm
下柜长度：2100mm/1800mm/1500mm
下柜深度：480mm
下柜高度：880mm
</t>
        </is>
      </c>
      <c r="H117" s="26" t="n">
        <v>4994.05</v>
      </c>
      <c r="I117" s="26" t="n">
        <v>3816.666666666667</v>
      </c>
      <c r="J117" s="27" t="n">
        <v>0.48</v>
      </c>
      <c r="K117" s="28">
        <f>IFERROR(H117,0)</f>
        <v/>
      </c>
      <c r="L117" s="29" t="n">
        <v>0.4668</v>
      </c>
      <c r="M117" s="29" t="n">
        <v>0.2101</v>
      </c>
      <c r="N117" s="29" t="n">
        <v>0.1894</v>
      </c>
      <c r="O117" s="29" t="n">
        <v>0.1809</v>
      </c>
      <c r="P117" s="30">
        <f>IFERROR(IF(K117=0,"待填成本",ROUND(K117/(1-L117),0)),"" )</f>
        <v/>
      </c>
      <c r="Q117" s="30">
        <f>IFERROR(IF(K117=0,"待填成本",ROUND(K117/(1-M117),0)),"" )</f>
        <v/>
      </c>
      <c r="R117" s="30">
        <f>IFERROR(IF(K117=0,"待填成本",ROUND(K117/(1-N117),0)),"" )</f>
        <v/>
      </c>
      <c r="S117" s="30">
        <f>IFERROR(IF(K117=0,"待填成本",ROUND(K117/(1-O117),0)),"" )</f>
        <v/>
      </c>
      <c r="T117" s="31">
        <f>IFERROR(IF(K117=0,"",(P117-K117)/P117),"" )</f>
        <v/>
      </c>
      <c r="U117" s="31">
        <f>IFERROR(IF(K117=0,"",(Q117-K117)/Q117),"" )</f>
        <v/>
      </c>
      <c r="V117" s="31">
        <f>IFERROR(IF(K117=0,"",(R117-K117)/R117),"" )</f>
        <v/>
      </c>
      <c r="W117" s="31">
        <f>IFERROR(IF(K117=0,"",(S117-K117)/S117),"" )</f>
        <v/>
      </c>
      <c r="X117" s="36" t="n"/>
      <c r="Y117" s="36" t="n"/>
      <c r="Z117" s="36" t="n"/>
      <c r="AA117" s="37" t="n">
        <v>14.0875</v>
      </c>
      <c r="AB117" s="37" t="n">
        <v>6.9</v>
      </c>
      <c r="AC117" s="37" t="n">
        <v>18.05500000000001</v>
      </c>
      <c r="AD117" s="37" t="n">
        <v>300</v>
      </c>
      <c r="AE117" s="37" t="n">
        <v>150</v>
      </c>
      <c r="AF117" s="33" t="n"/>
      <c r="AG117" s="33" t="n"/>
      <c r="AH117" s="35" t="inlineStr"/>
    </row>
    <row r="118" ht="18" customHeight="1">
      <c r="A118" s="25" t="inlineStr">
        <is>
          <t>2525010040599</t>
        </is>
      </c>
      <c r="B118" s="6" t="inlineStr">
        <is>
          <t>餐厅-柜</t>
        </is>
      </c>
      <c r="C118" s="5" t="inlineStr">
        <is>
          <t>樱桃木窄柜 |樱桃木1米餐边柜</t>
        </is>
      </c>
      <c r="D118" s="5" t="inlineStr">
        <is>
          <t>窄柜-整柜洞石背板-1.4米</t>
        </is>
      </c>
      <c r="E118" s="6" t="inlineStr">
        <is>
          <t>北美进口FAS级樱桃木</t>
        </is>
      </c>
      <c r="F118" s="6" t="inlineStr">
        <is>
          <t xml:space="preserve">抽屉围板：新西兰松木
台面：洞石岩板
背板：洞石纹理背板
电力轨道：xpower 内嵌电力轨道
顶柜玻璃：超透玻璃
</t>
        </is>
      </c>
      <c r="G118" s="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18" s="26" t="n">
        <v>4414.424999999999</v>
      </c>
      <c r="I118" s="26" t="n">
        <v>3100</v>
      </c>
      <c r="J118" s="27" t="n">
        <v>0.44</v>
      </c>
      <c r="K118" s="28">
        <f>IFERROR(H118,0)</f>
        <v/>
      </c>
      <c r="L118" s="29" t="n">
        <v>0.4667</v>
      </c>
      <c r="M118" s="29" t="n">
        <v>0.1789</v>
      </c>
      <c r="N118" s="29" t="n">
        <v>0.2013</v>
      </c>
      <c r="O118" s="29" t="n">
        <v>0.1789</v>
      </c>
      <c r="P118" s="30">
        <f>IFERROR(IF(K118=0,"待填成本",ROUND(K118/(1-L118),0)),"" )</f>
        <v/>
      </c>
      <c r="Q118" s="30">
        <f>IFERROR(IF(K118=0,"待填成本",ROUND(K118/(1-M118),0)),"" )</f>
        <v/>
      </c>
      <c r="R118" s="30">
        <f>IFERROR(IF(K118=0,"待填成本",ROUND(K118/(1-N118),0)),"" )</f>
        <v/>
      </c>
      <c r="S118" s="30">
        <f>IFERROR(IF(K118=0,"待填成本",ROUND(K118/(1-O118),0)),"" )</f>
        <v/>
      </c>
      <c r="T118" s="31">
        <f>IFERROR(IF(K118=0,"",(P118-K118)/P118),"" )</f>
        <v/>
      </c>
      <c r="U118" s="31">
        <f>IFERROR(IF(K118=0,"",(Q118-K118)/Q118),"" )</f>
        <v/>
      </c>
      <c r="V118" s="31">
        <f>IFERROR(IF(K118=0,"",(R118-K118)/R118),"" )</f>
        <v/>
      </c>
      <c r="W118" s="31">
        <f>IFERROR(IF(K118=0,"",(S118-K118)/S118),"" )</f>
        <v/>
      </c>
      <c r="X118" s="32" t="n"/>
      <c r="Y118" s="32" t="n"/>
      <c r="Z118" s="32" t="n"/>
      <c r="AA118" s="37" t="n">
        <v>17.22125</v>
      </c>
      <c r="AB118" s="37" t="n">
        <v>9.789375</v>
      </c>
      <c r="AC118" s="37" t="n">
        <v>15.41</v>
      </c>
      <c r="AD118" s="37" t="n">
        <v>300</v>
      </c>
      <c r="AE118" s="37" t="n">
        <v>150</v>
      </c>
      <c r="AF118" s="33" t="n"/>
      <c r="AG118" s="33" t="n"/>
      <c r="AH118" s="5" t="inlineStr"/>
    </row>
    <row r="119" ht="18" customHeight="1">
      <c r="A119" s="25" t="inlineStr">
        <is>
          <t>2525010040599</t>
        </is>
      </c>
      <c r="B119" s="34" t="inlineStr">
        <is>
          <t>餐厅-柜</t>
        </is>
      </c>
      <c r="C119" s="35" t="inlineStr">
        <is>
          <t>樱桃木窄柜 |樱桃木1米餐边柜</t>
        </is>
      </c>
      <c r="D119" s="35" t="inlineStr">
        <is>
          <t>窄柜-整柜洞石背板-1.3米</t>
        </is>
      </c>
      <c r="E119" s="34" t="inlineStr">
        <is>
          <t>北美进口FAS级樱桃木</t>
        </is>
      </c>
      <c r="F119" s="34" t="inlineStr">
        <is>
          <t xml:space="preserve">抽屉围板：新西兰松木
台面：洞石岩板
背板：洞石纹理背板
电力轨道：xpower 内嵌电力轨道
顶柜玻璃：超透玻璃
</t>
        </is>
      </c>
      <c r="G119" s="3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19" s="26" t="n">
        <v>4303.1275</v>
      </c>
      <c r="I119" s="26" t="n">
        <v>3050</v>
      </c>
      <c r="J119" s="27" t="n">
        <v>0.44</v>
      </c>
      <c r="K119" s="28">
        <f>IFERROR(H119,0)</f>
        <v/>
      </c>
      <c r="L119" s="29" t="n">
        <v>0.4667</v>
      </c>
      <c r="M119" s="29" t="n">
        <v>0.1795</v>
      </c>
      <c r="N119" s="29" t="n">
        <v>0.201</v>
      </c>
      <c r="O119" s="29" t="n">
        <v>0.1795</v>
      </c>
      <c r="P119" s="30">
        <f>IFERROR(IF(K119=0,"待填成本",ROUND(K119/(1-L119),0)),"" )</f>
        <v/>
      </c>
      <c r="Q119" s="30">
        <f>IFERROR(IF(K119=0,"待填成本",ROUND(K119/(1-M119),0)),"" )</f>
        <v/>
      </c>
      <c r="R119" s="30">
        <f>IFERROR(IF(K119=0,"待填成本",ROUND(K119/(1-N119),0)),"" )</f>
        <v/>
      </c>
      <c r="S119" s="30">
        <f>IFERROR(IF(K119=0,"待填成本",ROUND(K119/(1-O119),0)),"" )</f>
        <v/>
      </c>
      <c r="T119" s="31">
        <f>IFERROR(IF(K119=0,"",(P119-K119)/P119),"" )</f>
        <v/>
      </c>
      <c r="U119" s="31">
        <f>IFERROR(IF(K119=0,"",(Q119-K119)/Q119),"" )</f>
        <v/>
      </c>
      <c r="V119" s="31">
        <f>IFERROR(IF(K119=0,"",(R119-K119)/R119),"" )</f>
        <v/>
      </c>
      <c r="W119" s="31">
        <f>IFERROR(IF(K119=0,"",(S119-K119)/S119),"" )</f>
        <v/>
      </c>
      <c r="X119" s="36" t="n"/>
      <c r="Y119" s="36" t="n"/>
      <c r="Z119" s="36" t="n"/>
      <c r="AA119" s="37" t="n">
        <v>15.89875</v>
      </c>
      <c r="AB119" s="37" t="n">
        <v>9.336562499999999</v>
      </c>
      <c r="AC119" s="37" t="n">
        <v>15.1225</v>
      </c>
      <c r="AD119" s="37" t="n">
        <v>300</v>
      </c>
      <c r="AE119" s="37" t="n">
        <v>150</v>
      </c>
      <c r="AF119" s="33" t="n"/>
      <c r="AG119" s="33" t="n"/>
      <c r="AH119" s="35" t="inlineStr"/>
    </row>
    <row r="120" ht="18" customHeight="1">
      <c r="A120" s="25" t="inlineStr">
        <is>
          <t>2525010040599</t>
        </is>
      </c>
      <c r="B120" s="6" t="inlineStr">
        <is>
          <t>餐厅-柜</t>
        </is>
      </c>
      <c r="C120" s="5" t="inlineStr">
        <is>
          <t>樱桃木窄柜 |樱桃木1米餐边柜</t>
        </is>
      </c>
      <c r="D120" s="5" t="inlineStr">
        <is>
          <t>窄柜-整柜洞石背板-1.2米</t>
        </is>
      </c>
      <c r="E120" s="6" t="inlineStr">
        <is>
          <t>北美进口FAS级樱桃木</t>
        </is>
      </c>
      <c r="F120" s="6" t="inlineStr">
        <is>
          <t xml:space="preserve">抽屉围板：新西兰松木
台面：洞石岩板
背板：洞石纹理背板
电力轨道：xpower 内嵌电力轨道
顶柜玻璃：超透玻璃
</t>
        </is>
      </c>
      <c r="G120" s="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0" s="26" t="n">
        <v>4191.83</v>
      </c>
      <c r="I120" s="26" t="n">
        <v>3000</v>
      </c>
      <c r="J120" s="27" t="n">
        <v>0.44</v>
      </c>
      <c r="K120" s="28">
        <f>IFERROR(H120,0)</f>
        <v/>
      </c>
      <c r="L120" s="29" t="n">
        <v>0.4667</v>
      </c>
      <c r="M120" s="29" t="n">
        <v>0.1801</v>
      </c>
      <c r="N120" s="29" t="n">
        <v>0.2008</v>
      </c>
      <c r="O120" s="29" t="n">
        <v>0.1801</v>
      </c>
      <c r="P120" s="30">
        <f>IFERROR(IF(K120=0,"待填成本",ROUND(K120/(1-L120),0)),"" )</f>
        <v/>
      </c>
      <c r="Q120" s="30">
        <f>IFERROR(IF(K120=0,"待填成本",ROUND(K120/(1-M120),0)),"" )</f>
        <v/>
      </c>
      <c r="R120" s="30">
        <f>IFERROR(IF(K120=0,"待填成本",ROUND(K120/(1-N120),0)),"" )</f>
        <v/>
      </c>
      <c r="S120" s="30">
        <f>IFERROR(IF(K120=0,"待填成本",ROUND(K120/(1-O120),0)),"" )</f>
        <v/>
      </c>
      <c r="T120" s="31">
        <f>IFERROR(IF(K120=0,"",(P120-K120)/P120),"" )</f>
        <v/>
      </c>
      <c r="U120" s="31">
        <f>IFERROR(IF(K120=0,"",(Q120-K120)/Q120),"" )</f>
        <v/>
      </c>
      <c r="V120" s="31">
        <f>IFERROR(IF(K120=0,"",(R120-K120)/R120),"" )</f>
        <v/>
      </c>
      <c r="W120" s="31">
        <f>IFERROR(IF(K120=0,"",(S120-K120)/S120),"" )</f>
        <v/>
      </c>
      <c r="X120" s="32" t="n"/>
      <c r="Y120" s="32" t="n"/>
      <c r="Z120" s="32" t="n"/>
      <c r="AA120" s="37" t="n">
        <v>14.57625</v>
      </c>
      <c r="AB120" s="37" t="n">
        <v>8.883749999999999</v>
      </c>
      <c r="AC120" s="37" t="n">
        <v>14.835</v>
      </c>
      <c r="AD120" s="37" t="n">
        <v>300</v>
      </c>
      <c r="AE120" s="37" t="n">
        <v>150</v>
      </c>
      <c r="AF120" s="33" t="n"/>
      <c r="AG120" s="33" t="n"/>
      <c r="AH120" s="5" t="inlineStr"/>
    </row>
    <row r="121" ht="18" customHeight="1">
      <c r="A121" s="25" t="inlineStr">
        <is>
          <t>2525010040599</t>
        </is>
      </c>
      <c r="B121" s="34" t="inlineStr">
        <is>
          <t>餐厅-柜</t>
        </is>
      </c>
      <c r="C121" s="35" t="inlineStr">
        <is>
          <t>樱桃木窄柜 |樱桃木1米餐边柜</t>
        </is>
      </c>
      <c r="D121" s="35" t="inlineStr">
        <is>
          <t>窄柜-整柜洞石背板-1.1米</t>
        </is>
      </c>
      <c r="E121" s="34" t="inlineStr">
        <is>
          <t>北美进口FAS级樱桃木</t>
        </is>
      </c>
      <c r="F121" s="34" t="inlineStr">
        <is>
          <t xml:space="preserve">抽屉围板：新西兰松木
台面：洞石岩板
背板：洞石纹理背板
电力轨道：xpower 内嵌电力轨道
顶柜玻璃：超透玻璃
</t>
        </is>
      </c>
      <c r="G121" s="3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1" s="26" t="n">
        <v>4080.5325</v>
      </c>
      <c r="I121" s="26" t="n">
        <v>2950</v>
      </c>
      <c r="J121" s="27" t="n">
        <v>0.44</v>
      </c>
      <c r="K121" s="28">
        <f>IFERROR(H121,0)</f>
        <v/>
      </c>
      <c r="L121" s="29" t="n">
        <v>0.4668</v>
      </c>
      <c r="M121" s="29" t="n">
        <v>0.1807</v>
      </c>
      <c r="N121" s="29" t="n">
        <v>0.2005</v>
      </c>
      <c r="O121" s="29" t="n">
        <v>0.1807</v>
      </c>
      <c r="P121" s="30">
        <f>IFERROR(IF(K121=0,"待填成本",ROUND(K121/(1-L121),0)),"" )</f>
        <v/>
      </c>
      <c r="Q121" s="30">
        <f>IFERROR(IF(K121=0,"待填成本",ROUND(K121/(1-M121),0)),"" )</f>
        <v/>
      </c>
      <c r="R121" s="30">
        <f>IFERROR(IF(K121=0,"待填成本",ROUND(K121/(1-N121),0)),"" )</f>
        <v/>
      </c>
      <c r="S121" s="30">
        <f>IFERROR(IF(K121=0,"待填成本",ROUND(K121/(1-O121),0)),"" )</f>
        <v/>
      </c>
      <c r="T121" s="31">
        <f>IFERROR(IF(K121=0,"",(P121-K121)/P121),"" )</f>
        <v/>
      </c>
      <c r="U121" s="31">
        <f>IFERROR(IF(K121=0,"",(Q121-K121)/Q121),"" )</f>
        <v/>
      </c>
      <c r="V121" s="31">
        <f>IFERROR(IF(K121=0,"",(R121-K121)/R121),"" )</f>
        <v/>
      </c>
      <c r="W121" s="31">
        <f>IFERROR(IF(K121=0,"",(S121-K121)/S121),"" )</f>
        <v/>
      </c>
      <c r="X121" s="36" t="n"/>
      <c r="Y121" s="36" t="n"/>
      <c r="Z121" s="36" t="n"/>
      <c r="AA121" s="37" t="n">
        <v>13.25375</v>
      </c>
      <c r="AB121" s="37" t="n">
        <v>8.430937499999999</v>
      </c>
      <c r="AC121" s="37" t="n">
        <v>14.5475</v>
      </c>
      <c r="AD121" s="37" t="n">
        <v>300</v>
      </c>
      <c r="AE121" s="37" t="n">
        <v>150</v>
      </c>
      <c r="AF121" s="33" t="n"/>
      <c r="AG121" s="33" t="n"/>
      <c r="AH121" s="35" t="inlineStr"/>
    </row>
    <row r="122" ht="18" customHeight="1">
      <c r="A122" s="25" t="inlineStr">
        <is>
          <t>2525010040599</t>
        </is>
      </c>
      <c r="B122" s="6" t="inlineStr">
        <is>
          <t>餐厅-柜</t>
        </is>
      </c>
      <c r="C122" s="5" t="inlineStr">
        <is>
          <t>樱桃木窄柜 |樱桃木1米餐边柜</t>
        </is>
      </c>
      <c r="D122" s="5" t="inlineStr">
        <is>
          <t>窄柜-整柜洞石背板-1.0米</t>
        </is>
      </c>
      <c r="E122" s="6" t="inlineStr">
        <is>
          <t>北美进口FAS级樱桃木</t>
        </is>
      </c>
      <c r="F122" s="6" t="inlineStr">
        <is>
          <t xml:space="preserve">抽屉围板：新西兰松木
台面：洞石岩板
背板：洞石纹理背板
电力轨道：xpower 内嵌电力轨道
顶柜玻璃：超透玻璃
</t>
        </is>
      </c>
      <c r="G122" s="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2" s="26" t="n">
        <v>3969.235</v>
      </c>
      <c r="I122" s="26" t="n">
        <v>2900</v>
      </c>
      <c r="J122" s="27" t="n">
        <v>0.44</v>
      </c>
      <c r="K122" s="28">
        <f>IFERROR(H122,0)</f>
        <v/>
      </c>
      <c r="L122" s="29" t="n">
        <v>0.4668</v>
      </c>
      <c r="M122" s="29" t="n">
        <v>0.1814</v>
      </c>
      <c r="N122" s="29" t="n">
        <v>0.2002</v>
      </c>
      <c r="O122" s="29" t="n">
        <v>0.1814</v>
      </c>
      <c r="P122" s="30">
        <f>IFERROR(IF(K122=0,"待填成本",ROUND(K122/(1-L122),0)),"" )</f>
        <v/>
      </c>
      <c r="Q122" s="30">
        <f>IFERROR(IF(K122=0,"待填成本",ROUND(K122/(1-M122),0)),"" )</f>
        <v/>
      </c>
      <c r="R122" s="30">
        <f>IFERROR(IF(K122=0,"待填成本",ROUND(K122/(1-N122),0)),"" )</f>
        <v/>
      </c>
      <c r="S122" s="30">
        <f>IFERROR(IF(K122=0,"待填成本",ROUND(K122/(1-O122),0)),"" )</f>
        <v/>
      </c>
      <c r="T122" s="31">
        <f>IFERROR(IF(K122=0,"",(P122-K122)/P122),"" )</f>
        <v/>
      </c>
      <c r="U122" s="31">
        <f>IFERROR(IF(K122=0,"",(Q122-K122)/Q122),"" )</f>
        <v/>
      </c>
      <c r="V122" s="31">
        <f>IFERROR(IF(K122=0,"",(R122-K122)/R122),"" )</f>
        <v/>
      </c>
      <c r="W122" s="31">
        <f>IFERROR(IF(K122=0,"",(S122-K122)/S122),"" )</f>
        <v/>
      </c>
      <c r="X122" s="32" t="n"/>
      <c r="Y122" s="32" t="n"/>
      <c r="Z122" s="32" t="n"/>
      <c r="AA122" s="37" t="n">
        <v>11.93125</v>
      </c>
      <c r="AB122" s="37" t="n">
        <v>7.978124999999999</v>
      </c>
      <c r="AC122" s="37" t="n">
        <v>14.26</v>
      </c>
      <c r="AD122" s="37" t="n">
        <v>300</v>
      </c>
      <c r="AE122" s="37" t="n">
        <v>150</v>
      </c>
      <c r="AF122" s="33" t="n"/>
      <c r="AG122" s="33" t="n"/>
      <c r="AH122" s="5" t="inlineStr"/>
    </row>
    <row r="123" ht="18" customHeight="1">
      <c r="A123" s="25" t="inlineStr">
        <is>
          <t>2525010040599</t>
        </is>
      </c>
      <c r="B123" s="34" t="inlineStr">
        <is>
          <t>餐厅-柜</t>
        </is>
      </c>
      <c r="C123" s="35" t="inlineStr">
        <is>
          <t>樱桃木窄柜 |樱桃木1米餐边柜</t>
        </is>
      </c>
      <c r="D123" s="35" t="inlineStr">
        <is>
          <t>窄柜-整柜洞石背板-0.9米</t>
        </is>
      </c>
      <c r="E123" s="34" t="inlineStr">
        <is>
          <t>北美进口FAS级樱桃木</t>
        </is>
      </c>
      <c r="F123" s="34" t="inlineStr">
        <is>
          <t xml:space="preserve">抽屉围板：新西兰松木
台面：洞石岩板
背板：洞石纹理背板
电力轨道：xpower 内嵌电力轨道
顶柜玻璃：超透玻璃
</t>
        </is>
      </c>
      <c r="G123" s="3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3" s="26" t="n">
        <v>3860.135</v>
      </c>
      <c r="I123" s="26" t="n">
        <v>2850</v>
      </c>
      <c r="J123" s="27" t="n">
        <v>0.44</v>
      </c>
      <c r="K123" s="28">
        <f>IFERROR(H123,0)</f>
        <v/>
      </c>
      <c r="L123" s="29" t="n">
        <v>0.4668</v>
      </c>
      <c r="M123" s="29" t="n">
        <v>0.1809</v>
      </c>
      <c r="N123" s="29" t="n">
        <v>0.2002</v>
      </c>
      <c r="O123" s="29" t="n">
        <v>0.1809</v>
      </c>
      <c r="P123" s="30">
        <f>IFERROR(IF(K123=0,"待填成本",ROUND(K123/(1-L123),0)),"" )</f>
        <v/>
      </c>
      <c r="Q123" s="30">
        <f>IFERROR(IF(K123=0,"待填成本",ROUND(K123/(1-M123),0)),"" )</f>
        <v/>
      </c>
      <c r="R123" s="30">
        <f>IFERROR(IF(K123=0,"待填成本",ROUND(K123/(1-N123),0)),"" )</f>
        <v/>
      </c>
      <c r="S123" s="30">
        <f>IFERROR(IF(K123=0,"待填成本",ROUND(K123/(1-O123),0)),"" )</f>
        <v/>
      </c>
      <c r="T123" s="31">
        <f>IFERROR(IF(K123=0,"",(P123-K123)/P123),"" )</f>
        <v/>
      </c>
      <c r="U123" s="31">
        <f>IFERROR(IF(K123=0,"",(Q123-K123)/Q123),"" )</f>
        <v/>
      </c>
      <c r="V123" s="31">
        <f>IFERROR(IF(K123=0,"",(R123-K123)/R123),"" )</f>
        <v/>
      </c>
      <c r="W123" s="31">
        <f>IFERROR(IF(K123=0,"",(S123-K123)/S123),"" )</f>
        <v/>
      </c>
      <c r="X123" s="36" t="n"/>
      <c r="Y123" s="36" t="n"/>
      <c r="Z123" s="36" t="n"/>
      <c r="AA123" s="37" t="n">
        <v>11.255625</v>
      </c>
      <c r="AB123" s="37" t="n">
        <v>7.5253125</v>
      </c>
      <c r="AC123" s="37" t="n">
        <v>13.9725</v>
      </c>
      <c r="AD123" s="37" t="n">
        <v>300</v>
      </c>
      <c r="AE123" s="37" t="n">
        <v>150</v>
      </c>
      <c r="AF123" s="33" t="n"/>
      <c r="AG123" s="33" t="n"/>
      <c r="AH123" s="35" t="inlineStr"/>
    </row>
    <row r="124" ht="18" customHeight="1">
      <c r="A124" s="25" t="inlineStr">
        <is>
          <t>2525010040599</t>
        </is>
      </c>
      <c r="B124" s="6" t="inlineStr">
        <is>
          <t>餐厅-柜</t>
        </is>
      </c>
      <c r="C124" s="5" t="inlineStr">
        <is>
          <t>樱桃木窄柜 |樱桃木1米餐边柜</t>
        </is>
      </c>
      <c r="D124" s="5" t="inlineStr">
        <is>
          <t>窄柜-整柜洞石背板-0.8米</t>
        </is>
      </c>
      <c r="E124" s="6" t="inlineStr">
        <is>
          <t>北美进口FAS级樱桃木</t>
        </is>
      </c>
      <c r="F124" s="6" t="inlineStr">
        <is>
          <t xml:space="preserve">抽屉围板：新西兰松木
台面：洞石岩板
背板：洞石纹理背板
电力轨道：xpower 内嵌电力轨道
顶柜玻璃：超透玻璃
</t>
        </is>
      </c>
      <c r="G124" s="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4" s="26" t="n">
        <v>3751.035</v>
      </c>
      <c r="I124" s="26" t="n">
        <v>2800</v>
      </c>
      <c r="J124" s="27" t="n">
        <v>0.44</v>
      </c>
      <c r="K124" s="28">
        <f>IFERROR(H124,0)</f>
        <v/>
      </c>
      <c r="L124" s="29" t="n">
        <v>0.4668</v>
      </c>
      <c r="M124" s="29" t="n">
        <v>0.1804</v>
      </c>
      <c r="N124" s="29" t="n">
        <v>0.2002</v>
      </c>
      <c r="O124" s="29" t="n">
        <v>0.1804</v>
      </c>
      <c r="P124" s="30">
        <f>IFERROR(IF(K124=0,"待填成本",ROUND(K124/(1-L124),0)),"" )</f>
        <v/>
      </c>
      <c r="Q124" s="30">
        <f>IFERROR(IF(K124=0,"待填成本",ROUND(K124/(1-M124),0)),"" )</f>
        <v/>
      </c>
      <c r="R124" s="30">
        <f>IFERROR(IF(K124=0,"待填成本",ROUND(K124/(1-N124),0)),"" )</f>
        <v/>
      </c>
      <c r="S124" s="30">
        <f>IFERROR(IF(K124=0,"待填成本",ROUND(K124/(1-O124),0)),"" )</f>
        <v/>
      </c>
      <c r="T124" s="31">
        <f>IFERROR(IF(K124=0,"",(P124-K124)/P124),"" )</f>
        <v/>
      </c>
      <c r="U124" s="31">
        <f>IFERROR(IF(K124=0,"",(Q124-K124)/Q124),"" )</f>
        <v/>
      </c>
      <c r="V124" s="31">
        <f>IFERROR(IF(K124=0,"",(R124-K124)/R124),"" )</f>
        <v/>
      </c>
      <c r="W124" s="31">
        <f>IFERROR(IF(K124=0,"",(S124-K124)/S124),"" )</f>
        <v/>
      </c>
      <c r="X124" s="32" t="n"/>
      <c r="Y124" s="32" t="n"/>
      <c r="Z124" s="32" t="n"/>
      <c r="AA124" s="37" t="n">
        <v>10.58</v>
      </c>
      <c r="AB124" s="37" t="n">
        <v>7.0725</v>
      </c>
      <c r="AC124" s="37" t="n">
        <v>13.685</v>
      </c>
      <c r="AD124" s="37" t="n">
        <v>300</v>
      </c>
      <c r="AE124" s="37" t="n">
        <v>150</v>
      </c>
      <c r="AF124" s="33" t="n"/>
      <c r="AG124" s="33" t="n"/>
      <c r="AH124" s="5" t="inlineStr"/>
    </row>
    <row r="125" ht="18" customHeight="1">
      <c r="A125" s="25" t="inlineStr">
        <is>
          <t>2525010040599</t>
        </is>
      </c>
      <c r="B125" s="34" t="inlineStr">
        <is>
          <t>餐厅-柜</t>
        </is>
      </c>
      <c r="C125" s="35" t="inlineStr">
        <is>
          <t>樱桃木窄柜 |樱桃木1米餐边柜</t>
        </is>
      </c>
      <c r="D125" s="35" t="inlineStr">
        <is>
          <t>窄柜-整柜洞洞板背板-1.4米</t>
        </is>
      </c>
      <c r="E125" s="34" t="inlineStr">
        <is>
          <t>北美进口FAS级樱桃木</t>
        </is>
      </c>
      <c r="F125" s="34" t="inlineStr">
        <is>
          <t xml:space="preserve">抽屉围板：新西兰松木
台面：洞石岩板
背板：洞石纹理背板
电力轨道：xpower 内嵌电力轨道
顶柜玻璃：超透玻璃
</t>
        </is>
      </c>
      <c r="G125" s="3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5" s="26" t="n">
        <v>4322.845000000001</v>
      </c>
      <c r="I125" s="26" t="n">
        <v>3000</v>
      </c>
      <c r="J125" s="27" t="n">
        <v>0.44</v>
      </c>
      <c r="K125" s="28">
        <f>IFERROR(H125,0)</f>
        <v/>
      </c>
      <c r="L125" s="29" t="n">
        <v>0.4669</v>
      </c>
      <c r="M125" s="29" t="n">
        <v>0.1205</v>
      </c>
      <c r="N125" s="29" t="n">
        <v>0.151</v>
      </c>
      <c r="O125" s="29" t="n">
        <v>0.1205</v>
      </c>
      <c r="P125" s="30">
        <f>IFERROR(IF(K125=0,"待填成本",ROUND(K125/(1-L125),0)),"" )</f>
        <v/>
      </c>
      <c r="Q125" s="30">
        <f>IFERROR(IF(K125=0,"待填成本",ROUND(K125/(1-M125),0)),"" )</f>
        <v/>
      </c>
      <c r="R125" s="30">
        <f>IFERROR(IF(K125=0,"待填成本",ROUND(K125/(1-N125),0)),"" )</f>
        <v/>
      </c>
      <c r="S125" s="30">
        <f>IFERROR(IF(K125=0,"待填成本",ROUND(K125/(1-O125),0)),"" )</f>
        <v/>
      </c>
      <c r="T125" s="31">
        <f>IFERROR(IF(K125=0,"",(P125-K125)/P125),"" )</f>
        <v/>
      </c>
      <c r="U125" s="31">
        <f>IFERROR(IF(K125=0,"",(Q125-K125)/Q125),"" )</f>
        <v/>
      </c>
      <c r="V125" s="31">
        <f>IFERROR(IF(K125=0,"",(R125-K125)/R125),"" )</f>
        <v/>
      </c>
      <c r="W125" s="31">
        <f>IFERROR(IF(K125=0,"",(S125-K125)/S125),"" )</f>
        <v/>
      </c>
      <c r="X125" s="36" t="n"/>
      <c r="Y125" s="36" t="n"/>
      <c r="Z125" s="36" t="n"/>
      <c r="AA125" s="37" t="n">
        <v>17.22125</v>
      </c>
      <c r="AB125" s="37" t="n">
        <v>9.789375</v>
      </c>
      <c r="AC125" s="37" t="n">
        <v>15.41</v>
      </c>
      <c r="AD125" s="37" t="n">
        <v>300</v>
      </c>
      <c r="AE125" s="37" t="n">
        <v>150</v>
      </c>
      <c r="AF125" s="33" t="n"/>
      <c r="AG125" s="33" t="n"/>
      <c r="AH125" s="35" t="inlineStr"/>
    </row>
    <row r="126" ht="18" customHeight="1">
      <c r="A126" s="25" t="inlineStr">
        <is>
          <t>2525010040599</t>
        </is>
      </c>
      <c r="B126" s="6" t="inlineStr">
        <is>
          <t>餐厅-柜</t>
        </is>
      </c>
      <c r="C126" s="5" t="inlineStr">
        <is>
          <t>樱桃木窄柜 |樱桃木1米餐边柜</t>
        </is>
      </c>
      <c r="D126" s="5" t="inlineStr">
        <is>
          <t>窄柜-整柜洞洞板背板-1.3米</t>
        </is>
      </c>
      <c r="E126" s="6" t="inlineStr">
        <is>
          <t>北美进口FAS级樱桃木</t>
        </is>
      </c>
      <c r="F126" s="6" t="inlineStr">
        <is>
          <t xml:space="preserve">抽屉围板：新西兰松木
台面：洞石岩板
背板：洞石纹理背板
电力轨道：xpower 内嵌电力轨道
顶柜玻璃：超透玻璃
</t>
        </is>
      </c>
      <c r="G126" s="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6" s="26" t="n">
        <v>4215.547500000001</v>
      </c>
      <c r="I126" s="26" t="n">
        <v>2950</v>
      </c>
      <c r="J126" s="27" t="n">
        <v>0.44</v>
      </c>
      <c r="K126" s="28">
        <f>IFERROR(H126,0)</f>
        <v/>
      </c>
      <c r="L126" s="29" t="n">
        <v>0.4669</v>
      </c>
      <c r="M126" s="29" t="n">
        <v>0.1205</v>
      </c>
      <c r="N126" s="29" t="n">
        <v>0.151</v>
      </c>
      <c r="O126" s="29" t="n">
        <v>0.1205</v>
      </c>
      <c r="P126" s="30">
        <f>IFERROR(IF(K126=0,"待填成本",ROUND(K126/(1-L126),0)),"" )</f>
        <v/>
      </c>
      <c r="Q126" s="30">
        <f>IFERROR(IF(K126=0,"待填成本",ROUND(K126/(1-M126),0)),"" )</f>
        <v/>
      </c>
      <c r="R126" s="30">
        <f>IFERROR(IF(K126=0,"待填成本",ROUND(K126/(1-N126),0)),"" )</f>
        <v/>
      </c>
      <c r="S126" s="30">
        <f>IFERROR(IF(K126=0,"待填成本",ROUND(K126/(1-O126),0)),"" )</f>
        <v/>
      </c>
      <c r="T126" s="31">
        <f>IFERROR(IF(K126=0,"",(P126-K126)/P126),"" )</f>
        <v/>
      </c>
      <c r="U126" s="31">
        <f>IFERROR(IF(K126=0,"",(Q126-K126)/Q126),"" )</f>
        <v/>
      </c>
      <c r="V126" s="31">
        <f>IFERROR(IF(K126=0,"",(R126-K126)/R126),"" )</f>
        <v/>
      </c>
      <c r="W126" s="31">
        <f>IFERROR(IF(K126=0,"",(S126-K126)/S126),"" )</f>
        <v/>
      </c>
      <c r="X126" s="32" t="n"/>
      <c r="Y126" s="32" t="n"/>
      <c r="Z126" s="32" t="n"/>
      <c r="AA126" s="37" t="n">
        <v>15.89875</v>
      </c>
      <c r="AB126" s="37" t="n">
        <v>9.336562499999999</v>
      </c>
      <c r="AC126" s="37" t="n">
        <v>15.1225</v>
      </c>
      <c r="AD126" s="37" t="n">
        <v>300</v>
      </c>
      <c r="AE126" s="37" t="n">
        <v>150</v>
      </c>
      <c r="AF126" s="33" t="n"/>
      <c r="AG126" s="33" t="n"/>
      <c r="AH126" s="5" t="inlineStr"/>
    </row>
    <row r="127" ht="18" customHeight="1">
      <c r="A127" s="25" t="inlineStr">
        <is>
          <t>2525010040599</t>
        </is>
      </c>
      <c r="B127" s="34" t="inlineStr">
        <is>
          <t>餐厅-柜</t>
        </is>
      </c>
      <c r="C127" s="35" t="inlineStr">
        <is>
          <t>樱桃木窄柜 |樱桃木1米餐边柜</t>
        </is>
      </c>
      <c r="D127" s="35" t="inlineStr">
        <is>
          <t>窄柜-整柜洞洞板背板-1.2米</t>
        </is>
      </c>
      <c r="E127" s="34" t="inlineStr">
        <is>
          <t>北美进口FAS级樱桃木</t>
        </is>
      </c>
      <c r="F127" s="34" t="inlineStr">
        <is>
          <t xml:space="preserve">抽屉围板：新西兰松木
台面：洞石岩板
背板：洞石纹理背板
电力轨道：xpower 内嵌电力轨道
顶柜玻璃：超透玻璃
</t>
        </is>
      </c>
      <c r="G127" s="3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7" s="26" t="n">
        <v>4108.25</v>
      </c>
      <c r="I127" s="26" t="n">
        <v>2900</v>
      </c>
      <c r="J127" s="27" t="n">
        <v>0.44</v>
      </c>
      <c r="K127" s="28">
        <f>IFERROR(H127,0)</f>
        <v/>
      </c>
      <c r="L127" s="29" t="n">
        <v>0.4669</v>
      </c>
      <c r="M127" s="29" t="n">
        <v>0.1206</v>
      </c>
      <c r="N127" s="29" t="n">
        <v>0.151</v>
      </c>
      <c r="O127" s="29" t="n">
        <v>0.1206</v>
      </c>
      <c r="P127" s="30">
        <f>IFERROR(IF(K127=0,"待填成本",ROUND(K127/(1-L127),0)),"" )</f>
        <v/>
      </c>
      <c r="Q127" s="30">
        <f>IFERROR(IF(K127=0,"待填成本",ROUND(K127/(1-M127),0)),"" )</f>
        <v/>
      </c>
      <c r="R127" s="30">
        <f>IFERROR(IF(K127=0,"待填成本",ROUND(K127/(1-N127),0)),"" )</f>
        <v/>
      </c>
      <c r="S127" s="30">
        <f>IFERROR(IF(K127=0,"待填成本",ROUND(K127/(1-O127),0)),"" )</f>
        <v/>
      </c>
      <c r="T127" s="31">
        <f>IFERROR(IF(K127=0,"",(P127-K127)/P127),"" )</f>
        <v/>
      </c>
      <c r="U127" s="31">
        <f>IFERROR(IF(K127=0,"",(Q127-K127)/Q127),"" )</f>
        <v/>
      </c>
      <c r="V127" s="31">
        <f>IFERROR(IF(K127=0,"",(R127-K127)/R127),"" )</f>
        <v/>
      </c>
      <c r="W127" s="31">
        <f>IFERROR(IF(K127=0,"",(S127-K127)/S127),"" )</f>
        <v/>
      </c>
      <c r="X127" s="36" t="n"/>
      <c r="Y127" s="36" t="n"/>
      <c r="Z127" s="36" t="n"/>
      <c r="AA127" s="37" t="n">
        <v>14.57625</v>
      </c>
      <c r="AB127" s="37" t="n">
        <v>8.883749999999999</v>
      </c>
      <c r="AC127" s="37" t="n">
        <v>14.835</v>
      </c>
      <c r="AD127" s="37" t="n">
        <v>300</v>
      </c>
      <c r="AE127" s="37" t="n">
        <v>150</v>
      </c>
      <c r="AF127" s="33" t="n"/>
      <c r="AG127" s="33" t="n"/>
      <c r="AH127" s="35" t="inlineStr"/>
    </row>
    <row r="128" ht="18" customHeight="1">
      <c r="A128" s="25" t="inlineStr">
        <is>
          <t>2525010040599</t>
        </is>
      </c>
      <c r="B128" s="6" t="inlineStr">
        <is>
          <t>餐厅-柜</t>
        </is>
      </c>
      <c r="C128" s="5" t="inlineStr">
        <is>
          <t>樱桃木窄柜 |樱桃木1米餐边柜</t>
        </is>
      </c>
      <c r="D128" s="5" t="inlineStr">
        <is>
          <t>窄柜-整柜洞洞板背板-1.1米</t>
        </is>
      </c>
      <c r="E128" s="6" t="inlineStr">
        <is>
          <t>北美进口FAS级樱桃木</t>
        </is>
      </c>
      <c r="F128" s="6" t="inlineStr">
        <is>
          <t xml:space="preserve">抽屉围板：新西兰松木
台面：洞石岩板
背板：洞石纹理背板
电力轨道：xpower 内嵌电力轨道
顶柜玻璃：超透玻璃
</t>
        </is>
      </c>
      <c r="G128" s="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8" s="26" t="n">
        <v>4000.9525</v>
      </c>
      <c r="I128" s="26" t="n">
        <v>2850</v>
      </c>
      <c r="J128" s="27" t="n">
        <v>0.44</v>
      </c>
      <c r="K128" s="28">
        <f>IFERROR(H128,0)</f>
        <v/>
      </c>
      <c r="L128" s="29" t="n">
        <v>0.467</v>
      </c>
      <c r="M128" s="29" t="n">
        <v>0.1206</v>
      </c>
      <c r="N128" s="29" t="n">
        <v>0.1509</v>
      </c>
      <c r="O128" s="29" t="n">
        <v>0.1206</v>
      </c>
      <c r="P128" s="30">
        <f>IFERROR(IF(K128=0,"待填成本",ROUND(K128/(1-L128),0)),"" )</f>
        <v/>
      </c>
      <c r="Q128" s="30">
        <f>IFERROR(IF(K128=0,"待填成本",ROUND(K128/(1-M128),0)),"" )</f>
        <v/>
      </c>
      <c r="R128" s="30">
        <f>IFERROR(IF(K128=0,"待填成本",ROUND(K128/(1-N128),0)),"" )</f>
        <v/>
      </c>
      <c r="S128" s="30">
        <f>IFERROR(IF(K128=0,"待填成本",ROUND(K128/(1-O128),0)),"" )</f>
        <v/>
      </c>
      <c r="T128" s="31">
        <f>IFERROR(IF(K128=0,"",(P128-K128)/P128),"" )</f>
        <v/>
      </c>
      <c r="U128" s="31">
        <f>IFERROR(IF(K128=0,"",(Q128-K128)/Q128),"" )</f>
        <v/>
      </c>
      <c r="V128" s="31">
        <f>IFERROR(IF(K128=0,"",(R128-K128)/R128),"" )</f>
        <v/>
      </c>
      <c r="W128" s="31">
        <f>IFERROR(IF(K128=0,"",(S128-K128)/S128),"" )</f>
        <v/>
      </c>
      <c r="X128" s="32" t="n"/>
      <c r="Y128" s="32" t="n"/>
      <c r="Z128" s="32" t="n"/>
      <c r="AA128" s="37" t="n">
        <v>13.25375</v>
      </c>
      <c r="AB128" s="37" t="n">
        <v>8.430937499999999</v>
      </c>
      <c r="AC128" s="37" t="n">
        <v>14.5475</v>
      </c>
      <c r="AD128" s="37" t="n">
        <v>300</v>
      </c>
      <c r="AE128" s="37" t="n">
        <v>150</v>
      </c>
      <c r="AF128" s="33" t="n"/>
      <c r="AG128" s="33" t="n"/>
      <c r="AH128" s="5" t="inlineStr"/>
    </row>
    <row r="129" ht="18" customHeight="1">
      <c r="A129" s="25" t="inlineStr">
        <is>
          <t>2525010040599</t>
        </is>
      </c>
      <c r="B129" s="34" t="inlineStr">
        <is>
          <t>餐厅-柜</t>
        </is>
      </c>
      <c r="C129" s="35" t="inlineStr">
        <is>
          <t>樱桃木窄柜 |樱桃木1米餐边柜</t>
        </is>
      </c>
      <c r="D129" s="35" t="inlineStr">
        <is>
          <t>窄柜-整柜洞洞板背板-1.0米</t>
        </is>
      </c>
      <c r="E129" s="34" t="inlineStr">
        <is>
          <t>北美进口FAS级樱桃木</t>
        </is>
      </c>
      <c r="F129" s="34" t="inlineStr">
        <is>
          <t xml:space="preserve">抽屉围板：新西兰松木
台面：洞石岩板
背板：洞石纹理背板
电力轨道：xpower 内嵌电力轨道
顶柜玻璃：超透玻璃
</t>
        </is>
      </c>
      <c r="G129" s="3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29" s="26" t="n">
        <v>3893.655</v>
      </c>
      <c r="I129" s="26" t="n">
        <v>2800</v>
      </c>
      <c r="J129" s="27" t="n">
        <v>0.44</v>
      </c>
      <c r="K129" s="28">
        <f>IFERROR(H129,0)</f>
        <v/>
      </c>
      <c r="L129" s="29" t="n">
        <v>0.467</v>
      </c>
      <c r="M129" s="29" t="n">
        <v>0.1207</v>
      </c>
      <c r="N129" s="29" t="n">
        <v>0.1509</v>
      </c>
      <c r="O129" s="29" t="n">
        <v>0.1207</v>
      </c>
      <c r="P129" s="30">
        <f>IFERROR(IF(K129=0,"待填成本",ROUND(K129/(1-L129),0)),"" )</f>
        <v/>
      </c>
      <c r="Q129" s="30">
        <f>IFERROR(IF(K129=0,"待填成本",ROUND(K129/(1-M129),0)),"" )</f>
        <v/>
      </c>
      <c r="R129" s="30">
        <f>IFERROR(IF(K129=0,"待填成本",ROUND(K129/(1-N129),0)),"" )</f>
        <v/>
      </c>
      <c r="S129" s="30">
        <f>IFERROR(IF(K129=0,"待填成本",ROUND(K129/(1-O129),0)),"" )</f>
        <v/>
      </c>
      <c r="T129" s="31">
        <f>IFERROR(IF(K129=0,"",(P129-K129)/P129),"" )</f>
        <v/>
      </c>
      <c r="U129" s="31">
        <f>IFERROR(IF(K129=0,"",(Q129-K129)/Q129),"" )</f>
        <v/>
      </c>
      <c r="V129" s="31">
        <f>IFERROR(IF(K129=0,"",(R129-K129)/R129),"" )</f>
        <v/>
      </c>
      <c r="W129" s="31">
        <f>IFERROR(IF(K129=0,"",(S129-K129)/S129),"" )</f>
        <v/>
      </c>
      <c r="X129" s="36" t="n"/>
      <c r="Y129" s="36" t="n"/>
      <c r="Z129" s="36" t="n"/>
      <c r="AA129" s="37" t="n">
        <v>11.93125</v>
      </c>
      <c r="AB129" s="37" t="n">
        <v>7.978124999999999</v>
      </c>
      <c r="AC129" s="37" t="n">
        <v>14.26</v>
      </c>
      <c r="AD129" s="37" t="n">
        <v>300</v>
      </c>
      <c r="AE129" s="37" t="n">
        <v>150</v>
      </c>
      <c r="AF129" s="33" t="n"/>
      <c r="AG129" s="33" t="n"/>
      <c r="AH129" s="35" t="inlineStr"/>
    </row>
    <row r="130" ht="18" customHeight="1">
      <c r="A130" s="25" t="inlineStr">
        <is>
          <t>2525010040599</t>
        </is>
      </c>
      <c r="B130" s="6" t="inlineStr">
        <is>
          <t>餐厅-柜</t>
        </is>
      </c>
      <c r="C130" s="5" t="inlineStr">
        <is>
          <t>樱桃木窄柜 |樱桃木1米餐边柜</t>
        </is>
      </c>
      <c r="D130" s="5" t="inlineStr">
        <is>
          <t>窄柜-整柜洞洞板背板-0.9米</t>
        </is>
      </c>
      <c r="E130" s="6" t="inlineStr">
        <is>
          <t>北美进口FAS级樱桃木</t>
        </is>
      </c>
      <c r="F130" s="6" t="inlineStr">
        <is>
          <t xml:space="preserve">抽屉围板：新西兰松木
台面：洞石岩板
背板：洞石纹理背板
电力轨道：xpower 内嵌电力轨道
顶柜玻璃：超透玻璃
</t>
        </is>
      </c>
      <c r="G130" s="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30" s="26" t="n">
        <v>3773.555</v>
      </c>
      <c r="I130" s="26" t="n">
        <v>2750</v>
      </c>
      <c r="J130" s="27" t="n">
        <v>0.44</v>
      </c>
      <c r="K130" s="28">
        <f>IFERROR(H130,0)</f>
        <v/>
      </c>
      <c r="L130" s="29" t="n">
        <v>0.4669</v>
      </c>
      <c r="M130" s="29" t="n">
        <v>0.1207</v>
      </c>
      <c r="N130" s="29" t="n">
        <v>0.1509</v>
      </c>
      <c r="O130" s="29" t="n">
        <v>0.1207</v>
      </c>
      <c r="P130" s="30">
        <f>IFERROR(IF(K130=0,"待填成本",ROUND(K130/(1-L130),0)),"" )</f>
        <v/>
      </c>
      <c r="Q130" s="30">
        <f>IFERROR(IF(K130=0,"待填成本",ROUND(K130/(1-M130),0)),"" )</f>
        <v/>
      </c>
      <c r="R130" s="30">
        <f>IFERROR(IF(K130=0,"待填成本",ROUND(K130/(1-N130),0)),"" )</f>
        <v/>
      </c>
      <c r="S130" s="30">
        <f>IFERROR(IF(K130=0,"待填成本",ROUND(K130/(1-O130),0)),"" )</f>
        <v/>
      </c>
      <c r="T130" s="31">
        <f>IFERROR(IF(K130=0,"",(P130-K130)/P130),"" )</f>
        <v/>
      </c>
      <c r="U130" s="31">
        <f>IFERROR(IF(K130=0,"",(Q130-K130)/Q130),"" )</f>
        <v/>
      </c>
      <c r="V130" s="31">
        <f>IFERROR(IF(K130=0,"",(R130-K130)/R130),"" )</f>
        <v/>
      </c>
      <c r="W130" s="31">
        <f>IFERROR(IF(K130=0,"",(S130-K130)/S130),"" )</f>
        <v/>
      </c>
      <c r="X130" s="32" t="n"/>
      <c r="Y130" s="32" t="n"/>
      <c r="Z130" s="32" t="n"/>
      <c r="AA130" s="37" t="n">
        <v>11.255625</v>
      </c>
      <c r="AB130" s="37" t="n">
        <v>7.5253125</v>
      </c>
      <c r="AC130" s="37" t="n">
        <v>13.9725</v>
      </c>
      <c r="AD130" s="37" t="n">
        <v>300</v>
      </c>
      <c r="AE130" s="37" t="n">
        <v>150</v>
      </c>
      <c r="AF130" s="33" t="n"/>
      <c r="AG130" s="33" t="n"/>
      <c r="AH130" s="5" t="inlineStr"/>
    </row>
    <row r="131" ht="18" customHeight="1">
      <c r="A131" s="25" t="inlineStr">
        <is>
          <t>2525010040599</t>
        </is>
      </c>
      <c r="B131" s="34" t="inlineStr">
        <is>
          <t>餐厅-柜</t>
        </is>
      </c>
      <c r="C131" s="35" t="inlineStr">
        <is>
          <t>樱桃木窄柜 |樱桃木1米餐边柜</t>
        </is>
      </c>
      <c r="D131" s="35" t="inlineStr">
        <is>
          <t>窄柜-整柜洞洞板背板-0.8米</t>
        </is>
      </c>
      <c r="E131" s="34" t="inlineStr">
        <is>
          <t>北美进口FAS级樱桃木</t>
        </is>
      </c>
      <c r="F131" s="34" t="inlineStr">
        <is>
          <t xml:space="preserve">抽屉围板：新西兰松木
台面：洞石岩板
背板：洞石纹理背板
电力轨道：xpower 内嵌电力轨道
顶柜玻璃：超透玻璃
</t>
        </is>
      </c>
      <c r="G131" s="35" t="inlineStr">
        <is>
          <t xml:space="preserve">整体长度：1200mm/1000mm/800mm
整体深度：450mm
整体高度：1900mm
顶柜长度：1200mm/1000mm/800mm
顶柜深度：400mm
顶柜高度：325mm
立体收纳长度：1200mm/1000mm/800mm
立体收纳深度：400mm
立体收纳高度：655mm
下柜长度：1200mm/1000mm/800mm
下柜深度：450mm
下柜高度：910mm
</t>
        </is>
      </c>
      <c r="H131" s="26" t="n">
        <v>3653.455</v>
      </c>
      <c r="I131" s="26" t="n">
        <v>2700</v>
      </c>
      <c r="J131" s="27" t="n">
        <v>0.44</v>
      </c>
      <c r="K131" s="28">
        <f>IFERROR(H131,0)</f>
        <v/>
      </c>
      <c r="L131" s="29" t="n">
        <v>0.4668</v>
      </c>
      <c r="M131" s="29" t="n">
        <v>0.1208</v>
      </c>
      <c r="N131" s="29" t="n">
        <v>0.151</v>
      </c>
      <c r="O131" s="29" t="n">
        <v>0.1208</v>
      </c>
      <c r="P131" s="30">
        <f>IFERROR(IF(K131=0,"待填成本",ROUND(K131/(1-L131),0)),"" )</f>
        <v/>
      </c>
      <c r="Q131" s="30">
        <f>IFERROR(IF(K131=0,"待填成本",ROUND(K131/(1-M131),0)),"" )</f>
        <v/>
      </c>
      <c r="R131" s="30">
        <f>IFERROR(IF(K131=0,"待填成本",ROUND(K131/(1-N131),0)),"" )</f>
        <v/>
      </c>
      <c r="S131" s="30">
        <f>IFERROR(IF(K131=0,"待填成本",ROUND(K131/(1-O131),0)),"" )</f>
        <v/>
      </c>
      <c r="T131" s="31">
        <f>IFERROR(IF(K131=0,"",(P131-K131)/P131),"" )</f>
        <v/>
      </c>
      <c r="U131" s="31">
        <f>IFERROR(IF(K131=0,"",(Q131-K131)/Q131),"" )</f>
        <v/>
      </c>
      <c r="V131" s="31">
        <f>IFERROR(IF(K131=0,"",(R131-K131)/R131),"" )</f>
        <v/>
      </c>
      <c r="W131" s="31">
        <f>IFERROR(IF(K131=0,"",(S131-K131)/S131),"" )</f>
        <v/>
      </c>
      <c r="X131" s="36" t="n"/>
      <c r="Y131" s="36" t="n"/>
      <c r="Z131" s="36" t="n"/>
      <c r="AA131" s="37" t="n">
        <v>10.58</v>
      </c>
      <c r="AB131" s="37" t="n">
        <v>7.0725</v>
      </c>
      <c r="AC131" s="37" t="n">
        <v>13.685</v>
      </c>
      <c r="AD131" s="37" t="n">
        <v>300</v>
      </c>
      <c r="AE131" s="37" t="n">
        <v>150</v>
      </c>
      <c r="AF131" s="33" t="n"/>
      <c r="AG131" s="33" t="n"/>
      <c r="AH131" s="35" t="inlineStr"/>
    </row>
    <row r="132" ht="18" customHeight="1">
      <c r="A132" s="25" t="inlineStr">
        <is>
          <t>2525011041099</t>
        </is>
      </c>
      <c r="B132" s="6" t="inlineStr">
        <is>
          <t>餐厅-柜</t>
        </is>
      </c>
      <c r="C132" s="5" t="inlineStr">
        <is>
          <t>樱桃木旋转柜2025版</t>
        </is>
      </c>
      <c r="D132" s="5" t="inlineStr">
        <is>
          <t>旋转柜-仅餐桌-1.6米</t>
        </is>
      </c>
      <c r="E132" s="6" t="inlineStr">
        <is>
          <t>北美进口FAS级樱桃木</t>
        </is>
      </c>
      <c r="F132" s="6" t="inlineStr"/>
      <c r="G132" s="5" t="inlineStr"/>
      <c r="H132" s="26" t="n">
        <v>0</v>
      </c>
      <c r="I132" s="26" t="n">
        <v>0</v>
      </c>
      <c r="J132" s="27" t="n">
        <v>0.48</v>
      </c>
      <c r="K132" s="28">
        <f>IFERROR(H132,0)</f>
        <v/>
      </c>
      <c r="L132" s="29" t="n"/>
      <c r="M132" s="29" t="n"/>
      <c r="N132" s="29" t="n"/>
      <c r="O132" s="29" t="n"/>
      <c r="P132" s="30">
        <f>IFERROR(IF(K132=0,"待填成本",ROUND(K132/(1-L132),0)),"" )</f>
        <v/>
      </c>
      <c r="Q132" s="30">
        <f>IFERROR(IF(K132=0,"待填成本",ROUND(K132/(1-M132),0)),"" )</f>
        <v/>
      </c>
      <c r="R132" s="30">
        <f>IFERROR(IF(K132=0,"待填成本",ROUND(K132/(1-N132),0)),"" )</f>
        <v/>
      </c>
      <c r="S132" s="30">
        <f>IFERROR(IF(K132=0,"待填成本",ROUND(K132/(1-O132),0)),"" )</f>
        <v/>
      </c>
      <c r="T132" s="31">
        <f>IFERROR(IF(K132=0,"",(P132-K132)/P132),"" )</f>
        <v/>
      </c>
      <c r="U132" s="31">
        <f>IFERROR(IF(K132=0,"",(Q132-K132)/Q132),"" )</f>
        <v/>
      </c>
      <c r="V132" s="31">
        <f>IFERROR(IF(K132=0,"",(R132-K132)/R132),"" )</f>
        <v/>
      </c>
      <c r="W132" s="31">
        <f>IFERROR(IF(K132=0,"",(S132-K132)/S132),"" )</f>
        <v/>
      </c>
      <c r="X132" s="32" t="n"/>
      <c r="Y132" s="32" t="n"/>
      <c r="Z132" s="32" t="n"/>
      <c r="AA132" s="32" t="n"/>
      <c r="AB132" s="32" t="n"/>
      <c r="AC132" s="32" t="n"/>
      <c r="AD132" s="32" t="n"/>
      <c r="AE132" s="32" t="n"/>
      <c r="AF132" s="33" t="n"/>
      <c r="AG132" s="33" t="n"/>
      <c r="AH132" s="5" t="inlineStr"/>
    </row>
    <row r="133" ht="18" customHeight="1">
      <c r="A133" s="25" t="inlineStr">
        <is>
          <t>2525011041099</t>
        </is>
      </c>
      <c r="B133" s="34" t="inlineStr">
        <is>
          <t>餐厅-柜</t>
        </is>
      </c>
      <c r="C133" s="35" t="inlineStr">
        <is>
          <t>樱桃木旋转柜2025版</t>
        </is>
      </c>
      <c r="D133" s="35" t="inlineStr">
        <is>
          <t>旋转柜-仅餐桌-1.5米</t>
        </is>
      </c>
      <c r="E133" s="34" t="inlineStr">
        <is>
          <t>北美进口FAS级樱桃木</t>
        </is>
      </c>
      <c r="F133" s="34" t="inlineStr"/>
      <c r="G133" s="35" t="inlineStr"/>
      <c r="H133" s="26" t="n">
        <v>0</v>
      </c>
      <c r="I133" s="26" t="n">
        <v>0</v>
      </c>
      <c r="J133" s="27" t="n">
        <v>0.48</v>
      </c>
      <c r="K133" s="28">
        <f>IFERROR(H133,0)</f>
        <v/>
      </c>
      <c r="L133" s="29" t="n"/>
      <c r="M133" s="29" t="n"/>
      <c r="N133" s="29" t="n"/>
      <c r="O133" s="29" t="n"/>
      <c r="P133" s="30">
        <f>IFERROR(IF(K133=0,"待填成本",ROUND(K133/(1-L133),0)),"" )</f>
        <v/>
      </c>
      <c r="Q133" s="30">
        <f>IFERROR(IF(K133=0,"待填成本",ROUND(K133/(1-M133),0)),"" )</f>
        <v/>
      </c>
      <c r="R133" s="30">
        <f>IFERROR(IF(K133=0,"待填成本",ROUND(K133/(1-N133),0)),"" )</f>
        <v/>
      </c>
      <c r="S133" s="30">
        <f>IFERROR(IF(K133=0,"待填成本",ROUND(K133/(1-O133),0)),"" )</f>
        <v/>
      </c>
      <c r="T133" s="31">
        <f>IFERROR(IF(K133=0,"",(P133-K133)/P133),"" )</f>
        <v/>
      </c>
      <c r="U133" s="31">
        <f>IFERROR(IF(K133=0,"",(Q133-K133)/Q133),"" )</f>
        <v/>
      </c>
      <c r="V133" s="31">
        <f>IFERROR(IF(K133=0,"",(R133-K133)/R133),"" )</f>
        <v/>
      </c>
      <c r="W133" s="31">
        <f>IFERROR(IF(K133=0,"",(S133-K133)/S133),"" )</f>
        <v/>
      </c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3" t="n"/>
      <c r="AG133" s="33" t="n"/>
      <c r="AH133" s="35" t="inlineStr"/>
    </row>
    <row r="134" ht="18" customHeight="1">
      <c r="A134" s="25" t="inlineStr">
        <is>
          <t>2525011041099</t>
        </is>
      </c>
      <c r="B134" s="6" t="inlineStr">
        <is>
          <t>餐厅-柜</t>
        </is>
      </c>
      <c r="C134" s="5" t="inlineStr">
        <is>
          <t>樱桃木旋转柜2025版</t>
        </is>
      </c>
      <c r="D134" s="5" t="inlineStr">
        <is>
          <t>旋转柜-仅餐桌-1.4米</t>
        </is>
      </c>
      <c r="E134" s="6" t="inlineStr">
        <is>
          <t>北美进口FAS级樱桃木</t>
        </is>
      </c>
      <c r="F134" s="6" t="inlineStr"/>
      <c r="G134" s="5" t="inlineStr"/>
      <c r="H134" s="26" t="n">
        <v>0</v>
      </c>
      <c r="I134" s="26" t="n">
        <v>0</v>
      </c>
      <c r="J134" s="27" t="n">
        <v>0.48</v>
      </c>
      <c r="K134" s="28">
        <f>IFERROR(H134,0)</f>
        <v/>
      </c>
      <c r="L134" s="29" t="n"/>
      <c r="M134" s="29" t="n"/>
      <c r="N134" s="29" t="n"/>
      <c r="O134" s="29" t="n"/>
      <c r="P134" s="30">
        <f>IFERROR(IF(K134=0,"待填成本",ROUND(K134/(1-L134),0)),"" )</f>
        <v/>
      </c>
      <c r="Q134" s="30">
        <f>IFERROR(IF(K134=0,"待填成本",ROUND(K134/(1-M134),0)),"" )</f>
        <v/>
      </c>
      <c r="R134" s="30">
        <f>IFERROR(IF(K134=0,"待填成本",ROUND(K134/(1-N134),0)),"" )</f>
        <v/>
      </c>
      <c r="S134" s="30">
        <f>IFERROR(IF(K134=0,"待填成本",ROUND(K134/(1-O134),0)),"" )</f>
        <v/>
      </c>
      <c r="T134" s="31">
        <f>IFERROR(IF(K134=0,"",(P134-K134)/P134),"" )</f>
        <v/>
      </c>
      <c r="U134" s="31">
        <f>IFERROR(IF(K134=0,"",(Q134-K134)/Q134),"" )</f>
        <v/>
      </c>
      <c r="V134" s="31">
        <f>IFERROR(IF(K134=0,"",(R134-K134)/R134),"" )</f>
        <v/>
      </c>
      <c r="W134" s="31">
        <f>IFERROR(IF(K134=0,"",(S134-K134)/S134),"" )</f>
        <v/>
      </c>
      <c r="X134" s="32" t="n"/>
      <c r="Y134" s="32" t="n"/>
      <c r="Z134" s="32" t="n"/>
      <c r="AA134" s="32" t="n"/>
      <c r="AB134" s="32" t="n"/>
      <c r="AC134" s="32" t="n"/>
      <c r="AD134" s="32" t="n"/>
      <c r="AE134" s="32" t="n"/>
      <c r="AF134" s="33" t="n"/>
      <c r="AG134" s="33" t="n"/>
      <c r="AH134" s="5" t="inlineStr"/>
    </row>
    <row r="135" ht="18" customHeight="1">
      <c r="A135" s="25" t="inlineStr">
        <is>
          <t>2525011041099</t>
        </is>
      </c>
      <c r="B135" s="34" t="inlineStr">
        <is>
          <t>餐厅-柜</t>
        </is>
      </c>
      <c r="C135" s="35" t="inlineStr">
        <is>
          <t>樱桃木旋转柜2025版</t>
        </is>
      </c>
      <c r="D135" s="35" t="inlineStr">
        <is>
          <t>旋转柜-仅餐桌-1.3米</t>
        </is>
      </c>
      <c r="E135" s="34" t="inlineStr">
        <is>
          <t>北美进口FAS级樱桃木</t>
        </is>
      </c>
      <c r="F135" s="34" t="inlineStr"/>
      <c r="G135" s="35" t="inlineStr"/>
      <c r="H135" s="26" t="n">
        <v>0</v>
      </c>
      <c r="I135" s="26" t="n">
        <v>0</v>
      </c>
      <c r="J135" s="27" t="n">
        <v>0.48</v>
      </c>
      <c r="K135" s="28">
        <f>IFERROR(H135,0)</f>
        <v/>
      </c>
      <c r="L135" s="29" t="n"/>
      <c r="M135" s="29" t="n"/>
      <c r="N135" s="29" t="n"/>
      <c r="O135" s="29" t="n"/>
      <c r="P135" s="30">
        <f>IFERROR(IF(K135=0,"待填成本",ROUND(K135/(1-L135),0)),"" )</f>
        <v/>
      </c>
      <c r="Q135" s="30">
        <f>IFERROR(IF(K135=0,"待填成本",ROUND(K135/(1-M135),0)),"" )</f>
        <v/>
      </c>
      <c r="R135" s="30">
        <f>IFERROR(IF(K135=0,"待填成本",ROUND(K135/(1-N135),0)),"" )</f>
        <v/>
      </c>
      <c r="S135" s="30">
        <f>IFERROR(IF(K135=0,"待填成本",ROUND(K135/(1-O135),0)),"" )</f>
        <v/>
      </c>
      <c r="T135" s="31">
        <f>IFERROR(IF(K135=0,"",(P135-K135)/P135),"" )</f>
        <v/>
      </c>
      <c r="U135" s="31">
        <f>IFERROR(IF(K135=0,"",(Q135-K135)/Q135),"" )</f>
        <v/>
      </c>
      <c r="V135" s="31">
        <f>IFERROR(IF(K135=0,"",(R135-K135)/R135),"" )</f>
        <v/>
      </c>
      <c r="W135" s="31">
        <f>IFERROR(IF(K135=0,"",(S135-K135)/S135),"" )</f>
        <v/>
      </c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3" t="n"/>
      <c r="AG135" s="33" t="n"/>
      <c r="AH135" s="35" t="inlineStr"/>
    </row>
    <row r="136" ht="18" customHeight="1">
      <c r="A136" s="25" t="inlineStr">
        <is>
          <t>2525011041099</t>
        </is>
      </c>
      <c r="B136" s="6" t="inlineStr">
        <is>
          <t>餐厅-柜</t>
        </is>
      </c>
      <c r="C136" s="5" t="inlineStr">
        <is>
          <t>樱桃木旋转柜2025版</t>
        </is>
      </c>
      <c r="D136" s="5" t="inlineStr">
        <is>
          <t>旋转柜-仅餐桌-1.2米</t>
        </is>
      </c>
      <c r="E136" s="6" t="inlineStr">
        <is>
          <t>北美进口FAS级樱桃木</t>
        </is>
      </c>
      <c r="F136" s="6" t="inlineStr"/>
      <c r="G136" s="5" t="inlineStr"/>
      <c r="H136" s="26" t="n">
        <v>0</v>
      </c>
      <c r="I136" s="26" t="n">
        <v>0</v>
      </c>
      <c r="J136" s="27" t="n">
        <v>0.48</v>
      </c>
      <c r="K136" s="28">
        <f>IFERROR(H136,0)</f>
        <v/>
      </c>
      <c r="L136" s="29" t="n"/>
      <c r="M136" s="29" t="n"/>
      <c r="N136" s="29" t="n"/>
      <c r="O136" s="29" t="n"/>
      <c r="P136" s="30">
        <f>IFERROR(IF(K136=0,"待填成本",ROUND(K136/(1-L136),0)),"" )</f>
        <v/>
      </c>
      <c r="Q136" s="30">
        <f>IFERROR(IF(K136=0,"待填成本",ROUND(K136/(1-M136),0)),"" )</f>
        <v/>
      </c>
      <c r="R136" s="30">
        <f>IFERROR(IF(K136=0,"待填成本",ROUND(K136/(1-N136),0)),"" )</f>
        <v/>
      </c>
      <c r="S136" s="30">
        <f>IFERROR(IF(K136=0,"待填成本",ROUND(K136/(1-O136),0)),"" )</f>
        <v/>
      </c>
      <c r="T136" s="31">
        <f>IFERROR(IF(K136=0,"",(P136-K136)/P136),"" )</f>
        <v/>
      </c>
      <c r="U136" s="31">
        <f>IFERROR(IF(K136=0,"",(Q136-K136)/Q136),"" )</f>
        <v/>
      </c>
      <c r="V136" s="31">
        <f>IFERROR(IF(K136=0,"",(R136-K136)/R136),"" )</f>
        <v/>
      </c>
      <c r="W136" s="31">
        <f>IFERROR(IF(K136=0,"",(S136-K136)/S136),"" )</f>
        <v/>
      </c>
      <c r="X136" s="32" t="n"/>
      <c r="Y136" s="32" t="n"/>
      <c r="Z136" s="32" t="n"/>
      <c r="AA136" s="32" t="n"/>
      <c r="AB136" s="32" t="n"/>
      <c r="AC136" s="32" t="n"/>
      <c r="AD136" s="32" t="n"/>
      <c r="AE136" s="32" t="n"/>
      <c r="AF136" s="33" t="n"/>
      <c r="AG136" s="33" t="n"/>
      <c r="AH136" s="5" t="inlineStr"/>
    </row>
    <row r="137" ht="18" customHeight="1">
      <c r="A137" s="25" t="inlineStr">
        <is>
          <t>2525011041099</t>
        </is>
      </c>
      <c r="B137" s="34" t="inlineStr">
        <is>
          <t>餐厅-柜</t>
        </is>
      </c>
      <c r="C137" s="35" t="inlineStr">
        <is>
          <t>樱桃木旋转柜2025版</t>
        </is>
      </c>
      <c r="D137" s="35" t="inlineStr">
        <is>
          <t>旋转柜-仅餐桌-1.1米</t>
        </is>
      </c>
      <c r="E137" s="34" t="inlineStr">
        <is>
          <t>北美进口FAS级樱桃木</t>
        </is>
      </c>
      <c r="F137" s="34" t="inlineStr"/>
      <c r="G137" s="35" t="inlineStr"/>
      <c r="H137" s="26" t="n">
        <v>0</v>
      </c>
      <c r="I137" s="26" t="n">
        <v>0</v>
      </c>
      <c r="J137" s="27" t="n">
        <v>0.48</v>
      </c>
      <c r="K137" s="28">
        <f>IFERROR(H137,0)</f>
        <v/>
      </c>
      <c r="L137" s="29" t="n"/>
      <c r="M137" s="29" t="n"/>
      <c r="N137" s="29" t="n"/>
      <c r="O137" s="29" t="n"/>
      <c r="P137" s="30">
        <f>IFERROR(IF(K137=0,"待填成本",ROUND(K137/(1-L137),0)),"" )</f>
        <v/>
      </c>
      <c r="Q137" s="30">
        <f>IFERROR(IF(K137=0,"待填成本",ROUND(K137/(1-M137),0)),"" )</f>
        <v/>
      </c>
      <c r="R137" s="30">
        <f>IFERROR(IF(K137=0,"待填成本",ROUND(K137/(1-N137),0)),"" )</f>
        <v/>
      </c>
      <c r="S137" s="30">
        <f>IFERROR(IF(K137=0,"待填成本",ROUND(K137/(1-O137),0)),"" )</f>
        <v/>
      </c>
      <c r="T137" s="31">
        <f>IFERROR(IF(K137=0,"",(P137-K137)/P137),"" )</f>
        <v/>
      </c>
      <c r="U137" s="31">
        <f>IFERROR(IF(K137=0,"",(Q137-K137)/Q137),"" )</f>
        <v/>
      </c>
      <c r="V137" s="31">
        <f>IFERROR(IF(K137=0,"",(R137-K137)/R137),"" )</f>
        <v/>
      </c>
      <c r="W137" s="31">
        <f>IFERROR(IF(K137=0,"",(S137-K137)/S137),"" )</f>
        <v/>
      </c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3" t="n"/>
      <c r="AG137" s="33" t="n"/>
      <c r="AH137" s="35" t="inlineStr"/>
    </row>
    <row r="138" ht="18" customHeight="1">
      <c r="A138" s="25" t="inlineStr">
        <is>
          <t>2525011041099</t>
        </is>
      </c>
      <c r="B138" s="6" t="inlineStr">
        <is>
          <t>餐厅-柜</t>
        </is>
      </c>
      <c r="C138" s="5" t="inlineStr">
        <is>
          <t>樱桃木旋转柜2025版</t>
        </is>
      </c>
      <c r="D138" s="5" t="inlineStr">
        <is>
          <t>旋转柜-仅餐桌-1.0米</t>
        </is>
      </c>
      <c r="E138" s="6" t="inlineStr">
        <is>
          <t>北美进口FAS级樱桃木</t>
        </is>
      </c>
      <c r="F138" s="6" t="inlineStr"/>
      <c r="G138" s="5" t="inlineStr"/>
      <c r="H138" s="26" t="n">
        <v>0</v>
      </c>
      <c r="I138" s="26" t="n">
        <v>0</v>
      </c>
      <c r="J138" s="27" t="n">
        <v>0.48</v>
      </c>
      <c r="K138" s="28">
        <f>IFERROR(H138,0)</f>
        <v/>
      </c>
      <c r="L138" s="29" t="n"/>
      <c r="M138" s="29" t="n"/>
      <c r="N138" s="29" t="n"/>
      <c r="O138" s="29" t="n"/>
      <c r="P138" s="30">
        <f>IFERROR(IF(K138=0,"待填成本",ROUND(K138/(1-L138),0)),"" )</f>
        <v/>
      </c>
      <c r="Q138" s="30">
        <f>IFERROR(IF(K138=0,"待填成本",ROUND(K138/(1-M138),0)),"" )</f>
        <v/>
      </c>
      <c r="R138" s="30">
        <f>IFERROR(IF(K138=0,"待填成本",ROUND(K138/(1-N138),0)),"" )</f>
        <v/>
      </c>
      <c r="S138" s="30">
        <f>IFERROR(IF(K138=0,"待填成本",ROUND(K138/(1-O138),0)),"" )</f>
        <v/>
      </c>
      <c r="T138" s="31">
        <f>IFERROR(IF(K138=0,"",(P138-K138)/P138),"" )</f>
        <v/>
      </c>
      <c r="U138" s="31">
        <f>IFERROR(IF(K138=0,"",(Q138-K138)/Q138),"" )</f>
        <v/>
      </c>
      <c r="V138" s="31">
        <f>IFERROR(IF(K138=0,"",(R138-K138)/R138),"" )</f>
        <v/>
      </c>
      <c r="W138" s="31">
        <f>IFERROR(IF(K138=0,"",(S138-K138)/S138),"" )</f>
        <v/>
      </c>
      <c r="X138" s="32" t="n"/>
      <c r="Y138" s="32" t="n"/>
      <c r="Z138" s="32" t="n"/>
      <c r="AA138" s="32" t="n"/>
      <c r="AB138" s="32" t="n"/>
      <c r="AC138" s="32" t="n"/>
      <c r="AD138" s="32" t="n"/>
      <c r="AE138" s="32" t="n"/>
      <c r="AF138" s="33" t="n"/>
      <c r="AG138" s="33" t="n"/>
      <c r="AH138" s="5" t="inlineStr"/>
    </row>
    <row r="139" ht="18" customHeight="1">
      <c r="A139" s="25" t="inlineStr">
        <is>
          <t>2525011041099</t>
        </is>
      </c>
      <c r="B139" s="34" t="inlineStr">
        <is>
          <t>餐厅-柜</t>
        </is>
      </c>
      <c r="C139" s="35" t="inlineStr">
        <is>
          <t>樱桃木旋转柜2025版</t>
        </is>
      </c>
      <c r="D139" s="35" t="inlineStr">
        <is>
          <t>旋转柜-仅餐桌-0.9米</t>
        </is>
      </c>
      <c r="E139" s="34" t="inlineStr">
        <is>
          <t>北美进口FAS级樱桃木</t>
        </is>
      </c>
      <c r="F139" s="34" t="inlineStr"/>
      <c r="G139" s="35" t="inlineStr"/>
      <c r="H139" s="26" t="n">
        <v>0</v>
      </c>
      <c r="I139" s="26" t="n">
        <v>0</v>
      </c>
      <c r="J139" s="27" t="n">
        <v>0.48</v>
      </c>
      <c r="K139" s="28">
        <f>IFERROR(H139,0)</f>
        <v/>
      </c>
      <c r="L139" s="29" t="n"/>
      <c r="M139" s="29" t="n"/>
      <c r="N139" s="29" t="n"/>
      <c r="O139" s="29" t="n"/>
      <c r="P139" s="30">
        <f>IFERROR(IF(K139=0,"待填成本",ROUND(K139/(1-L139),0)),"" )</f>
        <v/>
      </c>
      <c r="Q139" s="30">
        <f>IFERROR(IF(K139=0,"待填成本",ROUND(K139/(1-M139),0)),"" )</f>
        <v/>
      </c>
      <c r="R139" s="30">
        <f>IFERROR(IF(K139=0,"待填成本",ROUND(K139/(1-N139),0)),"" )</f>
        <v/>
      </c>
      <c r="S139" s="30">
        <f>IFERROR(IF(K139=0,"待填成本",ROUND(K139/(1-O139),0)),"" )</f>
        <v/>
      </c>
      <c r="T139" s="31">
        <f>IFERROR(IF(K139=0,"",(P139-K139)/P139),"" )</f>
        <v/>
      </c>
      <c r="U139" s="31">
        <f>IFERROR(IF(K139=0,"",(Q139-K139)/Q139),"" )</f>
        <v/>
      </c>
      <c r="V139" s="31">
        <f>IFERROR(IF(K139=0,"",(R139-K139)/R139),"" )</f>
        <v/>
      </c>
      <c r="W139" s="31">
        <f>IFERROR(IF(K139=0,"",(S139-K139)/S139),"" )</f>
        <v/>
      </c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3" t="n"/>
      <c r="AG139" s="33" t="n"/>
      <c r="AH139" s="35" t="inlineStr"/>
    </row>
    <row r="140" ht="18" customHeight="1">
      <c r="A140" s="25" t="inlineStr">
        <is>
          <t>2525011041099</t>
        </is>
      </c>
      <c r="B140" s="6" t="inlineStr">
        <is>
          <t>餐厅-柜</t>
        </is>
      </c>
      <c r="C140" s="5" t="inlineStr">
        <is>
          <t>樱桃木旋转柜2025版</t>
        </is>
      </c>
      <c r="D140" s="5" t="inlineStr">
        <is>
          <t>旋转柜-仅餐桌-0.8米</t>
        </is>
      </c>
      <c r="E140" s="6" t="inlineStr">
        <is>
          <t>北美进口FAS级樱桃木</t>
        </is>
      </c>
      <c r="F140" s="6" t="inlineStr"/>
      <c r="G140" s="5" t="inlineStr"/>
      <c r="H140" s="26" t="n">
        <v>0</v>
      </c>
      <c r="I140" s="26" t="n">
        <v>0</v>
      </c>
      <c r="J140" s="27" t="n">
        <v>0.48</v>
      </c>
      <c r="K140" s="28">
        <f>IFERROR(H140,0)</f>
        <v/>
      </c>
      <c r="L140" s="29" t="n"/>
      <c r="M140" s="29" t="n"/>
      <c r="N140" s="29" t="n"/>
      <c r="O140" s="29" t="n"/>
      <c r="P140" s="30">
        <f>IFERROR(IF(K140=0,"待填成本",ROUND(K140/(1-L140),0)),"" )</f>
        <v/>
      </c>
      <c r="Q140" s="30">
        <f>IFERROR(IF(K140=0,"待填成本",ROUND(K140/(1-M140),0)),"" )</f>
        <v/>
      </c>
      <c r="R140" s="30">
        <f>IFERROR(IF(K140=0,"待填成本",ROUND(K140/(1-N140),0)),"" )</f>
        <v/>
      </c>
      <c r="S140" s="30">
        <f>IFERROR(IF(K140=0,"待填成本",ROUND(K140/(1-O140),0)),"" )</f>
        <v/>
      </c>
      <c r="T140" s="31">
        <f>IFERROR(IF(K140=0,"",(P140-K140)/P140),"" )</f>
        <v/>
      </c>
      <c r="U140" s="31">
        <f>IFERROR(IF(K140=0,"",(Q140-K140)/Q140),"" )</f>
        <v/>
      </c>
      <c r="V140" s="31">
        <f>IFERROR(IF(K140=0,"",(R140-K140)/R140),"" )</f>
        <v/>
      </c>
      <c r="W140" s="31">
        <f>IFERROR(IF(K140=0,"",(S140-K140)/S140),"" )</f>
        <v/>
      </c>
      <c r="X140" s="32" t="n"/>
      <c r="Y140" s="32" t="n"/>
      <c r="Z140" s="32" t="n"/>
      <c r="AA140" s="32" t="n"/>
      <c r="AB140" s="32" t="n"/>
      <c r="AC140" s="32" t="n"/>
      <c r="AD140" s="32" t="n"/>
      <c r="AE140" s="32" t="n"/>
      <c r="AF140" s="33" t="n"/>
      <c r="AG140" s="33" t="n"/>
      <c r="AH140" s="5" t="inlineStr"/>
    </row>
    <row r="141" ht="18" customHeight="1">
      <c r="A141" s="25" t="inlineStr">
        <is>
          <t>2525011041099</t>
        </is>
      </c>
      <c r="B141" s="34" t="inlineStr">
        <is>
          <t>餐厅-柜</t>
        </is>
      </c>
      <c r="C141" s="35" t="inlineStr">
        <is>
          <t>樱桃木旋转柜2025版</t>
        </is>
      </c>
      <c r="D141" s="35" t="inlineStr">
        <is>
          <t>旋转柜-下柜-2.1米+1.6米餐桌</t>
        </is>
      </c>
      <c r="E141" s="34" t="inlineStr">
        <is>
          <t>北美进口FAS级樱桃木</t>
        </is>
      </c>
      <c r="F141" s="34" t="inlineStr"/>
      <c r="G141" s="35" t="inlineStr"/>
      <c r="H141" s="26" t="n">
        <v>0</v>
      </c>
      <c r="I141" s="26" t="n">
        <v>0</v>
      </c>
      <c r="J141" s="27" t="n">
        <v>0.48</v>
      </c>
      <c r="K141" s="28">
        <f>IFERROR(H141,0)</f>
        <v/>
      </c>
      <c r="L141" s="29" t="n"/>
      <c r="M141" s="29" t="n"/>
      <c r="N141" s="29" t="n"/>
      <c r="O141" s="29" t="n"/>
      <c r="P141" s="30">
        <f>IFERROR(IF(K141=0,"待填成本",ROUND(K141/(1-L141),0)),"" )</f>
        <v/>
      </c>
      <c r="Q141" s="30">
        <f>IFERROR(IF(K141=0,"待填成本",ROUND(K141/(1-M141),0)),"" )</f>
        <v/>
      </c>
      <c r="R141" s="30">
        <f>IFERROR(IF(K141=0,"待填成本",ROUND(K141/(1-N141),0)),"" )</f>
        <v/>
      </c>
      <c r="S141" s="30">
        <f>IFERROR(IF(K141=0,"待填成本",ROUND(K141/(1-O141),0)),"" )</f>
        <v/>
      </c>
      <c r="T141" s="31">
        <f>IFERROR(IF(K141=0,"",(P141-K141)/P141),"" )</f>
        <v/>
      </c>
      <c r="U141" s="31">
        <f>IFERROR(IF(K141=0,"",(Q141-K141)/Q141),"" )</f>
        <v/>
      </c>
      <c r="V141" s="31">
        <f>IFERROR(IF(K141=0,"",(R141-K141)/R141),"" )</f>
        <v/>
      </c>
      <c r="W141" s="31">
        <f>IFERROR(IF(K141=0,"",(S141-K141)/S141),"" )</f>
        <v/>
      </c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3" t="n"/>
      <c r="AG141" s="33" t="n"/>
      <c r="AH141" s="35" t="inlineStr"/>
    </row>
    <row r="142" ht="18" customHeight="1">
      <c r="A142" s="25" t="inlineStr">
        <is>
          <t>2525011041099</t>
        </is>
      </c>
      <c r="B142" s="6" t="inlineStr">
        <is>
          <t>餐厅-柜</t>
        </is>
      </c>
      <c r="C142" s="5" t="inlineStr">
        <is>
          <t>樱桃木旋转柜2025版</t>
        </is>
      </c>
      <c r="D142" s="5" t="inlineStr">
        <is>
          <t>旋转柜-下柜-2.0米+1.6米餐桌</t>
        </is>
      </c>
      <c r="E142" s="6" t="inlineStr">
        <is>
          <t>北美进口FAS级樱桃木</t>
        </is>
      </c>
      <c r="F142" s="6" t="inlineStr"/>
      <c r="G142" s="5" t="inlineStr"/>
      <c r="H142" s="26" t="n">
        <v>0</v>
      </c>
      <c r="I142" s="26" t="n">
        <v>0</v>
      </c>
      <c r="J142" s="27" t="n">
        <v>0.48</v>
      </c>
      <c r="K142" s="28">
        <f>IFERROR(H142,0)</f>
        <v/>
      </c>
      <c r="L142" s="29" t="n"/>
      <c r="M142" s="29" t="n"/>
      <c r="N142" s="29" t="n"/>
      <c r="O142" s="29" t="n"/>
      <c r="P142" s="30">
        <f>IFERROR(IF(K142=0,"待填成本",ROUND(K142/(1-L142),0)),"" )</f>
        <v/>
      </c>
      <c r="Q142" s="30">
        <f>IFERROR(IF(K142=0,"待填成本",ROUND(K142/(1-M142),0)),"" )</f>
        <v/>
      </c>
      <c r="R142" s="30">
        <f>IFERROR(IF(K142=0,"待填成本",ROUND(K142/(1-N142),0)),"" )</f>
        <v/>
      </c>
      <c r="S142" s="30">
        <f>IFERROR(IF(K142=0,"待填成本",ROUND(K142/(1-O142),0)),"" )</f>
        <v/>
      </c>
      <c r="T142" s="31">
        <f>IFERROR(IF(K142=0,"",(P142-K142)/P142),"" )</f>
        <v/>
      </c>
      <c r="U142" s="31">
        <f>IFERROR(IF(K142=0,"",(Q142-K142)/Q142),"" )</f>
        <v/>
      </c>
      <c r="V142" s="31">
        <f>IFERROR(IF(K142=0,"",(R142-K142)/R142),"" )</f>
        <v/>
      </c>
      <c r="W142" s="31">
        <f>IFERROR(IF(K142=0,"",(S142-K142)/S142),"" )</f>
        <v/>
      </c>
      <c r="X142" s="32" t="n"/>
      <c r="Y142" s="32" t="n"/>
      <c r="Z142" s="32" t="n"/>
      <c r="AA142" s="32" t="n"/>
      <c r="AB142" s="32" t="n"/>
      <c r="AC142" s="32" t="n"/>
      <c r="AD142" s="32" t="n"/>
      <c r="AE142" s="32" t="n"/>
      <c r="AF142" s="33" t="n"/>
      <c r="AG142" s="33" t="n"/>
      <c r="AH142" s="5" t="inlineStr"/>
    </row>
    <row r="143" ht="18" customHeight="1">
      <c r="A143" s="25" t="inlineStr">
        <is>
          <t>2525011041099</t>
        </is>
      </c>
      <c r="B143" s="34" t="inlineStr">
        <is>
          <t>餐厅-柜</t>
        </is>
      </c>
      <c r="C143" s="35" t="inlineStr">
        <is>
          <t>樱桃木旋转柜2025版</t>
        </is>
      </c>
      <c r="D143" s="35" t="inlineStr">
        <is>
          <t>旋转柜-下柜-1.9米+1.5米餐桌</t>
        </is>
      </c>
      <c r="E143" s="34" t="inlineStr">
        <is>
          <t>北美进口FAS级樱桃木</t>
        </is>
      </c>
      <c r="F143" s="34" t="inlineStr"/>
      <c r="G143" s="35" t="inlineStr"/>
      <c r="H143" s="26" t="n">
        <v>0</v>
      </c>
      <c r="I143" s="26" t="n">
        <v>0</v>
      </c>
      <c r="J143" s="27" t="n">
        <v>0.48</v>
      </c>
      <c r="K143" s="28">
        <f>IFERROR(H143,0)</f>
        <v/>
      </c>
      <c r="L143" s="29" t="n"/>
      <c r="M143" s="29" t="n"/>
      <c r="N143" s="29" t="n"/>
      <c r="O143" s="29" t="n"/>
      <c r="P143" s="30">
        <f>IFERROR(IF(K143=0,"待填成本",ROUND(K143/(1-L143),0)),"" )</f>
        <v/>
      </c>
      <c r="Q143" s="30">
        <f>IFERROR(IF(K143=0,"待填成本",ROUND(K143/(1-M143),0)),"" )</f>
        <v/>
      </c>
      <c r="R143" s="30">
        <f>IFERROR(IF(K143=0,"待填成本",ROUND(K143/(1-N143),0)),"" )</f>
        <v/>
      </c>
      <c r="S143" s="30">
        <f>IFERROR(IF(K143=0,"待填成本",ROUND(K143/(1-O143),0)),"" )</f>
        <v/>
      </c>
      <c r="T143" s="31">
        <f>IFERROR(IF(K143=0,"",(P143-K143)/P143),"" )</f>
        <v/>
      </c>
      <c r="U143" s="31">
        <f>IFERROR(IF(K143=0,"",(Q143-K143)/Q143),"" )</f>
        <v/>
      </c>
      <c r="V143" s="31">
        <f>IFERROR(IF(K143=0,"",(R143-K143)/R143),"" )</f>
        <v/>
      </c>
      <c r="W143" s="31">
        <f>IFERROR(IF(K143=0,"",(S143-K143)/S143),"" )</f>
        <v/>
      </c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3" t="n"/>
      <c r="AG143" s="33" t="n"/>
      <c r="AH143" s="35" t="inlineStr"/>
    </row>
    <row r="144" ht="18" customHeight="1">
      <c r="A144" s="25" t="inlineStr">
        <is>
          <t>2525011041099</t>
        </is>
      </c>
      <c r="B144" s="6" t="inlineStr">
        <is>
          <t>餐厅-柜</t>
        </is>
      </c>
      <c r="C144" s="5" t="inlineStr">
        <is>
          <t>樱桃木旋转柜2025版</t>
        </is>
      </c>
      <c r="D144" s="5" t="inlineStr">
        <is>
          <t>旋转柜-下柜-1.8米+1.4米餐桌</t>
        </is>
      </c>
      <c r="E144" s="6" t="inlineStr">
        <is>
          <t>北美进口FAS级樱桃木</t>
        </is>
      </c>
      <c r="F144" s="6" t="inlineStr"/>
      <c r="G144" s="5" t="inlineStr"/>
      <c r="H144" s="26" t="n">
        <v>0</v>
      </c>
      <c r="I144" s="26" t="n">
        <v>0</v>
      </c>
      <c r="J144" s="27" t="n">
        <v>0.48</v>
      </c>
      <c r="K144" s="28">
        <f>IFERROR(H144,0)</f>
        <v/>
      </c>
      <c r="L144" s="29" t="n"/>
      <c r="M144" s="29" t="n"/>
      <c r="N144" s="29" t="n"/>
      <c r="O144" s="29" t="n"/>
      <c r="P144" s="30">
        <f>IFERROR(IF(K144=0,"待填成本",ROUND(K144/(1-L144),0)),"" )</f>
        <v/>
      </c>
      <c r="Q144" s="30">
        <f>IFERROR(IF(K144=0,"待填成本",ROUND(K144/(1-M144),0)),"" )</f>
        <v/>
      </c>
      <c r="R144" s="30">
        <f>IFERROR(IF(K144=0,"待填成本",ROUND(K144/(1-N144),0)),"" )</f>
        <v/>
      </c>
      <c r="S144" s="30">
        <f>IFERROR(IF(K144=0,"待填成本",ROUND(K144/(1-O144),0)),"" )</f>
        <v/>
      </c>
      <c r="T144" s="31">
        <f>IFERROR(IF(K144=0,"",(P144-K144)/P144),"" )</f>
        <v/>
      </c>
      <c r="U144" s="31">
        <f>IFERROR(IF(K144=0,"",(Q144-K144)/Q144),"" )</f>
        <v/>
      </c>
      <c r="V144" s="31">
        <f>IFERROR(IF(K144=0,"",(R144-K144)/R144),"" )</f>
        <v/>
      </c>
      <c r="W144" s="31">
        <f>IFERROR(IF(K144=0,"",(S144-K144)/S144),"" )</f>
        <v/>
      </c>
      <c r="X144" s="32" t="n"/>
      <c r="Y144" s="32" t="n"/>
      <c r="Z144" s="32" t="n"/>
      <c r="AA144" s="32" t="n"/>
      <c r="AB144" s="32" t="n"/>
      <c r="AC144" s="32" t="n"/>
      <c r="AD144" s="32" t="n"/>
      <c r="AE144" s="32" t="n"/>
      <c r="AF144" s="33" t="n"/>
      <c r="AG144" s="33" t="n"/>
      <c r="AH144" s="5" t="inlineStr"/>
    </row>
    <row r="145" ht="18" customHeight="1">
      <c r="A145" s="25" t="inlineStr">
        <is>
          <t>2525011041099</t>
        </is>
      </c>
      <c r="B145" s="34" t="inlineStr">
        <is>
          <t>餐厅-柜</t>
        </is>
      </c>
      <c r="C145" s="35" t="inlineStr">
        <is>
          <t>樱桃木旋转柜2025版</t>
        </is>
      </c>
      <c r="D145" s="35" t="inlineStr">
        <is>
          <t>旋转柜-下柜-1.7米+1.4米餐桌</t>
        </is>
      </c>
      <c r="E145" s="34" t="inlineStr">
        <is>
          <t>北美进口FAS级樱桃木</t>
        </is>
      </c>
      <c r="F145" s="34" t="inlineStr"/>
      <c r="G145" s="35" t="inlineStr"/>
      <c r="H145" s="26" t="n">
        <v>0</v>
      </c>
      <c r="I145" s="26" t="n">
        <v>0</v>
      </c>
      <c r="J145" s="27" t="n">
        <v>0.48</v>
      </c>
      <c r="K145" s="28">
        <f>IFERROR(H145,0)</f>
        <v/>
      </c>
      <c r="L145" s="29" t="n"/>
      <c r="M145" s="29" t="n"/>
      <c r="N145" s="29" t="n"/>
      <c r="O145" s="29" t="n"/>
      <c r="P145" s="30">
        <f>IFERROR(IF(K145=0,"待填成本",ROUND(K145/(1-L145),0)),"" )</f>
        <v/>
      </c>
      <c r="Q145" s="30">
        <f>IFERROR(IF(K145=0,"待填成本",ROUND(K145/(1-M145),0)),"" )</f>
        <v/>
      </c>
      <c r="R145" s="30">
        <f>IFERROR(IF(K145=0,"待填成本",ROUND(K145/(1-N145),0)),"" )</f>
        <v/>
      </c>
      <c r="S145" s="30">
        <f>IFERROR(IF(K145=0,"待填成本",ROUND(K145/(1-O145),0)),"" )</f>
        <v/>
      </c>
      <c r="T145" s="31">
        <f>IFERROR(IF(K145=0,"",(P145-K145)/P145),"" )</f>
        <v/>
      </c>
      <c r="U145" s="31">
        <f>IFERROR(IF(K145=0,"",(Q145-K145)/Q145),"" )</f>
        <v/>
      </c>
      <c r="V145" s="31">
        <f>IFERROR(IF(K145=0,"",(R145-K145)/R145),"" )</f>
        <v/>
      </c>
      <c r="W145" s="31">
        <f>IFERROR(IF(K145=0,"",(S145-K145)/S145),"" )</f>
        <v/>
      </c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3" t="n"/>
      <c r="AG145" s="33" t="n"/>
      <c r="AH145" s="35" t="inlineStr"/>
    </row>
    <row r="146" ht="18" customHeight="1">
      <c r="A146" s="25" t="inlineStr">
        <is>
          <t>2525011041099</t>
        </is>
      </c>
      <c r="B146" s="6" t="inlineStr">
        <is>
          <t>餐厅-柜</t>
        </is>
      </c>
      <c r="C146" s="5" t="inlineStr">
        <is>
          <t>樱桃木旋转柜2025版</t>
        </is>
      </c>
      <c r="D146" s="5" t="inlineStr">
        <is>
          <t>旋转柜-下柜-1.6米+1.3米餐桌</t>
        </is>
      </c>
      <c r="E146" s="6" t="inlineStr">
        <is>
          <t>北美进口FAS级樱桃木</t>
        </is>
      </c>
      <c r="F146" s="6" t="inlineStr"/>
      <c r="G146" s="5" t="inlineStr"/>
      <c r="H146" s="26" t="n">
        <v>0</v>
      </c>
      <c r="I146" s="26" t="n">
        <v>0</v>
      </c>
      <c r="J146" s="27" t="n">
        <v>0.48</v>
      </c>
      <c r="K146" s="28">
        <f>IFERROR(H146,0)</f>
        <v/>
      </c>
      <c r="L146" s="29" t="n"/>
      <c r="M146" s="29" t="n"/>
      <c r="N146" s="29" t="n"/>
      <c r="O146" s="29" t="n"/>
      <c r="P146" s="30">
        <f>IFERROR(IF(K146=0,"待填成本",ROUND(K146/(1-L146),0)),"" )</f>
        <v/>
      </c>
      <c r="Q146" s="30">
        <f>IFERROR(IF(K146=0,"待填成本",ROUND(K146/(1-M146),0)),"" )</f>
        <v/>
      </c>
      <c r="R146" s="30">
        <f>IFERROR(IF(K146=0,"待填成本",ROUND(K146/(1-N146),0)),"" )</f>
        <v/>
      </c>
      <c r="S146" s="30">
        <f>IFERROR(IF(K146=0,"待填成本",ROUND(K146/(1-O146),0)),"" )</f>
        <v/>
      </c>
      <c r="T146" s="31">
        <f>IFERROR(IF(K146=0,"",(P146-K146)/P146),"" )</f>
        <v/>
      </c>
      <c r="U146" s="31">
        <f>IFERROR(IF(K146=0,"",(Q146-K146)/Q146),"" )</f>
        <v/>
      </c>
      <c r="V146" s="31">
        <f>IFERROR(IF(K146=0,"",(R146-K146)/R146),"" )</f>
        <v/>
      </c>
      <c r="W146" s="31">
        <f>IFERROR(IF(K146=0,"",(S146-K146)/S146),"" )</f>
        <v/>
      </c>
      <c r="X146" s="32" t="n"/>
      <c r="Y146" s="32" t="n"/>
      <c r="Z146" s="32" t="n"/>
      <c r="AA146" s="32" t="n"/>
      <c r="AB146" s="32" t="n"/>
      <c r="AC146" s="32" t="n"/>
      <c r="AD146" s="32" t="n"/>
      <c r="AE146" s="32" t="n"/>
      <c r="AF146" s="33" t="n"/>
      <c r="AG146" s="33" t="n"/>
      <c r="AH146" s="5" t="inlineStr"/>
    </row>
    <row r="147" ht="18" customHeight="1">
      <c r="A147" s="25" t="inlineStr">
        <is>
          <t>2525011041099</t>
        </is>
      </c>
      <c r="B147" s="34" t="inlineStr">
        <is>
          <t>餐厅-柜</t>
        </is>
      </c>
      <c r="C147" s="35" t="inlineStr">
        <is>
          <t>樱桃木旋转柜2025版</t>
        </is>
      </c>
      <c r="D147" s="35" t="inlineStr">
        <is>
          <t>旋转柜-下柜-1.5米+1.1米餐桌</t>
        </is>
      </c>
      <c r="E147" s="34" t="inlineStr">
        <is>
          <t>北美进口FAS级樱桃木</t>
        </is>
      </c>
      <c r="F147" s="34" t="inlineStr"/>
      <c r="G147" s="35" t="inlineStr"/>
      <c r="H147" s="26" t="n">
        <v>0</v>
      </c>
      <c r="I147" s="26" t="n">
        <v>0</v>
      </c>
      <c r="J147" s="27" t="n">
        <v>0.48</v>
      </c>
      <c r="K147" s="28">
        <f>IFERROR(H147,0)</f>
        <v/>
      </c>
      <c r="L147" s="29" t="n"/>
      <c r="M147" s="29" t="n"/>
      <c r="N147" s="29" t="n"/>
      <c r="O147" s="29" t="n"/>
      <c r="P147" s="30">
        <f>IFERROR(IF(K147=0,"待填成本",ROUND(K147/(1-L147),0)),"" )</f>
        <v/>
      </c>
      <c r="Q147" s="30">
        <f>IFERROR(IF(K147=0,"待填成本",ROUND(K147/(1-M147),0)),"" )</f>
        <v/>
      </c>
      <c r="R147" s="30">
        <f>IFERROR(IF(K147=0,"待填成本",ROUND(K147/(1-N147),0)),"" )</f>
        <v/>
      </c>
      <c r="S147" s="30">
        <f>IFERROR(IF(K147=0,"待填成本",ROUND(K147/(1-O147),0)),"" )</f>
        <v/>
      </c>
      <c r="T147" s="31">
        <f>IFERROR(IF(K147=0,"",(P147-K147)/P147),"" )</f>
        <v/>
      </c>
      <c r="U147" s="31">
        <f>IFERROR(IF(K147=0,"",(Q147-K147)/Q147),"" )</f>
        <v/>
      </c>
      <c r="V147" s="31">
        <f>IFERROR(IF(K147=0,"",(R147-K147)/R147),"" )</f>
        <v/>
      </c>
      <c r="W147" s="31">
        <f>IFERROR(IF(K147=0,"",(S147-K147)/S147),"" )</f>
        <v/>
      </c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3" t="n"/>
      <c r="AG147" s="33" t="n"/>
      <c r="AH147" s="35" t="inlineStr"/>
    </row>
    <row r="148" ht="18" customHeight="1">
      <c r="A148" s="25" t="inlineStr">
        <is>
          <t>2525011041099</t>
        </is>
      </c>
      <c r="B148" s="6" t="inlineStr">
        <is>
          <t>餐厅-柜</t>
        </is>
      </c>
      <c r="C148" s="5" t="inlineStr">
        <is>
          <t>樱桃木旋转柜2025版</t>
        </is>
      </c>
      <c r="D148" s="5" t="inlineStr">
        <is>
          <t>旋转柜-下柜-1.4米+1.1米餐桌</t>
        </is>
      </c>
      <c r="E148" s="6" t="inlineStr">
        <is>
          <t>北美进口FAS级樱桃木</t>
        </is>
      </c>
      <c r="F148" s="6" t="inlineStr"/>
      <c r="G148" s="5" t="inlineStr"/>
      <c r="H148" s="26" t="n">
        <v>0</v>
      </c>
      <c r="I148" s="26" t="n">
        <v>0</v>
      </c>
      <c r="J148" s="27" t="n">
        <v>0.48</v>
      </c>
      <c r="K148" s="28">
        <f>IFERROR(H148,0)</f>
        <v/>
      </c>
      <c r="L148" s="29" t="n"/>
      <c r="M148" s="29" t="n"/>
      <c r="N148" s="29" t="n"/>
      <c r="O148" s="29" t="n"/>
      <c r="P148" s="30">
        <f>IFERROR(IF(K148=0,"待填成本",ROUND(K148/(1-L148),0)),"" )</f>
        <v/>
      </c>
      <c r="Q148" s="30">
        <f>IFERROR(IF(K148=0,"待填成本",ROUND(K148/(1-M148),0)),"" )</f>
        <v/>
      </c>
      <c r="R148" s="30">
        <f>IFERROR(IF(K148=0,"待填成本",ROUND(K148/(1-N148),0)),"" )</f>
        <v/>
      </c>
      <c r="S148" s="30">
        <f>IFERROR(IF(K148=0,"待填成本",ROUND(K148/(1-O148),0)),"" )</f>
        <v/>
      </c>
      <c r="T148" s="31">
        <f>IFERROR(IF(K148=0,"",(P148-K148)/P148),"" )</f>
        <v/>
      </c>
      <c r="U148" s="31">
        <f>IFERROR(IF(K148=0,"",(Q148-K148)/Q148),"" )</f>
        <v/>
      </c>
      <c r="V148" s="31">
        <f>IFERROR(IF(K148=0,"",(R148-K148)/R148),"" )</f>
        <v/>
      </c>
      <c r="W148" s="31">
        <f>IFERROR(IF(K148=0,"",(S148-K148)/S148),"" )</f>
        <v/>
      </c>
      <c r="X148" s="32" t="n"/>
      <c r="Y148" s="32" t="n"/>
      <c r="Z148" s="32" t="n"/>
      <c r="AA148" s="32" t="n"/>
      <c r="AB148" s="32" t="n"/>
      <c r="AC148" s="32" t="n"/>
      <c r="AD148" s="32" t="n"/>
      <c r="AE148" s="32" t="n"/>
      <c r="AF148" s="33" t="n"/>
      <c r="AG148" s="33" t="n"/>
      <c r="AH148" s="5" t="inlineStr"/>
    </row>
    <row r="149" ht="18" customHeight="1">
      <c r="A149" s="25" t="inlineStr">
        <is>
          <t>2525011041099</t>
        </is>
      </c>
      <c r="B149" s="34" t="inlineStr">
        <is>
          <t>餐厅-柜</t>
        </is>
      </c>
      <c r="C149" s="35" t="inlineStr">
        <is>
          <t>樱桃木旋转柜2025版</t>
        </is>
      </c>
      <c r="D149" s="35" t="inlineStr">
        <is>
          <t>旋转柜-下柜-1.3米+1.0米餐桌</t>
        </is>
      </c>
      <c r="E149" s="34" t="inlineStr">
        <is>
          <t>北美进口FAS级樱桃木</t>
        </is>
      </c>
      <c r="F149" s="34" t="inlineStr"/>
      <c r="G149" s="35" t="inlineStr"/>
      <c r="H149" s="26" t="n">
        <v>0</v>
      </c>
      <c r="I149" s="26" t="n">
        <v>0</v>
      </c>
      <c r="J149" s="27" t="n">
        <v>0.48</v>
      </c>
      <c r="K149" s="28">
        <f>IFERROR(H149,0)</f>
        <v/>
      </c>
      <c r="L149" s="29" t="n"/>
      <c r="M149" s="29" t="n"/>
      <c r="N149" s="29" t="n"/>
      <c r="O149" s="29" t="n"/>
      <c r="P149" s="30">
        <f>IFERROR(IF(K149=0,"待填成本",ROUND(K149/(1-L149),0)),"" )</f>
        <v/>
      </c>
      <c r="Q149" s="30">
        <f>IFERROR(IF(K149=0,"待填成本",ROUND(K149/(1-M149),0)),"" )</f>
        <v/>
      </c>
      <c r="R149" s="30">
        <f>IFERROR(IF(K149=0,"待填成本",ROUND(K149/(1-N149),0)),"" )</f>
        <v/>
      </c>
      <c r="S149" s="30">
        <f>IFERROR(IF(K149=0,"待填成本",ROUND(K149/(1-O149),0)),"" )</f>
        <v/>
      </c>
      <c r="T149" s="31">
        <f>IFERROR(IF(K149=0,"",(P149-K149)/P149),"" )</f>
        <v/>
      </c>
      <c r="U149" s="31">
        <f>IFERROR(IF(K149=0,"",(Q149-K149)/Q149),"" )</f>
        <v/>
      </c>
      <c r="V149" s="31">
        <f>IFERROR(IF(K149=0,"",(R149-K149)/R149),"" )</f>
        <v/>
      </c>
      <c r="W149" s="31">
        <f>IFERROR(IF(K149=0,"",(S149-K149)/S149),"" )</f>
        <v/>
      </c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3" t="n"/>
      <c r="AG149" s="33" t="n"/>
      <c r="AH149" s="35" t="inlineStr"/>
    </row>
    <row r="150" ht="18" customHeight="1">
      <c r="A150" s="25" t="inlineStr">
        <is>
          <t>2525011041099</t>
        </is>
      </c>
      <c r="B150" s="6" t="inlineStr">
        <is>
          <t>餐厅-柜</t>
        </is>
      </c>
      <c r="C150" s="5" t="inlineStr">
        <is>
          <t>樱桃木旋转柜2025版</t>
        </is>
      </c>
      <c r="D150" s="5" t="inlineStr">
        <is>
          <t>旋转柜-下柜-1.2米+1.0米餐桌</t>
        </is>
      </c>
      <c r="E150" s="6" t="inlineStr">
        <is>
          <t>北美进口FAS级樱桃木</t>
        </is>
      </c>
      <c r="F150" s="6" t="inlineStr"/>
      <c r="G150" s="5" t="inlineStr"/>
      <c r="H150" s="26" t="n">
        <v>0</v>
      </c>
      <c r="I150" s="26" t="n">
        <v>0</v>
      </c>
      <c r="J150" s="27" t="n">
        <v>0.48</v>
      </c>
      <c r="K150" s="28">
        <f>IFERROR(H150,0)</f>
        <v/>
      </c>
      <c r="L150" s="29" t="n"/>
      <c r="M150" s="29" t="n"/>
      <c r="N150" s="29" t="n"/>
      <c r="O150" s="29" t="n"/>
      <c r="P150" s="30">
        <f>IFERROR(IF(K150=0,"待填成本",ROUND(K150/(1-L150),0)),"" )</f>
        <v/>
      </c>
      <c r="Q150" s="30">
        <f>IFERROR(IF(K150=0,"待填成本",ROUND(K150/(1-M150),0)),"" )</f>
        <v/>
      </c>
      <c r="R150" s="30">
        <f>IFERROR(IF(K150=0,"待填成本",ROUND(K150/(1-N150),0)),"" )</f>
        <v/>
      </c>
      <c r="S150" s="30">
        <f>IFERROR(IF(K150=0,"待填成本",ROUND(K150/(1-O150),0)),"" )</f>
        <v/>
      </c>
      <c r="T150" s="31">
        <f>IFERROR(IF(K150=0,"",(P150-K150)/P150),"" )</f>
        <v/>
      </c>
      <c r="U150" s="31">
        <f>IFERROR(IF(K150=0,"",(Q150-K150)/Q150),"" )</f>
        <v/>
      </c>
      <c r="V150" s="31">
        <f>IFERROR(IF(K150=0,"",(R150-K150)/R150),"" )</f>
        <v/>
      </c>
      <c r="W150" s="31">
        <f>IFERROR(IF(K150=0,"",(S150-K150)/S150),"" )</f>
        <v/>
      </c>
      <c r="X150" s="32" t="n"/>
      <c r="Y150" s="32" t="n"/>
      <c r="Z150" s="32" t="n"/>
      <c r="AA150" s="32" t="n"/>
      <c r="AB150" s="32" t="n"/>
      <c r="AC150" s="32" t="n"/>
      <c r="AD150" s="32" t="n"/>
      <c r="AE150" s="32" t="n"/>
      <c r="AF150" s="33" t="n"/>
      <c r="AG150" s="33" t="n"/>
      <c r="AH150" s="5" t="inlineStr"/>
    </row>
    <row r="151" ht="18" customHeight="1">
      <c r="A151" s="25" t="inlineStr">
        <is>
          <t>2525011041099</t>
        </is>
      </c>
      <c r="B151" s="34" t="inlineStr">
        <is>
          <t>餐厅-柜</t>
        </is>
      </c>
      <c r="C151" s="35" t="inlineStr">
        <is>
          <t>樱桃木旋转柜2025版</t>
        </is>
      </c>
      <c r="D151" s="35" t="inlineStr">
        <is>
          <t>旋转柜-下柜-1.1米+0.8米餐桌</t>
        </is>
      </c>
      <c r="E151" s="34" t="inlineStr">
        <is>
          <t>北美进口FAS级樱桃木</t>
        </is>
      </c>
      <c r="F151" s="34" t="inlineStr"/>
      <c r="G151" s="35" t="inlineStr"/>
      <c r="H151" s="26" t="n">
        <v>0</v>
      </c>
      <c r="I151" s="26" t="n">
        <v>0</v>
      </c>
      <c r="J151" s="27" t="n">
        <v>0.48</v>
      </c>
      <c r="K151" s="28">
        <f>IFERROR(H151,0)</f>
        <v/>
      </c>
      <c r="L151" s="29" t="n"/>
      <c r="M151" s="29" t="n"/>
      <c r="N151" s="29" t="n"/>
      <c r="O151" s="29" t="n"/>
      <c r="P151" s="30">
        <f>IFERROR(IF(K151=0,"待填成本",ROUND(K151/(1-L151),0)),"" )</f>
        <v/>
      </c>
      <c r="Q151" s="30">
        <f>IFERROR(IF(K151=0,"待填成本",ROUND(K151/(1-M151),0)),"" )</f>
        <v/>
      </c>
      <c r="R151" s="30">
        <f>IFERROR(IF(K151=0,"待填成本",ROUND(K151/(1-N151),0)),"" )</f>
        <v/>
      </c>
      <c r="S151" s="30">
        <f>IFERROR(IF(K151=0,"待填成本",ROUND(K151/(1-O151),0)),"" )</f>
        <v/>
      </c>
      <c r="T151" s="31">
        <f>IFERROR(IF(K151=0,"",(P151-K151)/P151),"" )</f>
        <v/>
      </c>
      <c r="U151" s="31">
        <f>IFERROR(IF(K151=0,"",(Q151-K151)/Q151),"" )</f>
        <v/>
      </c>
      <c r="V151" s="31">
        <f>IFERROR(IF(K151=0,"",(R151-K151)/R151),"" )</f>
        <v/>
      </c>
      <c r="W151" s="31">
        <f>IFERROR(IF(K151=0,"",(S151-K151)/S151),"" )</f>
        <v/>
      </c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3" t="n"/>
      <c r="AG151" s="33" t="n"/>
      <c r="AH151" s="35" t="inlineStr"/>
    </row>
    <row r="152" ht="18" customHeight="1">
      <c r="A152" s="25" t="inlineStr">
        <is>
          <t>2525011041099</t>
        </is>
      </c>
      <c r="B152" s="6" t="inlineStr">
        <is>
          <t>餐厅-柜</t>
        </is>
      </c>
      <c r="C152" s="5" t="inlineStr">
        <is>
          <t>樱桃木旋转柜2025版</t>
        </is>
      </c>
      <c r="D152" s="5" t="inlineStr">
        <is>
          <t>旋转柜-下柜-1.0米+0.8米餐桌</t>
        </is>
      </c>
      <c r="E152" s="6" t="inlineStr">
        <is>
          <t>北美进口FAS级樱桃木</t>
        </is>
      </c>
      <c r="F152" s="6" t="inlineStr"/>
      <c r="G152" s="5" t="inlineStr"/>
      <c r="H152" s="26" t="n">
        <v>0</v>
      </c>
      <c r="I152" s="26" t="n">
        <v>0</v>
      </c>
      <c r="J152" s="27" t="n">
        <v>0.48</v>
      </c>
      <c r="K152" s="28">
        <f>IFERROR(H152,0)</f>
        <v/>
      </c>
      <c r="L152" s="29" t="n"/>
      <c r="M152" s="29" t="n"/>
      <c r="N152" s="29" t="n"/>
      <c r="O152" s="29" t="n"/>
      <c r="P152" s="30">
        <f>IFERROR(IF(K152=0,"待填成本",ROUND(K152/(1-L152),0)),"" )</f>
        <v/>
      </c>
      <c r="Q152" s="30">
        <f>IFERROR(IF(K152=0,"待填成本",ROUND(K152/(1-M152),0)),"" )</f>
        <v/>
      </c>
      <c r="R152" s="30">
        <f>IFERROR(IF(K152=0,"待填成本",ROUND(K152/(1-N152),0)),"" )</f>
        <v/>
      </c>
      <c r="S152" s="30">
        <f>IFERROR(IF(K152=0,"待填成本",ROUND(K152/(1-O152),0)),"" )</f>
        <v/>
      </c>
      <c r="T152" s="31">
        <f>IFERROR(IF(K152=0,"",(P152-K152)/P152),"" )</f>
        <v/>
      </c>
      <c r="U152" s="31">
        <f>IFERROR(IF(K152=0,"",(Q152-K152)/Q152),"" )</f>
        <v/>
      </c>
      <c r="V152" s="31">
        <f>IFERROR(IF(K152=0,"",(R152-K152)/R152),"" )</f>
        <v/>
      </c>
      <c r="W152" s="31">
        <f>IFERROR(IF(K152=0,"",(S152-K152)/S152),"" )</f>
        <v/>
      </c>
      <c r="X152" s="32" t="n"/>
      <c r="Y152" s="32" t="n"/>
      <c r="Z152" s="32" t="n"/>
      <c r="AA152" s="32" t="n"/>
      <c r="AB152" s="32" t="n"/>
      <c r="AC152" s="32" t="n"/>
      <c r="AD152" s="32" t="n"/>
      <c r="AE152" s="32" t="n"/>
      <c r="AF152" s="33" t="n"/>
      <c r="AG152" s="33" t="n"/>
      <c r="AH152" s="5" t="inlineStr"/>
    </row>
    <row r="153" ht="18" customHeight="1">
      <c r="A153" s="25" t="inlineStr">
        <is>
          <t>2525011041099</t>
        </is>
      </c>
      <c r="B153" s="34" t="inlineStr">
        <is>
          <t>餐厅-柜</t>
        </is>
      </c>
      <c r="C153" s="35" t="inlineStr">
        <is>
          <t>樱桃木旋转柜2025版</t>
        </is>
      </c>
      <c r="D153" s="35" t="inlineStr">
        <is>
          <t>旋转柜-樱桃木整柜2.1米+1.6米餐桌</t>
        </is>
      </c>
      <c r="E153" s="34" t="inlineStr">
        <is>
          <t>北美进口FAS级樱桃木</t>
        </is>
      </c>
      <c r="F153" s="34" t="inlineStr"/>
      <c r="G153" s="35" t="inlineStr"/>
      <c r="H153" s="26" t="n">
        <v>0</v>
      </c>
      <c r="I153" s="26" t="n">
        <v>0</v>
      </c>
      <c r="J153" s="27" t="n">
        <v>0.48</v>
      </c>
      <c r="K153" s="28">
        <f>IFERROR(H153,0)</f>
        <v/>
      </c>
      <c r="L153" s="29" t="n"/>
      <c r="M153" s="29" t="n"/>
      <c r="N153" s="29" t="n"/>
      <c r="O153" s="29" t="n"/>
      <c r="P153" s="30">
        <f>IFERROR(IF(K153=0,"待填成本",ROUND(K153/(1-L153),0)),"" )</f>
        <v/>
      </c>
      <c r="Q153" s="30">
        <f>IFERROR(IF(K153=0,"待填成本",ROUND(K153/(1-M153),0)),"" )</f>
        <v/>
      </c>
      <c r="R153" s="30">
        <f>IFERROR(IF(K153=0,"待填成本",ROUND(K153/(1-N153),0)),"" )</f>
        <v/>
      </c>
      <c r="S153" s="30">
        <f>IFERROR(IF(K153=0,"待填成本",ROUND(K153/(1-O153),0)),"" )</f>
        <v/>
      </c>
      <c r="T153" s="31">
        <f>IFERROR(IF(K153=0,"",(P153-K153)/P153),"" )</f>
        <v/>
      </c>
      <c r="U153" s="31">
        <f>IFERROR(IF(K153=0,"",(Q153-K153)/Q153),"" )</f>
        <v/>
      </c>
      <c r="V153" s="31">
        <f>IFERROR(IF(K153=0,"",(R153-K153)/R153),"" )</f>
        <v/>
      </c>
      <c r="W153" s="31">
        <f>IFERROR(IF(K153=0,"",(S153-K153)/S153),"" )</f>
        <v/>
      </c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3" t="n"/>
      <c r="AG153" s="33" t="n"/>
      <c r="AH153" s="35" t="inlineStr"/>
    </row>
    <row r="154" ht="18" customHeight="1">
      <c r="A154" s="25" t="inlineStr">
        <is>
          <t>2525011041099</t>
        </is>
      </c>
      <c r="B154" s="6" t="inlineStr">
        <is>
          <t>餐厅-柜</t>
        </is>
      </c>
      <c r="C154" s="5" t="inlineStr">
        <is>
          <t>樱桃木旋转柜2025版</t>
        </is>
      </c>
      <c r="D154" s="5" t="inlineStr">
        <is>
          <t>旋转柜-樱桃木整柜2.0米+1.6米餐桌</t>
        </is>
      </c>
      <c r="E154" s="6" t="inlineStr">
        <is>
          <t>北美进口FAS级樱桃木</t>
        </is>
      </c>
      <c r="F154" s="6" t="inlineStr"/>
      <c r="G154" s="5" t="inlineStr"/>
      <c r="H154" s="26" t="n">
        <v>0</v>
      </c>
      <c r="I154" s="26" t="n">
        <v>0</v>
      </c>
      <c r="J154" s="27" t="n">
        <v>0.48</v>
      </c>
      <c r="K154" s="28">
        <f>IFERROR(H154,0)</f>
        <v/>
      </c>
      <c r="L154" s="29" t="n"/>
      <c r="M154" s="29" t="n"/>
      <c r="N154" s="29" t="n"/>
      <c r="O154" s="29" t="n"/>
      <c r="P154" s="30">
        <f>IFERROR(IF(K154=0,"待填成本",ROUND(K154/(1-L154),0)),"" )</f>
        <v/>
      </c>
      <c r="Q154" s="30">
        <f>IFERROR(IF(K154=0,"待填成本",ROUND(K154/(1-M154),0)),"" )</f>
        <v/>
      </c>
      <c r="R154" s="30">
        <f>IFERROR(IF(K154=0,"待填成本",ROUND(K154/(1-N154),0)),"" )</f>
        <v/>
      </c>
      <c r="S154" s="30">
        <f>IFERROR(IF(K154=0,"待填成本",ROUND(K154/(1-O154),0)),"" )</f>
        <v/>
      </c>
      <c r="T154" s="31">
        <f>IFERROR(IF(K154=0,"",(P154-K154)/P154),"" )</f>
        <v/>
      </c>
      <c r="U154" s="31">
        <f>IFERROR(IF(K154=0,"",(Q154-K154)/Q154),"" )</f>
        <v/>
      </c>
      <c r="V154" s="31">
        <f>IFERROR(IF(K154=0,"",(R154-K154)/R154),"" )</f>
        <v/>
      </c>
      <c r="W154" s="31">
        <f>IFERROR(IF(K154=0,"",(S154-K154)/S154),"" )</f>
        <v/>
      </c>
      <c r="X154" s="32" t="n"/>
      <c r="Y154" s="32" t="n"/>
      <c r="Z154" s="32" t="n"/>
      <c r="AA154" s="32" t="n"/>
      <c r="AB154" s="32" t="n"/>
      <c r="AC154" s="32" t="n"/>
      <c r="AD154" s="32" t="n"/>
      <c r="AE154" s="32" t="n"/>
      <c r="AF154" s="33" t="n"/>
      <c r="AG154" s="33" t="n"/>
      <c r="AH154" s="5" t="inlineStr"/>
    </row>
    <row r="155" ht="18" customHeight="1">
      <c r="A155" s="25" t="inlineStr">
        <is>
          <t>2525011041099</t>
        </is>
      </c>
      <c r="B155" s="34" t="inlineStr">
        <is>
          <t>餐厅-柜</t>
        </is>
      </c>
      <c r="C155" s="35" t="inlineStr">
        <is>
          <t>樱桃木旋转柜2025版</t>
        </is>
      </c>
      <c r="D155" s="35" t="inlineStr">
        <is>
          <t>旋转柜-樱桃木整柜1.9米+1.5米餐桌</t>
        </is>
      </c>
      <c r="E155" s="34" t="inlineStr">
        <is>
          <t>北美进口FAS级樱桃木</t>
        </is>
      </c>
      <c r="F155" s="34" t="inlineStr"/>
      <c r="G155" s="35" t="inlineStr"/>
      <c r="H155" s="26" t="n">
        <v>0</v>
      </c>
      <c r="I155" s="26" t="n">
        <v>0</v>
      </c>
      <c r="J155" s="27" t="n">
        <v>0.48</v>
      </c>
      <c r="K155" s="28">
        <f>IFERROR(H155,0)</f>
        <v/>
      </c>
      <c r="L155" s="29" t="n"/>
      <c r="M155" s="29" t="n"/>
      <c r="N155" s="29" t="n"/>
      <c r="O155" s="29" t="n"/>
      <c r="P155" s="30">
        <f>IFERROR(IF(K155=0,"待填成本",ROUND(K155/(1-L155),0)),"" )</f>
        <v/>
      </c>
      <c r="Q155" s="30">
        <f>IFERROR(IF(K155=0,"待填成本",ROUND(K155/(1-M155),0)),"" )</f>
        <v/>
      </c>
      <c r="R155" s="30">
        <f>IFERROR(IF(K155=0,"待填成本",ROUND(K155/(1-N155),0)),"" )</f>
        <v/>
      </c>
      <c r="S155" s="30">
        <f>IFERROR(IF(K155=0,"待填成本",ROUND(K155/(1-O155),0)),"" )</f>
        <v/>
      </c>
      <c r="T155" s="31">
        <f>IFERROR(IF(K155=0,"",(P155-K155)/P155),"" )</f>
        <v/>
      </c>
      <c r="U155" s="31">
        <f>IFERROR(IF(K155=0,"",(Q155-K155)/Q155),"" )</f>
        <v/>
      </c>
      <c r="V155" s="31">
        <f>IFERROR(IF(K155=0,"",(R155-K155)/R155),"" )</f>
        <v/>
      </c>
      <c r="W155" s="31">
        <f>IFERROR(IF(K155=0,"",(S155-K155)/S155),"" )</f>
        <v/>
      </c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3" t="n"/>
      <c r="AG155" s="33" t="n"/>
      <c r="AH155" s="35" t="inlineStr"/>
    </row>
    <row r="156" ht="18" customHeight="1">
      <c r="A156" s="25" t="inlineStr">
        <is>
          <t>2525011041099</t>
        </is>
      </c>
      <c r="B156" s="6" t="inlineStr">
        <is>
          <t>餐厅-柜</t>
        </is>
      </c>
      <c r="C156" s="5" t="inlineStr">
        <is>
          <t>樱桃木旋转柜2025版</t>
        </is>
      </c>
      <c r="D156" s="5" t="inlineStr">
        <is>
          <t>旋转柜-樱桃木整柜1.8米+1.4米餐桌</t>
        </is>
      </c>
      <c r="E156" s="6" t="inlineStr">
        <is>
          <t>北美进口FAS级樱桃木</t>
        </is>
      </c>
      <c r="F156" s="6" t="inlineStr"/>
      <c r="G156" s="5" t="inlineStr"/>
      <c r="H156" s="26" t="n">
        <v>0</v>
      </c>
      <c r="I156" s="26" t="n">
        <v>0</v>
      </c>
      <c r="J156" s="27" t="n">
        <v>0.48</v>
      </c>
      <c r="K156" s="28">
        <f>IFERROR(H156,0)</f>
        <v/>
      </c>
      <c r="L156" s="29" t="n"/>
      <c r="M156" s="29" t="n"/>
      <c r="N156" s="29" t="n"/>
      <c r="O156" s="29" t="n"/>
      <c r="P156" s="30">
        <f>IFERROR(IF(K156=0,"待填成本",ROUND(K156/(1-L156),0)),"" )</f>
        <v/>
      </c>
      <c r="Q156" s="30">
        <f>IFERROR(IF(K156=0,"待填成本",ROUND(K156/(1-M156),0)),"" )</f>
        <v/>
      </c>
      <c r="R156" s="30">
        <f>IFERROR(IF(K156=0,"待填成本",ROUND(K156/(1-N156),0)),"" )</f>
        <v/>
      </c>
      <c r="S156" s="30">
        <f>IFERROR(IF(K156=0,"待填成本",ROUND(K156/(1-O156),0)),"" )</f>
        <v/>
      </c>
      <c r="T156" s="31">
        <f>IFERROR(IF(K156=0,"",(P156-K156)/P156),"" )</f>
        <v/>
      </c>
      <c r="U156" s="31">
        <f>IFERROR(IF(K156=0,"",(Q156-K156)/Q156),"" )</f>
        <v/>
      </c>
      <c r="V156" s="31">
        <f>IFERROR(IF(K156=0,"",(R156-K156)/R156),"" )</f>
        <v/>
      </c>
      <c r="W156" s="31">
        <f>IFERROR(IF(K156=0,"",(S156-K156)/S156),"" )</f>
        <v/>
      </c>
      <c r="X156" s="32" t="n"/>
      <c r="Y156" s="32" t="n"/>
      <c r="Z156" s="32" t="n"/>
      <c r="AA156" s="32" t="n"/>
      <c r="AB156" s="32" t="n"/>
      <c r="AC156" s="32" t="n"/>
      <c r="AD156" s="32" t="n"/>
      <c r="AE156" s="32" t="n"/>
      <c r="AF156" s="33" t="n"/>
      <c r="AG156" s="33" t="n"/>
      <c r="AH156" s="5" t="inlineStr"/>
    </row>
    <row r="157" ht="18" customHeight="1">
      <c r="A157" s="25" t="inlineStr">
        <is>
          <t>2525011041099</t>
        </is>
      </c>
      <c r="B157" s="34" t="inlineStr">
        <is>
          <t>餐厅-柜</t>
        </is>
      </c>
      <c r="C157" s="35" t="inlineStr">
        <is>
          <t>樱桃木旋转柜2025版</t>
        </is>
      </c>
      <c r="D157" s="35" t="inlineStr">
        <is>
          <t>旋转柜-樱桃木整柜1.7米+1.4米餐桌</t>
        </is>
      </c>
      <c r="E157" s="34" t="inlineStr">
        <is>
          <t>北美进口FAS级樱桃木</t>
        </is>
      </c>
      <c r="F157" s="34" t="inlineStr"/>
      <c r="G157" s="35" t="inlineStr"/>
      <c r="H157" s="26" t="n">
        <v>0</v>
      </c>
      <c r="I157" s="26" t="n">
        <v>0</v>
      </c>
      <c r="J157" s="27" t="n">
        <v>0.48</v>
      </c>
      <c r="K157" s="28">
        <f>IFERROR(H157,0)</f>
        <v/>
      </c>
      <c r="L157" s="29" t="n"/>
      <c r="M157" s="29" t="n"/>
      <c r="N157" s="29" t="n"/>
      <c r="O157" s="29" t="n"/>
      <c r="P157" s="30">
        <f>IFERROR(IF(K157=0,"待填成本",ROUND(K157/(1-L157),0)),"" )</f>
        <v/>
      </c>
      <c r="Q157" s="30">
        <f>IFERROR(IF(K157=0,"待填成本",ROUND(K157/(1-M157),0)),"" )</f>
        <v/>
      </c>
      <c r="R157" s="30">
        <f>IFERROR(IF(K157=0,"待填成本",ROUND(K157/(1-N157),0)),"" )</f>
        <v/>
      </c>
      <c r="S157" s="30">
        <f>IFERROR(IF(K157=0,"待填成本",ROUND(K157/(1-O157),0)),"" )</f>
        <v/>
      </c>
      <c r="T157" s="31">
        <f>IFERROR(IF(K157=0,"",(P157-K157)/P157),"" )</f>
        <v/>
      </c>
      <c r="U157" s="31">
        <f>IFERROR(IF(K157=0,"",(Q157-K157)/Q157),"" )</f>
        <v/>
      </c>
      <c r="V157" s="31">
        <f>IFERROR(IF(K157=0,"",(R157-K157)/R157),"" )</f>
        <v/>
      </c>
      <c r="W157" s="31">
        <f>IFERROR(IF(K157=0,"",(S157-K157)/S157),"" )</f>
        <v/>
      </c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3" t="n"/>
      <c r="AG157" s="33" t="n"/>
      <c r="AH157" s="35" t="inlineStr"/>
    </row>
    <row r="158" ht="18" customHeight="1">
      <c r="A158" s="25" t="inlineStr">
        <is>
          <t>2525011041099</t>
        </is>
      </c>
      <c r="B158" s="6" t="inlineStr">
        <is>
          <t>餐厅-柜</t>
        </is>
      </c>
      <c r="C158" s="5" t="inlineStr">
        <is>
          <t>樱桃木旋转柜2025版</t>
        </is>
      </c>
      <c r="D158" s="5" t="inlineStr">
        <is>
          <t>旋转柜-樱桃木整柜1.6米+1.3米餐桌</t>
        </is>
      </c>
      <c r="E158" s="6" t="inlineStr">
        <is>
          <t>北美进口FAS级樱桃木</t>
        </is>
      </c>
      <c r="F158" s="6" t="inlineStr"/>
      <c r="G158" s="5" t="inlineStr"/>
      <c r="H158" s="26" t="n">
        <v>0</v>
      </c>
      <c r="I158" s="26" t="n">
        <v>0</v>
      </c>
      <c r="J158" s="27" t="n">
        <v>0.48</v>
      </c>
      <c r="K158" s="28">
        <f>IFERROR(H158,0)</f>
        <v/>
      </c>
      <c r="L158" s="29" t="n"/>
      <c r="M158" s="29" t="n"/>
      <c r="N158" s="29" t="n"/>
      <c r="O158" s="29" t="n"/>
      <c r="P158" s="30">
        <f>IFERROR(IF(K158=0,"待填成本",ROUND(K158/(1-L158),0)),"" )</f>
        <v/>
      </c>
      <c r="Q158" s="30">
        <f>IFERROR(IF(K158=0,"待填成本",ROUND(K158/(1-M158),0)),"" )</f>
        <v/>
      </c>
      <c r="R158" s="30">
        <f>IFERROR(IF(K158=0,"待填成本",ROUND(K158/(1-N158),0)),"" )</f>
        <v/>
      </c>
      <c r="S158" s="30">
        <f>IFERROR(IF(K158=0,"待填成本",ROUND(K158/(1-O158),0)),"" )</f>
        <v/>
      </c>
      <c r="T158" s="31">
        <f>IFERROR(IF(K158=0,"",(P158-K158)/P158),"" )</f>
        <v/>
      </c>
      <c r="U158" s="31">
        <f>IFERROR(IF(K158=0,"",(Q158-K158)/Q158),"" )</f>
        <v/>
      </c>
      <c r="V158" s="31">
        <f>IFERROR(IF(K158=0,"",(R158-K158)/R158),"" )</f>
        <v/>
      </c>
      <c r="W158" s="31">
        <f>IFERROR(IF(K158=0,"",(S158-K158)/S158),"" )</f>
        <v/>
      </c>
      <c r="X158" s="32" t="n"/>
      <c r="Y158" s="32" t="n"/>
      <c r="Z158" s="32" t="n"/>
      <c r="AA158" s="32" t="n"/>
      <c r="AB158" s="32" t="n"/>
      <c r="AC158" s="32" t="n"/>
      <c r="AD158" s="32" t="n"/>
      <c r="AE158" s="32" t="n"/>
      <c r="AF158" s="33" t="n"/>
      <c r="AG158" s="33" t="n"/>
      <c r="AH158" s="5" t="inlineStr"/>
    </row>
    <row r="159" ht="18" customHeight="1">
      <c r="A159" s="25" t="inlineStr">
        <is>
          <t>2525011041099</t>
        </is>
      </c>
      <c r="B159" s="34" t="inlineStr">
        <is>
          <t>餐厅-柜</t>
        </is>
      </c>
      <c r="C159" s="35" t="inlineStr">
        <is>
          <t>樱桃木旋转柜2025版</t>
        </is>
      </c>
      <c r="D159" s="35" t="inlineStr">
        <is>
          <t>旋转柜-樱桃木整柜1.5米+1.1米餐桌</t>
        </is>
      </c>
      <c r="E159" s="34" t="inlineStr">
        <is>
          <t>北美进口FAS级樱桃木</t>
        </is>
      </c>
      <c r="F159" s="34" t="inlineStr"/>
      <c r="G159" s="35" t="inlineStr"/>
      <c r="H159" s="26" t="n">
        <v>0</v>
      </c>
      <c r="I159" s="26" t="n">
        <v>0</v>
      </c>
      <c r="J159" s="27" t="n">
        <v>0.48</v>
      </c>
      <c r="K159" s="28">
        <f>IFERROR(H159,0)</f>
        <v/>
      </c>
      <c r="L159" s="29" t="n"/>
      <c r="M159" s="29" t="n"/>
      <c r="N159" s="29" t="n"/>
      <c r="O159" s="29" t="n"/>
      <c r="P159" s="30">
        <f>IFERROR(IF(K159=0,"待填成本",ROUND(K159/(1-L159),0)),"" )</f>
        <v/>
      </c>
      <c r="Q159" s="30">
        <f>IFERROR(IF(K159=0,"待填成本",ROUND(K159/(1-M159),0)),"" )</f>
        <v/>
      </c>
      <c r="R159" s="30">
        <f>IFERROR(IF(K159=0,"待填成本",ROUND(K159/(1-N159),0)),"" )</f>
        <v/>
      </c>
      <c r="S159" s="30">
        <f>IFERROR(IF(K159=0,"待填成本",ROUND(K159/(1-O159),0)),"" )</f>
        <v/>
      </c>
      <c r="T159" s="31">
        <f>IFERROR(IF(K159=0,"",(P159-K159)/P159),"" )</f>
        <v/>
      </c>
      <c r="U159" s="31">
        <f>IFERROR(IF(K159=0,"",(Q159-K159)/Q159),"" )</f>
        <v/>
      </c>
      <c r="V159" s="31">
        <f>IFERROR(IF(K159=0,"",(R159-K159)/R159),"" )</f>
        <v/>
      </c>
      <c r="W159" s="31">
        <f>IFERROR(IF(K159=0,"",(S159-K159)/S159),"" )</f>
        <v/>
      </c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3" t="n"/>
      <c r="AG159" s="33" t="n"/>
      <c r="AH159" s="35" t="inlineStr"/>
    </row>
    <row r="160" ht="18" customHeight="1">
      <c r="A160" s="25" t="inlineStr">
        <is>
          <t>2525011041099</t>
        </is>
      </c>
      <c r="B160" s="6" t="inlineStr">
        <is>
          <t>餐厅-柜</t>
        </is>
      </c>
      <c r="C160" s="5" t="inlineStr">
        <is>
          <t>樱桃木旋转柜2025版</t>
        </is>
      </c>
      <c r="D160" s="5" t="inlineStr">
        <is>
          <t>旋转柜-樱桃木整柜1.4米+1.1米餐桌</t>
        </is>
      </c>
      <c r="E160" s="6" t="inlineStr">
        <is>
          <t>北美进口FAS级樱桃木</t>
        </is>
      </c>
      <c r="F160" s="6" t="inlineStr"/>
      <c r="G160" s="5" t="inlineStr"/>
      <c r="H160" s="26" t="n">
        <v>0</v>
      </c>
      <c r="I160" s="26" t="n">
        <v>0</v>
      </c>
      <c r="J160" s="27" t="n">
        <v>0.48</v>
      </c>
      <c r="K160" s="28">
        <f>IFERROR(H160,0)</f>
        <v/>
      </c>
      <c r="L160" s="29" t="n"/>
      <c r="M160" s="29" t="n"/>
      <c r="N160" s="29" t="n"/>
      <c r="O160" s="29" t="n"/>
      <c r="P160" s="30">
        <f>IFERROR(IF(K160=0,"待填成本",ROUND(K160/(1-L160),0)),"" )</f>
        <v/>
      </c>
      <c r="Q160" s="30">
        <f>IFERROR(IF(K160=0,"待填成本",ROUND(K160/(1-M160),0)),"" )</f>
        <v/>
      </c>
      <c r="R160" s="30">
        <f>IFERROR(IF(K160=0,"待填成本",ROUND(K160/(1-N160),0)),"" )</f>
        <v/>
      </c>
      <c r="S160" s="30">
        <f>IFERROR(IF(K160=0,"待填成本",ROUND(K160/(1-O160),0)),"" )</f>
        <v/>
      </c>
      <c r="T160" s="31">
        <f>IFERROR(IF(K160=0,"",(P160-K160)/P160),"" )</f>
        <v/>
      </c>
      <c r="U160" s="31">
        <f>IFERROR(IF(K160=0,"",(Q160-K160)/Q160),"" )</f>
        <v/>
      </c>
      <c r="V160" s="31">
        <f>IFERROR(IF(K160=0,"",(R160-K160)/R160),"" )</f>
        <v/>
      </c>
      <c r="W160" s="31">
        <f>IFERROR(IF(K160=0,"",(S160-K160)/S160),"" )</f>
        <v/>
      </c>
      <c r="X160" s="32" t="n"/>
      <c r="Y160" s="32" t="n"/>
      <c r="Z160" s="32" t="n"/>
      <c r="AA160" s="32" t="n"/>
      <c r="AB160" s="32" t="n"/>
      <c r="AC160" s="32" t="n"/>
      <c r="AD160" s="32" t="n"/>
      <c r="AE160" s="32" t="n"/>
      <c r="AF160" s="33" t="n"/>
      <c r="AG160" s="33" t="n"/>
      <c r="AH160" s="5" t="inlineStr"/>
    </row>
    <row r="161" ht="18" customHeight="1">
      <c r="A161" s="25" t="inlineStr">
        <is>
          <t>2525011041099</t>
        </is>
      </c>
      <c r="B161" s="34" t="inlineStr">
        <is>
          <t>餐厅-柜</t>
        </is>
      </c>
      <c r="C161" s="35" t="inlineStr">
        <is>
          <t>樱桃木旋转柜2025版</t>
        </is>
      </c>
      <c r="D161" s="35" t="inlineStr">
        <is>
          <t>旋转柜-樱桃木整柜1.3米+1.0米餐桌</t>
        </is>
      </c>
      <c r="E161" s="34" t="inlineStr">
        <is>
          <t>北美进口FAS级樱桃木</t>
        </is>
      </c>
      <c r="F161" s="34" t="inlineStr"/>
      <c r="G161" s="35" t="inlineStr"/>
      <c r="H161" s="26" t="n">
        <v>0</v>
      </c>
      <c r="I161" s="26" t="n">
        <v>0</v>
      </c>
      <c r="J161" s="27" t="n">
        <v>0.48</v>
      </c>
      <c r="K161" s="28">
        <f>IFERROR(H161,0)</f>
        <v/>
      </c>
      <c r="L161" s="29" t="n"/>
      <c r="M161" s="29" t="n"/>
      <c r="N161" s="29" t="n"/>
      <c r="O161" s="29" t="n"/>
      <c r="P161" s="30">
        <f>IFERROR(IF(K161=0,"待填成本",ROUND(K161/(1-L161),0)),"" )</f>
        <v/>
      </c>
      <c r="Q161" s="30">
        <f>IFERROR(IF(K161=0,"待填成本",ROUND(K161/(1-M161),0)),"" )</f>
        <v/>
      </c>
      <c r="R161" s="30">
        <f>IFERROR(IF(K161=0,"待填成本",ROUND(K161/(1-N161),0)),"" )</f>
        <v/>
      </c>
      <c r="S161" s="30">
        <f>IFERROR(IF(K161=0,"待填成本",ROUND(K161/(1-O161),0)),"" )</f>
        <v/>
      </c>
      <c r="T161" s="31">
        <f>IFERROR(IF(K161=0,"",(P161-K161)/P161),"" )</f>
        <v/>
      </c>
      <c r="U161" s="31">
        <f>IFERROR(IF(K161=0,"",(Q161-K161)/Q161),"" )</f>
        <v/>
      </c>
      <c r="V161" s="31">
        <f>IFERROR(IF(K161=0,"",(R161-K161)/R161),"" )</f>
        <v/>
      </c>
      <c r="W161" s="31">
        <f>IFERROR(IF(K161=0,"",(S161-K161)/S161),"" )</f>
        <v/>
      </c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3" t="n"/>
      <c r="AG161" s="33" t="n"/>
      <c r="AH161" s="35" t="inlineStr"/>
    </row>
    <row r="162" ht="18" customHeight="1">
      <c r="A162" s="25" t="inlineStr">
        <is>
          <t>2525011041099</t>
        </is>
      </c>
      <c r="B162" s="6" t="inlineStr">
        <is>
          <t>餐厅-柜</t>
        </is>
      </c>
      <c r="C162" s="5" t="inlineStr">
        <is>
          <t>樱桃木旋转柜2025版</t>
        </is>
      </c>
      <c r="D162" s="5" t="inlineStr">
        <is>
          <t>旋转柜-樱桃木整柜1.2米+1.0米餐桌</t>
        </is>
      </c>
      <c r="E162" s="6" t="inlineStr">
        <is>
          <t>北美进口FAS级樱桃木</t>
        </is>
      </c>
      <c r="F162" s="6" t="inlineStr"/>
      <c r="G162" s="5" t="inlineStr"/>
      <c r="H162" s="26" t="n">
        <v>0</v>
      </c>
      <c r="I162" s="26" t="n">
        <v>0</v>
      </c>
      <c r="J162" s="27" t="n">
        <v>0.48</v>
      </c>
      <c r="K162" s="28">
        <f>IFERROR(H162,0)</f>
        <v/>
      </c>
      <c r="L162" s="29" t="n"/>
      <c r="M162" s="29" t="n"/>
      <c r="N162" s="29" t="n"/>
      <c r="O162" s="29" t="n"/>
      <c r="P162" s="30">
        <f>IFERROR(IF(K162=0,"待填成本",ROUND(K162/(1-L162),0)),"" )</f>
        <v/>
      </c>
      <c r="Q162" s="30">
        <f>IFERROR(IF(K162=0,"待填成本",ROUND(K162/(1-M162),0)),"" )</f>
        <v/>
      </c>
      <c r="R162" s="30">
        <f>IFERROR(IF(K162=0,"待填成本",ROUND(K162/(1-N162),0)),"" )</f>
        <v/>
      </c>
      <c r="S162" s="30">
        <f>IFERROR(IF(K162=0,"待填成本",ROUND(K162/(1-O162),0)),"" )</f>
        <v/>
      </c>
      <c r="T162" s="31">
        <f>IFERROR(IF(K162=0,"",(P162-K162)/P162),"" )</f>
        <v/>
      </c>
      <c r="U162" s="31">
        <f>IFERROR(IF(K162=0,"",(Q162-K162)/Q162),"" )</f>
        <v/>
      </c>
      <c r="V162" s="31">
        <f>IFERROR(IF(K162=0,"",(R162-K162)/R162),"" )</f>
        <v/>
      </c>
      <c r="W162" s="31">
        <f>IFERROR(IF(K162=0,"",(S162-K162)/S162),"" )</f>
        <v/>
      </c>
      <c r="X162" s="32" t="n"/>
      <c r="Y162" s="32" t="n"/>
      <c r="Z162" s="32" t="n"/>
      <c r="AA162" s="32" t="n"/>
      <c r="AB162" s="32" t="n"/>
      <c r="AC162" s="32" t="n"/>
      <c r="AD162" s="32" t="n"/>
      <c r="AE162" s="32" t="n"/>
      <c r="AF162" s="33" t="n"/>
      <c r="AG162" s="33" t="n"/>
      <c r="AH162" s="5" t="inlineStr"/>
    </row>
    <row r="163" ht="18" customHeight="1">
      <c r="A163" s="25" t="inlineStr">
        <is>
          <t>2525011041099</t>
        </is>
      </c>
      <c r="B163" s="34" t="inlineStr">
        <is>
          <t>餐厅-柜</t>
        </is>
      </c>
      <c r="C163" s="35" t="inlineStr">
        <is>
          <t>樱桃木旋转柜2025版</t>
        </is>
      </c>
      <c r="D163" s="35" t="inlineStr">
        <is>
          <t>旋转柜-樱桃木整柜1.1米+1.0米餐桌</t>
        </is>
      </c>
      <c r="E163" s="34" t="inlineStr">
        <is>
          <t>北美进口FAS级樱桃木</t>
        </is>
      </c>
      <c r="F163" s="34" t="inlineStr"/>
      <c r="G163" s="35" t="inlineStr"/>
      <c r="H163" s="26" t="n">
        <v>0</v>
      </c>
      <c r="I163" s="26" t="n">
        <v>0</v>
      </c>
      <c r="J163" s="27" t="n">
        <v>0.48</v>
      </c>
      <c r="K163" s="28">
        <f>IFERROR(H163,0)</f>
        <v/>
      </c>
      <c r="L163" s="29" t="n"/>
      <c r="M163" s="29" t="n"/>
      <c r="N163" s="29" t="n"/>
      <c r="O163" s="29" t="n"/>
      <c r="P163" s="30">
        <f>IFERROR(IF(K163=0,"待填成本",ROUND(K163/(1-L163),0)),"" )</f>
        <v/>
      </c>
      <c r="Q163" s="30">
        <f>IFERROR(IF(K163=0,"待填成本",ROUND(K163/(1-M163),0)),"" )</f>
        <v/>
      </c>
      <c r="R163" s="30">
        <f>IFERROR(IF(K163=0,"待填成本",ROUND(K163/(1-N163),0)),"" )</f>
        <v/>
      </c>
      <c r="S163" s="30">
        <f>IFERROR(IF(K163=0,"待填成本",ROUND(K163/(1-O163),0)),"" )</f>
        <v/>
      </c>
      <c r="T163" s="31">
        <f>IFERROR(IF(K163=0,"",(P163-K163)/P163),"" )</f>
        <v/>
      </c>
      <c r="U163" s="31">
        <f>IFERROR(IF(K163=0,"",(Q163-K163)/Q163),"" )</f>
        <v/>
      </c>
      <c r="V163" s="31">
        <f>IFERROR(IF(K163=0,"",(R163-K163)/R163),"" )</f>
        <v/>
      </c>
      <c r="W163" s="31">
        <f>IFERROR(IF(K163=0,"",(S163-K163)/S163),"" )</f>
        <v/>
      </c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3" t="n"/>
      <c r="AG163" s="33" t="n"/>
      <c r="AH163" s="35" t="inlineStr"/>
    </row>
    <row r="164" ht="18" customHeight="1">
      <c r="A164" s="25" t="inlineStr">
        <is>
          <t>2525011041099</t>
        </is>
      </c>
      <c r="B164" s="6" t="inlineStr">
        <is>
          <t>餐厅-柜</t>
        </is>
      </c>
      <c r="C164" s="5" t="inlineStr">
        <is>
          <t>樱桃木旋转柜2025版</t>
        </is>
      </c>
      <c r="D164" s="5" t="inlineStr">
        <is>
          <t>旋转柜-樱桃木整柜1.0米+1.0米餐桌</t>
        </is>
      </c>
      <c r="E164" s="6" t="inlineStr">
        <is>
          <t>北美进口FAS级樱桃木</t>
        </is>
      </c>
      <c r="F164" s="6" t="inlineStr"/>
      <c r="G164" s="5" t="inlineStr"/>
      <c r="H164" s="26" t="n">
        <v>0</v>
      </c>
      <c r="I164" s="26" t="n">
        <v>0</v>
      </c>
      <c r="J164" s="27" t="n">
        <v>0.48</v>
      </c>
      <c r="K164" s="28">
        <f>IFERROR(H164,0)</f>
        <v/>
      </c>
      <c r="L164" s="29" t="n"/>
      <c r="M164" s="29" t="n"/>
      <c r="N164" s="29" t="n"/>
      <c r="O164" s="29" t="n"/>
      <c r="P164" s="30">
        <f>IFERROR(IF(K164=0,"待填成本",ROUND(K164/(1-L164),0)),"" )</f>
        <v/>
      </c>
      <c r="Q164" s="30">
        <f>IFERROR(IF(K164=0,"待填成本",ROUND(K164/(1-M164),0)),"" )</f>
        <v/>
      </c>
      <c r="R164" s="30">
        <f>IFERROR(IF(K164=0,"待填成本",ROUND(K164/(1-N164),0)),"" )</f>
        <v/>
      </c>
      <c r="S164" s="30">
        <f>IFERROR(IF(K164=0,"待填成本",ROUND(K164/(1-O164),0)),"" )</f>
        <v/>
      </c>
      <c r="T164" s="31">
        <f>IFERROR(IF(K164=0,"",(P164-K164)/P164),"" )</f>
        <v/>
      </c>
      <c r="U164" s="31">
        <f>IFERROR(IF(K164=0,"",(Q164-K164)/Q164),"" )</f>
        <v/>
      </c>
      <c r="V164" s="31">
        <f>IFERROR(IF(K164=0,"",(R164-K164)/R164),"" )</f>
        <v/>
      </c>
      <c r="W164" s="31">
        <f>IFERROR(IF(K164=0,"",(S164-K164)/S164),"" )</f>
        <v/>
      </c>
      <c r="X164" s="32" t="n"/>
      <c r="Y164" s="32" t="n"/>
      <c r="Z164" s="32" t="n"/>
      <c r="AA164" s="32" t="n"/>
      <c r="AB164" s="32" t="n"/>
      <c r="AC164" s="32" t="n"/>
      <c r="AD164" s="32" t="n"/>
      <c r="AE164" s="32" t="n"/>
      <c r="AF164" s="33" t="n"/>
      <c r="AG164" s="33" t="n"/>
      <c r="AH164" s="5" t="inlineStr"/>
    </row>
    <row r="165" ht="18" customHeight="1">
      <c r="A165" s="25" t="inlineStr">
        <is>
          <t>2525011041099</t>
        </is>
      </c>
      <c r="B165" s="34" t="inlineStr">
        <is>
          <t>餐厅-柜</t>
        </is>
      </c>
      <c r="C165" s="35" t="inlineStr">
        <is>
          <t>樱桃木旋转柜2025版</t>
        </is>
      </c>
      <c r="D165" s="35" t="inlineStr">
        <is>
          <t>旋转柜-榉木整柜2.1米+1.6米餐桌</t>
        </is>
      </c>
      <c r="E165" s="34" t="inlineStr">
        <is>
          <t>北美进口FAS级樱桃木</t>
        </is>
      </c>
      <c r="F165" s="34" t="inlineStr"/>
      <c r="G165" s="35" t="inlineStr"/>
      <c r="H165" s="26" t="n">
        <v>0</v>
      </c>
      <c r="I165" s="26" t="n">
        <v>0</v>
      </c>
      <c r="J165" s="27" t="n">
        <v>0.48</v>
      </c>
      <c r="K165" s="28">
        <f>IFERROR(H165,0)</f>
        <v/>
      </c>
      <c r="L165" s="29" t="n"/>
      <c r="M165" s="29" t="n"/>
      <c r="N165" s="29" t="n"/>
      <c r="O165" s="29" t="n"/>
      <c r="P165" s="30">
        <f>IFERROR(IF(K165=0,"待填成本",ROUND(K165/(1-L165),0)),"" )</f>
        <v/>
      </c>
      <c r="Q165" s="30">
        <f>IFERROR(IF(K165=0,"待填成本",ROUND(K165/(1-M165),0)),"" )</f>
        <v/>
      </c>
      <c r="R165" s="30">
        <f>IFERROR(IF(K165=0,"待填成本",ROUND(K165/(1-N165),0)),"" )</f>
        <v/>
      </c>
      <c r="S165" s="30">
        <f>IFERROR(IF(K165=0,"待填成本",ROUND(K165/(1-O165),0)),"" )</f>
        <v/>
      </c>
      <c r="T165" s="31">
        <f>IFERROR(IF(K165=0,"",(P165-K165)/P165),"" )</f>
        <v/>
      </c>
      <c r="U165" s="31">
        <f>IFERROR(IF(K165=0,"",(Q165-K165)/Q165),"" )</f>
        <v/>
      </c>
      <c r="V165" s="31">
        <f>IFERROR(IF(K165=0,"",(R165-K165)/R165),"" )</f>
        <v/>
      </c>
      <c r="W165" s="31">
        <f>IFERROR(IF(K165=0,"",(S165-K165)/S165),"" )</f>
        <v/>
      </c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3" t="n"/>
      <c r="AG165" s="33" t="n"/>
      <c r="AH165" s="35" t="inlineStr"/>
    </row>
    <row r="166" ht="18" customHeight="1">
      <c r="A166" s="25" t="inlineStr">
        <is>
          <t>2525011041099</t>
        </is>
      </c>
      <c r="B166" s="6" t="inlineStr">
        <is>
          <t>餐厅-柜</t>
        </is>
      </c>
      <c r="C166" s="5" t="inlineStr">
        <is>
          <t>樱桃木旋转柜2025版</t>
        </is>
      </c>
      <c r="D166" s="5" t="inlineStr">
        <is>
          <t>旋转柜-榉木整柜2.0米+1.6米餐桌</t>
        </is>
      </c>
      <c r="E166" s="6" t="inlineStr">
        <is>
          <t>北美进口FAS级樱桃木</t>
        </is>
      </c>
      <c r="F166" s="6" t="inlineStr"/>
      <c r="G166" s="5" t="inlineStr"/>
      <c r="H166" s="26" t="n">
        <v>0</v>
      </c>
      <c r="I166" s="26" t="n">
        <v>0</v>
      </c>
      <c r="J166" s="27" t="n">
        <v>0.48</v>
      </c>
      <c r="K166" s="28">
        <f>IFERROR(H166,0)</f>
        <v/>
      </c>
      <c r="L166" s="29" t="n"/>
      <c r="M166" s="29" t="n"/>
      <c r="N166" s="29" t="n"/>
      <c r="O166" s="29" t="n"/>
      <c r="P166" s="30">
        <f>IFERROR(IF(K166=0,"待填成本",ROUND(K166/(1-L166),0)),"" )</f>
        <v/>
      </c>
      <c r="Q166" s="30">
        <f>IFERROR(IF(K166=0,"待填成本",ROUND(K166/(1-M166),0)),"" )</f>
        <v/>
      </c>
      <c r="R166" s="30">
        <f>IFERROR(IF(K166=0,"待填成本",ROUND(K166/(1-N166),0)),"" )</f>
        <v/>
      </c>
      <c r="S166" s="30">
        <f>IFERROR(IF(K166=0,"待填成本",ROUND(K166/(1-O166),0)),"" )</f>
        <v/>
      </c>
      <c r="T166" s="31">
        <f>IFERROR(IF(K166=0,"",(P166-K166)/P166),"" )</f>
        <v/>
      </c>
      <c r="U166" s="31">
        <f>IFERROR(IF(K166=0,"",(Q166-K166)/Q166),"" )</f>
        <v/>
      </c>
      <c r="V166" s="31">
        <f>IFERROR(IF(K166=0,"",(R166-K166)/R166),"" )</f>
        <v/>
      </c>
      <c r="W166" s="31">
        <f>IFERROR(IF(K166=0,"",(S166-K166)/S166),"" )</f>
        <v/>
      </c>
      <c r="X166" s="32" t="n"/>
      <c r="Y166" s="32" t="n"/>
      <c r="Z166" s="32" t="n"/>
      <c r="AA166" s="32" t="n"/>
      <c r="AB166" s="32" t="n"/>
      <c r="AC166" s="32" t="n"/>
      <c r="AD166" s="32" t="n"/>
      <c r="AE166" s="32" t="n"/>
      <c r="AF166" s="33" t="n"/>
      <c r="AG166" s="33" t="n"/>
      <c r="AH166" s="5" t="inlineStr"/>
    </row>
    <row r="167" ht="18" customHeight="1">
      <c r="A167" s="25" t="inlineStr">
        <is>
          <t>2525011041099</t>
        </is>
      </c>
      <c r="B167" s="34" t="inlineStr">
        <is>
          <t>餐厅-柜</t>
        </is>
      </c>
      <c r="C167" s="35" t="inlineStr">
        <is>
          <t>樱桃木旋转柜2025版</t>
        </is>
      </c>
      <c r="D167" s="35" t="inlineStr">
        <is>
          <t>旋转柜-榉木整柜1.9米+1.5米餐桌</t>
        </is>
      </c>
      <c r="E167" s="34" t="inlineStr">
        <is>
          <t>北美进口FAS级樱桃木</t>
        </is>
      </c>
      <c r="F167" s="34" t="inlineStr"/>
      <c r="G167" s="35" t="inlineStr"/>
      <c r="H167" s="26" t="n">
        <v>0</v>
      </c>
      <c r="I167" s="26" t="n">
        <v>0</v>
      </c>
      <c r="J167" s="27" t="n">
        <v>0.48</v>
      </c>
      <c r="K167" s="28">
        <f>IFERROR(H167,0)</f>
        <v/>
      </c>
      <c r="L167" s="29" t="n"/>
      <c r="M167" s="29" t="n"/>
      <c r="N167" s="29" t="n"/>
      <c r="O167" s="29" t="n"/>
      <c r="P167" s="30">
        <f>IFERROR(IF(K167=0,"待填成本",ROUND(K167/(1-L167),0)),"" )</f>
        <v/>
      </c>
      <c r="Q167" s="30">
        <f>IFERROR(IF(K167=0,"待填成本",ROUND(K167/(1-M167),0)),"" )</f>
        <v/>
      </c>
      <c r="R167" s="30">
        <f>IFERROR(IF(K167=0,"待填成本",ROUND(K167/(1-N167),0)),"" )</f>
        <v/>
      </c>
      <c r="S167" s="30">
        <f>IFERROR(IF(K167=0,"待填成本",ROUND(K167/(1-O167),0)),"" )</f>
        <v/>
      </c>
      <c r="T167" s="31">
        <f>IFERROR(IF(K167=0,"",(P167-K167)/P167),"" )</f>
        <v/>
      </c>
      <c r="U167" s="31">
        <f>IFERROR(IF(K167=0,"",(Q167-K167)/Q167),"" )</f>
        <v/>
      </c>
      <c r="V167" s="31">
        <f>IFERROR(IF(K167=0,"",(R167-K167)/R167),"" )</f>
        <v/>
      </c>
      <c r="W167" s="31">
        <f>IFERROR(IF(K167=0,"",(S167-K167)/S167),"" )</f>
        <v/>
      </c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3" t="n"/>
      <c r="AG167" s="33" t="n"/>
      <c r="AH167" s="35" t="inlineStr"/>
    </row>
    <row r="168" ht="18" customHeight="1">
      <c r="A168" s="25" t="inlineStr">
        <is>
          <t>2525011041099</t>
        </is>
      </c>
      <c r="B168" s="6" t="inlineStr">
        <is>
          <t>餐厅-柜</t>
        </is>
      </c>
      <c r="C168" s="5" t="inlineStr">
        <is>
          <t>樱桃木旋转柜2025版</t>
        </is>
      </c>
      <c r="D168" s="5" t="inlineStr">
        <is>
          <t>旋转柜-榉木整柜1.8米+1.4米餐桌</t>
        </is>
      </c>
      <c r="E168" s="6" t="inlineStr">
        <is>
          <t>北美进口FAS级樱桃木</t>
        </is>
      </c>
      <c r="F168" s="6" t="inlineStr"/>
      <c r="G168" s="5" t="inlineStr"/>
      <c r="H168" s="26" t="n">
        <v>0</v>
      </c>
      <c r="I168" s="26" t="n">
        <v>0</v>
      </c>
      <c r="J168" s="27" t="n">
        <v>0.48</v>
      </c>
      <c r="K168" s="28">
        <f>IFERROR(H168,0)</f>
        <v/>
      </c>
      <c r="L168" s="29" t="n"/>
      <c r="M168" s="29" t="n"/>
      <c r="N168" s="29" t="n"/>
      <c r="O168" s="29" t="n"/>
      <c r="P168" s="30">
        <f>IFERROR(IF(K168=0,"待填成本",ROUND(K168/(1-L168),0)),"" )</f>
        <v/>
      </c>
      <c r="Q168" s="30">
        <f>IFERROR(IF(K168=0,"待填成本",ROUND(K168/(1-M168),0)),"" )</f>
        <v/>
      </c>
      <c r="R168" s="30">
        <f>IFERROR(IF(K168=0,"待填成本",ROUND(K168/(1-N168),0)),"" )</f>
        <v/>
      </c>
      <c r="S168" s="30">
        <f>IFERROR(IF(K168=0,"待填成本",ROUND(K168/(1-O168),0)),"" )</f>
        <v/>
      </c>
      <c r="T168" s="31">
        <f>IFERROR(IF(K168=0,"",(P168-K168)/P168),"" )</f>
        <v/>
      </c>
      <c r="U168" s="31">
        <f>IFERROR(IF(K168=0,"",(Q168-K168)/Q168),"" )</f>
        <v/>
      </c>
      <c r="V168" s="31">
        <f>IFERROR(IF(K168=0,"",(R168-K168)/R168),"" )</f>
        <v/>
      </c>
      <c r="W168" s="31">
        <f>IFERROR(IF(K168=0,"",(S168-K168)/S168),"" )</f>
        <v/>
      </c>
      <c r="X168" s="32" t="n"/>
      <c r="Y168" s="32" t="n"/>
      <c r="Z168" s="32" t="n"/>
      <c r="AA168" s="32" t="n"/>
      <c r="AB168" s="32" t="n"/>
      <c r="AC168" s="32" t="n"/>
      <c r="AD168" s="32" t="n"/>
      <c r="AE168" s="32" t="n"/>
      <c r="AF168" s="33" t="n"/>
      <c r="AG168" s="33" t="n"/>
      <c r="AH168" s="5" t="inlineStr"/>
    </row>
    <row r="169" ht="18" customHeight="1">
      <c r="A169" s="25" t="inlineStr">
        <is>
          <t>2525011041099</t>
        </is>
      </c>
      <c r="B169" s="34" t="inlineStr">
        <is>
          <t>餐厅-柜</t>
        </is>
      </c>
      <c r="C169" s="35" t="inlineStr">
        <is>
          <t>樱桃木旋转柜2025版</t>
        </is>
      </c>
      <c r="D169" s="35" t="inlineStr">
        <is>
          <t>旋转柜-榉木整柜1.7米+1.4米餐桌</t>
        </is>
      </c>
      <c r="E169" s="34" t="inlineStr">
        <is>
          <t>北美进口FAS级樱桃木</t>
        </is>
      </c>
      <c r="F169" s="34" t="inlineStr"/>
      <c r="G169" s="35" t="inlineStr"/>
      <c r="H169" s="26" t="n">
        <v>0</v>
      </c>
      <c r="I169" s="26" t="n">
        <v>0</v>
      </c>
      <c r="J169" s="27" t="n">
        <v>0.48</v>
      </c>
      <c r="K169" s="28">
        <f>IFERROR(H169,0)</f>
        <v/>
      </c>
      <c r="L169" s="29" t="n"/>
      <c r="M169" s="29" t="n"/>
      <c r="N169" s="29" t="n"/>
      <c r="O169" s="29" t="n"/>
      <c r="P169" s="30">
        <f>IFERROR(IF(K169=0,"待填成本",ROUND(K169/(1-L169),0)),"" )</f>
        <v/>
      </c>
      <c r="Q169" s="30">
        <f>IFERROR(IF(K169=0,"待填成本",ROUND(K169/(1-M169),0)),"" )</f>
        <v/>
      </c>
      <c r="R169" s="30">
        <f>IFERROR(IF(K169=0,"待填成本",ROUND(K169/(1-N169),0)),"" )</f>
        <v/>
      </c>
      <c r="S169" s="30">
        <f>IFERROR(IF(K169=0,"待填成本",ROUND(K169/(1-O169),0)),"" )</f>
        <v/>
      </c>
      <c r="T169" s="31">
        <f>IFERROR(IF(K169=0,"",(P169-K169)/P169),"" )</f>
        <v/>
      </c>
      <c r="U169" s="31">
        <f>IFERROR(IF(K169=0,"",(Q169-K169)/Q169),"" )</f>
        <v/>
      </c>
      <c r="V169" s="31">
        <f>IFERROR(IF(K169=0,"",(R169-K169)/R169),"" )</f>
        <v/>
      </c>
      <c r="W169" s="31">
        <f>IFERROR(IF(K169=0,"",(S169-K169)/S169),"" )</f>
        <v/>
      </c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3" t="n"/>
      <c r="AG169" s="33" t="n"/>
      <c r="AH169" s="35" t="inlineStr"/>
    </row>
    <row r="170" ht="18" customHeight="1">
      <c r="A170" s="25" t="inlineStr">
        <is>
          <t>2525011041099</t>
        </is>
      </c>
      <c r="B170" s="6" t="inlineStr">
        <is>
          <t>餐厅-柜</t>
        </is>
      </c>
      <c r="C170" s="5" t="inlineStr">
        <is>
          <t>樱桃木旋转柜2025版</t>
        </is>
      </c>
      <c r="D170" s="5" t="inlineStr">
        <is>
          <t>旋转柜-榉木整柜1.6米+1.3米餐桌</t>
        </is>
      </c>
      <c r="E170" s="6" t="inlineStr">
        <is>
          <t>北美进口FAS级樱桃木</t>
        </is>
      </c>
      <c r="F170" s="6" t="inlineStr"/>
      <c r="G170" s="5" t="inlineStr"/>
      <c r="H170" s="26" t="n">
        <v>0</v>
      </c>
      <c r="I170" s="26" t="n">
        <v>0</v>
      </c>
      <c r="J170" s="27" t="n">
        <v>0.48</v>
      </c>
      <c r="K170" s="28">
        <f>IFERROR(H170,0)</f>
        <v/>
      </c>
      <c r="L170" s="29" t="n"/>
      <c r="M170" s="29" t="n"/>
      <c r="N170" s="29" t="n"/>
      <c r="O170" s="29" t="n"/>
      <c r="P170" s="30">
        <f>IFERROR(IF(K170=0,"待填成本",ROUND(K170/(1-L170),0)),"" )</f>
        <v/>
      </c>
      <c r="Q170" s="30">
        <f>IFERROR(IF(K170=0,"待填成本",ROUND(K170/(1-M170),0)),"" )</f>
        <v/>
      </c>
      <c r="R170" s="30">
        <f>IFERROR(IF(K170=0,"待填成本",ROUND(K170/(1-N170),0)),"" )</f>
        <v/>
      </c>
      <c r="S170" s="30">
        <f>IFERROR(IF(K170=0,"待填成本",ROUND(K170/(1-O170),0)),"" )</f>
        <v/>
      </c>
      <c r="T170" s="31">
        <f>IFERROR(IF(K170=0,"",(P170-K170)/P170),"" )</f>
        <v/>
      </c>
      <c r="U170" s="31">
        <f>IFERROR(IF(K170=0,"",(Q170-K170)/Q170),"" )</f>
        <v/>
      </c>
      <c r="V170" s="31">
        <f>IFERROR(IF(K170=0,"",(R170-K170)/R170),"" )</f>
        <v/>
      </c>
      <c r="W170" s="31">
        <f>IFERROR(IF(K170=0,"",(S170-K170)/S170),"" )</f>
        <v/>
      </c>
      <c r="X170" s="32" t="n"/>
      <c r="Y170" s="32" t="n"/>
      <c r="Z170" s="32" t="n"/>
      <c r="AA170" s="32" t="n"/>
      <c r="AB170" s="32" t="n"/>
      <c r="AC170" s="32" t="n"/>
      <c r="AD170" s="32" t="n"/>
      <c r="AE170" s="32" t="n"/>
      <c r="AF170" s="33" t="n"/>
      <c r="AG170" s="33" t="n"/>
      <c r="AH170" s="5" t="inlineStr"/>
    </row>
    <row r="171" ht="18" customHeight="1">
      <c r="A171" s="25" t="inlineStr">
        <is>
          <t>2525011041099</t>
        </is>
      </c>
      <c r="B171" s="34" t="inlineStr">
        <is>
          <t>餐厅-柜</t>
        </is>
      </c>
      <c r="C171" s="35" t="inlineStr">
        <is>
          <t>樱桃木旋转柜2025版</t>
        </is>
      </c>
      <c r="D171" s="35" t="inlineStr">
        <is>
          <t>旋转柜-榉木整柜1.5米+1.1米餐桌</t>
        </is>
      </c>
      <c r="E171" s="34" t="inlineStr">
        <is>
          <t>北美进口FAS级樱桃木</t>
        </is>
      </c>
      <c r="F171" s="34" t="inlineStr"/>
      <c r="G171" s="35" t="inlineStr"/>
      <c r="H171" s="26" t="n">
        <v>0</v>
      </c>
      <c r="I171" s="26" t="n">
        <v>0</v>
      </c>
      <c r="J171" s="27" t="n">
        <v>0.48</v>
      </c>
      <c r="K171" s="28">
        <f>IFERROR(H171,0)</f>
        <v/>
      </c>
      <c r="L171" s="29" t="n"/>
      <c r="M171" s="29" t="n"/>
      <c r="N171" s="29" t="n"/>
      <c r="O171" s="29" t="n"/>
      <c r="P171" s="30">
        <f>IFERROR(IF(K171=0,"待填成本",ROUND(K171/(1-L171),0)),"" )</f>
        <v/>
      </c>
      <c r="Q171" s="30">
        <f>IFERROR(IF(K171=0,"待填成本",ROUND(K171/(1-M171),0)),"" )</f>
        <v/>
      </c>
      <c r="R171" s="30">
        <f>IFERROR(IF(K171=0,"待填成本",ROUND(K171/(1-N171),0)),"" )</f>
        <v/>
      </c>
      <c r="S171" s="30">
        <f>IFERROR(IF(K171=0,"待填成本",ROUND(K171/(1-O171),0)),"" )</f>
        <v/>
      </c>
      <c r="T171" s="31">
        <f>IFERROR(IF(K171=0,"",(P171-K171)/P171),"" )</f>
        <v/>
      </c>
      <c r="U171" s="31">
        <f>IFERROR(IF(K171=0,"",(Q171-K171)/Q171),"" )</f>
        <v/>
      </c>
      <c r="V171" s="31">
        <f>IFERROR(IF(K171=0,"",(R171-K171)/R171),"" )</f>
        <v/>
      </c>
      <c r="W171" s="31">
        <f>IFERROR(IF(K171=0,"",(S171-K171)/S171),"" )</f>
        <v/>
      </c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3" t="n"/>
      <c r="AG171" s="33" t="n"/>
      <c r="AH171" s="35" t="inlineStr"/>
    </row>
    <row r="172" ht="18" customHeight="1">
      <c r="A172" s="25" t="inlineStr">
        <is>
          <t>2525011041099</t>
        </is>
      </c>
      <c r="B172" s="6" t="inlineStr">
        <is>
          <t>餐厅-柜</t>
        </is>
      </c>
      <c r="C172" s="5" t="inlineStr">
        <is>
          <t>樱桃木旋转柜2025版</t>
        </is>
      </c>
      <c r="D172" s="5" t="inlineStr">
        <is>
          <t>旋转柜-榉木整柜1.4米+1.1米餐桌</t>
        </is>
      </c>
      <c r="E172" s="6" t="inlineStr">
        <is>
          <t>北美进口FAS级樱桃木</t>
        </is>
      </c>
      <c r="F172" s="6" t="inlineStr"/>
      <c r="G172" s="5" t="inlineStr"/>
      <c r="H172" s="26" t="n">
        <v>0</v>
      </c>
      <c r="I172" s="26" t="n">
        <v>0</v>
      </c>
      <c r="J172" s="27" t="n">
        <v>0.48</v>
      </c>
      <c r="K172" s="28">
        <f>IFERROR(H172,0)</f>
        <v/>
      </c>
      <c r="L172" s="29" t="n"/>
      <c r="M172" s="29" t="n"/>
      <c r="N172" s="29" t="n"/>
      <c r="O172" s="29" t="n"/>
      <c r="P172" s="30">
        <f>IFERROR(IF(K172=0,"待填成本",ROUND(K172/(1-L172),0)),"" )</f>
        <v/>
      </c>
      <c r="Q172" s="30">
        <f>IFERROR(IF(K172=0,"待填成本",ROUND(K172/(1-M172),0)),"" )</f>
        <v/>
      </c>
      <c r="R172" s="30">
        <f>IFERROR(IF(K172=0,"待填成本",ROUND(K172/(1-N172),0)),"" )</f>
        <v/>
      </c>
      <c r="S172" s="30">
        <f>IFERROR(IF(K172=0,"待填成本",ROUND(K172/(1-O172),0)),"" )</f>
        <v/>
      </c>
      <c r="T172" s="31">
        <f>IFERROR(IF(K172=0,"",(P172-K172)/P172),"" )</f>
        <v/>
      </c>
      <c r="U172" s="31">
        <f>IFERROR(IF(K172=0,"",(Q172-K172)/Q172),"" )</f>
        <v/>
      </c>
      <c r="V172" s="31">
        <f>IFERROR(IF(K172=0,"",(R172-K172)/R172),"" )</f>
        <v/>
      </c>
      <c r="W172" s="31">
        <f>IFERROR(IF(K172=0,"",(S172-K172)/S172),"" )</f>
        <v/>
      </c>
      <c r="X172" s="32" t="n"/>
      <c r="Y172" s="32" t="n"/>
      <c r="Z172" s="32" t="n"/>
      <c r="AA172" s="32" t="n"/>
      <c r="AB172" s="32" t="n"/>
      <c r="AC172" s="32" t="n"/>
      <c r="AD172" s="32" t="n"/>
      <c r="AE172" s="32" t="n"/>
      <c r="AF172" s="33" t="n"/>
      <c r="AG172" s="33" t="n"/>
      <c r="AH172" s="5" t="inlineStr"/>
    </row>
    <row r="173" ht="18" customHeight="1">
      <c r="A173" s="25" t="inlineStr">
        <is>
          <t>2525011041099</t>
        </is>
      </c>
      <c r="B173" s="34" t="inlineStr">
        <is>
          <t>餐厅-柜</t>
        </is>
      </c>
      <c r="C173" s="35" t="inlineStr">
        <is>
          <t>樱桃木旋转柜2025版</t>
        </is>
      </c>
      <c r="D173" s="35" t="inlineStr">
        <is>
          <t>旋转柜-榉木整柜1.3米+1.0米餐桌</t>
        </is>
      </c>
      <c r="E173" s="34" t="inlineStr">
        <is>
          <t>北美进口FAS级樱桃木</t>
        </is>
      </c>
      <c r="F173" s="34" t="inlineStr"/>
      <c r="G173" s="35" t="inlineStr"/>
      <c r="H173" s="26" t="n">
        <v>0</v>
      </c>
      <c r="I173" s="26" t="n">
        <v>0</v>
      </c>
      <c r="J173" s="27" t="n">
        <v>0.48</v>
      </c>
      <c r="K173" s="28">
        <f>IFERROR(H173,0)</f>
        <v/>
      </c>
      <c r="L173" s="29" t="n"/>
      <c r="M173" s="29" t="n"/>
      <c r="N173" s="29" t="n"/>
      <c r="O173" s="29" t="n"/>
      <c r="P173" s="30">
        <f>IFERROR(IF(K173=0,"待填成本",ROUND(K173/(1-L173),0)),"" )</f>
        <v/>
      </c>
      <c r="Q173" s="30">
        <f>IFERROR(IF(K173=0,"待填成本",ROUND(K173/(1-M173),0)),"" )</f>
        <v/>
      </c>
      <c r="R173" s="30">
        <f>IFERROR(IF(K173=0,"待填成本",ROUND(K173/(1-N173),0)),"" )</f>
        <v/>
      </c>
      <c r="S173" s="30">
        <f>IFERROR(IF(K173=0,"待填成本",ROUND(K173/(1-O173),0)),"" )</f>
        <v/>
      </c>
      <c r="T173" s="31">
        <f>IFERROR(IF(K173=0,"",(P173-K173)/P173),"" )</f>
        <v/>
      </c>
      <c r="U173" s="31">
        <f>IFERROR(IF(K173=0,"",(Q173-K173)/Q173),"" )</f>
        <v/>
      </c>
      <c r="V173" s="31">
        <f>IFERROR(IF(K173=0,"",(R173-K173)/R173),"" )</f>
        <v/>
      </c>
      <c r="W173" s="31">
        <f>IFERROR(IF(K173=0,"",(S173-K173)/S173),"" )</f>
        <v/>
      </c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3" t="n"/>
      <c r="AG173" s="33" t="n"/>
      <c r="AH173" s="35" t="inlineStr"/>
    </row>
    <row r="174" ht="18" customHeight="1">
      <c r="A174" s="25" t="inlineStr">
        <is>
          <t>2525011041099</t>
        </is>
      </c>
      <c r="B174" s="6" t="inlineStr">
        <is>
          <t>餐厅-柜</t>
        </is>
      </c>
      <c r="C174" s="5" t="inlineStr">
        <is>
          <t>樱桃木旋转柜2025版</t>
        </is>
      </c>
      <c r="D174" s="5" t="inlineStr">
        <is>
          <t>旋转柜-榉木整柜1.2米+1.0米餐桌</t>
        </is>
      </c>
      <c r="E174" s="6" t="inlineStr">
        <is>
          <t>北美进口FAS级樱桃木</t>
        </is>
      </c>
      <c r="F174" s="6" t="inlineStr"/>
      <c r="G174" s="5" t="inlineStr"/>
      <c r="H174" s="26" t="n">
        <v>0</v>
      </c>
      <c r="I174" s="26" t="n">
        <v>0</v>
      </c>
      <c r="J174" s="27" t="n">
        <v>0.48</v>
      </c>
      <c r="K174" s="28">
        <f>IFERROR(H174,0)</f>
        <v/>
      </c>
      <c r="L174" s="29" t="n"/>
      <c r="M174" s="29" t="n"/>
      <c r="N174" s="29" t="n"/>
      <c r="O174" s="29" t="n"/>
      <c r="P174" s="30">
        <f>IFERROR(IF(K174=0,"待填成本",ROUND(K174/(1-L174),0)),"" )</f>
        <v/>
      </c>
      <c r="Q174" s="30">
        <f>IFERROR(IF(K174=0,"待填成本",ROUND(K174/(1-M174),0)),"" )</f>
        <v/>
      </c>
      <c r="R174" s="30">
        <f>IFERROR(IF(K174=0,"待填成本",ROUND(K174/(1-N174),0)),"" )</f>
        <v/>
      </c>
      <c r="S174" s="30">
        <f>IFERROR(IF(K174=0,"待填成本",ROUND(K174/(1-O174),0)),"" )</f>
        <v/>
      </c>
      <c r="T174" s="31">
        <f>IFERROR(IF(K174=0,"",(P174-K174)/P174),"" )</f>
        <v/>
      </c>
      <c r="U174" s="31">
        <f>IFERROR(IF(K174=0,"",(Q174-K174)/Q174),"" )</f>
        <v/>
      </c>
      <c r="V174" s="31">
        <f>IFERROR(IF(K174=0,"",(R174-K174)/R174),"" )</f>
        <v/>
      </c>
      <c r="W174" s="31">
        <f>IFERROR(IF(K174=0,"",(S174-K174)/S174),"" )</f>
        <v/>
      </c>
      <c r="X174" s="32" t="n"/>
      <c r="Y174" s="32" t="n"/>
      <c r="Z174" s="32" t="n"/>
      <c r="AA174" s="32" t="n"/>
      <c r="AB174" s="32" t="n"/>
      <c r="AC174" s="32" t="n"/>
      <c r="AD174" s="32" t="n"/>
      <c r="AE174" s="32" t="n"/>
      <c r="AF174" s="33" t="n"/>
      <c r="AG174" s="33" t="n"/>
      <c r="AH174" s="5" t="inlineStr"/>
    </row>
    <row r="175" ht="18" customHeight="1">
      <c r="A175" s="25" t="inlineStr">
        <is>
          <t>2525011041099</t>
        </is>
      </c>
      <c r="B175" s="34" t="inlineStr">
        <is>
          <t>餐厅-柜</t>
        </is>
      </c>
      <c r="C175" s="35" t="inlineStr">
        <is>
          <t>樱桃木旋转柜2025版</t>
        </is>
      </c>
      <c r="D175" s="35" t="inlineStr">
        <is>
          <t>旋转柜-榉木整柜1.1米+1.0米餐桌</t>
        </is>
      </c>
      <c r="E175" s="34" t="inlineStr">
        <is>
          <t>北美进口FAS级樱桃木</t>
        </is>
      </c>
      <c r="F175" s="34" t="inlineStr"/>
      <c r="G175" s="35" t="inlineStr"/>
      <c r="H175" s="26" t="n">
        <v>0</v>
      </c>
      <c r="I175" s="26" t="n">
        <v>0</v>
      </c>
      <c r="J175" s="27" t="n">
        <v>0.48</v>
      </c>
      <c r="K175" s="28">
        <f>IFERROR(H175,0)</f>
        <v/>
      </c>
      <c r="L175" s="29" t="n"/>
      <c r="M175" s="29" t="n"/>
      <c r="N175" s="29" t="n"/>
      <c r="O175" s="29" t="n"/>
      <c r="P175" s="30">
        <f>IFERROR(IF(K175=0,"待填成本",ROUND(K175/(1-L175),0)),"" )</f>
        <v/>
      </c>
      <c r="Q175" s="30">
        <f>IFERROR(IF(K175=0,"待填成本",ROUND(K175/(1-M175),0)),"" )</f>
        <v/>
      </c>
      <c r="R175" s="30">
        <f>IFERROR(IF(K175=0,"待填成本",ROUND(K175/(1-N175),0)),"" )</f>
        <v/>
      </c>
      <c r="S175" s="30">
        <f>IFERROR(IF(K175=0,"待填成本",ROUND(K175/(1-O175),0)),"" )</f>
        <v/>
      </c>
      <c r="T175" s="31">
        <f>IFERROR(IF(K175=0,"",(P175-K175)/P175),"" )</f>
        <v/>
      </c>
      <c r="U175" s="31">
        <f>IFERROR(IF(K175=0,"",(Q175-K175)/Q175),"" )</f>
        <v/>
      </c>
      <c r="V175" s="31">
        <f>IFERROR(IF(K175=0,"",(R175-K175)/R175),"" )</f>
        <v/>
      </c>
      <c r="W175" s="31">
        <f>IFERROR(IF(K175=0,"",(S175-K175)/S175),"" )</f>
        <v/>
      </c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3" t="n"/>
      <c r="AG175" s="33" t="n"/>
      <c r="AH175" s="35" t="inlineStr"/>
    </row>
    <row r="176" ht="18" customHeight="1">
      <c r="A176" s="25" t="inlineStr">
        <is>
          <t>2525011041099</t>
        </is>
      </c>
      <c r="B176" s="6" t="inlineStr">
        <is>
          <t>餐厅-柜</t>
        </is>
      </c>
      <c r="C176" s="5" t="inlineStr">
        <is>
          <t>樱桃木旋转柜2025版</t>
        </is>
      </c>
      <c r="D176" s="5" t="inlineStr">
        <is>
          <t>旋转柜-榉木整柜1.0米+1.0米餐桌</t>
        </is>
      </c>
      <c r="E176" s="6" t="inlineStr">
        <is>
          <t>北美进口FAS级樱桃木</t>
        </is>
      </c>
      <c r="F176" s="6" t="inlineStr"/>
      <c r="G176" s="5" t="inlineStr"/>
      <c r="H176" s="26" t="n">
        <v>0</v>
      </c>
      <c r="I176" s="26" t="n">
        <v>0</v>
      </c>
      <c r="J176" s="27" t="n">
        <v>0.48</v>
      </c>
      <c r="K176" s="28">
        <f>IFERROR(H176,0)</f>
        <v/>
      </c>
      <c r="L176" s="29" t="n"/>
      <c r="M176" s="29" t="n"/>
      <c r="N176" s="29" t="n"/>
      <c r="O176" s="29" t="n"/>
      <c r="P176" s="30">
        <f>IFERROR(IF(K176=0,"待填成本",ROUND(K176/(1-L176),0)),"" )</f>
        <v/>
      </c>
      <c r="Q176" s="30">
        <f>IFERROR(IF(K176=0,"待填成本",ROUND(K176/(1-M176),0)),"" )</f>
        <v/>
      </c>
      <c r="R176" s="30">
        <f>IFERROR(IF(K176=0,"待填成本",ROUND(K176/(1-N176),0)),"" )</f>
        <v/>
      </c>
      <c r="S176" s="30">
        <f>IFERROR(IF(K176=0,"待填成本",ROUND(K176/(1-O176),0)),"" )</f>
        <v/>
      </c>
      <c r="T176" s="31">
        <f>IFERROR(IF(K176=0,"",(P176-K176)/P176),"" )</f>
        <v/>
      </c>
      <c r="U176" s="31">
        <f>IFERROR(IF(K176=0,"",(Q176-K176)/Q176),"" )</f>
        <v/>
      </c>
      <c r="V176" s="31">
        <f>IFERROR(IF(K176=0,"",(R176-K176)/R176),"" )</f>
        <v/>
      </c>
      <c r="W176" s="31">
        <f>IFERROR(IF(K176=0,"",(S176-K176)/S176),"" )</f>
        <v/>
      </c>
      <c r="X176" s="32" t="n"/>
      <c r="Y176" s="32" t="n"/>
      <c r="Z176" s="32" t="n"/>
      <c r="AA176" s="32" t="n"/>
      <c r="AB176" s="32" t="n"/>
      <c r="AC176" s="32" t="n"/>
      <c r="AD176" s="32" t="n"/>
      <c r="AE176" s="32" t="n"/>
      <c r="AF176" s="33" t="n"/>
      <c r="AG176" s="33" t="n"/>
      <c r="AH176" s="5" t="inlineStr"/>
    </row>
    <row r="177" ht="18" customHeight="1">
      <c r="A177" s="25" t="inlineStr">
        <is>
          <t>2525012041599</t>
        </is>
      </c>
      <c r="B177" s="34" t="inlineStr">
        <is>
          <t>餐厅-柜</t>
        </is>
      </c>
      <c r="C177" s="35" t="inlineStr">
        <is>
          <t>黑胡桃木基础餐边柜 |黑胡桃木鎏金餐边柜</t>
        </is>
      </c>
      <c r="D177" s="35" t="inlineStr">
        <is>
          <t>鎏金柜-下柜-2.1米</t>
        </is>
      </c>
      <c r="E177" s="34" t="inlineStr">
        <is>
          <t>北美进口FAS级黑胡桃木</t>
        </is>
      </c>
      <c r="F177" s="34" t="inlineStr">
        <is>
          <t xml:space="preserve">抽屉围板：实木多层板
台面：黑色岩板
背板：鎏金板
电力轨道：xpower 内嵌电力轨道
顶柜玻璃：灰玻
</t>
        </is>
      </c>
      <c r="G177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77" s="26" t="n">
        <v>0</v>
      </c>
      <c r="I177" s="26" t="n">
        <v>0</v>
      </c>
      <c r="J177" s="27" t="n">
        <v>0.48</v>
      </c>
      <c r="K177" s="28">
        <f>IFERROR(H177,0)</f>
        <v/>
      </c>
      <c r="L177" s="29" t="n"/>
      <c r="M177" s="29" t="n"/>
      <c r="N177" s="29" t="n"/>
      <c r="O177" s="29" t="n"/>
      <c r="P177" s="30">
        <f>IFERROR(IF(K177=0,"待填成本",ROUND(K177/(1-L177),0)),"" )</f>
        <v/>
      </c>
      <c r="Q177" s="30">
        <f>IFERROR(IF(K177=0,"待填成本",ROUND(K177/(1-M177),0)),"" )</f>
        <v/>
      </c>
      <c r="R177" s="30">
        <f>IFERROR(IF(K177=0,"待填成本",ROUND(K177/(1-N177),0)),"" )</f>
        <v/>
      </c>
      <c r="S177" s="30">
        <f>IFERROR(IF(K177=0,"待填成本",ROUND(K177/(1-O177),0)),"" )</f>
        <v/>
      </c>
      <c r="T177" s="31">
        <f>IFERROR(IF(K177=0,"",(P177-K177)/P177),"" )</f>
        <v/>
      </c>
      <c r="U177" s="31">
        <f>IFERROR(IF(K177=0,"",(Q177-K177)/Q177),"" )</f>
        <v/>
      </c>
      <c r="V177" s="31">
        <f>IFERROR(IF(K177=0,"",(R177-K177)/R177),"" )</f>
        <v/>
      </c>
      <c r="W177" s="31">
        <f>IFERROR(IF(K177=0,"",(S177-K177)/S177),"" )</f>
        <v/>
      </c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3" t="n"/>
      <c r="AG177" s="33" t="n"/>
      <c r="AH177" s="35" t="inlineStr"/>
    </row>
    <row r="178" ht="18" customHeight="1">
      <c r="A178" s="25" t="inlineStr">
        <is>
          <t>2525012041599</t>
        </is>
      </c>
      <c r="B178" s="6" t="inlineStr">
        <is>
          <t>餐厅-柜</t>
        </is>
      </c>
      <c r="C178" s="5" t="inlineStr">
        <is>
          <t>黑胡桃木基础餐边柜 |黑胡桃木鎏金餐边柜</t>
        </is>
      </c>
      <c r="D178" s="5" t="inlineStr">
        <is>
          <t>鎏金柜-下柜-2.0米</t>
        </is>
      </c>
      <c r="E178" s="6" t="inlineStr">
        <is>
          <t>北美进口FAS级黑胡桃木</t>
        </is>
      </c>
      <c r="F178" s="6" t="inlineStr">
        <is>
          <t xml:space="preserve">抽屉围板：实木多层板
台面：黑色岩板
背板：鎏金板
电力轨道：xpower 内嵌电力轨道
顶柜玻璃：灰玻
</t>
        </is>
      </c>
      <c r="G178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78" s="26" t="n">
        <v>0</v>
      </c>
      <c r="I178" s="26" t="n">
        <v>0</v>
      </c>
      <c r="J178" s="27" t="n">
        <v>0.48</v>
      </c>
      <c r="K178" s="28">
        <f>IFERROR(H178,0)</f>
        <v/>
      </c>
      <c r="L178" s="29" t="n"/>
      <c r="M178" s="29" t="n"/>
      <c r="N178" s="29" t="n"/>
      <c r="O178" s="29" t="n"/>
      <c r="P178" s="30">
        <f>IFERROR(IF(K178=0,"待填成本",ROUND(K178/(1-L178),0)),"" )</f>
        <v/>
      </c>
      <c r="Q178" s="30">
        <f>IFERROR(IF(K178=0,"待填成本",ROUND(K178/(1-M178),0)),"" )</f>
        <v/>
      </c>
      <c r="R178" s="30">
        <f>IFERROR(IF(K178=0,"待填成本",ROUND(K178/(1-N178),0)),"" )</f>
        <v/>
      </c>
      <c r="S178" s="30">
        <f>IFERROR(IF(K178=0,"待填成本",ROUND(K178/(1-O178),0)),"" )</f>
        <v/>
      </c>
      <c r="T178" s="31">
        <f>IFERROR(IF(K178=0,"",(P178-K178)/P178),"" )</f>
        <v/>
      </c>
      <c r="U178" s="31">
        <f>IFERROR(IF(K178=0,"",(Q178-K178)/Q178),"" )</f>
        <v/>
      </c>
      <c r="V178" s="31">
        <f>IFERROR(IF(K178=0,"",(R178-K178)/R178),"" )</f>
        <v/>
      </c>
      <c r="W178" s="31">
        <f>IFERROR(IF(K178=0,"",(S178-K178)/S178),"" )</f>
        <v/>
      </c>
      <c r="X178" s="32" t="n"/>
      <c r="Y178" s="32" t="n"/>
      <c r="Z178" s="32" t="n"/>
      <c r="AA178" s="32" t="n"/>
      <c r="AB178" s="32" t="n"/>
      <c r="AC178" s="32" t="n"/>
      <c r="AD178" s="32" t="n"/>
      <c r="AE178" s="32" t="n"/>
      <c r="AF178" s="33" t="n"/>
      <c r="AG178" s="33" t="n"/>
      <c r="AH178" s="5" t="inlineStr"/>
    </row>
    <row r="179" ht="18" customHeight="1">
      <c r="A179" s="25" t="inlineStr">
        <is>
          <t>2525012041599</t>
        </is>
      </c>
      <c r="B179" s="34" t="inlineStr">
        <is>
          <t>餐厅-柜</t>
        </is>
      </c>
      <c r="C179" s="35" t="inlineStr">
        <is>
          <t>黑胡桃木基础餐边柜 |黑胡桃木鎏金餐边柜</t>
        </is>
      </c>
      <c r="D179" s="35" t="inlineStr">
        <is>
          <t>鎏金柜-下柜-1.9米</t>
        </is>
      </c>
      <c r="E179" s="34" t="inlineStr">
        <is>
          <t>北美进口FAS级黑胡桃木</t>
        </is>
      </c>
      <c r="F179" s="34" t="inlineStr">
        <is>
          <t xml:space="preserve">抽屉围板：实木多层板
台面：黑色岩板
背板：鎏金板
电力轨道：xpower 内嵌电力轨道
顶柜玻璃：灰玻
</t>
        </is>
      </c>
      <c r="G179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79" s="26" t="n">
        <v>0</v>
      </c>
      <c r="I179" s="26" t="n">
        <v>0</v>
      </c>
      <c r="J179" s="27" t="n">
        <v>0.48</v>
      </c>
      <c r="K179" s="28">
        <f>IFERROR(H179,0)</f>
        <v/>
      </c>
      <c r="L179" s="29" t="n"/>
      <c r="M179" s="29" t="n"/>
      <c r="N179" s="29" t="n"/>
      <c r="O179" s="29" t="n"/>
      <c r="P179" s="30">
        <f>IFERROR(IF(K179=0,"待填成本",ROUND(K179/(1-L179),0)),"" )</f>
        <v/>
      </c>
      <c r="Q179" s="30">
        <f>IFERROR(IF(K179=0,"待填成本",ROUND(K179/(1-M179),0)),"" )</f>
        <v/>
      </c>
      <c r="R179" s="30">
        <f>IFERROR(IF(K179=0,"待填成本",ROUND(K179/(1-N179),0)),"" )</f>
        <v/>
      </c>
      <c r="S179" s="30">
        <f>IFERROR(IF(K179=0,"待填成本",ROUND(K179/(1-O179),0)),"" )</f>
        <v/>
      </c>
      <c r="T179" s="31">
        <f>IFERROR(IF(K179=0,"",(P179-K179)/P179),"" )</f>
        <v/>
      </c>
      <c r="U179" s="31">
        <f>IFERROR(IF(K179=0,"",(Q179-K179)/Q179),"" )</f>
        <v/>
      </c>
      <c r="V179" s="31">
        <f>IFERROR(IF(K179=0,"",(R179-K179)/R179),"" )</f>
        <v/>
      </c>
      <c r="W179" s="31">
        <f>IFERROR(IF(K179=0,"",(S179-K179)/S179),"" )</f>
        <v/>
      </c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3" t="n"/>
      <c r="AG179" s="33" t="n"/>
      <c r="AH179" s="35" t="inlineStr"/>
    </row>
    <row r="180" ht="18" customHeight="1">
      <c r="A180" s="25" t="inlineStr">
        <is>
          <t>2525012041599</t>
        </is>
      </c>
      <c r="B180" s="6" t="inlineStr">
        <is>
          <t>餐厅-柜</t>
        </is>
      </c>
      <c r="C180" s="5" t="inlineStr">
        <is>
          <t>黑胡桃木基础餐边柜 |黑胡桃木鎏金餐边柜</t>
        </is>
      </c>
      <c r="D180" s="5" t="inlineStr">
        <is>
          <t>鎏金柜-下柜-1.8米</t>
        </is>
      </c>
      <c r="E180" s="6" t="inlineStr">
        <is>
          <t>北美进口FAS级黑胡桃木</t>
        </is>
      </c>
      <c r="F180" s="6" t="inlineStr">
        <is>
          <t xml:space="preserve">抽屉围板：实木多层板
台面：黑色岩板
背板：鎏金板
电力轨道：xpower 内嵌电力轨道
顶柜玻璃：灰玻
</t>
        </is>
      </c>
      <c r="G180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0" s="26" t="n">
        <v>0</v>
      </c>
      <c r="I180" s="26" t="n">
        <v>0</v>
      </c>
      <c r="J180" s="27" t="n">
        <v>0.48</v>
      </c>
      <c r="K180" s="28">
        <f>IFERROR(H180,0)</f>
        <v/>
      </c>
      <c r="L180" s="29" t="n"/>
      <c r="M180" s="29" t="n"/>
      <c r="N180" s="29" t="n"/>
      <c r="O180" s="29" t="n"/>
      <c r="P180" s="30">
        <f>IFERROR(IF(K180=0,"待填成本",ROUND(K180/(1-L180),0)),"" )</f>
        <v/>
      </c>
      <c r="Q180" s="30">
        <f>IFERROR(IF(K180=0,"待填成本",ROUND(K180/(1-M180),0)),"" )</f>
        <v/>
      </c>
      <c r="R180" s="30">
        <f>IFERROR(IF(K180=0,"待填成本",ROUND(K180/(1-N180),0)),"" )</f>
        <v/>
      </c>
      <c r="S180" s="30">
        <f>IFERROR(IF(K180=0,"待填成本",ROUND(K180/(1-O180),0)),"" )</f>
        <v/>
      </c>
      <c r="T180" s="31">
        <f>IFERROR(IF(K180=0,"",(P180-K180)/P180),"" )</f>
        <v/>
      </c>
      <c r="U180" s="31">
        <f>IFERROR(IF(K180=0,"",(Q180-K180)/Q180),"" )</f>
        <v/>
      </c>
      <c r="V180" s="31">
        <f>IFERROR(IF(K180=0,"",(R180-K180)/R180),"" )</f>
        <v/>
      </c>
      <c r="W180" s="31">
        <f>IFERROR(IF(K180=0,"",(S180-K180)/S180),"" )</f>
        <v/>
      </c>
      <c r="X180" s="32" t="n"/>
      <c r="Y180" s="32" t="n"/>
      <c r="Z180" s="32" t="n"/>
      <c r="AA180" s="32" t="n"/>
      <c r="AB180" s="32" t="n"/>
      <c r="AC180" s="32" t="n"/>
      <c r="AD180" s="32" t="n"/>
      <c r="AE180" s="32" t="n"/>
      <c r="AF180" s="33" t="n"/>
      <c r="AG180" s="33" t="n"/>
      <c r="AH180" s="5" t="inlineStr"/>
    </row>
    <row r="181" ht="18" customHeight="1">
      <c r="A181" s="25" t="inlineStr">
        <is>
          <t>2525012041599</t>
        </is>
      </c>
      <c r="B181" s="34" t="inlineStr">
        <is>
          <t>餐厅-柜</t>
        </is>
      </c>
      <c r="C181" s="35" t="inlineStr">
        <is>
          <t>黑胡桃木基础餐边柜 |黑胡桃木鎏金餐边柜</t>
        </is>
      </c>
      <c r="D181" s="35" t="inlineStr">
        <is>
          <t>鎏金柜-下柜-1.7米</t>
        </is>
      </c>
      <c r="E181" s="34" t="inlineStr">
        <is>
          <t>北美进口FAS级黑胡桃木</t>
        </is>
      </c>
      <c r="F181" s="34" t="inlineStr">
        <is>
          <t xml:space="preserve">抽屉围板：实木多层板
台面：黑色岩板
背板：鎏金板
电力轨道：xpower 内嵌电力轨道
顶柜玻璃：灰玻
</t>
        </is>
      </c>
      <c r="G181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1" s="26" t="n">
        <v>0</v>
      </c>
      <c r="I181" s="26" t="n">
        <v>0</v>
      </c>
      <c r="J181" s="27" t="n">
        <v>0.48</v>
      </c>
      <c r="K181" s="28">
        <f>IFERROR(H181,0)</f>
        <v/>
      </c>
      <c r="L181" s="29" t="n"/>
      <c r="M181" s="29" t="n"/>
      <c r="N181" s="29" t="n"/>
      <c r="O181" s="29" t="n"/>
      <c r="P181" s="30">
        <f>IFERROR(IF(K181=0,"待填成本",ROUND(K181/(1-L181),0)),"" )</f>
        <v/>
      </c>
      <c r="Q181" s="30">
        <f>IFERROR(IF(K181=0,"待填成本",ROUND(K181/(1-M181),0)),"" )</f>
        <v/>
      </c>
      <c r="R181" s="30">
        <f>IFERROR(IF(K181=0,"待填成本",ROUND(K181/(1-N181),0)),"" )</f>
        <v/>
      </c>
      <c r="S181" s="30">
        <f>IFERROR(IF(K181=0,"待填成本",ROUND(K181/(1-O181),0)),"" )</f>
        <v/>
      </c>
      <c r="T181" s="31">
        <f>IFERROR(IF(K181=0,"",(P181-K181)/P181),"" )</f>
        <v/>
      </c>
      <c r="U181" s="31">
        <f>IFERROR(IF(K181=0,"",(Q181-K181)/Q181),"" )</f>
        <v/>
      </c>
      <c r="V181" s="31">
        <f>IFERROR(IF(K181=0,"",(R181-K181)/R181),"" )</f>
        <v/>
      </c>
      <c r="W181" s="31">
        <f>IFERROR(IF(K181=0,"",(S181-K181)/S181),"" )</f>
        <v/>
      </c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3" t="n"/>
      <c r="AG181" s="33" t="n"/>
      <c r="AH181" s="35" t="inlineStr"/>
    </row>
    <row r="182" ht="18" customHeight="1">
      <c r="A182" s="25" t="inlineStr">
        <is>
          <t>2525012041599</t>
        </is>
      </c>
      <c r="B182" s="6" t="inlineStr">
        <is>
          <t>餐厅-柜</t>
        </is>
      </c>
      <c r="C182" s="5" t="inlineStr">
        <is>
          <t>黑胡桃木基础餐边柜 |黑胡桃木鎏金餐边柜</t>
        </is>
      </c>
      <c r="D182" s="5" t="inlineStr">
        <is>
          <t>鎏金柜-下柜-1.6米</t>
        </is>
      </c>
      <c r="E182" s="6" t="inlineStr">
        <is>
          <t>北美进口FAS级黑胡桃木</t>
        </is>
      </c>
      <c r="F182" s="6" t="inlineStr">
        <is>
          <t xml:space="preserve">抽屉围板：实木多层板
台面：黑色岩板
背板：鎏金板
电力轨道：xpower 内嵌电力轨道
顶柜玻璃：灰玻
</t>
        </is>
      </c>
      <c r="G182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2" s="26" t="n">
        <v>0</v>
      </c>
      <c r="I182" s="26" t="n">
        <v>0</v>
      </c>
      <c r="J182" s="27" t="n">
        <v>0.48</v>
      </c>
      <c r="K182" s="28">
        <f>IFERROR(H182,0)</f>
        <v/>
      </c>
      <c r="L182" s="29" t="n"/>
      <c r="M182" s="29" t="n"/>
      <c r="N182" s="29" t="n"/>
      <c r="O182" s="29" t="n"/>
      <c r="P182" s="30">
        <f>IFERROR(IF(K182=0,"待填成本",ROUND(K182/(1-L182),0)),"" )</f>
        <v/>
      </c>
      <c r="Q182" s="30">
        <f>IFERROR(IF(K182=0,"待填成本",ROUND(K182/(1-M182),0)),"" )</f>
        <v/>
      </c>
      <c r="R182" s="30">
        <f>IFERROR(IF(K182=0,"待填成本",ROUND(K182/(1-N182),0)),"" )</f>
        <v/>
      </c>
      <c r="S182" s="30">
        <f>IFERROR(IF(K182=0,"待填成本",ROUND(K182/(1-O182),0)),"" )</f>
        <v/>
      </c>
      <c r="T182" s="31">
        <f>IFERROR(IF(K182=0,"",(P182-K182)/P182),"" )</f>
        <v/>
      </c>
      <c r="U182" s="31">
        <f>IFERROR(IF(K182=0,"",(Q182-K182)/Q182),"" )</f>
        <v/>
      </c>
      <c r="V182" s="31">
        <f>IFERROR(IF(K182=0,"",(R182-K182)/R182),"" )</f>
        <v/>
      </c>
      <c r="W182" s="31">
        <f>IFERROR(IF(K182=0,"",(S182-K182)/S182),"" )</f>
        <v/>
      </c>
      <c r="X182" s="32" t="n"/>
      <c r="Y182" s="32" t="n"/>
      <c r="Z182" s="32" t="n"/>
      <c r="AA182" s="32" t="n"/>
      <c r="AB182" s="32" t="n"/>
      <c r="AC182" s="32" t="n"/>
      <c r="AD182" s="32" t="n"/>
      <c r="AE182" s="32" t="n"/>
      <c r="AF182" s="33" t="n"/>
      <c r="AG182" s="33" t="n"/>
      <c r="AH182" s="5" t="inlineStr"/>
    </row>
    <row r="183" ht="18" customHeight="1">
      <c r="A183" s="25" t="inlineStr">
        <is>
          <t>2525012041599</t>
        </is>
      </c>
      <c r="B183" s="34" t="inlineStr">
        <is>
          <t>餐厅-柜</t>
        </is>
      </c>
      <c r="C183" s="35" t="inlineStr">
        <is>
          <t>黑胡桃木基础餐边柜 |黑胡桃木鎏金餐边柜</t>
        </is>
      </c>
      <c r="D183" s="35" t="inlineStr">
        <is>
          <t>鎏金柜-下柜-1.5米</t>
        </is>
      </c>
      <c r="E183" s="34" t="inlineStr">
        <is>
          <t>北美进口FAS级黑胡桃木</t>
        </is>
      </c>
      <c r="F183" s="34" t="inlineStr">
        <is>
          <t xml:space="preserve">抽屉围板：实木多层板
台面：黑色岩板
背板：鎏金板
电力轨道：xpower 内嵌电力轨道
顶柜玻璃：灰玻
</t>
        </is>
      </c>
      <c r="G183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3" s="26" t="n">
        <v>0</v>
      </c>
      <c r="I183" s="26" t="n">
        <v>0</v>
      </c>
      <c r="J183" s="27" t="n">
        <v>0.48</v>
      </c>
      <c r="K183" s="28">
        <f>IFERROR(H183,0)</f>
        <v/>
      </c>
      <c r="L183" s="29" t="n"/>
      <c r="M183" s="29" t="n"/>
      <c r="N183" s="29" t="n"/>
      <c r="O183" s="29" t="n"/>
      <c r="P183" s="30">
        <f>IFERROR(IF(K183=0,"待填成本",ROUND(K183/(1-L183),0)),"" )</f>
        <v/>
      </c>
      <c r="Q183" s="30">
        <f>IFERROR(IF(K183=0,"待填成本",ROUND(K183/(1-M183),0)),"" )</f>
        <v/>
      </c>
      <c r="R183" s="30">
        <f>IFERROR(IF(K183=0,"待填成本",ROUND(K183/(1-N183),0)),"" )</f>
        <v/>
      </c>
      <c r="S183" s="30">
        <f>IFERROR(IF(K183=0,"待填成本",ROUND(K183/(1-O183),0)),"" )</f>
        <v/>
      </c>
      <c r="T183" s="31">
        <f>IFERROR(IF(K183=0,"",(P183-K183)/P183),"" )</f>
        <v/>
      </c>
      <c r="U183" s="31">
        <f>IFERROR(IF(K183=0,"",(Q183-K183)/Q183),"" )</f>
        <v/>
      </c>
      <c r="V183" s="31">
        <f>IFERROR(IF(K183=0,"",(R183-K183)/R183),"" )</f>
        <v/>
      </c>
      <c r="W183" s="31">
        <f>IFERROR(IF(K183=0,"",(S183-K183)/S183),"" )</f>
        <v/>
      </c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3" t="n"/>
      <c r="AG183" s="33" t="n"/>
      <c r="AH183" s="35" t="inlineStr"/>
    </row>
    <row r="184" ht="18" customHeight="1">
      <c r="A184" s="25" t="inlineStr">
        <is>
          <t>2525012041599</t>
        </is>
      </c>
      <c r="B184" s="6" t="inlineStr">
        <is>
          <t>餐厅-柜</t>
        </is>
      </c>
      <c r="C184" s="5" t="inlineStr">
        <is>
          <t>黑胡桃木基础餐边柜 |黑胡桃木鎏金餐边柜</t>
        </is>
      </c>
      <c r="D184" s="5" t="inlineStr">
        <is>
          <t>鎏金柜-下柜-1.4米</t>
        </is>
      </c>
      <c r="E184" s="6" t="inlineStr">
        <is>
          <t>北美进口FAS级黑胡桃木</t>
        </is>
      </c>
      <c r="F184" s="6" t="inlineStr">
        <is>
          <t xml:space="preserve">抽屉围板：实木多层板
台面：黑色岩板
背板：鎏金板
电力轨道：xpower 内嵌电力轨道
顶柜玻璃：灰玻
</t>
        </is>
      </c>
      <c r="G184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4" s="26" t="n">
        <v>0</v>
      </c>
      <c r="I184" s="26" t="n">
        <v>0</v>
      </c>
      <c r="J184" s="27" t="n">
        <v>0.48</v>
      </c>
      <c r="K184" s="28">
        <f>IFERROR(H184,0)</f>
        <v/>
      </c>
      <c r="L184" s="29" t="n"/>
      <c r="M184" s="29" t="n"/>
      <c r="N184" s="29" t="n"/>
      <c r="O184" s="29" t="n"/>
      <c r="P184" s="30">
        <f>IFERROR(IF(K184=0,"待填成本",ROUND(K184/(1-L184),0)),"" )</f>
        <v/>
      </c>
      <c r="Q184" s="30">
        <f>IFERROR(IF(K184=0,"待填成本",ROUND(K184/(1-M184),0)),"" )</f>
        <v/>
      </c>
      <c r="R184" s="30">
        <f>IFERROR(IF(K184=0,"待填成本",ROUND(K184/(1-N184),0)),"" )</f>
        <v/>
      </c>
      <c r="S184" s="30">
        <f>IFERROR(IF(K184=0,"待填成本",ROUND(K184/(1-O184),0)),"" )</f>
        <v/>
      </c>
      <c r="T184" s="31">
        <f>IFERROR(IF(K184=0,"",(P184-K184)/P184),"" )</f>
        <v/>
      </c>
      <c r="U184" s="31">
        <f>IFERROR(IF(K184=0,"",(Q184-K184)/Q184),"" )</f>
        <v/>
      </c>
      <c r="V184" s="31">
        <f>IFERROR(IF(K184=0,"",(R184-K184)/R184),"" )</f>
        <v/>
      </c>
      <c r="W184" s="31">
        <f>IFERROR(IF(K184=0,"",(S184-K184)/S184),"" )</f>
        <v/>
      </c>
      <c r="X184" s="32" t="n"/>
      <c r="Y184" s="32" t="n"/>
      <c r="Z184" s="32" t="n"/>
      <c r="AA184" s="32" t="n"/>
      <c r="AB184" s="32" t="n"/>
      <c r="AC184" s="32" t="n"/>
      <c r="AD184" s="32" t="n"/>
      <c r="AE184" s="32" t="n"/>
      <c r="AF184" s="33" t="n"/>
      <c r="AG184" s="33" t="n"/>
      <c r="AH184" s="5" t="inlineStr"/>
    </row>
    <row r="185" ht="18" customHeight="1">
      <c r="A185" s="25" t="inlineStr">
        <is>
          <t>2525012041599</t>
        </is>
      </c>
      <c r="B185" s="34" t="inlineStr">
        <is>
          <t>餐厅-柜</t>
        </is>
      </c>
      <c r="C185" s="35" t="inlineStr">
        <is>
          <t>黑胡桃木基础餐边柜 |黑胡桃木鎏金餐边柜</t>
        </is>
      </c>
      <c r="D185" s="35" t="inlineStr">
        <is>
          <t>鎏金柜-下柜-1.3米</t>
        </is>
      </c>
      <c r="E185" s="34" t="inlineStr">
        <is>
          <t>北美进口FAS级黑胡桃木</t>
        </is>
      </c>
      <c r="F185" s="34" t="inlineStr">
        <is>
          <t xml:space="preserve">抽屉围板：实木多层板
台面：黑色岩板
背板：鎏金板
电力轨道：xpower 内嵌电力轨道
顶柜玻璃：灰玻
</t>
        </is>
      </c>
      <c r="G185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5" s="26" t="n">
        <v>0</v>
      </c>
      <c r="I185" s="26" t="n">
        <v>0</v>
      </c>
      <c r="J185" s="27" t="n">
        <v>0.48</v>
      </c>
      <c r="K185" s="28">
        <f>IFERROR(H185,0)</f>
        <v/>
      </c>
      <c r="L185" s="29" t="n"/>
      <c r="M185" s="29" t="n"/>
      <c r="N185" s="29" t="n"/>
      <c r="O185" s="29" t="n"/>
      <c r="P185" s="30">
        <f>IFERROR(IF(K185=0,"待填成本",ROUND(K185/(1-L185),0)),"" )</f>
        <v/>
      </c>
      <c r="Q185" s="30">
        <f>IFERROR(IF(K185=0,"待填成本",ROUND(K185/(1-M185),0)),"" )</f>
        <v/>
      </c>
      <c r="R185" s="30">
        <f>IFERROR(IF(K185=0,"待填成本",ROUND(K185/(1-N185),0)),"" )</f>
        <v/>
      </c>
      <c r="S185" s="30">
        <f>IFERROR(IF(K185=0,"待填成本",ROUND(K185/(1-O185),0)),"" )</f>
        <v/>
      </c>
      <c r="T185" s="31">
        <f>IFERROR(IF(K185=0,"",(P185-K185)/P185),"" )</f>
        <v/>
      </c>
      <c r="U185" s="31">
        <f>IFERROR(IF(K185=0,"",(Q185-K185)/Q185),"" )</f>
        <v/>
      </c>
      <c r="V185" s="31">
        <f>IFERROR(IF(K185=0,"",(R185-K185)/R185),"" )</f>
        <v/>
      </c>
      <c r="W185" s="31">
        <f>IFERROR(IF(K185=0,"",(S185-K185)/S185),"" )</f>
        <v/>
      </c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3" t="n"/>
      <c r="AG185" s="33" t="n"/>
      <c r="AH185" s="35" t="inlineStr"/>
    </row>
    <row r="186" ht="18" customHeight="1">
      <c r="A186" s="25" t="inlineStr">
        <is>
          <t>2525012041599</t>
        </is>
      </c>
      <c r="B186" s="6" t="inlineStr">
        <is>
          <t>餐厅-柜</t>
        </is>
      </c>
      <c r="C186" s="5" t="inlineStr">
        <is>
          <t>黑胡桃木基础餐边柜 |黑胡桃木鎏金餐边柜</t>
        </is>
      </c>
      <c r="D186" s="5" t="inlineStr">
        <is>
          <t>鎏金柜-下柜-1.2米</t>
        </is>
      </c>
      <c r="E186" s="6" t="inlineStr">
        <is>
          <t>北美进口FAS级黑胡桃木</t>
        </is>
      </c>
      <c r="F186" s="6" t="inlineStr">
        <is>
          <t xml:space="preserve">抽屉围板：实木多层板
台面：黑色岩板
背板：鎏金板
电力轨道：xpower 内嵌电力轨道
顶柜玻璃：灰玻
</t>
        </is>
      </c>
      <c r="G186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6" s="26" t="n">
        <v>0</v>
      </c>
      <c r="I186" s="26" t="n">
        <v>0</v>
      </c>
      <c r="J186" s="27" t="n">
        <v>0.48</v>
      </c>
      <c r="K186" s="28">
        <f>IFERROR(H186,0)</f>
        <v/>
      </c>
      <c r="L186" s="29" t="n"/>
      <c r="M186" s="29" t="n"/>
      <c r="N186" s="29" t="n"/>
      <c r="O186" s="29" t="n"/>
      <c r="P186" s="30">
        <f>IFERROR(IF(K186=0,"待填成本",ROUND(K186/(1-L186),0)),"" )</f>
        <v/>
      </c>
      <c r="Q186" s="30">
        <f>IFERROR(IF(K186=0,"待填成本",ROUND(K186/(1-M186),0)),"" )</f>
        <v/>
      </c>
      <c r="R186" s="30">
        <f>IFERROR(IF(K186=0,"待填成本",ROUND(K186/(1-N186),0)),"" )</f>
        <v/>
      </c>
      <c r="S186" s="30">
        <f>IFERROR(IF(K186=0,"待填成本",ROUND(K186/(1-O186),0)),"" )</f>
        <v/>
      </c>
      <c r="T186" s="31">
        <f>IFERROR(IF(K186=0,"",(P186-K186)/P186),"" )</f>
        <v/>
      </c>
      <c r="U186" s="31">
        <f>IFERROR(IF(K186=0,"",(Q186-K186)/Q186),"" )</f>
        <v/>
      </c>
      <c r="V186" s="31">
        <f>IFERROR(IF(K186=0,"",(R186-K186)/R186),"" )</f>
        <v/>
      </c>
      <c r="W186" s="31">
        <f>IFERROR(IF(K186=0,"",(S186-K186)/S186),"" )</f>
        <v/>
      </c>
      <c r="X186" s="32" t="n"/>
      <c r="Y186" s="32" t="n"/>
      <c r="Z186" s="32" t="n"/>
      <c r="AA186" s="32" t="n"/>
      <c r="AB186" s="32" t="n"/>
      <c r="AC186" s="32" t="n"/>
      <c r="AD186" s="32" t="n"/>
      <c r="AE186" s="32" t="n"/>
      <c r="AF186" s="33" t="n"/>
      <c r="AG186" s="33" t="n"/>
      <c r="AH186" s="5" t="inlineStr"/>
    </row>
    <row r="187" ht="18" customHeight="1">
      <c r="A187" s="25" t="inlineStr">
        <is>
          <t>2525012041599</t>
        </is>
      </c>
      <c r="B187" s="34" t="inlineStr">
        <is>
          <t>餐厅-柜</t>
        </is>
      </c>
      <c r="C187" s="35" t="inlineStr">
        <is>
          <t>黑胡桃木基础餐边柜 |黑胡桃木鎏金餐边柜</t>
        </is>
      </c>
      <c r="D187" s="35" t="inlineStr">
        <is>
          <t>鎏金柜-整柜-2.1米</t>
        </is>
      </c>
      <c r="E187" s="34" t="inlineStr">
        <is>
          <t>北美进口FAS级黑胡桃木</t>
        </is>
      </c>
      <c r="F187" s="34" t="inlineStr">
        <is>
          <t xml:space="preserve">抽屉围板：实木多层板
台面：黑色岩板
背板：鎏金板
电力轨道：xpower 内嵌电力轨道
顶柜玻璃：灰玻
</t>
        </is>
      </c>
      <c r="G187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7" s="26" t="n">
        <v>9959.963333333333</v>
      </c>
      <c r="I187" s="26" t="n">
        <v>7900</v>
      </c>
      <c r="J187" s="27" t="n">
        <v>0.48</v>
      </c>
      <c r="K187" s="28">
        <f>IFERROR(H187,0)</f>
        <v/>
      </c>
      <c r="L187" s="29" t="n">
        <v>0.4669</v>
      </c>
      <c r="M187" s="29" t="n">
        <v>0.2701</v>
      </c>
      <c r="N187" s="29" t="n">
        <v>0.2801</v>
      </c>
      <c r="O187" s="29" t="n">
        <v>0.2403</v>
      </c>
      <c r="P187" s="30">
        <f>IFERROR(IF(K187=0,"待填成本",ROUND(K187/(1-L187),0)),"" )</f>
        <v/>
      </c>
      <c r="Q187" s="30">
        <f>IFERROR(IF(K187=0,"待填成本",ROUND(K187/(1-M187),0)),"" )</f>
        <v/>
      </c>
      <c r="R187" s="30">
        <f>IFERROR(IF(K187=0,"待填成本",ROUND(K187/(1-N187),0)),"" )</f>
        <v/>
      </c>
      <c r="S187" s="30">
        <f>IFERROR(IF(K187=0,"待填成本",ROUND(K187/(1-O187),0)),"" )</f>
        <v/>
      </c>
      <c r="T187" s="31">
        <f>IFERROR(IF(K187=0,"",(P187-K187)/P187),"" )</f>
        <v/>
      </c>
      <c r="U187" s="31">
        <f>IFERROR(IF(K187=0,"",(Q187-K187)/Q187),"" )</f>
        <v/>
      </c>
      <c r="V187" s="31">
        <f>IFERROR(IF(K187=0,"",(R187-K187)/R187),"" )</f>
        <v/>
      </c>
      <c r="W187" s="31">
        <f>IFERROR(IF(K187=0,"",(S187-K187)/S187),"" )</f>
        <v/>
      </c>
      <c r="X187" s="36" t="n"/>
      <c r="Y187" s="36" t="n"/>
      <c r="Z187" s="36" t="n"/>
      <c r="AA187" s="37" t="n">
        <v>25.32875</v>
      </c>
      <c r="AB187" s="37" t="n">
        <v>10.95375</v>
      </c>
      <c r="AC187" s="37" t="n">
        <v>31.3375</v>
      </c>
      <c r="AD187" s="37" t="n">
        <v>300</v>
      </c>
      <c r="AE187" s="37" t="n">
        <v>150</v>
      </c>
      <c r="AF187" s="33" t="n"/>
      <c r="AG187" s="33" t="n"/>
      <c r="AH187" s="35" t="inlineStr"/>
    </row>
    <row r="188" ht="18" customHeight="1">
      <c r="A188" s="25" t="inlineStr">
        <is>
          <t>2525012041599</t>
        </is>
      </c>
      <c r="B188" s="6" t="inlineStr">
        <is>
          <t>餐厅-柜</t>
        </is>
      </c>
      <c r="C188" s="5" t="inlineStr">
        <is>
          <t>黑胡桃木基础餐边柜 |黑胡桃木鎏金餐边柜</t>
        </is>
      </c>
      <c r="D188" s="5" t="inlineStr">
        <is>
          <t>鎏金柜-整柜-2.0米</t>
        </is>
      </c>
      <c r="E188" s="6" t="inlineStr">
        <is>
          <t>北美进口FAS级黑胡桃木</t>
        </is>
      </c>
      <c r="F188" s="6" t="inlineStr">
        <is>
          <t xml:space="preserve">抽屉围板：实木多层板
台面：黑色岩板
背板：鎏金板
电力轨道：xpower 内嵌电力轨道
顶柜玻璃：灰玻
</t>
        </is>
      </c>
      <c r="G188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8" s="26" t="n">
        <v>9772.963333333333</v>
      </c>
      <c r="I188" s="26" t="n">
        <v>7800</v>
      </c>
      <c r="J188" s="27" t="n">
        <v>0.48</v>
      </c>
      <c r="K188" s="28">
        <f>IFERROR(H188,0)</f>
        <v/>
      </c>
      <c r="L188" s="29" t="n">
        <v>0.4668</v>
      </c>
      <c r="M188" s="29" t="n">
        <v>0.2701</v>
      </c>
      <c r="N188" s="29" t="n">
        <v>0.2802</v>
      </c>
      <c r="O188" s="29" t="n">
        <v>0.2402</v>
      </c>
      <c r="P188" s="30">
        <f>IFERROR(IF(K188=0,"待填成本",ROUND(K188/(1-L188),0)),"" )</f>
        <v/>
      </c>
      <c r="Q188" s="30">
        <f>IFERROR(IF(K188=0,"待填成本",ROUND(K188/(1-M188),0)),"" )</f>
        <v/>
      </c>
      <c r="R188" s="30">
        <f>IFERROR(IF(K188=0,"待填成本",ROUND(K188/(1-N188),0)),"" )</f>
        <v/>
      </c>
      <c r="S188" s="30">
        <f>IFERROR(IF(K188=0,"待填成本",ROUND(K188/(1-O188),0)),"" )</f>
        <v/>
      </c>
      <c r="T188" s="31">
        <f>IFERROR(IF(K188=0,"",(P188-K188)/P188),"" )</f>
        <v/>
      </c>
      <c r="U188" s="31">
        <f>IFERROR(IF(K188=0,"",(Q188-K188)/Q188),"" )</f>
        <v/>
      </c>
      <c r="V188" s="31">
        <f>IFERROR(IF(K188=0,"",(R188-K188)/R188),"" )</f>
        <v/>
      </c>
      <c r="W188" s="31">
        <f>IFERROR(IF(K188=0,"",(S188-K188)/S188),"" )</f>
        <v/>
      </c>
      <c r="X188" s="32" t="n"/>
      <c r="Y188" s="32" t="n"/>
      <c r="Z188" s="32" t="n"/>
      <c r="AA188" s="37" t="n">
        <v>24.53333333333333</v>
      </c>
      <c r="AB188" s="37" t="n">
        <v>10.6375</v>
      </c>
      <c r="AC188" s="37" t="n">
        <v>31.05</v>
      </c>
      <c r="AD188" s="37" t="n">
        <v>300</v>
      </c>
      <c r="AE188" s="37" t="n">
        <v>150</v>
      </c>
      <c r="AF188" s="33" t="n"/>
      <c r="AG188" s="33" t="n"/>
      <c r="AH188" s="5" t="inlineStr"/>
    </row>
    <row r="189" ht="18" customHeight="1">
      <c r="A189" s="25" t="inlineStr">
        <is>
          <t>2525012041599</t>
        </is>
      </c>
      <c r="B189" s="34" t="inlineStr">
        <is>
          <t>餐厅-柜</t>
        </is>
      </c>
      <c r="C189" s="35" t="inlineStr">
        <is>
          <t>黑胡桃木基础餐边柜 |黑胡桃木鎏金餐边柜</t>
        </is>
      </c>
      <c r="D189" s="35" t="inlineStr">
        <is>
          <t>鎏金柜-整柜-1.9米</t>
        </is>
      </c>
      <c r="E189" s="34" t="inlineStr">
        <is>
          <t>北美进口FAS级黑胡桃木</t>
        </is>
      </c>
      <c r="F189" s="34" t="inlineStr">
        <is>
          <t xml:space="preserve">抽屉围板：实木多层板
台面：黑色岩板
背板：鎏金板
电力轨道：xpower 内嵌电力轨道
顶柜玻璃：灰玻
</t>
        </is>
      </c>
      <c r="G189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89" s="26" t="n">
        <v>9585.963333333333</v>
      </c>
      <c r="I189" s="26" t="n">
        <v>7700</v>
      </c>
      <c r="J189" s="27" t="n">
        <v>0.48</v>
      </c>
      <c r="K189" s="28">
        <f>IFERROR(H189,0)</f>
        <v/>
      </c>
      <c r="L189" s="29" t="n">
        <v>0.4668</v>
      </c>
      <c r="M189" s="29" t="n">
        <v>0.2701</v>
      </c>
      <c r="N189" s="29" t="n">
        <v>0.2802</v>
      </c>
      <c r="O189" s="29" t="n">
        <v>0.2402</v>
      </c>
      <c r="P189" s="30">
        <f>IFERROR(IF(K189=0,"待填成本",ROUND(K189/(1-L189),0)),"" )</f>
        <v/>
      </c>
      <c r="Q189" s="30">
        <f>IFERROR(IF(K189=0,"待填成本",ROUND(K189/(1-M189),0)),"" )</f>
        <v/>
      </c>
      <c r="R189" s="30">
        <f>IFERROR(IF(K189=0,"待填成本",ROUND(K189/(1-N189),0)),"" )</f>
        <v/>
      </c>
      <c r="S189" s="30">
        <f>IFERROR(IF(K189=0,"待填成本",ROUND(K189/(1-O189),0)),"" )</f>
        <v/>
      </c>
      <c r="T189" s="31">
        <f>IFERROR(IF(K189=0,"",(P189-K189)/P189),"" )</f>
        <v/>
      </c>
      <c r="U189" s="31">
        <f>IFERROR(IF(K189=0,"",(Q189-K189)/Q189),"" )</f>
        <v/>
      </c>
      <c r="V189" s="31">
        <f>IFERROR(IF(K189=0,"",(R189-K189)/R189),"" )</f>
        <v/>
      </c>
      <c r="W189" s="31">
        <f>IFERROR(IF(K189=0,"",(S189-K189)/S189),"" )</f>
        <v/>
      </c>
      <c r="X189" s="36" t="n"/>
      <c r="Y189" s="36" t="n"/>
      <c r="Z189" s="36" t="n"/>
      <c r="AA189" s="37" t="n">
        <v>23.73791666666667</v>
      </c>
      <c r="AB189" s="37" t="n">
        <v>10.32125</v>
      </c>
      <c r="AC189" s="37" t="n">
        <v>30.7625</v>
      </c>
      <c r="AD189" s="37" t="n">
        <v>300</v>
      </c>
      <c r="AE189" s="37" t="n">
        <v>150</v>
      </c>
      <c r="AF189" s="33" t="n"/>
      <c r="AG189" s="33" t="n"/>
      <c r="AH189" s="35" t="inlineStr"/>
    </row>
    <row r="190" ht="18" customHeight="1">
      <c r="A190" s="25" t="inlineStr">
        <is>
          <t>2525012041599</t>
        </is>
      </c>
      <c r="B190" s="6" t="inlineStr">
        <is>
          <t>餐厅-柜</t>
        </is>
      </c>
      <c r="C190" s="5" t="inlineStr">
        <is>
          <t>黑胡桃木基础餐边柜 |黑胡桃木鎏金餐边柜</t>
        </is>
      </c>
      <c r="D190" s="5" t="inlineStr">
        <is>
          <t>鎏金柜-整柜-1.8米</t>
        </is>
      </c>
      <c r="E190" s="6" t="inlineStr">
        <is>
          <t>北美进口FAS级黑胡桃木</t>
        </is>
      </c>
      <c r="F190" s="6" t="inlineStr">
        <is>
          <t xml:space="preserve">抽屉围板：实木多层板
台面：黑色岩板
背板：鎏金板
电力轨道：xpower 内嵌电力轨道
顶柜玻璃：灰玻
</t>
        </is>
      </c>
      <c r="G190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90" s="26" t="n">
        <v>9398.963333333333</v>
      </c>
      <c r="I190" s="26" t="n">
        <v>7600</v>
      </c>
      <c r="J190" s="27" t="n">
        <v>0.48</v>
      </c>
      <c r="K190" s="28">
        <f>IFERROR(H190,0)</f>
        <v/>
      </c>
      <c r="L190" s="29" t="n">
        <v>0.4668</v>
      </c>
      <c r="M190" s="29" t="n">
        <v>0.2702</v>
      </c>
      <c r="N190" s="29" t="n">
        <v>0.2803</v>
      </c>
      <c r="O190" s="29" t="n">
        <v>0.2401</v>
      </c>
      <c r="P190" s="30">
        <f>IFERROR(IF(K190=0,"待填成本",ROUND(K190/(1-L190),0)),"" )</f>
        <v/>
      </c>
      <c r="Q190" s="30">
        <f>IFERROR(IF(K190=0,"待填成本",ROUND(K190/(1-M190),0)),"" )</f>
        <v/>
      </c>
      <c r="R190" s="30">
        <f>IFERROR(IF(K190=0,"待填成本",ROUND(K190/(1-N190),0)),"" )</f>
        <v/>
      </c>
      <c r="S190" s="30">
        <f>IFERROR(IF(K190=0,"待填成本",ROUND(K190/(1-O190),0)),"" )</f>
        <v/>
      </c>
      <c r="T190" s="31">
        <f>IFERROR(IF(K190=0,"",(P190-K190)/P190),"" )</f>
        <v/>
      </c>
      <c r="U190" s="31">
        <f>IFERROR(IF(K190=0,"",(Q190-K190)/Q190),"" )</f>
        <v/>
      </c>
      <c r="V190" s="31">
        <f>IFERROR(IF(K190=0,"",(R190-K190)/R190),"" )</f>
        <v/>
      </c>
      <c r="W190" s="31">
        <f>IFERROR(IF(K190=0,"",(S190-K190)/S190),"" )</f>
        <v/>
      </c>
      <c r="X190" s="32" t="n"/>
      <c r="Y190" s="32" t="n"/>
      <c r="Z190" s="32" t="n"/>
      <c r="AA190" s="37" t="n">
        <v>22.9425</v>
      </c>
      <c r="AB190" s="37" t="n">
        <v>10.005</v>
      </c>
      <c r="AC190" s="37" t="n">
        <v>30.475</v>
      </c>
      <c r="AD190" s="37" t="n">
        <v>300</v>
      </c>
      <c r="AE190" s="37" t="n">
        <v>150</v>
      </c>
      <c r="AF190" s="33" t="n"/>
      <c r="AG190" s="33" t="n"/>
      <c r="AH190" s="5" t="inlineStr"/>
    </row>
    <row r="191" ht="18" customHeight="1">
      <c r="A191" s="25" t="inlineStr">
        <is>
          <t>2525012041599</t>
        </is>
      </c>
      <c r="B191" s="34" t="inlineStr">
        <is>
          <t>餐厅-柜</t>
        </is>
      </c>
      <c r="C191" s="35" t="inlineStr">
        <is>
          <t>黑胡桃木基础餐边柜 |黑胡桃木鎏金餐边柜</t>
        </is>
      </c>
      <c r="D191" s="35" t="inlineStr">
        <is>
          <t>鎏金柜-整柜-1.7米</t>
        </is>
      </c>
      <c r="E191" s="34" t="inlineStr">
        <is>
          <t>北美进口FAS级黑胡桃木</t>
        </is>
      </c>
      <c r="F191" s="34" t="inlineStr">
        <is>
          <t xml:space="preserve">抽屉围板：实木多层板
台面：黑色岩板
背板：鎏金板
电力轨道：xpower 内嵌电力轨道
顶柜玻璃：灰玻
</t>
        </is>
      </c>
      <c r="G191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91" s="26" t="n">
        <v>9244.936666666666</v>
      </c>
      <c r="I191" s="26" t="n">
        <v>7500</v>
      </c>
      <c r="J191" s="27" t="n">
        <v>0.48</v>
      </c>
      <c r="K191" s="28">
        <f>IFERROR(H191,0)</f>
        <v/>
      </c>
      <c r="L191" s="29" t="n">
        <v>0.4668</v>
      </c>
      <c r="M191" s="29" t="n">
        <v>0.2702</v>
      </c>
      <c r="N191" s="29" t="n">
        <v>0.2803</v>
      </c>
      <c r="O191" s="29" t="n">
        <v>0.2401</v>
      </c>
      <c r="P191" s="30">
        <f>IFERROR(IF(K191=0,"待填成本",ROUND(K191/(1-L191),0)),"" )</f>
        <v/>
      </c>
      <c r="Q191" s="30">
        <f>IFERROR(IF(K191=0,"待填成本",ROUND(K191/(1-M191),0)),"" )</f>
        <v/>
      </c>
      <c r="R191" s="30">
        <f>IFERROR(IF(K191=0,"待填成本",ROUND(K191/(1-N191),0)),"" )</f>
        <v/>
      </c>
      <c r="S191" s="30">
        <f>IFERROR(IF(K191=0,"待填成本",ROUND(K191/(1-O191),0)),"" )</f>
        <v/>
      </c>
      <c r="T191" s="31">
        <f>IFERROR(IF(K191=0,"",(P191-K191)/P191),"" )</f>
        <v/>
      </c>
      <c r="U191" s="31">
        <f>IFERROR(IF(K191=0,"",(Q191-K191)/Q191),"" )</f>
        <v/>
      </c>
      <c r="V191" s="31">
        <f>IFERROR(IF(K191=0,"",(R191-K191)/R191),"" )</f>
        <v/>
      </c>
      <c r="W191" s="31">
        <f>IFERROR(IF(K191=0,"",(S191-K191)/S191),"" )</f>
        <v/>
      </c>
      <c r="X191" s="36" t="n"/>
      <c r="Y191" s="36" t="n"/>
      <c r="Z191" s="36" t="n"/>
      <c r="AA191" s="37" t="n">
        <v>22.14708333333333</v>
      </c>
      <c r="AB191" s="37" t="n">
        <v>9.688750000000001</v>
      </c>
      <c r="AC191" s="37" t="n">
        <v>30.1875</v>
      </c>
      <c r="AD191" s="37" t="n">
        <v>300</v>
      </c>
      <c r="AE191" s="37" t="n">
        <v>150</v>
      </c>
      <c r="AF191" s="33" t="n"/>
      <c r="AG191" s="33" t="n"/>
      <c r="AH191" s="35" t="inlineStr"/>
    </row>
    <row r="192" ht="18" customHeight="1">
      <c r="A192" s="25" t="inlineStr">
        <is>
          <t>2525012041599</t>
        </is>
      </c>
      <c r="B192" s="6" t="inlineStr">
        <is>
          <t>餐厅-柜</t>
        </is>
      </c>
      <c r="C192" s="5" t="inlineStr">
        <is>
          <t>黑胡桃木基础餐边柜 |黑胡桃木鎏金餐边柜</t>
        </is>
      </c>
      <c r="D192" s="5" t="inlineStr">
        <is>
          <t>鎏金柜-整柜-1.6米</t>
        </is>
      </c>
      <c r="E192" s="6" t="inlineStr">
        <is>
          <t>北美进口FAS级黑胡桃木</t>
        </is>
      </c>
      <c r="F192" s="6" t="inlineStr">
        <is>
          <t xml:space="preserve">抽屉围板：实木多层板
台面：黑色岩板
背板：鎏金板
电力轨道：xpower 内嵌电力轨道
顶柜玻璃：灰玻
</t>
        </is>
      </c>
      <c r="G192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92" s="26" t="n">
        <v>9090.91</v>
      </c>
      <c r="I192" s="26" t="n">
        <v>7400</v>
      </c>
      <c r="J192" s="27" t="n">
        <v>0.48</v>
      </c>
      <c r="K192" s="28">
        <f>IFERROR(H192,0)</f>
        <v/>
      </c>
      <c r="L192" s="29" t="n">
        <v>0.4668</v>
      </c>
      <c r="M192" s="29" t="n">
        <v>0.2701</v>
      </c>
      <c r="N192" s="29" t="n">
        <v>0.2804</v>
      </c>
      <c r="O192" s="29" t="n">
        <v>0.2401</v>
      </c>
      <c r="P192" s="30">
        <f>IFERROR(IF(K192=0,"待填成本",ROUND(K192/(1-L192),0)),"" )</f>
        <v/>
      </c>
      <c r="Q192" s="30">
        <f>IFERROR(IF(K192=0,"待填成本",ROUND(K192/(1-M192),0)),"" )</f>
        <v/>
      </c>
      <c r="R192" s="30">
        <f>IFERROR(IF(K192=0,"待填成本",ROUND(K192/(1-N192),0)),"" )</f>
        <v/>
      </c>
      <c r="S192" s="30">
        <f>IFERROR(IF(K192=0,"待填成本",ROUND(K192/(1-O192),0)),"" )</f>
        <v/>
      </c>
      <c r="T192" s="31">
        <f>IFERROR(IF(K192=0,"",(P192-K192)/P192),"" )</f>
        <v/>
      </c>
      <c r="U192" s="31">
        <f>IFERROR(IF(K192=0,"",(Q192-K192)/Q192),"" )</f>
        <v/>
      </c>
      <c r="V192" s="31">
        <f>IFERROR(IF(K192=0,"",(R192-K192)/R192),"" )</f>
        <v/>
      </c>
      <c r="W192" s="31">
        <f>IFERROR(IF(K192=0,"",(S192-K192)/S192),"" )</f>
        <v/>
      </c>
      <c r="X192" s="32" t="n"/>
      <c r="Y192" s="32" t="n"/>
      <c r="Z192" s="32" t="n"/>
      <c r="AA192" s="37" t="n">
        <v>21.35166666666667</v>
      </c>
      <c r="AB192" s="37" t="n">
        <v>9.3725</v>
      </c>
      <c r="AC192" s="37" t="n">
        <v>29.9</v>
      </c>
      <c r="AD192" s="37" t="n">
        <v>300</v>
      </c>
      <c r="AE192" s="37" t="n">
        <v>150</v>
      </c>
      <c r="AF192" s="33" t="n"/>
      <c r="AG192" s="33" t="n"/>
      <c r="AH192" s="5" t="inlineStr"/>
    </row>
    <row r="193" ht="18" customHeight="1">
      <c r="A193" s="25" t="inlineStr">
        <is>
          <t>2525012041599</t>
        </is>
      </c>
      <c r="B193" s="34" t="inlineStr">
        <is>
          <t>餐厅-柜</t>
        </is>
      </c>
      <c r="C193" s="35" t="inlineStr">
        <is>
          <t>黑胡桃木基础餐边柜 |黑胡桃木鎏金餐边柜</t>
        </is>
      </c>
      <c r="D193" s="35" t="inlineStr">
        <is>
          <t>鎏金柜-整柜-1.5米</t>
        </is>
      </c>
      <c r="E193" s="34" t="inlineStr">
        <is>
          <t>北美进口FAS级黑胡桃木</t>
        </is>
      </c>
      <c r="F193" s="34" t="inlineStr">
        <is>
          <t xml:space="preserve">抽屉围板：实木多层板
台面：黑色岩板
背板：鎏金板
电力轨道：xpower 内嵌电力轨道
顶柜玻璃：灰玻
</t>
        </is>
      </c>
      <c r="G193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93" s="26" t="n">
        <v>8936.883333333333</v>
      </c>
      <c r="I193" s="26" t="n">
        <v>7300</v>
      </c>
      <c r="J193" s="27" t="n">
        <v>0.48</v>
      </c>
      <c r="K193" s="28">
        <f>IFERROR(H193,0)</f>
        <v/>
      </c>
      <c r="L193" s="29" t="n">
        <v>0.4668</v>
      </c>
      <c r="M193" s="29" t="n">
        <v>0.2701</v>
      </c>
      <c r="N193" s="29" t="n">
        <v>0.2805</v>
      </c>
      <c r="O193" s="29" t="n">
        <v>0.2402</v>
      </c>
      <c r="P193" s="30">
        <f>IFERROR(IF(K193=0,"待填成本",ROUND(K193/(1-L193),0)),"" )</f>
        <v/>
      </c>
      <c r="Q193" s="30">
        <f>IFERROR(IF(K193=0,"待填成本",ROUND(K193/(1-M193),0)),"" )</f>
        <v/>
      </c>
      <c r="R193" s="30">
        <f>IFERROR(IF(K193=0,"待填成本",ROUND(K193/(1-N193),0)),"" )</f>
        <v/>
      </c>
      <c r="S193" s="30">
        <f>IFERROR(IF(K193=0,"待填成本",ROUND(K193/(1-O193),0)),"" )</f>
        <v/>
      </c>
      <c r="T193" s="31">
        <f>IFERROR(IF(K193=0,"",(P193-K193)/P193),"" )</f>
        <v/>
      </c>
      <c r="U193" s="31">
        <f>IFERROR(IF(K193=0,"",(Q193-K193)/Q193),"" )</f>
        <v/>
      </c>
      <c r="V193" s="31">
        <f>IFERROR(IF(K193=0,"",(R193-K193)/R193),"" )</f>
        <v/>
      </c>
      <c r="W193" s="31">
        <f>IFERROR(IF(K193=0,"",(S193-K193)/S193),"" )</f>
        <v/>
      </c>
      <c r="X193" s="36" t="n"/>
      <c r="Y193" s="36" t="n"/>
      <c r="Z193" s="36" t="n"/>
      <c r="AA193" s="37" t="n">
        <v>20.55625</v>
      </c>
      <c r="AB193" s="37" t="n">
        <v>9.056249999999999</v>
      </c>
      <c r="AC193" s="37" t="n">
        <v>29.6125</v>
      </c>
      <c r="AD193" s="37" t="n">
        <v>300</v>
      </c>
      <c r="AE193" s="37" t="n">
        <v>150</v>
      </c>
      <c r="AF193" s="33" t="n"/>
      <c r="AG193" s="33" t="n"/>
      <c r="AH193" s="35" t="inlineStr"/>
    </row>
    <row r="194" ht="18" customHeight="1">
      <c r="A194" s="25" t="inlineStr">
        <is>
          <t>2525012041599</t>
        </is>
      </c>
      <c r="B194" s="6" t="inlineStr">
        <is>
          <t>餐厅-柜</t>
        </is>
      </c>
      <c r="C194" s="5" t="inlineStr">
        <is>
          <t>黑胡桃木基础餐边柜 |黑胡桃木鎏金餐边柜</t>
        </is>
      </c>
      <c r="D194" s="5" t="inlineStr">
        <is>
          <t>鎏金柜-整柜-1.4米</t>
        </is>
      </c>
      <c r="E194" s="6" t="inlineStr">
        <is>
          <t>北美进口FAS级黑胡桃木</t>
        </is>
      </c>
      <c r="F194" s="6" t="inlineStr">
        <is>
          <t xml:space="preserve">抽屉围板：实木多层板
台面：黑色岩板
背板：鎏金板
电力轨道：xpower 内嵌电力轨道
顶柜玻璃：灰玻
</t>
        </is>
      </c>
      <c r="G194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94" s="26" t="n">
        <v>8773.243333333334</v>
      </c>
      <c r="I194" s="26" t="n">
        <v>7200</v>
      </c>
      <c r="J194" s="27" t="n">
        <v>0.48</v>
      </c>
      <c r="K194" s="28">
        <f>IFERROR(H194,0)</f>
        <v/>
      </c>
      <c r="L194" s="29" t="n">
        <v>0.4668</v>
      </c>
      <c r="M194" s="29" t="n">
        <v>0.2702</v>
      </c>
      <c r="N194" s="29" t="n">
        <v>0.2804</v>
      </c>
      <c r="O194" s="29" t="n">
        <v>0.2402</v>
      </c>
      <c r="P194" s="30">
        <f>IFERROR(IF(K194=0,"待填成本",ROUND(K194/(1-L194),0)),"" )</f>
        <v/>
      </c>
      <c r="Q194" s="30">
        <f>IFERROR(IF(K194=0,"待填成本",ROUND(K194/(1-M194),0)),"" )</f>
        <v/>
      </c>
      <c r="R194" s="30">
        <f>IFERROR(IF(K194=0,"待填成本",ROUND(K194/(1-N194),0)),"" )</f>
        <v/>
      </c>
      <c r="S194" s="30">
        <f>IFERROR(IF(K194=0,"待填成本",ROUND(K194/(1-O194),0)),"" )</f>
        <v/>
      </c>
      <c r="T194" s="31">
        <f>IFERROR(IF(K194=0,"",(P194-K194)/P194),"" )</f>
        <v/>
      </c>
      <c r="U194" s="31">
        <f>IFERROR(IF(K194=0,"",(Q194-K194)/Q194),"" )</f>
        <v/>
      </c>
      <c r="V194" s="31">
        <f>IFERROR(IF(K194=0,"",(R194-K194)/R194),"" )</f>
        <v/>
      </c>
      <c r="W194" s="31">
        <f>IFERROR(IF(K194=0,"",(S194-K194)/S194),"" )</f>
        <v/>
      </c>
      <c r="X194" s="32" t="n"/>
      <c r="Y194" s="32" t="n"/>
      <c r="Z194" s="32" t="n"/>
      <c r="AA194" s="37" t="n">
        <v>20.24</v>
      </c>
      <c r="AB194" s="37" t="n">
        <v>8.739999999999998</v>
      </c>
      <c r="AC194" s="37" t="n">
        <v>29.325</v>
      </c>
      <c r="AD194" s="37" t="n">
        <v>300</v>
      </c>
      <c r="AE194" s="37" t="n">
        <v>150</v>
      </c>
      <c r="AF194" s="33" t="n"/>
      <c r="AG194" s="33" t="n"/>
      <c r="AH194" s="5" t="inlineStr"/>
    </row>
    <row r="195" ht="18" customHeight="1">
      <c r="A195" s="25" t="inlineStr">
        <is>
          <t>2525012041599</t>
        </is>
      </c>
      <c r="B195" s="34" t="inlineStr">
        <is>
          <t>餐厅-柜</t>
        </is>
      </c>
      <c r="C195" s="35" t="inlineStr">
        <is>
          <t>黑胡桃木基础餐边柜 |黑胡桃木鎏金餐边柜</t>
        </is>
      </c>
      <c r="D195" s="35" t="inlineStr">
        <is>
          <t>鎏金柜-整柜-1.3米</t>
        </is>
      </c>
      <c r="E195" s="34" t="inlineStr">
        <is>
          <t>北美进口FAS级黑胡桃木</t>
        </is>
      </c>
      <c r="F195" s="34" t="inlineStr">
        <is>
          <t xml:space="preserve">抽屉围板：实木多层板
台面：黑色岩板
背板：鎏金板
电力轨道：xpower 内嵌电力轨道
顶柜玻璃：灰玻
</t>
        </is>
      </c>
      <c r="G195" s="3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95" s="26" t="n">
        <v>8609.603333333334</v>
      </c>
      <c r="I195" s="26" t="n">
        <v>7100</v>
      </c>
      <c r="J195" s="27" t="n">
        <v>0.48</v>
      </c>
      <c r="K195" s="28">
        <f>IFERROR(H195,0)</f>
        <v/>
      </c>
      <c r="L195" s="29" t="n">
        <v>0.4669</v>
      </c>
      <c r="M195" s="29" t="n">
        <v>0.2703</v>
      </c>
      <c r="N195" s="29" t="n">
        <v>0.2803</v>
      </c>
      <c r="O195" s="29" t="n">
        <v>0.2401</v>
      </c>
      <c r="P195" s="30">
        <f>IFERROR(IF(K195=0,"待填成本",ROUND(K195/(1-L195),0)),"" )</f>
        <v/>
      </c>
      <c r="Q195" s="30">
        <f>IFERROR(IF(K195=0,"待填成本",ROUND(K195/(1-M195),0)),"" )</f>
        <v/>
      </c>
      <c r="R195" s="30">
        <f>IFERROR(IF(K195=0,"待填成本",ROUND(K195/(1-N195),0)),"" )</f>
        <v/>
      </c>
      <c r="S195" s="30">
        <f>IFERROR(IF(K195=0,"待填成本",ROUND(K195/(1-O195),0)),"" )</f>
        <v/>
      </c>
      <c r="T195" s="31">
        <f>IFERROR(IF(K195=0,"",(P195-K195)/P195),"" )</f>
        <v/>
      </c>
      <c r="U195" s="31">
        <f>IFERROR(IF(K195=0,"",(Q195-K195)/Q195),"" )</f>
        <v/>
      </c>
      <c r="V195" s="31">
        <f>IFERROR(IF(K195=0,"",(R195-K195)/R195),"" )</f>
        <v/>
      </c>
      <c r="W195" s="31">
        <f>IFERROR(IF(K195=0,"",(S195-K195)/S195),"" )</f>
        <v/>
      </c>
      <c r="X195" s="36" t="n"/>
      <c r="Y195" s="36" t="n"/>
      <c r="Z195" s="36" t="n"/>
      <c r="AA195" s="37" t="n">
        <v>19.92375</v>
      </c>
      <c r="AB195" s="37" t="n">
        <v>8.423749999999998</v>
      </c>
      <c r="AC195" s="37" t="n">
        <v>29.03749999999999</v>
      </c>
      <c r="AD195" s="37" t="n">
        <v>300</v>
      </c>
      <c r="AE195" s="37" t="n">
        <v>150</v>
      </c>
      <c r="AF195" s="33" t="n"/>
      <c r="AG195" s="33" t="n"/>
      <c r="AH195" s="35" t="inlineStr"/>
    </row>
    <row r="196" ht="18" customHeight="1">
      <c r="A196" s="25" t="inlineStr">
        <is>
          <t>2525012041599</t>
        </is>
      </c>
      <c r="B196" s="6" t="inlineStr">
        <is>
          <t>餐厅-柜</t>
        </is>
      </c>
      <c r="C196" s="5" t="inlineStr">
        <is>
          <t>黑胡桃木基础餐边柜 |黑胡桃木鎏金餐边柜</t>
        </is>
      </c>
      <c r="D196" s="5" t="inlineStr">
        <is>
          <t>鎏金柜-整柜-1.2米</t>
        </is>
      </c>
      <c r="E196" s="6" t="inlineStr">
        <is>
          <t>北美进口FAS级黑胡桃木</t>
        </is>
      </c>
      <c r="F196" s="6" t="inlineStr">
        <is>
          <t xml:space="preserve">抽屉围板：实木多层板
台面：黑色岩板
背板：鎏金板
电力轨道：xpower 内嵌电力轨道
顶柜玻璃：灰玻
</t>
        </is>
      </c>
      <c r="G196" s="5" t="inlineStr">
        <is>
          <t xml:space="preserve">整体长度：1200mm/1000mm/800mm
整体深度：480mm
整体高度：1900mm
顶柜长度：1200mm/1000mm/800mm
顶柜深度：380mm
顶柜高度：420mm
立体收纳长度：1200mm/1000mm/800mm
立体收纳深度：380mm
立体收纳高度：650mm
下柜长度：1200mm/1000mm/800mm
下柜深度：480mm
下柜高度：880mm
</t>
        </is>
      </c>
      <c r="H196" s="26" t="n">
        <v>8445.963333333333</v>
      </c>
      <c r="I196" s="26" t="n">
        <v>7000</v>
      </c>
      <c r="J196" s="27" t="n">
        <v>0.48</v>
      </c>
      <c r="K196" s="28">
        <f>IFERROR(H196,0)</f>
        <v/>
      </c>
      <c r="L196" s="29" t="n">
        <v>0.4669</v>
      </c>
      <c r="M196" s="29" t="n">
        <v>0.2703</v>
      </c>
      <c r="N196" s="29" t="n">
        <v>0.2802</v>
      </c>
      <c r="O196" s="29" t="n">
        <v>0.2401</v>
      </c>
      <c r="P196" s="30">
        <f>IFERROR(IF(K196=0,"待填成本",ROUND(K196/(1-L196),0)),"" )</f>
        <v/>
      </c>
      <c r="Q196" s="30">
        <f>IFERROR(IF(K196=0,"待填成本",ROUND(K196/(1-M196),0)),"" )</f>
        <v/>
      </c>
      <c r="R196" s="30">
        <f>IFERROR(IF(K196=0,"待填成本",ROUND(K196/(1-N196),0)),"" )</f>
        <v/>
      </c>
      <c r="S196" s="30">
        <f>IFERROR(IF(K196=0,"待填成本",ROUND(K196/(1-O196),0)),"" )</f>
        <v/>
      </c>
      <c r="T196" s="31">
        <f>IFERROR(IF(K196=0,"",(P196-K196)/P196),"" )</f>
        <v/>
      </c>
      <c r="U196" s="31">
        <f>IFERROR(IF(K196=0,"",(Q196-K196)/Q196),"" )</f>
        <v/>
      </c>
      <c r="V196" s="31">
        <f>IFERROR(IF(K196=0,"",(R196-K196)/R196),"" )</f>
        <v/>
      </c>
      <c r="W196" s="31">
        <f>IFERROR(IF(K196=0,"",(S196-K196)/S196),"" )</f>
        <v/>
      </c>
      <c r="X196" s="32" t="n"/>
      <c r="Y196" s="32" t="n"/>
      <c r="Z196" s="32" t="n"/>
      <c r="AA196" s="37" t="n">
        <v>19.6075</v>
      </c>
      <c r="AB196" s="37" t="n">
        <v>8.1075</v>
      </c>
      <c r="AC196" s="37" t="n">
        <v>28.75</v>
      </c>
      <c r="AD196" s="37" t="n">
        <v>300</v>
      </c>
      <c r="AE196" s="37" t="n">
        <v>150</v>
      </c>
      <c r="AF196" s="33" t="n"/>
      <c r="AG196" s="33" t="n"/>
      <c r="AH196" s="5" t="inlineStr"/>
    </row>
    <row r="197" ht="18" customHeight="1">
      <c r="A197" s="25" t="inlineStr">
        <is>
          <t>2525013042099</t>
        </is>
      </c>
      <c r="B197" s="34" t="inlineStr">
        <is>
          <t>餐厅-柜</t>
        </is>
      </c>
      <c r="C197" s="35" t="inlineStr">
        <is>
          <t>黑胡桃木太空舱餐边柜 |黑胡桃木曜黑餐边柜</t>
        </is>
      </c>
      <c r="D197" s="35" t="inlineStr">
        <is>
          <t>曜黑柜-下柜-2.1米</t>
        </is>
      </c>
      <c r="E197" s="34" t="inlineStr">
        <is>
          <t>北美进口FAS级黑胡桃木</t>
        </is>
      </c>
      <c r="F197" s="34" t="inlineStr">
        <is>
          <t xml:space="preserve">抽屉围板：实木多层板
台面：黑色岩板
背板：鎏金板
电力轨道：xpower 内嵌电力轨道
顶柜玻璃：灰玻
</t>
        </is>
      </c>
      <c r="G197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197" s="26" t="n">
        <v>0</v>
      </c>
      <c r="I197" s="26" t="n">
        <v>0</v>
      </c>
      <c r="J197" s="27" t="n">
        <v>0.48</v>
      </c>
      <c r="K197" s="28">
        <f>IFERROR(H197,0)</f>
        <v/>
      </c>
      <c r="L197" s="29" t="n"/>
      <c r="M197" s="29" t="n"/>
      <c r="N197" s="29" t="n"/>
      <c r="O197" s="29" t="n"/>
      <c r="P197" s="30">
        <f>IFERROR(IF(K197=0,"待填成本",ROUND(K197/(1-L197),0)),"" )</f>
        <v/>
      </c>
      <c r="Q197" s="30">
        <f>IFERROR(IF(K197=0,"待填成本",ROUND(K197/(1-M197),0)),"" )</f>
        <v/>
      </c>
      <c r="R197" s="30">
        <f>IFERROR(IF(K197=0,"待填成本",ROUND(K197/(1-N197),0)),"" )</f>
        <v/>
      </c>
      <c r="S197" s="30">
        <f>IFERROR(IF(K197=0,"待填成本",ROUND(K197/(1-O197),0)),"" )</f>
        <v/>
      </c>
      <c r="T197" s="31">
        <f>IFERROR(IF(K197=0,"",(P197-K197)/P197),"" )</f>
        <v/>
      </c>
      <c r="U197" s="31">
        <f>IFERROR(IF(K197=0,"",(Q197-K197)/Q197),"" )</f>
        <v/>
      </c>
      <c r="V197" s="31">
        <f>IFERROR(IF(K197=0,"",(R197-K197)/R197),"" )</f>
        <v/>
      </c>
      <c r="W197" s="31">
        <f>IFERROR(IF(K197=0,"",(S197-K197)/S197),"" )</f>
        <v/>
      </c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3" t="n"/>
      <c r="AG197" s="33" t="n"/>
      <c r="AH197" s="35" t="inlineStr"/>
    </row>
    <row r="198" ht="18" customHeight="1">
      <c r="A198" s="25" t="inlineStr">
        <is>
          <t>2525013042099</t>
        </is>
      </c>
      <c r="B198" s="6" t="inlineStr">
        <is>
          <t>餐厅-柜</t>
        </is>
      </c>
      <c r="C198" s="5" t="inlineStr">
        <is>
          <t>黑胡桃木太空舱餐边柜 |黑胡桃木曜黑餐边柜</t>
        </is>
      </c>
      <c r="D198" s="5" t="inlineStr">
        <is>
          <t>曜黑柜-下柜-2.0米</t>
        </is>
      </c>
      <c r="E198" s="6" t="inlineStr">
        <is>
          <t>北美进口FAS级黑胡桃木</t>
        </is>
      </c>
      <c r="F198" s="6" t="inlineStr">
        <is>
          <t xml:space="preserve">抽屉围板：实木多层板
台面：黑色岩板
背板：鎏金板
电力轨道：xpower 内嵌电力轨道
顶柜玻璃：灰玻
</t>
        </is>
      </c>
      <c r="G198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198" s="26" t="n">
        <v>0</v>
      </c>
      <c r="I198" s="26" t="n">
        <v>0</v>
      </c>
      <c r="J198" s="27" t="n">
        <v>0.48</v>
      </c>
      <c r="K198" s="28">
        <f>IFERROR(H198,0)</f>
        <v/>
      </c>
      <c r="L198" s="29" t="n"/>
      <c r="M198" s="29" t="n"/>
      <c r="N198" s="29" t="n"/>
      <c r="O198" s="29" t="n"/>
      <c r="P198" s="30">
        <f>IFERROR(IF(K198=0,"待填成本",ROUND(K198/(1-L198),0)),"" )</f>
        <v/>
      </c>
      <c r="Q198" s="30">
        <f>IFERROR(IF(K198=0,"待填成本",ROUND(K198/(1-M198),0)),"" )</f>
        <v/>
      </c>
      <c r="R198" s="30">
        <f>IFERROR(IF(K198=0,"待填成本",ROUND(K198/(1-N198),0)),"" )</f>
        <v/>
      </c>
      <c r="S198" s="30">
        <f>IFERROR(IF(K198=0,"待填成本",ROUND(K198/(1-O198),0)),"" )</f>
        <v/>
      </c>
      <c r="T198" s="31">
        <f>IFERROR(IF(K198=0,"",(P198-K198)/P198),"" )</f>
        <v/>
      </c>
      <c r="U198" s="31">
        <f>IFERROR(IF(K198=0,"",(Q198-K198)/Q198),"" )</f>
        <v/>
      </c>
      <c r="V198" s="31">
        <f>IFERROR(IF(K198=0,"",(R198-K198)/R198),"" )</f>
        <v/>
      </c>
      <c r="W198" s="31">
        <f>IFERROR(IF(K198=0,"",(S198-K198)/S198),"" )</f>
        <v/>
      </c>
      <c r="X198" s="32" t="n"/>
      <c r="Y198" s="32" t="n"/>
      <c r="Z198" s="32" t="n"/>
      <c r="AA198" s="32" t="n"/>
      <c r="AB198" s="32" t="n"/>
      <c r="AC198" s="32" t="n"/>
      <c r="AD198" s="32" t="n"/>
      <c r="AE198" s="32" t="n"/>
      <c r="AF198" s="33" t="n"/>
      <c r="AG198" s="33" t="n"/>
      <c r="AH198" s="5" t="inlineStr"/>
    </row>
    <row r="199" ht="18" customHeight="1">
      <c r="A199" s="25" t="inlineStr">
        <is>
          <t>2525013042099</t>
        </is>
      </c>
      <c r="B199" s="34" t="inlineStr">
        <is>
          <t>餐厅-柜</t>
        </is>
      </c>
      <c r="C199" s="35" t="inlineStr">
        <is>
          <t>黑胡桃木太空舱餐边柜 |黑胡桃木曜黑餐边柜</t>
        </is>
      </c>
      <c r="D199" s="35" t="inlineStr">
        <is>
          <t>曜黑柜-下柜-1.9米</t>
        </is>
      </c>
      <c r="E199" s="34" t="inlineStr">
        <is>
          <t>北美进口FAS级黑胡桃木</t>
        </is>
      </c>
      <c r="F199" s="34" t="inlineStr">
        <is>
          <t xml:space="preserve">抽屉围板：实木多层板
台面：黑色岩板
背板：鎏金板
电力轨道：xpower 内嵌电力轨道
顶柜玻璃：灰玻
</t>
        </is>
      </c>
      <c r="G199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199" s="26" t="n">
        <v>0</v>
      </c>
      <c r="I199" s="26" t="n">
        <v>0</v>
      </c>
      <c r="J199" s="27" t="n">
        <v>0.48</v>
      </c>
      <c r="K199" s="28">
        <f>IFERROR(H199,0)</f>
        <v/>
      </c>
      <c r="L199" s="29" t="n"/>
      <c r="M199" s="29" t="n"/>
      <c r="N199" s="29" t="n"/>
      <c r="O199" s="29" t="n"/>
      <c r="P199" s="30">
        <f>IFERROR(IF(K199=0,"待填成本",ROUND(K199/(1-L199),0)),"" )</f>
        <v/>
      </c>
      <c r="Q199" s="30">
        <f>IFERROR(IF(K199=0,"待填成本",ROUND(K199/(1-M199),0)),"" )</f>
        <v/>
      </c>
      <c r="R199" s="30">
        <f>IFERROR(IF(K199=0,"待填成本",ROUND(K199/(1-N199),0)),"" )</f>
        <v/>
      </c>
      <c r="S199" s="30">
        <f>IFERROR(IF(K199=0,"待填成本",ROUND(K199/(1-O199),0)),"" )</f>
        <v/>
      </c>
      <c r="T199" s="31">
        <f>IFERROR(IF(K199=0,"",(P199-K199)/P199),"" )</f>
        <v/>
      </c>
      <c r="U199" s="31">
        <f>IFERROR(IF(K199=0,"",(Q199-K199)/Q199),"" )</f>
        <v/>
      </c>
      <c r="V199" s="31">
        <f>IFERROR(IF(K199=0,"",(R199-K199)/R199),"" )</f>
        <v/>
      </c>
      <c r="W199" s="31">
        <f>IFERROR(IF(K199=0,"",(S199-K199)/S199),"" )</f>
        <v/>
      </c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3" t="n"/>
      <c r="AG199" s="33" t="n"/>
      <c r="AH199" s="35" t="inlineStr"/>
    </row>
    <row r="200" ht="18" customHeight="1">
      <c r="A200" s="25" t="inlineStr">
        <is>
          <t>2525013042099</t>
        </is>
      </c>
      <c r="B200" s="6" t="inlineStr">
        <is>
          <t>餐厅-柜</t>
        </is>
      </c>
      <c r="C200" s="5" t="inlineStr">
        <is>
          <t>黑胡桃木太空舱餐边柜 |黑胡桃木曜黑餐边柜</t>
        </is>
      </c>
      <c r="D200" s="5" t="inlineStr">
        <is>
          <t>曜黑柜-下柜-1.8米</t>
        </is>
      </c>
      <c r="E200" s="6" t="inlineStr">
        <is>
          <t>北美进口FAS级黑胡桃木</t>
        </is>
      </c>
      <c r="F200" s="6" t="inlineStr">
        <is>
          <t xml:space="preserve">抽屉围板：实木多层板
台面：黑色岩板
背板：鎏金板
电力轨道：xpower 内嵌电力轨道
顶柜玻璃：灰玻
</t>
        </is>
      </c>
      <c r="G200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0" s="26" t="n">
        <v>0</v>
      </c>
      <c r="I200" s="26" t="n">
        <v>0</v>
      </c>
      <c r="J200" s="27" t="n">
        <v>0.48</v>
      </c>
      <c r="K200" s="28">
        <f>IFERROR(H200,0)</f>
        <v/>
      </c>
      <c r="L200" s="29" t="n"/>
      <c r="M200" s="29" t="n"/>
      <c r="N200" s="29" t="n"/>
      <c r="O200" s="29" t="n"/>
      <c r="P200" s="30">
        <f>IFERROR(IF(K200=0,"待填成本",ROUND(K200/(1-L200),0)),"" )</f>
        <v/>
      </c>
      <c r="Q200" s="30">
        <f>IFERROR(IF(K200=0,"待填成本",ROUND(K200/(1-M200),0)),"" )</f>
        <v/>
      </c>
      <c r="R200" s="30">
        <f>IFERROR(IF(K200=0,"待填成本",ROUND(K200/(1-N200),0)),"" )</f>
        <v/>
      </c>
      <c r="S200" s="30">
        <f>IFERROR(IF(K200=0,"待填成本",ROUND(K200/(1-O200),0)),"" )</f>
        <v/>
      </c>
      <c r="T200" s="31">
        <f>IFERROR(IF(K200=0,"",(P200-K200)/P200),"" )</f>
        <v/>
      </c>
      <c r="U200" s="31">
        <f>IFERROR(IF(K200=0,"",(Q200-K200)/Q200),"" )</f>
        <v/>
      </c>
      <c r="V200" s="31">
        <f>IFERROR(IF(K200=0,"",(R200-K200)/R200),"" )</f>
        <v/>
      </c>
      <c r="W200" s="31">
        <f>IFERROR(IF(K200=0,"",(S200-K200)/S200),"" )</f>
        <v/>
      </c>
      <c r="X200" s="32" t="n"/>
      <c r="Y200" s="32" t="n"/>
      <c r="Z200" s="32" t="n"/>
      <c r="AA200" s="32" t="n"/>
      <c r="AB200" s="32" t="n"/>
      <c r="AC200" s="32" t="n"/>
      <c r="AD200" s="32" t="n"/>
      <c r="AE200" s="32" t="n"/>
      <c r="AF200" s="33" t="n"/>
      <c r="AG200" s="33" t="n"/>
      <c r="AH200" s="5" t="inlineStr"/>
    </row>
    <row r="201" ht="18" customHeight="1">
      <c r="A201" s="25" t="inlineStr">
        <is>
          <t>2525013042099</t>
        </is>
      </c>
      <c r="B201" s="34" t="inlineStr">
        <is>
          <t>餐厅-柜</t>
        </is>
      </c>
      <c r="C201" s="35" t="inlineStr">
        <is>
          <t>黑胡桃木太空舱餐边柜 |黑胡桃木曜黑餐边柜</t>
        </is>
      </c>
      <c r="D201" s="35" t="inlineStr">
        <is>
          <t>曜黑柜-下柜-1.7米</t>
        </is>
      </c>
      <c r="E201" s="34" t="inlineStr">
        <is>
          <t>北美进口FAS级黑胡桃木</t>
        </is>
      </c>
      <c r="F201" s="34" t="inlineStr">
        <is>
          <t xml:space="preserve">抽屉围板：实木多层板
台面：黑色岩板
背板：鎏金板
电力轨道：xpower 内嵌电力轨道
顶柜玻璃：灰玻
</t>
        </is>
      </c>
      <c r="G201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1" s="26" t="n">
        <v>0</v>
      </c>
      <c r="I201" s="26" t="n">
        <v>0</v>
      </c>
      <c r="J201" s="27" t="n">
        <v>0.48</v>
      </c>
      <c r="K201" s="28">
        <f>IFERROR(H201,0)</f>
        <v/>
      </c>
      <c r="L201" s="29" t="n"/>
      <c r="M201" s="29" t="n"/>
      <c r="N201" s="29" t="n"/>
      <c r="O201" s="29" t="n"/>
      <c r="P201" s="30">
        <f>IFERROR(IF(K201=0,"待填成本",ROUND(K201/(1-L201),0)),"" )</f>
        <v/>
      </c>
      <c r="Q201" s="30">
        <f>IFERROR(IF(K201=0,"待填成本",ROUND(K201/(1-M201),0)),"" )</f>
        <v/>
      </c>
      <c r="R201" s="30">
        <f>IFERROR(IF(K201=0,"待填成本",ROUND(K201/(1-N201),0)),"" )</f>
        <v/>
      </c>
      <c r="S201" s="30">
        <f>IFERROR(IF(K201=0,"待填成本",ROUND(K201/(1-O201),0)),"" )</f>
        <v/>
      </c>
      <c r="T201" s="31">
        <f>IFERROR(IF(K201=0,"",(P201-K201)/P201),"" )</f>
        <v/>
      </c>
      <c r="U201" s="31">
        <f>IFERROR(IF(K201=0,"",(Q201-K201)/Q201),"" )</f>
        <v/>
      </c>
      <c r="V201" s="31">
        <f>IFERROR(IF(K201=0,"",(R201-K201)/R201),"" )</f>
        <v/>
      </c>
      <c r="W201" s="31">
        <f>IFERROR(IF(K201=0,"",(S201-K201)/S201),"" )</f>
        <v/>
      </c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3" t="n"/>
      <c r="AG201" s="33" t="n"/>
      <c r="AH201" s="35" t="inlineStr"/>
    </row>
    <row r="202" ht="18" customHeight="1">
      <c r="A202" s="25" t="inlineStr">
        <is>
          <t>2525013042099</t>
        </is>
      </c>
      <c r="B202" s="6" t="inlineStr">
        <is>
          <t>餐厅-柜</t>
        </is>
      </c>
      <c r="C202" s="5" t="inlineStr">
        <is>
          <t>黑胡桃木太空舱餐边柜 |黑胡桃木曜黑餐边柜</t>
        </is>
      </c>
      <c r="D202" s="5" t="inlineStr">
        <is>
          <t>曜黑柜-下柜-1.6米</t>
        </is>
      </c>
      <c r="E202" s="6" t="inlineStr">
        <is>
          <t>北美进口FAS级黑胡桃木</t>
        </is>
      </c>
      <c r="F202" s="6" t="inlineStr">
        <is>
          <t xml:space="preserve">抽屉围板：实木多层板
台面：黑色岩板
背板：鎏金板
电力轨道：xpower 内嵌电力轨道
顶柜玻璃：灰玻
</t>
        </is>
      </c>
      <c r="G202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2" s="26" t="n">
        <v>0</v>
      </c>
      <c r="I202" s="26" t="n">
        <v>0</v>
      </c>
      <c r="J202" s="27" t="n">
        <v>0.48</v>
      </c>
      <c r="K202" s="28">
        <f>IFERROR(H202,0)</f>
        <v/>
      </c>
      <c r="L202" s="29" t="n"/>
      <c r="M202" s="29" t="n"/>
      <c r="N202" s="29" t="n"/>
      <c r="O202" s="29" t="n"/>
      <c r="P202" s="30">
        <f>IFERROR(IF(K202=0,"待填成本",ROUND(K202/(1-L202),0)),"" )</f>
        <v/>
      </c>
      <c r="Q202" s="30">
        <f>IFERROR(IF(K202=0,"待填成本",ROUND(K202/(1-M202),0)),"" )</f>
        <v/>
      </c>
      <c r="R202" s="30">
        <f>IFERROR(IF(K202=0,"待填成本",ROUND(K202/(1-N202),0)),"" )</f>
        <v/>
      </c>
      <c r="S202" s="30">
        <f>IFERROR(IF(K202=0,"待填成本",ROUND(K202/(1-O202),0)),"" )</f>
        <v/>
      </c>
      <c r="T202" s="31">
        <f>IFERROR(IF(K202=0,"",(P202-K202)/P202),"" )</f>
        <v/>
      </c>
      <c r="U202" s="31">
        <f>IFERROR(IF(K202=0,"",(Q202-K202)/Q202),"" )</f>
        <v/>
      </c>
      <c r="V202" s="31">
        <f>IFERROR(IF(K202=0,"",(R202-K202)/R202),"" )</f>
        <v/>
      </c>
      <c r="W202" s="31">
        <f>IFERROR(IF(K202=0,"",(S202-K202)/S202),"" )</f>
        <v/>
      </c>
      <c r="X202" s="32" t="n"/>
      <c r="Y202" s="32" t="n"/>
      <c r="Z202" s="32" t="n"/>
      <c r="AA202" s="32" t="n"/>
      <c r="AB202" s="32" t="n"/>
      <c r="AC202" s="32" t="n"/>
      <c r="AD202" s="32" t="n"/>
      <c r="AE202" s="32" t="n"/>
      <c r="AF202" s="33" t="n"/>
      <c r="AG202" s="33" t="n"/>
      <c r="AH202" s="5" t="inlineStr"/>
    </row>
    <row r="203" ht="18" customHeight="1">
      <c r="A203" s="25" t="inlineStr">
        <is>
          <t>2525013042099</t>
        </is>
      </c>
      <c r="B203" s="34" t="inlineStr">
        <is>
          <t>餐厅-柜</t>
        </is>
      </c>
      <c r="C203" s="35" t="inlineStr">
        <is>
          <t>黑胡桃木太空舱餐边柜 |黑胡桃木曜黑餐边柜</t>
        </is>
      </c>
      <c r="D203" s="35" t="inlineStr">
        <is>
          <t>曜黑柜-下柜-1.5米</t>
        </is>
      </c>
      <c r="E203" s="34" t="inlineStr">
        <is>
          <t>北美进口FAS级黑胡桃木</t>
        </is>
      </c>
      <c r="F203" s="34" t="inlineStr">
        <is>
          <t xml:space="preserve">抽屉围板：实木多层板
台面：黑色岩板
背板：鎏金板
电力轨道：xpower 内嵌电力轨道
顶柜玻璃：灰玻
</t>
        </is>
      </c>
      <c r="G203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3" s="26" t="n">
        <v>0</v>
      </c>
      <c r="I203" s="26" t="n">
        <v>0</v>
      </c>
      <c r="J203" s="27" t="n">
        <v>0.48</v>
      </c>
      <c r="K203" s="28">
        <f>IFERROR(H203,0)</f>
        <v/>
      </c>
      <c r="L203" s="29" t="n"/>
      <c r="M203" s="29" t="n"/>
      <c r="N203" s="29" t="n"/>
      <c r="O203" s="29" t="n"/>
      <c r="P203" s="30">
        <f>IFERROR(IF(K203=0,"待填成本",ROUND(K203/(1-L203),0)),"" )</f>
        <v/>
      </c>
      <c r="Q203" s="30">
        <f>IFERROR(IF(K203=0,"待填成本",ROUND(K203/(1-M203),0)),"" )</f>
        <v/>
      </c>
      <c r="R203" s="30">
        <f>IFERROR(IF(K203=0,"待填成本",ROUND(K203/(1-N203),0)),"" )</f>
        <v/>
      </c>
      <c r="S203" s="30">
        <f>IFERROR(IF(K203=0,"待填成本",ROUND(K203/(1-O203),0)),"" )</f>
        <v/>
      </c>
      <c r="T203" s="31">
        <f>IFERROR(IF(K203=0,"",(P203-K203)/P203),"" )</f>
        <v/>
      </c>
      <c r="U203" s="31">
        <f>IFERROR(IF(K203=0,"",(Q203-K203)/Q203),"" )</f>
        <v/>
      </c>
      <c r="V203" s="31">
        <f>IFERROR(IF(K203=0,"",(R203-K203)/R203),"" )</f>
        <v/>
      </c>
      <c r="W203" s="31">
        <f>IFERROR(IF(K203=0,"",(S203-K203)/S203),"" )</f>
        <v/>
      </c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3" t="n"/>
      <c r="AG203" s="33" t="n"/>
      <c r="AH203" s="35" t="inlineStr"/>
    </row>
    <row r="204" ht="18" customHeight="1">
      <c r="A204" s="25" t="inlineStr">
        <is>
          <t>2525013042099</t>
        </is>
      </c>
      <c r="B204" s="6" t="inlineStr">
        <is>
          <t>餐厅-柜</t>
        </is>
      </c>
      <c r="C204" s="5" t="inlineStr">
        <is>
          <t>黑胡桃木太空舱餐边柜 |黑胡桃木曜黑餐边柜</t>
        </is>
      </c>
      <c r="D204" s="5" t="inlineStr">
        <is>
          <t>曜黑柜-下柜-1.4米</t>
        </is>
      </c>
      <c r="E204" s="6" t="inlineStr">
        <is>
          <t>北美进口FAS级黑胡桃木</t>
        </is>
      </c>
      <c r="F204" s="6" t="inlineStr">
        <is>
          <t xml:space="preserve">抽屉围板：实木多层板
台面：黑色岩板
背板：鎏金板
电力轨道：xpower 内嵌电力轨道
顶柜玻璃：灰玻
</t>
        </is>
      </c>
      <c r="G204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4" s="26" t="n">
        <v>0</v>
      </c>
      <c r="I204" s="26" t="n">
        <v>0</v>
      </c>
      <c r="J204" s="27" t="n">
        <v>0.48</v>
      </c>
      <c r="K204" s="28">
        <f>IFERROR(H204,0)</f>
        <v/>
      </c>
      <c r="L204" s="29" t="n"/>
      <c r="M204" s="29" t="n"/>
      <c r="N204" s="29" t="n"/>
      <c r="O204" s="29" t="n"/>
      <c r="P204" s="30">
        <f>IFERROR(IF(K204=0,"待填成本",ROUND(K204/(1-L204),0)),"" )</f>
        <v/>
      </c>
      <c r="Q204" s="30">
        <f>IFERROR(IF(K204=0,"待填成本",ROUND(K204/(1-M204),0)),"" )</f>
        <v/>
      </c>
      <c r="R204" s="30">
        <f>IFERROR(IF(K204=0,"待填成本",ROUND(K204/(1-N204),0)),"" )</f>
        <v/>
      </c>
      <c r="S204" s="30">
        <f>IFERROR(IF(K204=0,"待填成本",ROUND(K204/(1-O204),0)),"" )</f>
        <v/>
      </c>
      <c r="T204" s="31">
        <f>IFERROR(IF(K204=0,"",(P204-K204)/P204),"" )</f>
        <v/>
      </c>
      <c r="U204" s="31">
        <f>IFERROR(IF(K204=0,"",(Q204-K204)/Q204),"" )</f>
        <v/>
      </c>
      <c r="V204" s="31">
        <f>IFERROR(IF(K204=0,"",(R204-K204)/R204),"" )</f>
        <v/>
      </c>
      <c r="W204" s="31">
        <f>IFERROR(IF(K204=0,"",(S204-K204)/S204),"" )</f>
        <v/>
      </c>
      <c r="X204" s="32" t="n"/>
      <c r="Y204" s="32" t="n"/>
      <c r="Z204" s="32" t="n"/>
      <c r="AA204" s="32" t="n"/>
      <c r="AB204" s="32" t="n"/>
      <c r="AC204" s="32" t="n"/>
      <c r="AD204" s="32" t="n"/>
      <c r="AE204" s="32" t="n"/>
      <c r="AF204" s="33" t="n"/>
      <c r="AG204" s="33" t="n"/>
      <c r="AH204" s="5" t="inlineStr"/>
    </row>
    <row r="205" ht="18" customHeight="1">
      <c r="A205" s="25" t="inlineStr">
        <is>
          <t>2525013042099</t>
        </is>
      </c>
      <c r="B205" s="34" t="inlineStr">
        <is>
          <t>餐厅-柜</t>
        </is>
      </c>
      <c r="C205" s="35" t="inlineStr">
        <is>
          <t>黑胡桃木太空舱餐边柜 |黑胡桃木曜黑餐边柜</t>
        </is>
      </c>
      <c r="D205" s="35" t="inlineStr">
        <is>
          <t>曜黑柜-下柜-1.3米</t>
        </is>
      </c>
      <c r="E205" s="34" t="inlineStr">
        <is>
          <t>北美进口FAS级黑胡桃木</t>
        </is>
      </c>
      <c r="F205" s="34" t="inlineStr">
        <is>
          <t xml:space="preserve">抽屉围板：实木多层板
台面：黑色岩板
背板：鎏金板
电力轨道：xpower 内嵌电力轨道
顶柜玻璃：灰玻
</t>
        </is>
      </c>
      <c r="G205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5" s="26" t="n">
        <v>0</v>
      </c>
      <c r="I205" s="26" t="n">
        <v>0</v>
      </c>
      <c r="J205" s="27" t="n">
        <v>0.48</v>
      </c>
      <c r="K205" s="28">
        <f>IFERROR(H205,0)</f>
        <v/>
      </c>
      <c r="L205" s="29" t="n"/>
      <c r="M205" s="29" t="n"/>
      <c r="N205" s="29" t="n"/>
      <c r="O205" s="29" t="n"/>
      <c r="P205" s="30">
        <f>IFERROR(IF(K205=0,"待填成本",ROUND(K205/(1-L205),0)),"" )</f>
        <v/>
      </c>
      <c r="Q205" s="30">
        <f>IFERROR(IF(K205=0,"待填成本",ROUND(K205/(1-M205),0)),"" )</f>
        <v/>
      </c>
      <c r="R205" s="30">
        <f>IFERROR(IF(K205=0,"待填成本",ROUND(K205/(1-N205),0)),"" )</f>
        <v/>
      </c>
      <c r="S205" s="30">
        <f>IFERROR(IF(K205=0,"待填成本",ROUND(K205/(1-O205),0)),"" )</f>
        <v/>
      </c>
      <c r="T205" s="31">
        <f>IFERROR(IF(K205=0,"",(P205-K205)/P205),"" )</f>
        <v/>
      </c>
      <c r="U205" s="31">
        <f>IFERROR(IF(K205=0,"",(Q205-K205)/Q205),"" )</f>
        <v/>
      </c>
      <c r="V205" s="31">
        <f>IFERROR(IF(K205=0,"",(R205-K205)/R205),"" )</f>
        <v/>
      </c>
      <c r="W205" s="31">
        <f>IFERROR(IF(K205=0,"",(S205-K205)/S205),"" )</f>
        <v/>
      </c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3" t="n"/>
      <c r="AG205" s="33" t="n"/>
      <c r="AH205" s="35" t="inlineStr"/>
    </row>
    <row r="206" ht="18" customHeight="1">
      <c r="A206" s="25" t="inlineStr">
        <is>
          <t>2525013042099</t>
        </is>
      </c>
      <c r="B206" s="6" t="inlineStr">
        <is>
          <t>餐厅-柜</t>
        </is>
      </c>
      <c r="C206" s="5" t="inlineStr">
        <is>
          <t>黑胡桃木太空舱餐边柜 |黑胡桃木曜黑餐边柜</t>
        </is>
      </c>
      <c r="D206" s="5" t="inlineStr">
        <is>
          <t>曜黑柜-下柜-1.2米</t>
        </is>
      </c>
      <c r="E206" s="6" t="inlineStr">
        <is>
          <t>北美进口FAS级黑胡桃木</t>
        </is>
      </c>
      <c r="F206" s="6" t="inlineStr">
        <is>
          <t xml:space="preserve">抽屉围板：实木多层板
台面：黑色岩板
背板：鎏金板
电力轨道：xpower 内嵌电力轨道
顶柜玻璃：灰玻
</t>
        </is>
      </c>
      <c r="G206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6" s="26" t="n">
        <v>0</v>
      </c>
      <c r="I206" s="26" t="n">
        <v>0</v>
      </c>
      <c r="J206" s="27" t="n">
        <v>0.48</v>
      </c>
      <c r="K206" s="28">
        <f>IFERROR(H206,0)</f>
        <v/>
      </c>
      <c r="L206" s="29" t="n"/>
      <c r="M206" s="29" t="n"/>
      <c r="N206" s="29" t="n"/>
      <c r="O206" s="29" t="n"/>
      <c r="P206" s="30">
        <f>IFERROR(IF(K206=0,"待填成本",ROUND(K206/(1-L206),0)),"" )</f>
        <v/>
      </c>
      <c r="Q206" s="30">
        <f>IFERROR(IF(K206=0,"待填成本",ROUND(K206/(1-M206),0)),"" )</f>
        <v/>
      </c>
      <c r="R206" s="30">
        <f>IFERROR(IF(K206=0,"待填成本",ROUND(K206/(1-N206),0)),"" )</f>
        <v/>
      </c>
      <c r="S206" s="30">
        <f>IFERROR(IF(K206=0,"待填成本",ROUND(K206/(1-O206),0)),"" )</f>
        <v/>
      </c>
      <c r="T206" s="31">
        <f>IFERROR(IF(K206=0,"",(P206-K206)/P206),"" )</f>
        <v/>
      </c>
      <c r="U206" s="31">
        <f>IFERROR(IF(K206=0,"",(Q206-K206)/Q206),"" )</f>
        <v/>
      </c>
      <c r="V206" s="31">
        <f>IFERROR(IF(K206=0,"",(R206-K206)/R206),"" )</f>
        <v/>
      </c>
      <c r="W206" s="31">
        <f>IFERROR(IF(K206=0,"",(S206-K206)/S206),"" )</f>
        <v/>
      </c>
      <c r="X206" s="32" t="n"/>
      <c r="Y206" s="32" t="n"/>
      <c r="Z206" s="32" t="n"/>
      <c r="AA206" s="32" t="n"/>
      <c r="AB206" s="32" t="n"/>
      <c r="AC206" s="32" t="n"/>
      <c r="AD206" s="32" t="n"/>
      <c r="AE206" s="32" t="n"/>
      <c r="AF206" s="33" t="n"/>
      <c r="AG206" s="33" t="n"/>
      <c r="AH206" s="5" t="inlineStr"/>
    </row>
    <row r="207" ht="18" customHeight="1">
      <c r="A207" s="25" t="inlineStr">
        <is>
          <t>2525013042099</t>
        </is>
      </c>
      <c r="B207" s="34" t="inlineStr">
        <is>
          <t>餐厅-柜</t>
        </is>
      </c>
      <c r="C207" s="35" t="inlineStr">
        <is>
          <t>黑胡桃木太空舱餐边柜 |黑胡桃木曜黑餐边柜</t>
        </is>
      </c>
      <c r="D207" s="35" t="inlineStr">
        <is>
          <t>曜黑柜-整柜-2.1米</t>
        </is>
      </c>
      <c r="E207" s="34" t="inlineStr">
        <is>
          <t>北美进口FAS级黑胡桃木</t>
        </is>
      </c>
      <c r="F207" s="34" t="inlineStr">
        <is>
          <t xml:space="preserve">抽屉围板：实木多层板
台面：黑色岩板
背板：鎏金板
电力轨道：xpower 内嵌电力轨道
顶柜玻璃：灰玻
</t>
        </is>
      </c>
      <c r="G207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7" s="26" t="n">
        <v>10568.48833333333</v>
      </c>
      <c r="I207" s="26" t="n">
        <v>8500</v>
      </c>
      <c r="J207" s="27" t="n">
        <v>0.48</v>
      </c>
      <c r="K207" s="28">
        <f>IFERROR(H207,0)</f>
        <v/>
      </c>
      <c r="L207" s="29" t="n">
        <v>0.4668</v>
      </c>
      <c r="M207" s="29" t="n">
        <v>0.2101</v>
      </c>
      <c r="N207" s="29" t="n">
        <v>0.2402</v>
      </c>
      <c r="O207" s="29" t="n">
        <v>0.2202</v>
      </c>
      <c r="P207" s="30">
        <f>IFERROR(IF(K207=0,"待填成本",ROUND(K207/(1-L207),0)),"" )</f>
        <v/>
      </c>
      <c r="Q207" s="30">
        <f>IFERROR(IF(K207=0,"待填成本",ROUND(K207/(1-M207),0)),"" )</f>
        <v/>
      </c>
      <c r="R207" s="30">
        <f>IFERROR(IF(K207=0,"待填成本",ROUND(K207/(1-N207),0)),"" )</f>
        <v/>
      </c>
      <c r="S207" s="30">
        <f>IFERROR(IF(K207=0,"待填成本",ROUND(K207/(1-O207),0)),"" )</f>
        <v/>
      </c>
      <c r="T207" s="31">
        <f>IFERROR(IF(K207=0,"",(P207-K207)/P207),"" )</f>
        <v/>
      </c>
      <c r="U207" s="31">
        <f>IFERROR(IF(K207=0,"",(Q207-K207)/Q207),"" )</f>
        <v/>
      </c>
      <c r="V207" s="31">
        <f>IFERROR(IF(K207=0,"",(R207-K207)/R207),"" )</f>
        <v/>
      </c>
      <c r="W207" s="31">
        <f>IFERROR(IF(K207=0,"",(S207-K207)/S207),"" )</f>
        <v/>
      </c>
      <c r="X207" s="36" t="n"/>
      <c r="Y207" s="36" t="n"/>
      <c r="Z207" s="36" t="n"/>
      <c r="AA207" s="37" t="n">
        <v>30.36</v>
      </c>
      <c r="AB207" s="37" t="n">
        <v>10.95375</v>
      </c>
      <c r="AC207" s="37" t="n">
        <v>31.3375</v>
      </c>
      <c r="AD207" s="37" t="n">
        <v>300</v>
      </c>
      <c r="AE207" s="37" t="n">
        <v>150</v>
      </c>
      <c r="AF207" s="33" t="n"/>
      <c r="AG207" s="33" t="n"/>
      <c r="AH207" s="35" t="inlineStr"/>
    </row>
    <row r="208" ht="18" customHeight="1">
      <c r="A208" s="25" t="inlineStr">
        <is>
          <t>2525013042099</t>
        </is>
      </c>
      <c r="B208" s="6" t="inlineStr">
        <is>
          <t>餐厅-柜</t>
        </is>
      </c>
      <c r="C208" s="5" t="inlineStr">
        <is>
          <t>黑胡桃木太空舱餐边柜 |黑胡桃木曜黑餐边柜</t>
        </is>
      </c>
      <c r="D208" s="5" t="inlineStr">
        <is>
          <t>曜黑柜-整柜-2.0米</t>
        </is>
      </c>
      <c r="E208" s="6" t="inlineStr">
        <is>
          <t>北美进口FAS级黑胡桃木</t>
        </is>
      </c>
      <c r="F208" s="6" t="inlineStr">
        <is>
          <t xml:space="preserve">抽屉围板：实木多层板
台面：黑色岩板
背板：鎏金板
电力轨道：xpower 内嵌电力轨道
顶柜玻璃：灰玻
</t>
        </is>
      </c>
      <c r="G208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8" s="26" t="n">
        <v>10381.98833333333</v>
      </c>
      <c r="I208" s="26" t="n">
        <v>8400</v>
      </c>
      <c r="J208" s="27" t="n">
        <v>0.48</v>
      </c>
      <c r="K208" s="28">
        <f>IFERROR(H208,0)</f>
        <v/>
      </c>
      <c r="L208" s="29" t="n">
        <v>0.4668</v>
      </c>
      <c r="M208" s="29" t="n">
        <v>0.2101</v>
      </c>
      <c r="N208" s="29" t="n">
        <v>0.2402</v>
      </c>
      <c r="O208" s="29" t="n">
        <v>0.2202</v>
      </c>
      <c r="P208" s="30">
        <f>IFERROR(IF(K208=0,"待填成本",ROUND(K208/(1-L208),0)),"" )</f>
        <v/>
      </c>
      <c r="Q208" s="30">
        <f>IFERROR(IF(K208=0,"待填成本",ROUND(K208/(1-M208),0)),"" )</f>
        <v/>
      </c>
      <c r="R208" s="30">
        <f>IFERROR(IF(K208=0,"待填成本",ROUND(K208/(1-N208),0)),"" )</f>
        <v/>
      </c>
      <c r="S208" s="30">
        <f>IFERROR(IF(K208=0,"待填成本",ROUND(K208/(1-O208),0)),"" )</f>
        <v/>
      </c>
      <c r="T208" s="31">
        <f>IFERROR(IF(K208=0,"",(P208-K208)/P208),"" )</f>
        <v/>
      </c>
      <c r="U208" s="31">
        <f>IFERROR(IF(K208=0,"",(Q208-K208)/Q208),"" )</f>
        <v/>
      </c>
      <c r="V208" s="31">
        <f>IFERROR(IF(K208=0,"",(R208-K208)/R208),"" )</f>
        <v/>
      </c>
      <c r="W208" s="31">
        <f>IFERROR(IF(K208=0,"",(S208-K208)/S208),"" )</f>
        <v/>
      </c>
      <c r="X208" s="32" t="n"/>
      <c r="Y208" s="32" t="n"/>
      <c r="Z208" s="32" t="n"/>
      <c r="AA208" s="37" t="n">
        <v>29.325</v>
      </c>
      <c r="AB208" s="37" t="n">
        <v>10.6375</v>
      </c>
      <c r="AC208" s="37" t="n">
        <v>31.05</v>
      </c>
      <c r="AD208" s="37" t="n">
        <v>300</v>
      </c>
      <c r="AE208" s="37" t="n">
        <v>150</v>
      </c>
      <c r="AF208" s="33" t="n"/>
      <c r="AG208" s="33" t="n"/>
      <c r="AH208" s="5" t="inlineStr"/>
    </row>
    <row r="209" ht="18" customHeight="1">
      <c r="A209" s="25" t="inlineStr">
        <is>
          <t>2525013042099</t>
        </is>
      </c>
      <c r="B209" s="34" t="inlineStr">
        <is>
          <t>餐厅-柜</t>
        </is>
      </c>
      <c r="C209" s="35" t="inlineStr">
        <is>
          <t>黑胡桃木太空舱餐边柜 |黑胡桃木曜黑餐边柜</t>
        </is>
      </c>
      <c r="D209" s="35" t="inlineStr">
        <is>
          <t>曜黑柜-整柜-1.9米</t>
        </is>
      </c>
      <c r="E209" s="34" t="inlineStr">
        <is>
          <t>北美进口FAS级黑胡桃木</t>
        </is>
      </c>
      <c r="F209" s="34" t="inlineStr">
        <is>
          <t xml:space="preserve">抽屉围板：实木多层板
台面：黑色岩板
背板：鎏金板
电力轨道：xpower 内嵌电力轨道
顶柜玻璃：灰玻
</t>
        </is>
      </c>
      <c r="G209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09" s="26" t="n">
        <v>10195.48833333333</v>
      </c>
      <c r="I209" s="26" t="n">
        <v>8300</v>
      </c>
      <c r="J209" s="27" t="n">
        <v>0.48</v>
      </c>
      <c r="K209" s="28">
        <f>IFERROR(H209,0)</f>
        <v/>
      </c>
      <c r="L209" s="29" t="n">
        <v>0.4668</v>
      </c>
      <c r="M209" s="29" t="n">
        <v>0.2101</v>
      </c>
      <c r="N209" s="29" t="n">
        <v>0.2403</v>
      </c>
      <c r="O209" s="29" t="n">
        <v>0.2203</v>
      </c>
      <c r="P209" s="30">
        <f>IFERROR(IF(K209=0,"待填成本",ROUND(K209/(1-L209),0)),"" )</f>
        <v/>
      </c>
      <c r="Q209" s="30">
        <f>IFERROR(IF(K209=0,"待填成本",ROUND(K209/(1-M209),0)),"" )</f>
        <v/>
      </c>
      <c r="R209" s="30">
        <f>IFERROR(IF(K209=0,"待填成本",ROUND(K209/(1-N209),0)),"" )</f>
        <v/>
      </c>
      <c r="S209" s="30">
        <f>IFERROR(IF(K209=0,"待填成本",ROUND(K209/(1-O209),0)),"" )</f>
        <v/>
      </c>
      <c r="T209" s="31">
        <f>IFERROR(IF(K209=0,"",(P209-K209)/P209),"" )</f>
        <v/>
      </c>
      <c r="U209" s="31">
        <f>IFERROR(IF(K209=0,"",(Q209-K209)/Q209),"" )</f>
        <v/>
      </c>
      <c r="V209" s="31">
        <f>IFERROR(IF(K209=0,"",(R209-K209)/R209),"" )</f>
        <v/>
      </c>
      <c r="W209" s="31">
        <f>IFERROR(IF(K209=0,"",(S209-K209)/S209),"" )</f>
        <v/>
      </c>
      <c r="X209" s="36" t="n"/>
      <c r="Y209" s="36" t="n"/>
      <c r="Z209" s="36" t="n"/>
      <c r="AA209" s="37" t="n">
        <v>28.29</v>
      </c>
      <c r="AB209" s="37" t="n">
        <v>10.32125</v>
      </c>
      <c r="AC209" s="37" t="n">
        <v>30.7625</v>
      </c>
      <c r="AD209" s="37" t="n">
        <v>300</v>
      </c>
      <c r="AE209" s="37" t="n">
        <v>150</v>
      </c>
      <c r="AF209" s="33" t="n"/>
      <c r="AG209" s="33" t="n"/>
      <c r="AH209" s="35" t="inlineStr"/>
    </row>
    <row r="210" ht="18" customHeight="1">
      <c r="A210" s="25" t="inlineStr">
        <is>
          <t>2525013042099</t>
        </is>
      </c>
      <c r="B210" s="6" t="inlineStr">
        <is>
          <t>餐厅-柜</t>
        </is>
      </c>
      <c r="C210" s="5" t="inlineStr">
        <is>
          <t>黑胡桃木太空舱餐边柜 |黑胡桃木曜黑餐边柜</t>
        </is>
      </c>
      <c r="D210" s="5" t="inlineStr">
        <is>
          <t>曜黑柜-整柜-1.8米</t>
        </is>
      </c>
      <c r="E210" s="6" t="inlineStr">
        <is>
          <t>北美进口FAS级黑胡桃木</t>
        </is>
      </c>
      <c r="F210" s="6" t="inlineStr">
        <is>
          <t xml:space="preserve">抽屉围板：实木多层板
台面：黑色岩板
背板：鎏金板
电力轨道：xpower 内嵌电力轨道
顶柜玻璃：灰玻
</t>
        </is>
      </c>
      <c r="G210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10" s="26" t="n">
        <v>10008.98833333333</v>
      </c>
      <c r="I210" s="26" t="n">
        <v>8200</v>
      </c>
      <c r="J210" s="27" t="n">
        <v>0.48</v>
      </c>
      <c r="K210" s="28">
        <f>IFERROR(H210,0)</f>
        <v/>
      </c>
      <c r="L210" s="29" t="n">
        <v>0.4668</v>
      </c>
      <c r="M210" s="29" t="n">
        <v>0.2101</v>
      </c>
      <c r="N210" s="29" t="n">
        <v>0.2404</v>
      </c>
      <c r="O210" s="29" t="n">
        <v>0.2203</v>
      </c>
      <c r="P210" s="30">
        <f>IFERROR(IF(K210=0,"待填成本",ROUND(K210/(1-L210),0)),"" )</f>
        <v/>
      </c>
      <c r="Q210" s="30">
        <f>IFERROR(IF(K210=0,"待填成本",ROUND(K210/(1-M210),0)),"" )</f>
        <v/>
      </c>
      <c r="R210" s="30">
        <f>IFERROR(IF(K210=0,"待填成本",ROUND(K210/(1-N210),0)),"" )</f>
        <v/>
      </c>
      <c r="S210" s="30">
        <f>IFERROR(IF(K210=0,"待填成本",ROUND(K210/(1-O210),0)),"" )</f>
        <v/>
      </c>
      <c r="T210" s="31">
        <f>IFERROR(IF(K210=0,"",(P210-K210)/P210),"" )</f>
        <v/>
      </c>
      <c r="U210" s="31">
        <f>IFERROR(IF(K210=0,"",(Q210-K210)/Q210),"" )</f>
        <v/>
      </c>
      <c r="V210" s="31">
        <f>IFERROR(IF(K210=0,"",(R210-K210)/R210),"" )</f>
        <v/>
      </c>
      <c r="W210" s="31">
        <f>IFERROR(IF(K210=0,"",(S210-K210)/S210),"" )</f>
        <v/>
      </c>
      <c r="X210" s="32" t="n"/>
      <c r="Y210" s="32" t="n"/>
      <c r="Z210" s="32" t="n"/>
      <c r="AA210" s="37" t="n">
        <v>27.255</v>
      </c>
      <c r="AB210" s="37" t="n">
        <v>10.005</v>
      </c>
      <c r="AC210" s="37" t="n">
        <v>30.475</v>
      </c>
      <c r="AD210" s="37" t="n">
        <v>300</v>
      </c>
      <c r="AE210" s="37" t="n">
        <v>150</v>
      </c>
      <c r="AF210" s="33" t="n"/>
      <c r="AG210" s="33" t="n"/>
      <c r="AH210" s="5" t="inlineStr"/>
    </row>
    <row r="211" ht="18" customHeight="1">
      <c r="A211" s="25" t="inlineStr">
        <is>
          <t>2525013042099</t>
        </is>
      </c>
      <c r="B211" s="34" t="inlineStr">
        <is>
          <t>餐厅-柜</t>
        </is>
      </c>
      <c r="C211" s="35" t="inlineStr">
        <is>
          <t>黑胡桃木太空舱餐边柜 |黑胡桃木曜黑餐边柜</t>
        </is>
      </c>
      <c r="D211" s="35" t="inlineStr">
        <is>
          <t>曜黑柜-整柜-1.7米</t>
        </is>
      </c>
      <c r="E211" s="34" t="inlineStr">
        <is>
          <t>北美进口FAS级黑胡桃木</t>
        </is>
      </c>
      <c r="F211" s="34" t="inlineStr">
        <is>
          <t xml:space="preserve">抽屉围板：实木多层板
台面：黑色岩板
背板：鎏金板
电力轨道：xpower 内嵌电力轨道
顶柜玻璃：灰玻
</t>
        </is>
      </c>
      <c r="G211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11" s="26" t="n">
        <v>9903.795</v>
      </c>
      <c r="I211" s="26" t="n">
        <v>8133.333333333333</v>
      </c>
      <c r="J211" s="27" t="n">
        <v>0.48</v>
      </c>
      <c r="K211" s="28">
        <f>IFERROR(H211,0)</f>
        <v/>
      </c>
      <c r="L211" s="29" t="n">
        <v>0.4668</v>
      </c>
      <c r="M211" s="29" t="n">
        <v>0.2103</v>
      </c>
      <c r="N211" s="29" t="n">
        <v>0.2372</v>
      </c>
      <c r="O211" s="29" t="n">
        <v>0.2172</v>
      </c>
      <c r="P211" s="30">
        <f>IFERROR(IF(K211=0,"待填成本",ROUND(K211/(1-L211),0)),"" )</f>
        <v/>
      </c>
      <c r="Q211" s="30">
        <f>IFERROR(IF(K211=0,"待填成本",ROUND(K211/(1-M211),0)),"" )</f>
        <v/>
      </c>
      <c r="R211" s="30">
        <f>IFERROR(IF(K211=0,"待填成本",ROUND(K211/(1-N211),0)),"" )</f>
        <v/>
      </c>
      <c r="S211" s="30">
        <f>IFERROR(IF(K211=0,"待填成本",ROUND(K211/(1-O211),0)),"" )</f>
        <v/>
      </c>
      <c r="T211" s="31">
        <f>IFERROR(IF(K211=0,"",(P211-K211)/P211),"" )</f>
        <v/>
      </c>
      <c r="U211" s="31">
        <f>IFERROR(IF(K211=0,"",(Q211-K211)/Q211),"" )</f>
        <v/>
      </c>
      <c r="V211" s="31">
        <f>IFERROR(IF(K211=0,"",(R211-K211)/R211),"" )</f>
        <v/>
      </c>
      <c r="W211" s="31">
        <f>IFERROR(IF(K211=0,"",(S211-K211)/S211),"" )</f>
        <v/>
      </c>
      <c r="X211" s="36" t="n"/>
      <c r="Y211" s="36" t="n"/>
      <c r="Z211" s="36" t="n"/>
      <c r="AA211" s="37" t="n">
        <v>26.22</v>
      </c>
      <c r="AB211" s="37" t="n">
        <v>9.688750000000001</v>
      </c>
      <c r="AC211" s="37" t="n">
        <v>30.1875</v>
      </c>
      <c r="AD211" s="37" t="n">
        <v>300</v>
      </c>
      <c r="AE211" s="37" t="n">
        <v>150</v>
      </c>
      <c r="AF211" s="33" t="n"/>
      <c r="AG211" s="33" t="n"/>
      <c r="AH211" s="35" t="inlineStr"/>
    </row>
    <row r="212" ht="18" customHeight="1">
      <c r="A212" s="25" t="inlineStr">
        <is>
          <t>2525013042099</t>
        </is>
      </c>
      <c r="B212" s="6" t="inlineStr">
        <is>
          <t>餐厅-柜</t>
        </is>
      </c>
      <c r="C212" s="5" t="inlineStr">
        <is>
          <t>黑胡桃木太空舱餐边柜 |黑胡桃木曜黑餐边柜</t>
        </is>
      </c>
      <c r="D212" s="5" t="inlineStr">
        <is>
          <t>曜黑柜-整柜-1.6米</t>
        </is>
      </c>
      <c r="E212" s="6" t="inlineStr">
        <is>
          <t>北美进口FAS级黑胡桃木</t>
        </is>
      </c>
      <c r="F212" s="6" t="inlineStr">
        <is>
          <t xml:space="preserve">抽屉围板：实木多层板
台面：黑色岩板
背板：鎏金板
电力轨道：xpower 内嵌电力轨道
顶柜玻璃：灰玻
</t>
        </is>
      </c>
      <c r="G212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12" s="26" t="n">
        <v>9798.601666666667</v>
      </c>
      <c r="I212" s="26" t="n">
        <v>8066.666666666666</v>
      </c>
      <c r="J212" s="27" t="n">
        <v>0.48</v>
      </c>
      <c r="K212" s="28">
        <f>IFERROR(H212,0)</f>
        <v/>
      </c>
      <c r="L212" s="29" t="n">
        <v>0.4668</v>
      </c>
      <c r="M212" s="29" t="n">
        <v>0.2104</v>
      </c>
      <c r="N212" s="29" t="n">
        <v>0.2339</v>
      </c>
      <c r="O212" s="29" t="n">
        <v>0.2139</v>
      </c>
      <c r="P212" s="30">
        <f>IFERROR(IF(K212=0,"待填成本",ROUND(K212/(1-L212),0)),"" )</f>
        <v/>
      </c>
      <c r="Q212" s="30">
        <f>IFERROR(IF(K212=0,"待填成本",ROUND(K212/(1-M212),0)),"" )</f>
        <v/>
      </c>
      <c r="R212" s="30">
        <f>IFERROR(IF(K212=0,"待填成本",ROUND(K212/(1-N212),0)),"" )</f>
        <v/>
      </c>
      <c r="S212" s="30">
        <f>IFERROR(IF(K212=0,"待填成本",ROUND(K212/(1-O212),0)),"" )</f>
        <v/>
      </c>
      <c r="T212" s="31">
        <f>IFERROR(IF(K212=0,"",(P212-K212)/P212),"" )</f>
        <v/>
      </c>
      <c r="U212" s="31">
        <f>IFERROR(IF(K212=0,"",(Q212-K212)/Q212),"" )</f>
        <v/>
      </c>
      <c r="V212" s="31">
        <f>IFERROR(IF(K212=0,"",(R212-K212)/R212),"" )</f>
        <v/>
      </c>
      <c r="W212" s="31">
        <f>IFERROR(IF(K212=0,"",(S212-K212)/S212),"" )</f>
        <v/>
      </c>
      <c r="X212" s="32" t="n"/>
      <c r="Y212" s="32" t="n"/>
      <c r="Z212" s="32" t="n"/>
      <c r="AA212" s="37" t="n">
        <v>25.185</v>
      </c>
      <c r="AB212" s="37" t="n">
        <v>9.3725</v>
      </c>
      <c r="AC212" s="37" t="n">
        <v>29.9</v>
      </c>
      <c r="AD212" s="37" t="n">
        <v>300</v>
      </c>
      <c r="AE212" s="37" t="n">
        <v>150</v>
      </c>
      <c r="AF212" s="33" t="n"/>
      <c r="AG212" s="33" t="n"/>
      <c r="AH212" s="5" t="inlineStr"/>
    </row>
    <row r="213" ht="18" customHeight="1">
      <c r="A213" s="25" t="inlineStr">
        <is>
          <t>2525013042099</t>
        </is>
      </c>
      <c r="B213" s="34" t="inlineStr">
        <is>
          <t>餐厅-柜</t>
        </is>
      </c>
      <c r="C213" s="35" t="inlineStr">
        <is>
          <t>黑胡桃木太空舱餐边柜 |黑胡桃木曜黑餐边柜</t>
        </is>
      </c>
      <c r="D213" s="35" t="inlineStr">
        <is>
          <t>曜黑柜-整柜-1.5米</t>
        </is>
      </c>
      <c r="E213" s="34" t="inlineStr">
        <is>
          <t>北美进口FAS级黑胡桃木</t>
        </is>
      </c>
      <c r="F213" s="34" t="inlineStr">
        <is>
          <t xml:space="preserve">抽屉围板：实木多层板
台面：黑色岩板
背板：鎏金板
电力轨道：xpower 内嵌电力轨道
顶柜玻璃：灰玻
</t>
        </is>
      </c>
      <c r="G213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13" s="26" t="n">
        <v>9693.408333333333</v>
      </c>
      <c r="I213" s="26" t="n">
        <v>8000</v>
      </c>
      <c r="J213" s="27" t="n">
        <v>0.48</v>
      </c>
      <c r="K213" s="28">
        <f>IFERROR(H213,0)</f>
        <v/>
      </c>
      <c r="L213" s="29" t="n">
        <v>0.4667</v>
      </c>
      <c r="M213" s="29" t="n">
        <v>0.2105</v>
      </c>
      <c r="N213" s="29" t="n">
        <v>0.2305</v>
      </c>
      <c r="O213" s="29" t="n">
        <v>0.2105</v>
      </c>
      <c r="P213" s="30">
        <f>IFERROR(IF(K213=0,"待填成本",ROUND(K213/(1-L213),0)),"" )</f>
        <v/>
      </c>
      <c r="Q213" s="30">
        <f>IFERROR(IF(K213=0,"待填成本",ROUND(K213/(1-M213),0)),"" )</f>
        <v/>
      </c>
      <c r="R213" s="30">
        <f>IFERROR(IF(K213=0,"待填成本",ROUND(K213/(1-N213),0)),"" )</f>
        <v/>
      </c>
      <c r="S213" s="30">
        <f>IFERROR(IF(K213=0,"待填成本",ROUND(K213/(1-O213),0)),"" )</f>
        <v/>
      </c>
      <c r="T213" s="31">
        <f>IFERROR(IF(K213=0,"",(P213-K213)/P213),"" )</f>
        <v/>
      </c>
      <c r="U213" s="31">
        <f>IFERROR(IF(K213=0,"",(Q213-K213)/Q213),"" )</f>
        <v/>
      </c>
      <c r="V213" s="31">
        <f>IFERROR(IF(K213=0,"",(R213-K213)/R213),"" )</f>
        <v/>
      </c>
      <c r="W213" s="31">
        <f>IFERROR(IF(K213=0,"",(S213-K213)/S213),"" )</f>
        <v/>
      </c>
      <c r="X213" s="36" t="n"/>
      <c r="Y213" s="36" t="n"/>
      <c r="Z213" s="36" t="n"/>
      <c r="AA213" s="37" t="n">
        <v>24.15</v>
      </c>
      <c r="AB213" s="37" t="n">
        <v>9.056249999999999</v>
      </c>
      <c r="AC213" s="37" t="n">
        <v>29.6125</v>
      </c>
      <c r="AD213" s="37" t="n">
        <v>300</v>
      </c>
      <c r="AE213" s="37" t="n">
        <v>150</v>
      </c>
      <c r="AF213" s="33" t="n"/>
      <c r="AG213" s="33" t="n"/>
      <c r="AH213" s="35" t="inlineStr"/>
    </row>
    <row r="214" ht="18" customHeight="1">
      <c r="A214" s="25" t="inlineStr">
        <is>
          <t>2525013042099</t>
        </is>
      </c>
      <c r="B214" s="6" t="inlineStr">
        <is>
          <t>餐厅-柜</t>
        </is>
      </c>
      <c r="C214" s="5" t="inlineStr">
        <is>
          <t>黑胡桃木太空舱餐边柜 |黑胡桃木曜黑餐边柜</t>
        </is>
      </c>
      <c r="D214" s="5" t="inlineStr">
        <is>
          <t>曜黑柜-整柜-1.4米</t>
        </is>
      </c>
      <c r="E214" s="6" t="inlineStr">
        <is>
          <t>北美进口FAS级黑胡桃木</t>
        </is>
      </c>
      <c r="F214" s="6" t="inlineStr">
        <is>
          <t xml:space="preserve">抽屉围板：实木多层板
台面：黑色岩板
背板：鎏金板
电力轨道：xpower 内嵌电力轨道
顶柜玻璃：灰玻
</t>
        </is>
      </c>
      <c r="G214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14" s="26" t="n">
        <v>9568.268333333333</v>
      </c>
      <c r="I214" s="26" t="n">
        <v>7933.333333333333</v>
      </c>
      <c r="J214" s="27" t="n">
        <v>0.48</v>
      </c>
      <c r="K214" s="28">
        <f>IFERROR(H214,0)</f>
        <v/>
      </c>
      <c r="L214" s="29" t="n">
        <v>0.4667</v>
      </c>
      <c r="M214" s="29" t="n">
        <v>0.2104</v>
      </c>
      <c r="N214" s="29" t="n">
        <v>0.2241</v>
      </c>
      <c r="O214" s="29" t="n">
        <v>0.204</v>
      </c>
      <c r="P214" s="30">
        <f>IFERROR(IF(K214=0,"待填成本",ROUND(K214/(1-L214),0)),"" )</f>
        <v/>
      </c>
      <c r="Q214" s="30">
        <f>IFERROR(IF(K214=0,"待填成本",ROUND(K214/(1-M214),0)),"" )</f>
        <v/>
      </c>
      <c r="R214" s="30">
        <f>IFERROR(IF(K214=0,"待填成本",ROUND(K214/(1-N214),0)),"" )</f>
        <v/>
      </c>
      <c r="S214" s="30">
        <f>IFERROR(IF(K214=0,"待填成本",ROUND(K214/(1-O214),0)),"" )</f>
        <v/>
      </c>
      <c r="T214" s="31">
        <f>IFERROR(IF(K214=0,"",(P214-K214)/P214),"" )</f>
        <v/>
      </c>
      <c r="U214" s="31">
        <f>IFERROR(IF(K214=0,"",(Q214-K214)/Q214),"" )</f>
        <v/>
      </c>
      <c r="V214" s="31">
        <f>IFERROR(IF(K214=0,"",(R214-K214)/R214),"" )</f>
        <v/>
      </c>
      <c r="W214" s="31">
        <f>IFERROR(IF(K214=0,"",(S214-K214)/S214),"" )</f>
        <v/>
      </c>
      <c r="X214" s="32" t="n"/>
      <c r="Y214" s="32" t="n"/>
      <c r="Z214" s="32" t="n"/>
      <c r="AA214" s="37" t="n">
        <v>23.83375</v>
      </c>
      <c r="AB214" s="37" t="n">
        <v>8.739999999999998</v>
      </c>
      <c r="AC214" s="37" t="n">
        <v>29.325</v>
      </c>
      <c r="AD214" s="37" t="n">
        <v>300</v>
      </c>
      <c r="AE214" s="37" t="n">
        <v>150</v>
      </c>
      <c r="AF214" s="33" t="n"/>
      <c r="AG214" s="33" t="n"/>
      <c r="AH214" s="5" t="inlineStr"/>
    </row>
    <row r="215" ht="18" customHeight="1">
      <c r="A215" s="25" t="inlineStr">
        <is>
          <t>2525013042099</t>
        </is>
      </c>
      <c r="B215" s="34" t="inlineStr">
        <is>
          <t>餐厅-柜</t>
        </is>
      </c>
      <c r="C215" s="35" t="inlineStr">
        <is>
          <t>黑胡桃木太空舱餐边柜 |黑胡桃木曜黑餐边柜</t>
        </is>
      </c>
      <c r="D215" s="35" t="inlineStr">
        <is>
          <t>曜黑柜-整柜-1.3米</t>
        </is>
      </c>
      <c r="E215" s="34" t="inlineStr">
        <is>
          <t>北美进口FAS级黑胡桃木</t>
        </is>
      </c>
      <c r="F215" s="34" t="inlineStr">
        <is>
          <t xml:space="preserve">抽屉围板：实木多层板
台面：黑色岩板
背板：鎏金板
电力轨道：xpower 内嵌电力轨道
顶柜玻璃：灰玻
</t>
        </is>
      </c>
      <c r="G215" s="3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15" s="26" t="n">
        <v>9443.128333333334</v>
      </c>
      <c r="I215" s="26" t="n">
        <v>7866.666666666666</v>
      </c>
      <c r="J215" s="27" t="n">
        <v>0.48</v>
      </c>
      <c r="K215" s="28">
        <f>IFERROR(H215,0)</f>
        <v/>
      </c>
      <c r="L215" s="29" t="n">
        <v>0.4667</v>
      </c>
      <c r="M215" s="29" t="n">
        <v>0.2104</v>
      </c>
      <c r="N215" s="29" t="n">
        <v>0.2174</v>
      </c>
      <c r="O215" s="29" t="n">
        <v>0.1972</v>
      </c>
      <c r="P215" s="30">
        <f>IFERROR(IF(K215=0,"待填成本",ROUND(K215/(1-L215),0)),"" )</f>
        <v/>
      </c>
      <c r="Q215" s="30">
        <f>IFERROR(IF(K215=0,"待填成本",ROUND(K215/(1-M215),0)),"" )</f>
        <v/>
      </c>
      <c r="R215" s="30">
        <f>IFERROR(IF(K215=0,"待填成本",ROUND(K215/(1-N215),0)),"" )</f>
        <v/>
      </c>
      <c r="S215" s="30">
        <f>IFERROR(IF(K215=0,"待填成本",ROUND(K215/(1-O215),0)),"" )</f>
        <v/>
      </c>
      <c r="T215" s="31">
        <f>IFERROR(IF(K215=0,"",(P215-K215)/P215),"" )</f>
        <v/>
      </c>
      <c r="U215" s="31">
        <f>IFERROR(IF(K215=0,"",(Q215-K215)/Q215),"" )</f>
        <v/>
      </c>
      <c r="V215" s="31">
        <f>IFERROR(IF(K215=0,"",(R215-K215)/R215),"" )</f>
        <v/>
      </c>
      <c r="W215" s="31">
        <f>IFERROR(IF(K215=0,"",(S215-K215)/S215),"" )</f>
        <v/>
      </c>
      <c r="X215" s="36" t="n"/>
      <c r="Y215" s="36" t="n"/>
      <c r="Z215" s="36" t="n"/>
      <c r="AA215" s="37" t="n">
        <v>23.5175</v>
      </c>
      <c r="AB215" s="37" t="n">
        <v>8.423749999999998</v>
      </c>
      <c r="AC215" s="37" t="n">
        <v>29.03749999999999</v>
      </c>
      <c r="AD215" s="37" t="n">
        <v>300</v>
      </c>
      <c r="AE215" s="37" t="n">
        <v>150</v>
      </c>
      <c r="AF215" s="33" t="n"/>
      <c r="AG215" s="33" t="n"/>
      <c r="AH215" s="35" t="inlineStr"/>
    </row>
    <row r="216" ht="18" customHeight="1">
      <c r="A216" s="25" t="inlineStr">
        <is>
          <t>2525013042099</t>
        </is>
      </c>
      <c r="B216" s="6" t="inlineStr">
        <is>
          <t>餐厅-柜</t>
        </is>
      </c>
      <c r="C216" s="5" t="inlineStr">
        <is>
          <t>黑胡桃木太空舱餐边柜 |黑胡桃木曜黑餐边柜</t>
        </is>
      </c>
      <c r="D216" s="5" t="inlineStr">
        <is>
          <t>曜黑柜-整柜-1.2米</t>
        </is>
      </c>
      <c r="E216" s="6" t="inlineStr">
        <is>
          <t>北美进口FAS级黑胡桃木</t>
        </is>
      </c>
      <c r="F216" s="6" t="inlineStr">
        <is>
          <t xml:space="preserve">抽屉围板：实木多层板
台面：黑色岩板
背板：鎏金板
电力轨道：xpower 内嵌电力轨道
顶柜玻璃：灰玻
</t>
        </is>
      </c>
      <c r="G216" s="5" t="inlineStr">
        <is>
          <t xml:space="preserve">整体长度：1200mm/1000mm/800mm
整体深度：480mm
整体高度：1900mm
顶柜长度：1200mm/1000mm/800mm
顶柜深度：400mm
顶柜高度：355mm
立体收纳长度：1200mm/1000mm/800mm
立体收纳深度：400mm
立体收纳高度：675mm
下柜长度：1200mm/1000mm/800mm
下柜深度：480mm
下柜高度：880mm
</t>
        </is>
      </c>
      <c r="H216" s="26" t="n">
        <v>9317.988333333333</v>
      </c>
      <c r="I216" s="26" t="n">
        <v>7800</v>
      </c>
      <c r="J216" s="27" t="n">
        <v>0.48</v>
      </c>
      <c r="K216" s="28">
        <f>IFERROR(H216,0)</f>
        <v/>
      </c>
      <c r="L216" s="29" t="n">
        <v>0.4667</v>
      </c>
      <c r="M216" s="29" t="n">
        <v>0.2103</v>
      </c>
      <c r="N216" s="29" t="n">
        <v>0.2103</v>
      </c>
      <c r="O216" s="29" t="n">
        <v>0.1901</v>
      </c>
      <c r="P216" s="30">
        <f>IFERROR(IF(K216=0,"待填成本",ROUND(K216/(1-L216),0)),"" )</f>
        <v/>
      </c>
      <c r="Q216" s="30">
        <f>IFERROR(IF(K216=0,"待填成本",ROUND(K216/(1-M216),0)),"" )</f>
        <v/>
      </c>
      <c r="R216" s="30">
        <f>IFERROR(IF(K216=0,"待填成本",ROUND(K216/(1-N216),0)),"" )</f>
        <v/>
      </c>
      <c r="S216" s="30">
        <f>IFERROR(IF(K216=0,"待填成本",ROUND(K216/(1-O216),0)),"" )</f>
        <v/>
      </c>
      <c r="T216" s="31">
        <f>IFERROR(IF(K216=0,"",(P216-K216)/P216),"" )</f>
        <v/>
      </c>
      <c r="U216" s="31">
        <f>IFERROR(IF(K216=0,"",(Q216-K216)/Q216),"" )</f>
        <v/>
      </c>
      <c r="V216" s="31">
        <f>IFERROR(IF(K216=0,"",(R216-K216)/R216),"" )</f>
        <v/>
      </c>
      <c r="W216" s="31">
        <f>IFERROR(IF(K216=0,"",(S216-K216)/S216),"" )</f>
        <v/>
      </c>
      <c r="X216" s="32" t="n"/>
      <c r="Y216" s="32" t="n"/>
      <c r="Z216" s="32" t="n"/>
      <c r="AA216" s="37" t="n">
        <v>23.20125</v>
      </c>
      <c r="AB216" s="37" t="n">
        <v>8.1075</v>
      </c>
      <c r="AC216" s="37" t="n">
        <v>28.75</v>
      </c>
      <c r="AD216" s="37" t="n">
        <v>300</v>
      </c>
      <c r="AE216" s="37" t="n">
        <v>150</v>
      </c>
      <c r="AF216" s="33" t="n"/>
      <c r="AG216" s="33" t="n"/>
      <c r="AH216" s="5" t="inlineStr"/>
    </row>
    <row r="217" ht="18" customHeight="1">
      <c r="A217" s="25" t="inlineStr">
        <is>
          <t>2525014042599</t>
        </is>
      </c>
      <c r="B217" s="34" t="inlineStr">
        <is>
          <t>餐厅-柜</t>
        </is>
      </c>
      <c r="C217" s="35" t="inlineStr">
        <is>
          <t>畔色樱桃木下柜电力轨道</t>
        </is>
      </c>
      <c r="D217" s="35" t="inlineStr">
        <is>
          <t>樱桃木电力轨道配件-2.1米</t>
        </is>
      </c>
      <c r="E217" s="34" t="inlineStr">
        <is>
          <t>北美进口FAS级樱桃木</t>
        </is>
      </c>
      <c r="F217" s="34" t="inlineStr"/>
      <c r="G217" s="35" t="inlineStr"/>
      <c r="H217" s="26" t="n">
        <v>0</v>
      </c>
      <c r="I217" s="26" t="n">
        <v>0</v>
      </c>
      <c r="J217" s="27" t="n">
        <v>0.5</v>
      </c>
      <c r="K217" s="28">
        <f>IFERROR(H217,0)</f>
        <v/>
      </c>
      <c r="L217" s="29" t="n"/>
      <c r="M217" s="29" t="n"/>
      <c r="N217" s="29" t="n"/>
      <c r="O217" s="29" t="n"/>
      <c r="P217" s="30">
        <f>IFERROR(IF(K217=0,"待填成本",ROUND(K217/(1-L217),0)),"" )</f>
        <v/>
      </c>
      <c r="Q217" s="30">
        <f>IFERROR(IF(K217=0,"待填成本",ROUND(K217/(1-M217),0)),"" )</f>
        <v/>
      </c>
      <c r="R217" s="30">
        <f>IFERROR(IF(K217=0,"待填成本",ROUND(K217/(1-N217),0)),"" )</f>
        <v/>
      </c>
      <c r="S217" s="30">
        <f>IFERROR(IF(K217=0,"待填成本",ROUND(K217/(1-O217),0)),"" )</f>
        <v/>
      </c>
      <c r="T217" s="31">
        <f>IFERROR(IF(K217=0,"",(P217-K217)/P217),"" )</f>
        <v/>
      </c>
      <c r="U217" s="31">
        <f>IFERROR(IF(K217=0,"",(Q217-K217)/Q217),"" )</f>
        <v/>
      </c>
      <c r="V217" s="31">
        <f>IFERROR(IF(K217=0,"",(R217-K217)/R217),"" )</f>
        <v/>
      </c>
      <c r="W217" s="31">
        <f>IFERROR(IF(K217=0,"",(S217-K217)/S217),"" )</f>
        <v/>
      </c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3" t="n"/>
      <c r="AG217" s="33" t="n"/>
      <c r="AH217" s="35" t="inlineStr"/>
    </row>
    <row r="218" ht="18" customHeight="1">
      <c r="A218" s="25" t="inlineStr">
        <is>
          <t>2525014042599</t>
        </is>
      </c>
      <c r="B218" s="6" t="inlineStr">
        <is>
          <t>餐厅-柜</t>
        </is>
      </c>
      <c r="C218" s="5" t="inlineStr">
        <is>
          <t>畔色樱桃木下柜电力轨道</t>
        </is>
      </c>
      <c r="D218" s="5" t="inlineStr">
        <is>
          <t>樱桃木电力轨道配件-2.0米</t>
        </is>
      </c>
      <c r="E218" s="6" t="inlineStr">
        <is>
          <t>北美进口FAS级樱桃木</t>
        </is>
      </c>
      <c r="F218" s="6" t="inlineStr"/>
      <c r="G218" s="5" t="inlineStr"/>
      <c r="H218" s="26" t="n">
        <v>0</v>
      </c>
      <c r="I218" s="26" t="n">
        <v>0</v>
      </c>
      <c r="J218" s="27" t="n">
        <v>0.5</v>
      </c>
      <c r="K218" s="28">
        <f>IFERROR(H218,0)</f>
        <v/>
      </c>
      <c r="L218" s="29" t="n"/>
      <c r="M218" s="29" t="n"/>
      <c r="N218" s="29" t="n"/>
      <c r="O218" s="29" t="n"/>
      <c r="P218" s="30">
        <f>IFERROR(IF(K218=0,"待填成本",ROUND(K218/(1-L218),0)),"" )</f>
        <v/>
      </c>
      <c r="Q218" s="30">
        <f>IFERROR(IF(K218=0,"待填成本",ROUND(K218/(1-M218),0)),"" )</f>
        <v/>
      </c>
      <c r="R218" s="30">
        <f>IFERROR(IF(K218=0,"待填成本",ROUND(K218/(1-N218),0)),"" )</f>
        <v/>
      </c>
      <c r="S218" s="30">
        <f>IFERROR(IF(K218=0,"待填成本",ROUND(K218/(1-O218),0)),"" )</f>
        <v/>
      </c>
      <c r="T218" s="31">
        <f>IFERROR(IF(K218=0,"",(P218-K218)/P218),"" )</f>
        <v/>
      </c>
      <c r="U218" s="31">
        <f>IFERROR(IF(K218=0,"",(Q218-K218)/Q218),"" )</f>
        <v/>
      </c>
      <c r="V218" s="31">
        <f>IFERROR(IF(K218=0,"",(R218-K218)/R218),"" )</f>
        <v/>
      </c>
      <c r="W218" s="31">
        <f>IFERROR(IF(K218=0,"",(S218-K218)/S218),"" )</f>
        <v/>
      </c>
      <c r="X218" s="32" t="n"/>
      <c r="Y218" s="32" t="n"/>
      <c r="Z218" s="32" t="n"/>
      <c r="AA218" s="32" t="n"/>
      <c r="AB218" s="32" t="n"/>
      <c r="AC218" s="32" t="n"/>
      <c r="AD218" s="32" t="n"/>
      <c r="AE218" s="32" t="n"/>
      <c r="AF218" s="33" t="n"/>
      <c r="AG218" s="33" t="n"/>
      <c r="AH218" s="5" t="inlineStr"/>
    </row>
    <row r="219" ht="18" customHeight="1">
      <c r="A219" s="25" t="inlineStr">
        <is>
          <t>2525014042599</t>
        </is>
      </c>
      <c r="B219" s="34" t="inlineStr">
        <is>
          <t>餐厅-柜</t>
        </is>
      </c>
      <c r="C219" s="35" t="inlineStr">
        <is>
          <t>畔色樱桃木下柜电力轨道</t>
        </is>
      </c>
      <c r="D219" s="35" t="inlineStr">
        <is>
          <t>樱桃木电力轨道配件-1.9米</t>
        </is>
      </c>
      <c r="E219" s="34" t="inlineStr">
        <is>
          <t>北美进口FAS级樱桃木</t>
        </is>
      </c>
      <c r="F219" s="34" t="inlineStr"/>
      <c r="G219" s="35" t="inlineStr"/>
      <c r="H219" s="26" t="n">
        <v>0</v>
      </c>
      <c r="I219" s="26" t="n">
        <v>0</v>
      </c>
      <c r="J219" s="27" t="n">
        <v>0.5</v>
      </c>
      <c r="K219" s="28">
        <f>IFERROR(H219,0)</f>
        <v/>
      </c>
      <c r="L219" s="29" t="n"/>
      <c r="M219" s="29" t="n"/>
      <c r="N219" s="29" t="n"/>
      <c r="O219" s="29" t="n"/>
      <c r="P219" s="30">
        <f>IFERROR(IF(K219=0,"待填成本",ROUND(K219/(1-L219),0)),"" )</f>
        <v/>
      </c>
      <c r="Q219" s="30">
        <f>IFERROR(IF(K219=0,"待填成本",ROUND(K219/(1-M219),0)),"" )</f>
        <v/>
      </c>
      <c r="R219" s="30">
        <f>IFERROR(IF(K219=0,"待填成本",ROUND(K219/(1-N219),0)),"" )</f>
        <v/>
      </c>
      <c r="S219" s="30">
        <f>IFERROR(IF(K219=0,"待填成本",ROUND(K219/(1-O219),0)),"" )</f>
        <v/>
      </c>
      <c r="T219" s="31">
        <f>IFERROR(IF(K219=0,"",(P219-K219)/P219),"" )</f>
        <v/>
      </c>
      <c r="U219" s="31">
        <f>IFERROR(IF(K219=0,"",(Q219-K219)/Q219),"" )</f>
        <v/>
      </c>
      <c r="V219" s="31">
        <f>IFERROR(IF(K219=0,"",(R219-K219)/R219),"" )</f>
        <v/>
      </c>
      <c r="W219" s="31">
        <f>IFERROR(IF(K219=0,"",(S219-K219)/S219),"" )</f>
        <v/>
      </c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3" t="n"/>
      <c r="AG219" s="33" t="n"/>
      <c r="AH219" s="35" t="inlineStr"/>
    </row>
    <row r="220" ht="18" customHeight="1">
      <c r="A220" s="25" t="inlineStr">
        <is>
          <t>2525014042599</t>
        </is>
      </c>
      <c r="B220" s="6" t="inlineStr">
        <is>
          <t>餐厅-柜</t>
        </is>
      </c>
      <c r="C220" s="5" t="inlineStr">
        <is>
          <t>畔色樱桃木下柜电力轨道</t>
        </is>
      </c>
      <c r="D220" s="5" t="inlineStr">
        <is>
          <t>樱桃木电力轨道配件-1.8米</t>
        </is>
      </c>
      <c r="E220" s="6" t="inlineStr">
        <is>
          <t>北美进口FAS级樱桃木</t>
        </is>
      </c>
      <c r="F220" s="6" t="inlineStr"/>
      <c r="G220" s="5" t="inlineStr"/>
      <c r="H220" s="26" t="n">
        <v>0</v>
      </c>
      <c r="I220" s="26" t="n">
        <v>0</v>
      </c>
      <c r="J220" s="27" t="n">
        <v>0.5</v>
      </c>
      <c r="K220" s="28">
        <f>IFERROR(H220,0)</f>
        <v/>
      </c>
      <c r="L220" s="29" t="n"/>
      <c r="M220" s="29" t="n"/>
      <c r="N220" s="29" t="n"/>
      <c r="O220" s="29" t="n"/>
      <c r="P220" s="30">
        <f>IFERROR(IF(K220=0,"待填成本",ROUND(K220/(1-L220),0)),"" )</f>
        <v/>
      </c>
      <c r="Q220" s="30">
        <f>IFERROR(IF(K220=0,"待填成本",ROUND(K220/(1-M220),0)),"" )</f>
        <v/>
      </c>
      <c r="R220" s="30">
        <f>IFERROR(IF(K220=0,"待填成本",ROUND(K220/(1-N220),0)),"" )</f>
        <v/>
      </c>
      <c r="S220" s="30">
        <f>IFERROR(IF(K220=0,"待填成本",ROUND(K220/(1-O220),0)),"" )</f>
        <v/>
      </c>
      <c r="T220" s="31">
        <f>IFERROR(IF(K220=0,"",(P220-K220)/P220),"" )</f>
        <v/>
      </c>
      <c r="U220" s="31">
        <f>IFERROR(IF(K220=0,"",(Q220-K220)/Q220),"" )</f>
        <v/>
      </c>
      <c r="V220" s="31">
        <f>IFERROR(IF(K220=0,"",(R220-K220)/R220),"" )</f>
        <v/>
      </c>
      <c r="W220" s="31">
        <f>IFERROR(IF(K220=0,"",(S220-K220)/S220),"" )</f>
        <v/>
      </c>
      <c r="X220" s="32" t="n"/>
      <c r="Y220" s="32" t="n"/>
      <c r="Z220" s="32" t="n"/>
      <c r="AA220" s="32" t="n"/>
      <c r="AB220" s="32" t="n"/>
      <c r="AC220" s="32" t="n"/>
      <c r="AD220" s="32" t="n"/>
      <c r="AE220" s="32" t="n"/>
      <c r="AF220" s="33" t="n"/>
      <c r="AG220" s="33" t="n"/>
      <c r="AH220" s="5" t="inlineStr"/>
    </row>
    <row r="221" ht="18" customHeight="1">
      <c r="A221" s="25" t="inlineStr">
        <is>
          <t>2525014042599</t>
        </is>
      </c>
      <c r="B221" s="34" t="inlineStr">
        <is>
          <t>餐厅-柜</t>
        </is>
      </c>
      <c r="C221" s="35" t="inlineStr">
        <is>
          <t>畔色樱桃木下柜电力轨道</t>
        </is>
      </c>
      <c r="D221" s="35" t="inlineStr">
        <is>
          <t>樱桃木电力轨道配件-1.7米</t>
        </is>
      </c>
      <c r="E221" s="34" t="inlineStr">
        <is>
          <t>北美进口FAS级樱桃木</t>
        </is>
      </c>
      <c r="F221" s="34" t="inlineStr"/>
      <c r="G221" s="35" t="inlineStr"/>
      <c r="H221" s="26" t="n">
        <v>0</v>
      </c>
      <c r="I221" s="26" t="n">
        <v>0</v>
      </c>
      <c r="J221" s="27" t="n">
        <v>0.5</v>
      </c>
      <c r="K221" s="28">
        <f>IFERROR(H221,0)</f>
        <v/>
      </c>
      <c r="L221" s="29" t="n"/>
      <c r="M221" s="29" t="n"/>
      <c r="N221" s="29" t="n"/>
      <c r="O221" s="29" t="n"/>
      <c r="P221" s="30">
        <f>IFERROR(IF(K221=0,"待填成本",ROUND(K221/(1-L221),0)),"" )</f>
        <v/>
      </c>
      <c r="Q221" s="30">
        <f>IFERROR(IF(K221=0,"待填成本",ROUND(K221/(1-M221),0)),"" )</f>
        <v/>
      </c>
      <c r="R221" s="30">
        <f>IFERROR(IF(K221=0,"待填成本",ROUND(K221/(1-N221),0)),"" )</f>
        <v/>
      </c>
      <c r="S221" s="30">
        <f>IFERROR(IF(K221=0,"待填成本",ROUND(K221/(1-O221),0)),"" )</f>
        <v/>
      </c>
      <c r="T221" s="31">
        <f>IFERROR(IF(K221=0,"",(P221-K221)/P221),"" )</f>
        <v/>
      </c>
      <c r="U221" s="31">
        <f>IFERROR(IF(K221=0,"",(Q221-K221)/Q221),"" )</f>
        <v/>
      </c>
      <c r="V221" s="31">
        <f>IFERROR(IF(K221=0,"",(R221-K221)/R221),"" )</f>
        <v/>
      </c>
      <c r="W221" s="31">
        <f>IFERROR(IF(K221=0,"",(S221-K221)/S221),"" )</f>
        <v/>
      </c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3" t="n"/>
      <c r="AG221" s="33" t="n"/>
      <c r="AH221" s="35" t="inlineStr"/>
    </row>
    <row r="222" ht="18" customHeight="1">
      <c r="A222" s="25" t="inlineStr">
        <is>
          <t>2525014042599</t>
        </is>
      </c>
      <c r="B222" s="6" t="inlineStr">
        <is>
          <t>餐厅-柜</t>
        </is>
      </c>
      <c r="C222" s="5" t="inlineStr">
        <is>
          <t>畔色樱桃木下柜电力轨道</t>
        </is>
      </c>
      <c r="D222" s="5" t="inlineStr">
        <is>
          <t>樱桃木电力轨道配件-1.6米</t>
        </is>
      </c>
      <c r="E222" s="6" t="inlineStr">
        <is>
          <t>北美进口FAS级樱桃木</t>
        </is>
      </c>
      <c r="F222" s="6" t="inlineStr"/>
      <c r="G222" s="5" t="inlineStr"/>
      <c r="H222" s="26" t="n">
        <v>0</v>
      </c>
      <c r="I222" s="26" t="n">
        <v>0</v>
      </c>
      <c r="J222" s="27" t="n">
        <v>0.5</v>
      </c>
      <c r="K222" s="28">
        <f>IFERROR(H222,0)</f>
        <v/>
      </c>
      <c r="L222" s="29" t="n"/>
      <c r="M222" s="29" t="n"/>
      <c r="N222" s="29" t="n"/>
      <c r="O222" s="29" t="n"/>
      <c r="P222" s="30">
        <f>IFERROR(IF(K222=0,"待填成本",ROUND(K222/(1-L222),0)),"" )</f>
        <v/>
      </c>
      <c r="Q222" s="30">
        <f>IFERROR(IF(K222=0,"待填成本",ROUND(K222/(1-M222),0)),"" )</f>
        <v/>
      </c>
      <c r="R222" s="30">
        <f>IFERROR(IF(K222=0,"待填成本",ROUND(K222/(1-N222),0)),"" )</f>
        <v/>
      </c>
      <c r="S222" s="30">
        <f>IFERROR(IF(K222=0,"待填成本",ROUND(K222/(1-O222),0)),"" )</f>
        <v/>
      </c>
      <c r="T222" s="31">
        <f>IFERROR(IF(K222=0,"",(P222-K222)/P222),"" )</f>
        <v/>
      </c>
      <c r="U222" s="31">
        <f>IFERROR(IF(K222=0,"",(Q222-K222)/Q222),"" )</f>
        <v/>
      </c>
      <c r="V222" s="31">
        <f>IFERROR(IF(K222=0,"",(R222-K222)/R222),"" )</f>
        <v/>
      </c>
      <c r="W222" s="31">
        <f>IFERROR(IF(K222=0,"",(S222-K222)/S222),"" )</f>
        <v/>
      </c>
      <c r="X222" s="32" t="n"/>
      <c r="Y222" s="32" t="n"/>
      <c r="Z222" s="32" t="n"/>
      <c r="AA222" s="32" t="n"/>
      <c r="AB222" s="32" t="n"/>
      <c r="AC222" s="32" t="n"/>
      <c r="AD222" s="32" t="n"/>
      <c r="AE222" s="32" t="n"/>
      <c r="AF222" s="33" t="n"/>
      <c r="AG222" s="33" t="n"/>
      <c r="AH222" s="5" t="inlineStr"/>
    </row>
    <row r="223" ht="18" customHeight="1">
      <c r="A223" s="25" t="inlineStr">
        <is>
          <t>2525014042599</t>
        </is>
      </c>
      <c r="B223" s="34" t="inlineStr">
        <is>
          <t>餐厅-柜</t>
        </is>
      </c>
      <c r="C223" s="35" t="inlineStr">
        <is>
          <t>畔色樱桃木下柜电力轨道</t>
        </is>
      </c>
      <c r="D223" s="35" t="inlineStr">
        <is>
          <t>樱桃木电力轨道配件-1.5米</t>
        </is>
      </c>
      <c r="E223" s="34" t="inlineStr">
        <is>
          <t>北美进口FAS级樱桃木</t>
        </is>
      </c>
      <c r="F223" s="34" t="inlineStr"/>
      <c r="G223" s="35" t="inlineStr"/>
      <c r="H223" s="26" t="n">
        <v>0</v>
      </c>
      <c r="I223" s="26" t="n">
        <v>0</v>
      </c>
      <c r="J223" s="27" t="n">
        <v>0.5</v>
      </c>
      <c r="K223" s="28">
        <f>IFERROR(H223,0)</f>
        <v/>
      </c>
      <c r="L223" s="29" t="n"/>
      <c r="M223" s="29" t="n"/>
      <c r="N223" s="29" t="n"/>
      <c r="O223" s="29" t="n"/>
      <c r="P223" s="30">
        <f>IFERROR(IF(K223=0,"待填成本",ROUND(K223/(1-L223),0)),"" )</f>
        <v/>
      </c>
      <c r="Q223" s="30">
        <f>IFERROR(IF(K223=0,"待填成本",ROUND(K223/(1-M223),0)),"" )</f>
        <v/>
      </c>
      <c r="R223" s="30">
        <f>IFERROR(IF(K223=0,"待填成本",ROUND(K223/(1-N223),0)),"" )</f>
        <v/>
      </c>
      <c r="S223" s="30">
        <f>IFERROR(IF(K223=0,"待填成本",ROUND(K223/(1-O223),0)),"" )</f>
        <v/>
      </c>
      <c r="T223" s="31">
        <f>IFERROR(IF(K223=0,"",(P223-K223)/P223),"" )</f>
        <v/>
      </c>
      <c r="U223" s="31">
        <f>IFERROR(IF(K223=0,"",(Q223-K223)/Q223),"" )</f>
        <v/>
      </c>
      <c r="V223" s="31">
        <f>IFERROR(IF(K223=0,"",(R223-K223)/R223),"" )</f>
        <v/>
      </c>
      <c r="W223" s="31">
        <f>IFERROR(IF(K223=0,"",(S223-K223)/S223),"" )</f>
        <v/>
      </c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3" t="n"/>
      <c r="AG223" s="33" t="n"/>
      <c r="AH223" s="35" t="inlineStr"/>
    </row>
    <row r="224" ht="18" customHeight="1">
      <c r="A224" s="25" t="inlineStr">
        <is>
          <t>2525014042599</t>
        </is>
      </c>
      <c r="B224" s="6" t="inlineStr">
        <is>
          <t>餐厅-柜</t>
        </is>
      </c>
      <c r="C224" s="5" t="inlineStr">
        <is>
          <t>畔色樱桃木下柜电力轨道</t>
        </is>
      </c>
      <c r="D224" s="5" t="inlineStr">
        <is>
          <t>樱桃木电力轨道配件-1.4米</t>
        </is>
      </c>
      <c r="E224" s="6" t="inlineStr">
        <is>
          <t>北美进口FAS级樱桃木</t>
        </is>
      </c>
      <c r="F224" s="6" t="inlineStr"/>
      <c r="G224" s="5" t="inlineStr"/>
      <c r="H224" s="26" t="n">
        <v>0</v>
      </c>
      <c r="I224" s="26" t="n">
        <v>0</v>
      </c>
      <c r="J224" s="27" t="n">
        <v>0.5</v>
      </c>
      <c r="K224" s="28">
        <f>IFERROR(H224,0)</f>
        <v/>
      </c>
      <c r="L224" s="29" t="n"/>
      <c r="M224" s="29" t="n"/>
      <c r="N224" s="29" t="n"/>
      <c r="O224" s="29" t="n"/>
      <c r="P224" s="30">
        <f>IFERROR(IF(K224=0,"待填成本",ROUND(K224/(1-L224),0)),"" )</f>
        <v/>
      </c>
      <c r="Q224" s="30">
        <f>IFERROR(IF(K224=0,"待填成本",ROUND(K224/(1-M224),0)),"" )</f>
        <v/>
      </c>
      <c r="R224" s="30">
        <f>IFERROR(IF(K224=0,"待填成本",ROUND(K224/(1-N224),0)),"" )</f>
        <v/>
      </c>
      <c r="S224" s="30">
        <f>IFERROR(IF(K224=0,"待填成本",ROUND(K224/(1-O224),0)),"" )</f>
        <v/>
      </c>
      <c r="T224" s="31">
        <f>IFERROR(IF(K224=0,"",(P224-K224)/P224),"" )</f>
        <v/>
      </c>
      <c r="U224" s="31">
        <f>IFERROR(IF(K224=0,"",(Q224-K224)/Q224),"" )</f>
        <v/>
      </c>
      <c r="V224" s="31">
        <f>IFERROR(IF(K224=0,"",(R224-K224)/R224),"" )</f>
        <v/>
      </c>
      <c r="W224" s="31">
        <f>IFERROR(IF(K224=0,"",(S224-K224)/S224),"" )</f>
        <v/>
      </c>
      <c r="X224" s="32" t="n"/>
      <c r="Y224" s="32" t="n"/>
      <c r="Z224" s="32" t="n"/>
      <c r="AA224" s="32" t="n"/>
      <c r="AB224" s="32" t="n"/>
      <c r="AC224" s="32" t="n"/>
      <c r="AD224" s="32" t="n"/>
      <c r="AE224" s="32" t="n"/>
      <c r="AF224" s="33" t="n"/>
      <c r="AG224" s="33" t="n"/>
      <c r="AH224" s="5" t="inlineStr"/>
    </row>
    <row r="225" ht="18" customHeight="1">
      <c r="A225" s="25" t="inlineStr">
        <is>
          <t>2525014042599</t>
        </is>
      </c>
      <c r="B225" s="34" t="inlineStr">
        <is>
          <t>餐厅-柜</t>
        </is>
      </c>
      <c r="C225" s="35" t="inlineStr">
        <is>
          <t>畔色樱桃木下柜电力轨道</t>
        </is>
      </c>
      <c r="D225" s="35" t="inlineStr">
        <is>
          <t>樱桃木电力轨道配件-1.3米</t>
        </is>
      </c>
      <c r="E225" s="34" t="inlineStr">
        <is>
          <t>北美进口FAS级樱桃木</t>
        </is>
      </c>
      <c r="F225" s="34" t="inlineStr"/>
      <c r="G225" s="35" t="inlineStr"/>
      <c r="H225" s="26" t="n">
        <v>0</v>
      </c>
      <c r="I225" s="26" t="n">
        <v>0</v>
      </c>
      <c r="J225" s="27" t="n">
        <v>0.5</v>
      </c>
      <c r="K225" s="28">
        <f>IFERROR(H225,0)</f>
        <v/>
      </c>
      <c r="L225" s="29" t="n"/>
      <c r="M225" s="29" t="n"/>
      <c r="N225" s="29" t="n"/>
      <c r="O225" s="29" t="n"/>
      <c r="P225" s="30">
        <f>IFERROR(IF(K225=0,"待填成本",ROUND(K225/(1-L225),0)),"" )</f>
        <v/>
      </c>
      <c r="Q225" s="30">
        <f>IFERROR(IF(K225=0,"待填成本",ROUND(K225/(1-M225),0)),"" )</f>
        <v/>
      </c>
      <c r="R225" s="30">
        <f>IFERROR(IF(K225=0,"待填成本",ROUND(K225/(1-N225),0)),"" )</f>
        <v/>
      </c>
      <c r="S225" s="30">
        <f>IFERROR(IF(K225=0,"待填成本",ROUND(K225/(1-O225),0)),"" )</f>
        <v/>
      </c>
      <c r="T225" s="31">
        <f>IFERROR(IF(K225=0,"",(P225-K225)/P225),"" )</f>
        <v/>
      </c>
      <c r="U225" s="31">
        <f>IFERROR(IF(K225=0,"",(Q225-K225)/Q225),"" )</f>
        <v/>
      </c>
      <c r="V225" s="31">
        <f>IFERROR(IF(K225=0,"",(R225-K225)/R225),"" )</f>
        <v/>
      </c>
      <c r="W225" s="31">
        <f>IFERROR(IF(K225=0,"",(S225-K225)/S225),"" )</f>
        <v/>
      </c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3" t="n"/>
      <c r="AG225" s="33" t="n"/>
      <c r="AH225" s="35" t="inlineStr"/>
    </row>
    <row r="226" ht="18" customHeight="1">
      <c r="A226" s="25" t="inlineStr">
        <is>
          <t>2525014042599</t>
        </is>
      </c>
      <c r="B226" s="6" t="inlineStr">
        <is>
          <t>餐厅-柜</t>
        </is>
      </c>
      <c r="C226" s="5" t="inlineStr">
        <is>
          <t>畔色樱桃木下柜电力轨道</t>
        </is>
      </c>
      <c r="D226" s="5" t="inlineStr">
        <is>
          <t>樱桃木电力轨道配件-1.2米</t>
        </is>
      </c>
      <c r="E226" s="6" t="inlineStr">
        <is>
          <t>北美进口FAS级樱桃木</t>
        </is>
      </c>
      <c r="F226" s="6" t="inlineStr"/>
      <c r="G226" s="5" t="inlineStr"/>
      <c r="H226" s="26" t="n">
        <v>0</v>
      </c>
      <c r="I226" s="26" t="n">
        <v>0</v>
      </c>
      <c r="J226" s="27" t="n">
        <v>0.5</v>
      </c>
      <c r="K226" s="28">
        <f>IFERROR(H226,0)</f>
        <v/>
      </c>
      <c r="L226" s="29" t="n"/>
      <c r="M226" s="29" t="n"/>
      <c r="N226" s="29" t="n"/>
      <c r="O226" s="29" t="n"/>
      <c r="P226" s="30">
        <f>IFERROR(IF(K226=0,"待填成本",ROUND(K226/(1-L226),0)),"" )</f>
        <v/>
      </c>
      <c r="Q226" s="30">
        <f>IFERROR(IF(K226=0,"待填成本",ROUND(K226/(1-M226),0)),"" )</f>
        <v/>
      </c>
      <c r="R226" s="30">
        <f>IFERROR(IF(K226=0,"待填成本",ROUND(K226/(1-N226),0)),"" )</f>
        <v/>
      </c>
      <c r="S226" s="30">
        <f>IFERROR(IF(K226=0,"待填成本",ROUND(K226/(1-O226),0)),"" )</f>
        <v/>
      </c>
      <c r="T226" s="31">
        <f>IFERROR(IF(K226=0,"",(P226-K226)/P226),"" )</f>
        <v/>
      </c>
      <c r="U226" s="31">
        <f>IFERROR(IF(K226=0,"",(Q226-K226)/Q226),"" )</f>
        <v/>
      </c>
      <c r="V226" s="31">
        <f>IFERROR(IF(K226=0,"",(R226-K226)/R226),"" )</f>
        <v/>
      </c>
      <c r="W226" s="31">
        <f>IFERROR(IF(K226=0,"",(S226-K226)/S226),"" )</f>
        <v/>
      </c>
      <c r="X226" s="32" t="n"/>
      <c r="Y226" s="32" t="n"/>
      <c r="Z226" s="32" t="n"/>
      <c r="AA226" s="32" t="n"/>
      <c r="AB226" s="32" t="n"/>
      <c r="AC226" s="32" t="n"/>
      <c r="AD226" s="32" t="n"/>
      <c r="AE226" s="32" t="n"/>
      <c r="AF226" s="33" t="n"/>
      <c r="AG226" s="33" t="n"/>
      <c r="AH226" s="5" t="inlineStr"/>
    </row>
    <row r="227" ht="18" customHeight="1">
      <c r="A227" s="25" t="inlineStr">
        <is>
          <t>2525014042599</t>
        </is>
      </c>
      <c r="B227" s="34" t="inlineStr">
        <is>
          <t>餐厅-柜</t>
        </is>
      </c>
      <c r="C227" s="35" t="inlineStr">
        <is>
          <t>畔色樱桃木下柜电力轨道</t>
        </is>
      </c>
      <c r="D227" s="35" t="inlineStr">
        <is>
          <t>樱桃木电力轨道配件-1.1米</t>
        </is>
      </c>
      <c r="E227" s="34" t="inlineStr">
        <is>
          <t>北美进口FAS级樱桃木</t>
        </is>
      </c>
      <c r="F227" s="34" t="inlineStr"/>
      <c r="G227" s="35" t="inlineStr"/>
      <c r="H227" s="26" t="n">
        <v>0</v>
      </c>
      <c r="I227" s="26" t="n">
        <v>0</v>
      </c>
      <c r="J227" s="27" t="n">
        <v>0.5</v>
      </c>
      <c r="K227" s="28">
        <f>IFERROR(H227,0)</f>
        <v/>
      </c>
      <c r="L227" s="29" t="n"/>
      <c r="M227" s="29" t="n"/>
      <c r="N227" s="29" t="n"/>
      <c r="O227" s="29" t="n"/>
      <c r="P227" s="30">
        <f>IFERROR(IF(K227=0,"待填成本",ROUND(K227/(1-L227),0)),"" )</f>
        <v/>
      </c>
      <c r="Q227" s="30">
        <f>IFERROR(IF(K227=0,"待填成本",ROUND(K227/(1-M227),0)),"" )</f>
        <v/>
      </c>
      <c r="R227" s="30">
        <f>IFERROR(IF(K227=0,"待填成本",ROUND(K227/(1-N227),0)),"" )</f>
        <v/>
      </c>
      <c r="S227" s="30">
        <f>IFERROR(IF(K227=0,"待填成本",ROUND(K227/(1-O227),0)),"" )</f>
        <v/>
      </c>
      <c r="T227" s="31">
        <f>IFERROR(IF(K227=0,"",(P227-K227)/P227),"" )</f>
        <v/>
      </c>
      <c r="U227" s="31">
        <f>IFERROR(IF(K227=0,"",(Q227-K227)/Q227),"" )</f>
        <v/>
      </c>
      <c r="V227" s="31">
        <f>IFERROR(IF(K227=0,"",(R227-K227)/R227),"" )</f>
        <v/>
      </c>
      <c r="W227" s="31">
        <f>IFERROR(IF(K227=0,"",(S227-K227)/S227),"" )</f>
        <v/>
      </c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3" t="n"/>
      <c r="AG227" s="33" t="n"/>
      <c r="AH227" s="35" t="inlineStr"/>
    </row>
    <row r="228" ht="18" customHeight="1">
      <c r="A228" s="25" t="inlineStr">
        <is>
          <t>2525014042599</t>
        </is>
      </c>
      <c r="B228" s="6" t="inlineStr">
        <is>
          <t>餐厅-柜</t>
        </is>
      </c>
      <c r="C228" s="5" t="inlineStr">
        <is>
          <t>畔色樱桃木下柜电力轨道</t>
        </is>
      </c>
      <c r="D228" s="5" t="inlineStr">
        <is>
          <t>樱桃木电力轨道配件-1.0米</t>
        </is>
      </c>
      <c r="E228" s="6" t="inlineStr">
        <is>
          <t>北美进口FAS级樱桃木</t>
        </is>
      </c>
      <c r="F228" s="6" t="inlineStr"/>
      <c r="G228" s="5" t="inlineStr"/>
      <c r="H228" s="26" t="n">
        <v>0</v>
      </c>
      <c r="I228" s="26" t="n">
        <v>0</v>
      </c>
      <c r="J228" s="27" t="n">
        <v>0.5</v>
      </c>
      <c r="K228" s="28">
        <f>IFERROR(H228,0)</f>
        <v/>
      </c>
      <c r="L228" s="29" t="n"/>
      <c r="M228" s="29" t="n"/>
      <c r="N228" s="29" t="n"/>
      <c r="O228" s="29" t="n"/>
      <c r="P228" s="30">
        <f>IFERROR(IF(K228=0,"待填成本",ROUND(K228/(1-L228),0)),"" )</f>
        <v/>
      </c>
      <c r="Q228" s="30">
        <f>IFERROR(IF(K228=0,"待填成本",ROUND(K228/(1-M228),0)),"" )</f>
        <v/>
      </c>
      <c r="R228" s="30">
        <f>IFERROR(IF(K228=0,"待填成本",ROUND(K228/(1-N228),0)),"" )</f>
        <v/>
      </c>
      <c r="S228" s="30">
        <f>IFERROR(IF(K228=0,"待填成本",ROUND(K228/(1-O228),0)),"" )</f>
        <v/>
      </c>
      <c r="T228" s="31">
        <f>IFERROR(IF(K228=0,"",(P228-K228)/P228),"" )</f>
        <v/>
      </c>
      <c r="U228" s="31">
        <f>IFERROR(IF(K228=0,"",(Q228-K228)/Q228),"" )</f>
        <v/>
      </c>
      <c r="V228" s="31">
        <f>IFERROR(IF(K228=0,"",(R228-K228)/R228),"" )</f>
        <v/>
      </c>
      <c r="W228" s="31">
        <f>IFERROR(IF(K228=0,"",(S228-K228)/S228),"" )</f>
        <v/>
      </c>
      <c r="X228" s="32" t="n"/>
      <c r="Y228" s="32" t="n"/>
      <c r="Z228" s="32" t="n"/>
      <c r="AA228" s="32" t="n"/>
      <c r="AB228" s="32" t="n"/>
      <c r="AC228" s="32" t="n"/>
      <c r="AD228" s="32" t="n"/>
      <c r="AE228" s="32" t="n"/>
      <c r="AF228" s="33" t="n"/>
      <c r="AG228" s="33" t="n"/>
      <c r="AH228" s="5" t="inlineStr"/>
    </row>
    <row r="229" ht="18" customHeight="1">
      <c r="A229" s="25" t="inlineStr">
        <is>
          <t>2525015043099</t>
        </is>
      </c>
      <c r="B229" s="34" t="inlineStr">
        <is>
          <t>餐厅-柜</t>
        </is>
      </c>
      <c r="C229" s="35" t="inlineStr">
        <is>
          <t>畔色黑胡桃木下柜电力轨道</t>
        </is>
      </c>
      <c r="D229" s="35" t="inlineStr">
        <is>
          <t>黑胡桃木电力轨道配件-2.1米</t>
        </is>
      </c>
      <c r="E229" s="34" t="inlineStr">
        <is>
          <t>北美进口FAS级黑胡桃木</t>
        </is>
      </c>
      <c r="F229" s="34" t="inlineStr"/>
      <c r="G229" s="35" t="inlineStr"/>
      <c r="H229" s="26" t="n">
        <v>0</v>
      </c>
      <c r="I229" s="26" t="n">
        <v>0</v>
      </c>
      <c r="J229" s="27" t="n">
        <v>0.5</v>
      </c>
      <c r="K229" s="28">
        <f>IFERROR(H229,0)</f>
        <v/>
      </c>
      <c r="L229" s="29" t="n"/>
      <c r="M229" s="29" t="n"/>
      <c r="N229" s="29" t="n"/>
      <c r="O229" s="29" t="n"/>
      <c r="P229" s="30">
        <f>IFERROR(IF(K229=0,"待填成本",ROUND(K229/(1-L229),0)),"" )</f>
        <v/>
      </c>
      <c r="Q229" s="30">
        <f>IFERROR(IF(K229=0,"待填成本",ROUND(K229/(1-M229),0)),"" )</f>
        <v/>
      </c>
      <c r="R229" s="30">
        <f>IFERROR(IF(K229=0,"待填成本",ROUND(K229/(1-N229),0)),"" )</f>
        <v/>
      </c>
      <c r="S229" s="30">
        <f>IFERROR(IF(K229=0,"待填成本",ROUND(K229/(1-O229),0)),"" )</f>
        <v/>
      </c>
      <c r="T229" s="31">
        <f>IFERROR(IF(K229=0,"",(P229-K229)/P229),"" )</f>
        <v/>
      </c>
      <c r="U229" s="31">
        <f>IFERROR(IF(K229=0,"",(Q229-K229)/Q229),"" )</f>
        <v/>
      </c>
      <c r="V229" s="31">
        <f>IFERROR(IF(K229=0,"",(R229-K229)/R229),"" )</f>
        <v/>
      </c>
      <c r="W229" s="31">
        <f>IFERROR(IF(K229=0,"",(S229-K229)/S229),"" )</f>
        <v/>
      </c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3" t="n"/>
      <c r="AG229" s="33" t="n"/>
      <c r="AH229" s="35" t="inlineStr"/>
    </row>
    <row r="230" ht="18" customHeight="1">
      <c r="A230" s="25" t="inlineStr">
        <is>
          <t>2525015043099</t>
        </is>
      </c>
      <c r="B230" s="6" t="inlineStr">
        <is>
          <t>餐厅-柜</t>
        </is>
      </c>
      <c r="C230" s="5" t="inlineStr">
        <is>
          <t>畔色黑胡桃木下柜电力轨道</t>
        </is>
      </c>
      <c r="D230" s="5" t="inlineStr">
        <is>
          <t>黑胡桃木电力轨道配件-2.0米</t>
        </is>
      </c>
      <c r="E230" s="6" t="inlineStr">
        <is>
          <t>北美进口FAS级黑胡桃木</t>
        </is>
      </c>
      <c r="F230" s="6" t="inlineStr"/>
      <c r="G230" s="5" t="inlineStr"/>
      <c r="H230" s="26" t="n">
        <v>0</v>
      </c>
      <c r="I230" s="26" t="n">
        <v>0</v>
      </c>
      <c r="J230" s="27" t="n">
        <v>0.5</v>
      </c>
      <c r="K230" s="28">
        <f>IFERROR(H230,0)</f>
        <v/>
      </c>
      <c r="L230" s="29" t="n"/>
      <c r="M230" s="29" t="n"/>
      <c r="N230" s="29" t="n"/>
      <c r="O230" s="29" t="n"/>
      <c r="P230" s="30">
        <f>IFERROR(IF(K230=0,"待填成本",ROUND(K230/(1-L230),0)),"" )</f>
        <v/>
      </c>
      <c r="Q230" s="30">
        <f>IFERROR(IF(K230=0,"待填成本",ROUND(K230/(1-M230),0)),"" )</f>
        <v/>
      </c>
      <c r="R230" s="30">
        <f>IFERROR(IF(K230=0,"待填成本",ROUND(K230/(1-N230),0)),"" )</f>
        <v/>
      </c>
      <c r="S230" s="30">
        <f>IFERROR(IF(K230=0,"待填成本",ROUND(K230/(1-O230),0)),"" )</f>
        <v/>
      </c>
      <c r="T230" s="31">
        <f>IFERROR(IF(K230=0,"",(P230-K230)/P230),"" )</f>
        <v/>
      </c>
      <c r="U230" s="31">
        <f>IFERROR(IF(K230=0,"",(Q230-K230)/Q230),"" )</f>
        <v/>
      </c>
      <c r="V230" s="31">
        <f>IFERROR(IF(K230=0,"",(R230-K230)/R230),"" )</f>
        <v/>
      </c>
      <c r="W230" s="31">
        <f>IFERROR(IF(K230=0,"",(S230-K230)/S230),"" )</f>
        <v/>
      </c>
      <c r="X230" s="32" t="n"/>
      <c r="Y230" s="32" t="n"/>
      <c r="Z230" s="32" t="n"/>
      <c r="AA230" s="32" t="n"/>
      <c r="AB230" s="32" t="n"/>
      <c r="AC230" s="32" t="n"/>
      <c r="AD230" s="32" t="n"/>
      <c r="AE230" s="32" t="n"/>
      <c r="AF230" s="33" t="n"/>
      <c r="AG230" s="33" t="n"/>
      <c r="AH230" s="5" t="inlineStr"/>
    </row>
    <row r="231" ht="18" customHeight="1">
      <c r="A231" s="25" t="inlineStr">
        <is>
          <t>2525015043099</t>
        </is>
      </c>
      <c r="B231" s="34" t="inlineStr">
        <is>
          <t>餐厅-柜</t>
        </is>
      </c>
      <c r="C231" s="35" t="inlineStr">
        <is>
          <t>畔色黑胡桃木下柜电力轨道</t>
        </is>
      </c>
      <c r="D231" s="35" t="inlineStr">
        <is>
          <t>黑胡桃木电力轨道配件-1.9米</t>
        </is>
      </c>
      <c r="E231" s="34" t="inlineStr">
        <is>
          <t>北美进口FAS级黑胡桃木</t>
        </is>
      </c>
      <c r="F231" s="34" t="inlineStr"/>
      <c r="G231" s="35" t="inlineStr"/>
      <c r="H231" s="26" t="n">
        <v>0</v>
      </c>
      <c r="I231" s="26" t="n">
        <v>0</v>
      </c>
      <c r="J231" s="27" t="n">
        <v>0.5</v>
      </c>
      <c r="K231" s="28">
        <f>IFERROR(H231,0)</f>
        <v/>
      </c>
      <c r="L231" s="29" t="n"/>
      <c r="M231" s="29" t="n"/>
      <c r="N231" s="29" t="n"/>
      <c r="O231" s="29" t="n"/>
      <c r="P231" s="30">
        <f>IFERROR(IF(K231=0,"待填成本",ROUND(K231/(1-L231),0)),"" )</f>
        <v/>
      </c>
      <c r="Q231" s="30">
        <f>IFERROR(IF(K231=0,"待填成本",ROUND(K231/(1-M231),0)),"" )</f>
        <v/>
      </c>
      <c r="R231" s="30">
        <f>IFERROR(IF(K231=0,"待填成本",ROUND(K231/(1-N231),0)),"" )</f>
        <v/>
      </c>
      <c r="S231" s="30">
        <f>IFERROR(IF(K231=0,"待填成本",ROUND(K231/(1-O231),0)),"" )</f>
        <v/>
      </c>
      <c r="T231" s="31">
        <f>IFERROR(IF(K231=0,"",(P231-K231)/P231),"" )</f>
        <v/>
      </c>
      <c r="U231" s="31">
        <f>IFERROR(IF(K231=0,"",(Q231-K231)/Q231),"" )</f>
        <v/>
      </c>
      <c r="V231" s="31">
        <f>IFERROR(IF(K231=0,"",(R231-K231)/R231),"" )</f>
        <v/>
      </c>
      <c r="W231" s="31">
        <f>IFERROR(IF(K231=0,"",(S231-K231)/S231),"" )</f>
        <v/>
      </c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3" t="n"/>
      <c r="AG231" s="33" t="n"/>
      <c r="AH231" s="35" t="inlineStr"/>
    </row>
    <row r="232" ht="18" customHeight="1">
      <c r="A232" s="25" t="inlineStr">
        <is>
          <t>2525015043099</t>
        </is>
      </c>
      <c r="B232" s="6" t="inlineStr">
        <is>
          <t>餐厅-柜</t>
        </is>
      </c>
      <c r="C232" s="5" t="inlineStr">
        <is>
          <t>畔色黑胡桃木下柜电力轨道</t>
        </is>
      </c>
      <c r="D232" s="5" t="inlineStr">
        <is>
          <t>黑胡桃木电力轨道配件-1.8米</t>
        </is>
      </c>
      <c r="E232" s="6" t="inlineStr">
        <is>
          <t>北美进口FAS级黑胡桃木</t>
        </is>
      </c>
      <c r="F232" s="6" t="inlineStr"/>
      <c r="G232" s="5" t="inlineStr"/>
      <c r="H232" s="26" t="n">
        <v>0</v>
      </c>
      <c r="I232" s="26" t="n">
        <v>0</v>
      </c>
      <c r="J232" s="27" t="n">
        <v>0.5</v>
      </c>
      <c r="K232" s="28">
        <f>IFERROR(H232,0)</f>
        <v/>
      </c>
      <c r="L232" s="29" t="n"/>
      <c r="M232" s="29" t="n"/>
      <c r="N232" s="29" t="n"/>
      <c r="O232" s="29" t="n"/>
      <c r="P232" s="30">
        <f>IFERROR(IF(K232=0,"待填成本",ROUND(K232/(1-L232),0)),"" )</f>
        <v/>
      </c>
      <c r="Q232" s="30">
        <f>IFERROR(IF(K232=0,"待填成本",ROUND(K232/(1-M232),0)),"" )</f>
        <v/>
      </c>
      <c r="R232" s="30">
        <f>IFERROR(IF(K232=0,"待填成本",ROUND(K232/(1-N232),0)),"" )</f>
        <v/>
      </c>
      <c r="S232" s="30">
        <f>IFERROR(IF(K232=0,"待填成本",ROUND(K232/(1-O232),0)),"" )</f>
        <v/>
      </c>
      <c r="T232" s="31">
        <f>IFERROR(IF(K232=0,"",(P232-K232)/P232),"" )</f>
        <v/>
      </c>
      <c r="U232" s="31">
        <f>IFERROR(IF(K232=0,"",(Q232-K232)/Q232),"" )</f>
        <v/>
      </c>
      <c r="V232" s="31">
        <f>IFERROR(IF(K232=0,"",(R232-K232)/R232),"" )</f>
        <v/>
      </c>
      <c r="W232" s="31">
        <f>IFERROR(IF(K232=0,"",(S232-K232)/S232),"" )</f>
        <v/>
      </c>
      <c r="X232" s="32" t="n"/>
      <c r="Y232" s="32" t="n"/>
      <c r="Z232" s="32" t="n"/>
      <c r="AA232" s="32" t="n"/>
      <c r="AB232" s="32" t="n"/>
      <c r="AC232" s="32" t="n"/>
      <c r="AD232" s="32" t="n"/>
      <c r="AE232" s="32" t="n"/>
      <c r="AF232" s="33" t="n"/>
      <c r="AG232" s="33" t="n"/>
      <c r="AH232" s="5" t="inlineStr"/>
    </row>
    <row r="233" ht="18" customHeight="1">
      <c r="A233" s="25" t="inlineStr">
        <is>
          <t>2525015043099</t>
        </is>
      </c>
      <c r="B233" s="34" t="inlineStr">
        <is>
          <t>餐厅-柜</t>
        </is>
      </c>
      <c r="C233" s="35" t="inlineStr">
        <is>
          <t>畔色黑胡桃木下柜电力轨道</t>
        </is>
      </c>
      <c r="D233" s="35" t="inlineStr">
        <is>
          <t>黑胡桃木电力轨道配件-1.7米</t>
        </is>
      </c>
      <c r="E233" s="34" t="inlineStr">
        <is>
          <t>北美进口FAS级黑胡桃木</t>
        </is>
      </c>
      <c r="F233" s="34" t="inlineStr"/>
      <c r="G233" s="35" t="inlineStr"/>
      <c r="H233" s="26" t="n">
        <v>0</v>
      </c>
      <c r="I233" s="26" t="n">
        <v>0</v>
      </c>
      <c r="J233" s="27" t="n">
        <v>0.5</v>
      </c>
      <c r="K233" s="28">
        <f>IFERROR(H233,0)</f>
        <v/>
      </c>
      <c r="L233" s="29" t="n"/>
      <c r="M233" s="29" t="n"/>
      <c r="N233" s="29" t="n"/>
      <c r="O233" s="29" t="n"/>
      <c r="P233" s="30">
        <f>IFERROR(IF(K233=0,"待填成本",ROUND(K233/(1-L233),0)),"" )</f>
        <v/>
      </c>
      <c r="Q233" s="30">
        <f>IFERROR(IF(K233=0,"待填成本",ROUND(K233/(1-M233),0)),"" )</f>
        <v/>
      </c>
      <c r="R233" s="30">
        <f>IFERROR(IF(K233=0,"待填成本",ROUND(K233/(1-N233),0)),"" )</f>
        <v/>
      </c>
      <c r="S233" s="30">
        <f>IFERROR(IF(K233=0,"待填成本",ROUND(K233/(1-O233),0)),"" )</f>
        <v/>
      </c>
      <c r="T233" s="31">
        <f>IFERROR(IF(K233=0,"",(P233-K233)/P233),"" )</f>
        <v/>
      </c>
      <c r="U233" s="31">
        <f>IFERROR(IF(K233=0,"",(Q233-K233)/Q233),"" )</f>
        <v/>
      </c>
      <c r="V233" s="31">
        <f>IFERROR(IF(K233=0,"",(R233-K233)/R233),"" )</f>
        <v/>
      </c>
      <c r="W233" s="31">
        <f>IFERROR(IF(K233=0,"",(S233-K233)/S233),"" )</f>
        <v/>
      </c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3" t="n"/>
      <c r="AG233" s="33" t="n"/>
      <c r="AH233" s="35" t="inlineStr"/>
    </row>
    <row r="234" ht="18" customHeight="1">
      <c r="A234" s="25" t="inlineStr">
        <is>
          <t>2525015043099</t>
        </is>
      </c>
      <c r="B234" s="6" t="inlineStr">
        <is>
          <t>餐厅-柜</t>
        </is>
      </c>
      <c r="C234" s="5" t="inlineStr">
        <is>
          <t>畔色黑胡桃木下柜电力轨道</t>
        </is>
      </c>
      <c r="D234" s="5" t="inlineStr">
        <is>
          <t>黑胡桃木电力轨道配件-1.6米</t>
        </is>
      </c>
      <c r="E234" s="6" t="inlineStr">
        <is>
          <t>北美进口FAS级黑胡桃木</t>
        </is>
      </c>
      <c r="F234" s="6" t="inlineStr"/>
      <c r="G234" s="5" t="inlineStr"/>
      <c r="H234" s="26" t="n">
        <v>0</v>
      </c>
      <c r="I234" s="26" t="n">
        <v>0</v>
      </c>
      <c r="J234" s="27" t="n">
        <v>0.5</v>
      </c>
      <c r="K234" s="28">
        <f>IFERROR(H234,0)</f>
        <v/>
      </c>
      <c r="L234" s="29" t="n"/>
      <c r="M234" s="29" t="n"/>
      <c r="N234" s="29" t="n"/>
      <c r="O234" s="29" t="n"/>
      <c r="P234" s="30">
        <f>IFERROR(IF(K234=0,"待填成本",ROUND(K234/(1-L234),0)),"" )</f>
        <v/>
      </c>
      <c r="Q234" s="30">
        <f>IFERROR(IF(K234=0,"待填成本",ROUND(K234/(1-M234),0)),"" )</f>
        <v/>
      </c>
      <c r="R234" s="30">
        <f>IFERROR(IF(K234=0,"待填成本",ROUND(K234/(1-N234),0)),"" )</f>
        <v/>
      </c>
      <c r="S234" s="30">
        <f>IFERROR(IF(K234=0,"待填成本",ROUND(K234/(1-O234),0)),"" )</f>
        <v/>
      </c>
      <c r="T234" s="31">
        <f>IFERROR(IF(K234=0,"",(P234-K234)/P234),"" )</f>
        <v/>
      </c>
      <c r="U234" s="31">
        <f>IFERROR(IF(K234=0,"",(Q234-K234)/Q234),"" )</f>
        <v/>
      </c>
      <c r="V234" s="31">
        <f>IFERROR(IF(K234=0,"",(R234-K234)/R234),"" )</f>
        <v/>
      </c>
      <c r="W234" s="31">
        <f>IFERROR(IF(K234=0,"",(S234-K234)/S234),"" )</f>
        <v/>
      </c>
      <c r="X234" s="32" t="n"/>
      <c r="Y234" s="32" t="n"/>
      <c r="Z234" s="32" t="n"/>
      <c r="AA234" s="32" t="n"/>
      <c r="AB234" s="32" t="n"/>
      <c r="AC234" s="32" t="n"/>
      <c r="AD234" s="32" t="n"/>
      <c r="AE234" s="32" t="n"/>
      <c r="AF234" s="33" t="n"/>
      <c r="AG234" s="33" t="n"/>
      <c r="AH234" s="5" t="inlineStr"/>
    </row>
    <row r="235" ht="18" customHeight="1">
      <c r="A235" s="25" t="inlineStr">
        <is>
          <t>2525015043099</t>
        </is>
      </c>
      <c r="B235" s="34" t="inlineStr">
        <is>
          <t>餐厅-柜</t>
        </is>
      </c>
      <c r="C235" s="35" t="inlineStr">
        <is>
          <t>畔色黑胡桃木下柜电力轨道</t>
        </is>
      </c>
      <c r="D235" s="35" t="inlineStr">
        <is>
          <t>黑胡桃木电力轨道配件-1.5米</t>
        </is>
      </c>
      <c r="E235" s="34" t="inlineStr">
        <is>
          <t>北美进口FAS级黑胡桃木</t>
        </is>
      </c>
      <c r="F235" s="34" t="inlineStr"/>
      <c r="G235" s="35" t="inlineStr"/>
      <c r="H235" s="26" t="n">
        <v>0</v>
      </c>
      <c r="I235" s="26" t="n">
        <v>0</v>
      </c>
      <c r="J235" s="27" t="n">
        <v>0.5</v>
      </c>
      <c r="K235" s="28">
        <f>IFERROR(H235,0)</f>
        <v/>
      </c>
      <c r="L235" s="29" t="n"/>
      <c r="M235" s="29" t="n"/>
      <c r="N235" s="29" t="n"/>
      <c r="O235" s="29" t="n"/>
      <c r="P235" s="30">
        <f>IFERROR(IF(K235=0,"待填成本",ROUND(K235/(1-L235),0)),"" )</f>
        <v/>
      </c>
      <c r="Q235" s="30">
        <f>IFERROR(IF(K235=0,"待填成本",ROUND(K235/(1-M235),0)),"" )</f>
        <v/>
      </c>
      <c r="R235" s="30">
        <f>IFERROR(IF(K235=0,"待填成本",ROUND(K235/(1-N235),0)),"" )</f>
        <v/>
      </c>
      <c r="S235" s="30">
        <f>IFERROR(IF(K235=0,"待填成本",ROUND(K235/(1-O235),0)),"" )</f>
        <v/>
      </c>
      <c r="T235" s="31">
        <f>IFERROR(IF(K235=0,"",(P235-K235)/P235),"" )</f>
        <v/>
      </c>
      <c r="U235" s="31">
        <f>IFERROR(IF(K235=0,"",(Q235-K235)/Q235),"" )</f>
        <v/>
      </c>
      <c r="V235" s="31">
        <f>IFERROR(IF(K235=0,"",(R235-K235)/R235),"" )</f>
        <v/>
      </c>
      <c r="W235" s="31">
        <f>IFERROR(IF(K235=0,"",(S235-K235)/S235),"" )</f>
        <v/>
      </c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3" t="n"/>
      <c r="AG235" s="33" t="n"/>
      <c r="AH235" s="35" t="inlineStr"/>
    </row>
    <row r="236" ht="18" customHeight="1">
      <c r="A236" s="25" t="inlineStr">
        <is>
          <t>2525015043099</t>
        </is>
      </c>
      <c r="B236" s="6" t="inlineStr">
        <is>
          <t>餐厅-柜</t>
        </is>
      </c>
      <c r="C236" s="5" t="inlineStr">
        <is>
          <t>畔色黑胡桃木下柜电力轨道</t>
        </is>
      </c>
      <c r="D236" s="5" t="inlineStr">
        <is>
          <t>黑胡桃木电力轨道配件-1.4米</t>
        </is>
      </c>
      <c r="E236" s="6" t="inlineStr">
        <is>
          <t>北美进口FAS级黑胡桃木</t>
        </is>
      </c>
      <c r="F236" s="6" t="inlineStr"/>
      <c r="G236" s="5" t="inlineStr"/>
      <c r="H236" s="26" t="n">
        <v>0</v>
      </c>
      <c r="I236" s="26" t="n">
        <v>0</v>
      </c>
      <c r="J236" s="27" t="n">
        <v>0.5</v>
      </c>
      <c r="K236" s="28">
        <f>IFERROR(H236,0)</f>
        <v/>
      </c>
      <c r="L236" s="29" t="n"/>
      <c r="M236" s="29" t="n"/>
      <c r="N236" s="29" t="n"/>
      <c r="O236" s="29" t="n"/>
      <c r="P236" s="30">
        <f>IFERROR(IF(K236=0,"待填成本",ROUND(K236/(1-L236),0)),"" )</f>
        <v/>
      </c>
      <c r="Q236" s="30">
        <f>IFERROR(IF(K236=0,"待填成本",ROUND(K236/(1-M236),0)),"" )</f>
        <v/>
      </c>
      <c r="R236" s="30">
        <f>IFERROR(IF(K236=0,"待填成本",ROUND(K236/(1-N236),0)),"" )</f>
        <v/>
      </c>
      <c r="S236" s="30">
        <f>IFERROR(IF(K236=0,"待填成本",ROUND(K236/(1-O236),0)),"" )</f>
        <v/>
      </c>
      <c r="T236" s="31">
        <f>IFERROR(IF(K236=0,"",(P236-K236)/P236),"" )</f>
        <v/>
      </c>
      <c r="U236" s="31">
        <f>IFERROR(IF(K236=0,"",(Q236-K236)/Q236),"" )</f>
        <v/>
      </c>
      <c r="V236" s="31">
        <f>IFERROR(IF(K236=0,"",(R236-K236)/R236),"" )</f>
        <v/>
      </c>
      <c r="W236" s="31">
        <f>IFERROR(IF(K236=0,"",(S236-K236)/S236),"" )</f>
        <v/>
      </c>
      <c r="X236" s="32" t="n"/>
      <c r="Y236" s="32" t="n"/>
      <c r="Z236" s="32" t="n"/>
      <c r="AA236" s="32" t="n"/>
      <c r="AB236" s="32" t="n"/>
      <c r="AC236" s="32" t="n"/>
      <c r="AD236" s="32" t="n"/>
      <c r="AE236" s="32" t="n"/>
      <c r="AF236" s="33" t="n"/>
      <c r="AG236" s="33" t="n"/>
      <c r="AH236" s="5" t="inlineStr"/>
    </row>
    <row r="237" ht="18" customHeight="1">
      <c r="A237" s="25" t="inlineStr">
        <is>
          <t>2525015043099</t>
        </is>
      </c>
      <c r="B237" s="34" t="inlineStr">
        <is>
          <t>餐厅-柜</t>
        </is>
      </c>
      <c r="C237" s="35" t="inlineStr">
        <is>
          <t>畔色黑胡桃木下柜电力轨道</t>
        </is>
      </c>
      <c r="D237" s="35" t="inlineStr">
        <is>
          <t>黑胡桃木电力轨道配件-1.3米</t>
        </is>
      </c>
      <c r="E237" s="34" t="inlineStr">
        <is>
          <t>北美进口FAS级黑胡桃木</t>
        </is>
      </c>
      <c r="F237" s="34" t="inlineStr"/>
      <c r="G237" s="35" t="inlineStr"/>
      <c r="H237" s="26" t="n">
        <v>0</v>
      </c>
      <c r="I237" s="26" t="n">
        <v>0</v>
      </c>
      <c r="J237" s="27" t="n">
        <v>0.5</v>
      </c>
      <c r="K237" s="28">
        <f>IFERROR(H237,0)</f>
        <v/>
      </c>
      <c r="L237" s="29" t="n"/>
      <c r="M237" s="29" t="n"/>
      <c r="N237" s="29" t="n"/>
      <c r="O237" s="29" t="n"/>
      <c r="P237" s="30">
        <f>IFERROR(IF(K237=0,"待填成本",ROUND(K237/(1-L237),0)),"" )</f>
        <v/>
      </c>
      <c r="Q237" s="30">
        <f>IFERROR(IF(K237=0,"待填成本",ROUND(K237/(1-M237),0)),"" )</f>
        <v/>
      </c>
      <c r="R237" s="30">
        <f>IFERROR(IF(K237=0,"待填成本",ROUND(K237/(1-N237),0)),"" )</f>
        <v/>
      </c>
      <c r="S237" s="30">
        <f>IFERROR(IF(K237=0,"待填成本",ROUND(K237/(1-O237),0)),"" )</f>
        <v/>
      </c>
      <c r="T237" s="31">
        <f>IFERROR(IF(K237=0,"",(P237-K237)/P237),"" )</f>
        <v/>
      </c>
      <c r="U237" s="31">
        <f>IFERROR(IF(K237=0,"",(Q237-K237)/Q237),"" )</f>
        <v/>
      </c>
      <c r="V237" s="31">
        <f>IFERROR(IF(K237=0,"",(R237-K237)/R237),"" )</f>
        <v/>
      </c>
      <c r="W237" s="31">
        <f>IFERROR(IF(K237=0,"",(S237-K237)/S237),"" )</f>
        <v/>
      </c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3" t="n"/>
      <c r="AG237" s="33" t="n"/>
      <c r="AH237" s="35" t="inlineStr"/>
    </row>
    <row r="238" ht="18" customHeight="1">
      <c r="A238" s="25" t="inlineStr">
        <is>
          <t>2525015043099</t>
        </is>
      </c>
      <c r="B238" s="6" t="inlineStr">
        <is>
          <t>餐厅-柜</t>
        </is>
      </c>
      <c r="C238" s="5" t="inlineStr">
        <is>
          <t>畔色黑胡桃木下柜电力轨道</t>
        </is>
      </c>
      <c r="D238" s="5" t="inlineStr">
        <is>
          <t>黑胡桃木电力轨道配件-1.2米</t>
        </is>
      </c>
      <c r="E238" s="6" t="inlineStr">
        <is>
          <t>北美进口FAS级黑胡桃木</t>
        </is>
      </c>
      <c r="F238" s="6" t="inlineStr"/>
      <c r="G238" s="5" t="inlineStr"/>
      <c r="H238" s="26" t="n">
        <v>0</v>
      </c>
      <c r="I238" s="26" t="n">
        <v>0</v>
      </c>
      <c r="J238" s="27" t="n">
        <v>0.5</v>
      </c>
      <c r="K238" s="28">
        <f>IFERROR(H238,0)</f>
        <v/>
      </c>
      <c r="L238" s="29" t="n"/>
      <c r="M238" s="29" t="n"/>
      <c r="N238" s="29" t="n"/>
      <c r="O238" s="29" t="n"/>
      <c r="P238" s="30">
        <f>IFERROR(IF(K238=0,"待填成本",ROUND(K238/(1-L238),0)),"" )</f>
        <v/>
      </c>
      <c r="Q238" s="30">
        <f>IFERROR(IF(K238=0,"待填成本",ROUND(K238/(1-M238),0)),"" )</f>
        <v/>
      </c>
      <c r="R238" s="30">
        <f>IFERROR(IF(K238=0,"待填成本",ROUND(K238/(1-N238),0)),"" )</f>
        <v/>
      </c>
      <c r="S238" s="30">
        <f>IFERROR(IF(K238=0,"待填成本",ROUND(K238/(1-O238),0)),"" )</f>
        <v/>
      </c>
      <c r="T238" s="31">
        <f>IFERROR(IF(K238=0,"",(P238-K238)/P238),"" )</f>
        <v/>
      </c>
      <c r="U238" s="31">
        <f>IFERROR(IF(K238=0,"",(Q238-K238)/Q238),"" )</f>
        <v/>
      </c>
      <c r="V238" s="31">
        <f>IFERROR(IF(K238=0,"",(R238-K238)/R238),"" )</f>
        <v/>
      </c>
      <c r="W238" s="31">
        <f>IFERROR(IF(K238=0,"",(S238-K238)/S238),"" )</f>
        <v/>
      </c>
      <c r="X238" s="32" t="n"/>
      <c r="Y238" s="32" t="n"/>
      <c r="Z238" s="32" t="n"/>
      <c r="AA238" s="32" t="n"/>
      <c r="AB238" s="32" t="n"/>
      <c r="AC238" s="32" t="n"/>
      <c r="AD238" s="32" t="n"/>
      <c r="AE238" s="32" t="n"/>
      <c r="AF238" s="33" t="n"/>
      <c r="AG238" s="33" t="n"/>
      <c r="AH238" s="5" t="inlineStr"/>
    </row>
    <row r="239" ht="18" customHeight="1">
      <c r="A239" s="25" t="inlineStr">
        <is>
          <t>2525015043099</t>
        </is>
      </c>
      <c r="B239" s="34" t="inlineStr">
        <is>
          <t>餐厅-柜</t>
        </is>
      </c>
      <c r="C239" s="35" t="inlineStr">
        <is>
          <t>畔色黑胡桃木下柜电力轨道</t>
        </is>
      </c>
      <c r="D239" s="35" t="inlineStr">
        <is>
          <t>黑胡桃木电力轨道配件-1.1米</t>
        </is>
      </c>
      <c r="E239" s="34" t="inlineStr">
        <is>
          <t>北美进口FAS级黑胡桃木</t>
        </is>
      </c>
      <c r="F239" s="34" t="inlineStr"/>
      <c r="G239" s="35" t="inlineStr"/>
      <c r="H239" s="26" t="n">
        <v>0</v>
      </c>
      <c r="I239" s="26" t="n">
        <v>0</v>
      </c>
      <c r="J239" s="27" t="n">
        <v>0.5</v>
      </c>
      <c r="K239" s="28">
        <f>IFERROR(H239,0)</f>
        <v/>
      </c>
      <c r="L239" s="29" t="n"/>
      <c r="M239" s="29" t="n"/>
      <c r="N239" s="29" t="n"/>
      <c r="O239" s="29" t="n"/>
      <c r="P239" s="30">
        <f>IFERROR(IF(K239=0,"待填成本",ROUND(K239/(1-L239),0)),"" )</f>
        <v/>
      </c>
      <c r="Q239" s="30">
        <f>IFERROR(IF(K239=0,"待填成本",ROUND(K239/(1-M239),0)),"" )</f>
        <v/>
      </c>
      <c r="R239" s="30">
        <f>IFERROR(IF(K239=0,"待填成本",ROUND(K239/(1-N239),0)),"" )</f>
        <v/>
      </c>
      <c r="S239" s="30">
        <f>IFERROR(IF(K239=0,"待填成本",ROUND(K239/(1-O239),0)),"" )</f>
        <v/>
      </c>
      <c r="T239" s="31">
        <f>IFERROR(IF(K239=0,"",(P239-K239)/P239),"" )</f>
        <v/>
      </c>
      <c r="U239" s="31">
        <f>IFERROR(IF(K239=0,"",(Q239-K239)/Q239),"" )</f>
        <v/>
      </c>
      <c r="V239" s="31">
        <f>IFERROR(IF(K239=0,"",(R239-K239)/R239),"" )</f>
        <v/>
      </c>
      <c r="W239" s="31">
        <f>IFERROR(IF(K239=0,"",(S239-K239)/S239),"" )</f>
        <v/>
      </c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3" t="n"/>
      <c r="AG239" s="33" t="n"/>
      <c r="AH239" s="35" t="inlineStr"/>
    </row>
    <row r="240" ht="18" customHeight="1">
      <c r="A240" s="25" t="inlineStr">
        <is>
          <t>2525015043099</t>
        </is>
      </c>
      <c r="B240" s="6" t="inlineStr">
        <is>
          <t>餐厅-柜</t>
        </is>
      </c>
      <c r="C240" s="5" t="inlineStr">
        <is>
          <t>畔色黑胡桃木下柜电力轨道</t>
        </is>
      </c>
      <c r="D240" s="5" t="inlineStr">
        <is>
          <t>黑胡桃木电力轨道配件-1.0米</t>
        </is>
      </c>
      <c r="E240" s="6" t="inlineStr">
        <is>
          <t>北美进口FAS级黑胡桃木</t>
        </is>
      </c>
      <c r="F240" s="6" t="inlineStr"/>
      <c r="G240" s="5" t="inlineStr"/>
      <c r="H240" s="26" t="n">
        <v>0</v>
      </c>
      <c r="I240" s="26" t="n">
        <v>0</v>
      </c>
      <c r="J240" s="27" t="n">
        <v>0.5</v>
      </c>
      <c r="K240" s="28">
        <f>IFERROR(H240,0)</f>
        <v/>
      </c>
      <c r="L240" s="29" t="n"/>
      <c r="M240" s="29" t="n"/>
      <c r="N240" s="29" t="n"/>
      <c r="O240" s="29" t="n"/>
      <c r="P240" s="30">
        <f>IFERROR(IF(K240=0,"待填成本",ROUND(K240/(1-L240),0)),"" )</f>
        <v/>
      </c>
      <c r="Q240" s="30">
        <f>IFERROR(IF(K240=0,"待填成本",ROUND(K240/(1-M240),0)),"" )</f>
        <v/>
      </c>
      <c r="R240" s="30">
        <f>IFERROR(IF(K240=0,"待填成本",ROUND(K240/(1-N240),0)),"" )</f>
        <v/>
      </c>
      <c r="S240" s="30">
        <f>IFERROR(IF(K240=0,"待填成本",ROUND(K240/(1-O240),0)),"" )</f>
        <v/>
      </c>
      <c r="T240" s="31">
        <f>IFERROR(IF(K240=0,"",(P240-K240)/P240),"" )</f>
        <v/>
      </c>
      <c r="U240" s="31">
        <f>IFERROR(IF(K240=0,"",(Q240-K240)/Q240),"" )</f>
        <v/>
      </c>
      <c r="V240" s="31">
        <f>IFERROR(IF(K240=0,"",(R240-K240)/R240),"" )</f>
        <v/>
      </c>
      <c r="W240" s="31">
        <f>IFERROR(IF(K240=0,"",(S240-K240)/S240),"" )</f>
        <v/>
      </c>
      <c r="X240" s="32" t="n"/>
      <c r="Y240" s="32" t="n"/>
      <c r="Z240" s="32" t="n"/>
      <c r="AA240" s="32" t="n"/>
      <c r="AB240" s="32" t="n"/>
      <c r="AC240" s="32" t="n"/>
      <c r="AD240" s="32" t="n"/>
      <c r="AE240" s="32" t="n"/>
      <c r="AF240" s="33" t="n"/>
      <c r="AG240" s="33" t="n"/>
      <c r="AH240" s="5" t="inlineStr"/>
    </row>
    <row r="241" ht="18" customHeight="1">
      <c r="A241" s="25" t="inlineStr">
        <is>
          <t>2521008040199</t>
        </is>
      </c>
      <c r="B241" s="34" t="inlineStr">
        <is>
          <t>餐厅-桌</t>
        </is>
      </c>
      <c r="C241" s="35" t="inlineStr">
        <is>
          <t>畔色樱桃木岩板餐桌2025 |樱桃木洞石餐桌 |樱桃木圆弧餐桌</t>
        </is>
      </c>
      <c r="D241" s="35" t="inlineStr">
        <is>
          <t>洞石岩板-1.0米</t>
        </is>
      </c>
      <c r="E241" s="34" t="inlineStr">
        <is>
          <t>北美进口FAS级樱桃木</t>
        </is>
      </c>
      <c r="F241" s="34" t="inlineStr">
        <is>
          <t>台面：白色岩板/黑色岩板/实木台面</t>
        </is>
      </c>
      <c r="G241" s="35" t="inlineStr">
        <is>
          <t xml:space="preserve">长度：1200mm/1400mm/1600mm/1800mm/2000mm
宽度：850mm
高度：750mm
</t>
        </is>
      </c>
      <c r="H241" s="26" t="n">
        <v>1550.9</v>
      </c>
      <c r="I241" s="26" t="n">
        <v>1050</v>
      </c>
      <c r="J241" s="27" t="n">
        <v>0.5</v>
      </c>
      <c r="K241" s="28">
        <f>IFERROR(H241,0)</f>
        <v/>
      </c>
      <c r="L241" s="29" t="n">
        <v>0.4669</v>
      </c>
      <c r="M241" s="29" t="n">
        <v>0.2083</v>
      </c>
      <c r="N241" s="29" t="n">
        <v>0.1825</v>
      </c>
      <c r="O241" s="29" t="n">
        <v>0.144</v>
      </c>
      <c r="P241" s="30">
        <f>IFERROR(IF(K241=0,"待填成本",ROUND(K241/(1-L241),0)),"" )</f>
        <v/>
      </c>
      <c r="Q241" s="30">
        <f>IFERROR(IF(K241=0,"待填成本",ROUND(K241/(1-M241),0)),"" )</f>
        <v/>
      </c>
      <c r="R241" s="30">
        <f>IFERROR(IF(K241=0,"待填成本",ROUND(K241/(1-N241),0)),"" )</f>
        <v/>
      </c>
      <c r="S241" s="30">
        <f>IFERROR(IF(K241=0,"待填成本",ROUND(K241/(1-O241),0)),"" )</f>
        <v/>
      </c>
      <c r="T241" s="31">
        <f>IFERROR(IF(K241=0,"",(P241-K241)/P241),"" )</f>
        <v/>
      </c>
      <c r="U241" s="31">
        <f>IFERROR(IF(K241=0,"",(Q241-K241)/Q241),"" )</f>
        <v/>
      </c>
      <c r="V241" s="31">
        <f>IFERROR(IF(K241=0,"",(R241-K241)/R241),"" )</f>
        <v/>
      </c>
      <c r="W241" s="31">
        <f>IFERROR(IF(K241=0,"",(S241-K241)/S241),"" )</f>
        <v/>
      </c>
      <c r="X241" s="36" t="n"/>
      <c r="Y241" s="37" t="n">
        <v>3.7375</v>
      </c>
      <c r="Z241" s="36" t="n"/>
      <c r="AA241" s="36" t="n"/>
      <c r="AB241" s="36" t="n"/>
      <c r="AC241" s="36" t="n"/>
      <c r="AD241" s="36" t="n"/>
      <c r="AE241" s="36" t="n"/>
      <c r="AF241" s="33" t="n"/>
      <c r="AG241" s="33" t="n"/>
      <c r="AH241" s="35" t="inlineStr"/>
    </row>
    <row r="242" ht="18" customHeight="1">
      <c r="A242" s="25" t="inlineStr">
        <is>
          <t>2521008040199</t>
        </is>
      </c>
      <c r="B242" s="6" t="inlineStr">
        <is>
          <t>餐厅-桌</t>
        </is>
      </c>
      <c r="C242" s="5" t="inlineStr">
        <is>
          <t>畔色樱桃木岩板餐桌2025 |樱桃木洞石餐桌 |樱桃木圆弧餐桌</t>
        </is>
      </c>
      <c r="D242" s="5" t="inlineStr">
        <is>
          <t>洞石岩板-1.1米</t>
        </is>
      </c>
      <c r="E242" s="6" t="inlineStr">
        <is>
          <t>北美进口FAS级樱桃木</t>
        </is>
      </c>
      <c r="F242" s="6" t="inlineStr">
        <is>
          <t>台面：白色岩板/黑色岩板/实木台面</t>
        </is>
      </c>
      <c r="G242" s="5" t="inlineStr">
        <is>
          <t xml:space="preserve">长度：1200mm/1400mm/1600mm/1800mm/2000mm
宽度：850mm
高度：750mm
</t>
        </is>
      </c>
      <c r="H242" s="26" t="n">
        <v>1614.9</v>
      </c>
      <c r="I242" s="26" t="n">
        <v>1075</v>
      </c>
      <c r="J242" s="27" t="n">
        <v>0.5</v>
      </c>
      <c r="K242" s="28">
        <f>IFERROR(H242,0)</f>
        <v/>
      </c>
      <c r="L242" s="29" t="n">
        <v>0.467</v>
      </c>
      <c r="M242" s="29" t="n">
        <v>0.2089</v>
      </c>
      <c r="N242" s="29" t="n">
        <v>0.1823</v>
      </c>
      <c r="O242" s="29" t="n">
        <v>0.1434</v>
      </c>
      <c r="P242" s="30">
        <f>IFERROR(IF(K242=0,"待填成本",ROUND(K242/(1-L242),0)),"" )</f>
        <v/>
      </c>
      <c r="Q242" s="30">
        <f>IFERROR(IF(K242=0,"待填成本",ROUND(K242/(1-M242),0)),"" )</f>
        <v/>
      </c>
      <c r="R242" s="30">
        <f>IFERROR(IF(K242=0,"待填成本",ROUND(K242/(1-N242),0)),"" )</f>
        <v/>
      </c>
      <c r="S242" s="30">
        <f>IFERROR(IF(K242=0,"待填成本",ROUND(K242/(1-O242),0)),"" )</f>
        <v/>
      </c>
      <c r="T242" s="31">
        <f>IFERROR(IF(K242=0,"",(P242-K242)/P242),"" )</f>
        <v/>
      </c>
      <c r="U242" s="31">
        <f>IFERROR(IF(K242=0,"",(Q242-K242)/Q242),"" )</f>
        <v/>
      </c>
      <c r="V242" s="31">
        <f>IFERROR(IF(K242=0,"",(R242-K242)/R242),"" )</f>
        <v/>
      </c>
      <c r="W242" s="31">
        <f>IFERROR(IF(K242=0,"",(S242-K242)/S242),"" )</f>
        <v/>
      </c>
      <c r="X242" s="32" t="n"/>
      <c r="Y242" s="37" t="n">
        <v>4.025</v>
      </c>
      <c r="Z242" s="32" t="n"/>
      <c r="AA242" s="32" t="n"/>
      <c r="AB242" s="32" t="n"/>
      <c r="AC242" s="32" t="n"/>
      <c r="AD242" s="32" t="n"/>
      <c r="AE242" s="32" t="n"/>
      <c r="AF242" s="33" t="n"/>
      <c r="AG242" s="33" t="n"/>
      <c r="AH242" s="5" t="inlineStr"/>
    </row>
    <row r="243" ht="18" customHeight="1">
      <c r="A243" s="25" t="inlineStr">
        <is>
          <t>2521008040199</t>
        </is>
      </c>
      <c r="B243" s="34" t="inlineStr">
        <is>
          <t>餐厅-桌</t>
        </is>
      </c>
      <c r="C243" s="35" t="inlineStr">
        <is>
          <t>畔色樱桃木岩板餐桌2025 |樱桃木洞石餐桌 |樱桃木圆弧餐桌</t>
        </is>
      </c>
      <c r="D243" s="35" t="inlineStr">
        <is>
          <t>洞石岩板-1.2米</t>
        </is>
      </c>
      <c r="E243" s="34" t="inlineStr">
        <is>
          <t>北美进口FAS级樱桃木</t>
        </is>
      </c>
      <c r="F243" s="34" t="inlineStr">
        <is>
          <t>台面：白色岩板/黑色岩板/实木台面</t>
        </is>
      </c>
      <c r="G243" s="35" t="inlineStr">
        <is>
          <t xml:space="preserve">长度：1200mm/1400mm/1600mm/1800mm/2000mm
宽度：850mm
高度：750mm
</t>
        </is>
      </c>
      <c r="H243" s="26" t="n">
        <v>1678.9</v>
      </c>
      <c r="I243" s="26" t="n">
        <v>1100</v>
      </c>
      <c r="J243" s="27" t="n">
        <v>0.5</v>
      </c>
      <c r="K243" s="28">
        <f>IFERROR(H243,0)</f>
        <v/>
      </c>
      <c r="L243" s="29" t="n">
        <v>0.4671</v>
      </c>
      <c r="M243" s="29" t="n">
        <v>0.2095</v>
      </c>
      <c r="N243" s="29" t="n">
        <v>0.1822</v>
      </c>
      <c r="O243" s="29" t="n">
        <v>0.1428</v>
      </c>
      <c r="P243" s="30">
        <f>IFERROR(IF(K243=0,"待填成本",ROUND(K243/(1-L243),0)),"" )</f>
        <v/>
      </c>
      <c r="Q243" s="30">
        <f>IFERROR(IF(K243=0,"待填成本",ROUND(K243/(1-M243),0)),"" )</f>
        <v/>
      </c>
      <c r="R243" s="30">
        <f>IFERROR(IF(K243=0,"待填成本",ROUND(K243/(1-N243),0)),"" )</f>
        <v/>
      </c>
      <c r="S243" s="30">
        <f>IFERROR(IF(K243=0,"待填成本",ROUND(K243/(1-O243),0)),"" )</f>
        <v/>
      </c>
      <c r="T243" s="31">
        <f>IFERROR(IF(K243=0,"",(P243-K243)/P243),"" )</f>
        <v/>
      </c>
      <c r="U243" s="31">
        <f>IFERROR(IF(K243=0,"",(Q243-K243)/Q243),"" )</f>
        <v/>
      </c>
      <c r="V243" s="31">
        <f>IFERROR(IF(K243=0,"",(R243-K243)/R243),"" )</f>
        <v/>
      </c>
      <c r="W243" s="31">
        <f>IFERROR(IF(K243=0,"",(S243-K243)/S243),"" )</f>
        <v/>
      </c>
      <c r="X243" s="36" t="n"/>
      <c r="Y243" s="37" t="n">
        <v>4.3125</v>
      </c>
      <c r="Z243" s="36" t="n"/>
      <c r="AA243" s="36" t="n"/>
      <c r="AB243" s="36" t="n"/>
      <c r="AC243" s="36" t="n"/>
      <c r="AD243" s="36" t="n"/>
      <c r="AE243" s="36" t="n"/>
      <c r="AF243" s="33" t="n"/>
      <c r="AG243" s="33" t="n"/>
      <c r="AH243" s="35" t="inlineStr"/>
    </row>
    <row r="244" ht="18" customHeight="1">
      <c r="A244" s="25" t="inlineStr">
        <is>
          <t>2521008040199</t>
        </is>
      </c>
      <c r="B244" s="6" t="inlineStr">
        <is>
          <t>餐厅-桌</t>
        </is>
      </c>
      <c r="C244" s="5" t="inlineStr">
        <is>
          <t>畔色樱桃木岩板餐桌2025 |樱桃木洞石餐桌 |樱桃木圆弧餐桌</t>
        </is>
      </c>
      <c r="D244" s="5" t="inlineStr">
        <is>
          <t>洞石岩板-1.3米</t>
        </is>
      </c>
      <c r="E244" s="6" t="inlineStr">
        <is>
          <t>北美进口FAS级樱桃木</t>
        </is>
      </c>
      <c r="F244" s="6" t="inlineStr">
        <is>
          <t>台面：白色岩板/黑色岩板/实木台面</t>
        </is>
      </c>
      <c r="G244" s="5" t="inlineStr">
        <is>
          <t xml:space="preserve">长度：1200mm/1400mm/1600mm/1800mm/2000mm
宽度：850mm
高度：750mm
</t>
        </is>
      </c>
      <c r="H244" s="26" t="n">
        <v>1742.9</v>
      </c>
      <c r="I244" s="26" t="n">
        <v>1125</v>
      </c>
      <c r="J244" s="27" t="n">
        <v>0.5</v>
      </c>
      <c r="K244" s="28">
        <f>IFERROR(H244,0)</f>
        <v/>
      </c>
      <c r="L244" s="29" t="n">
        <v>0.4671</v>
      </c>
      <c r="M244" s="29" t="n">
        <v>0.21</v>
      </c>
      <c r="N244" s="29" t="n">
        <v>0.1821</v>
      </c>
      <c r="O244" s="29" t="n">
        <v>0.1423</v>
      </c>
      <c r="P244" s="30">
        <f>IFERROR(IF(K244=0,"待填成本",ROUND(K244/(1-L244),0)),"" )</f>
        <v/>
      </c>
      <c r="Q244" s="30">
        <f>IFERROR(IF(K244=0,"待填成本",ROUND(K244/(1-M244),0)),"" )</f>
        <v/>
      </c>
      <c r="R244" s="30">
        <f>IFERROR(IF(K244=0,"待填成本",ROUND(K244/(1-N244),0)),"" )</f>
        <v/>
      </c>
      <c r="S244" s="30">
        <f>IFERROR(IF(K244=0,"待填成本",ROUND(K244/(1-O244),0)),"" )</f>
        <v/>
      </c>
      <c r="T244" s="31">
        <f>IFERROR(IF(K244=0,"",(P244-K244)/P244),"" )</f>
        <v/>
      </c>
      <c r="U244" s="31">
        <f>IFERROR(IF(K244=0,"",(Q244-K244)/Q244),"" )</f>
        <v/>
      </c>
      <c r="V244" s="31">
        <f>IFERROR(IF(K244=0,"",(R244-K244)/R244),"" )</f>
        <v/>
      </c>
      <c r="W244" s="31">
        <f>IFERROR(IF(K244=0,"",(S244-K244)/S244),"" )</f>
        <v/>
      </c>
      <c r="X244" s="32" t="n"/>
      <c r="Y244" s="37" t="n">
        <v>4.6</v>
      </c>
      <c r="Z244" s="32" t="n"/>
      <c r="AA244" s="32" t="n"/>
      <c r="AB244" s="32" t="n"/>
      <c r="AC244" s="32" t="n"/>
      <c r="AD244" s="32" t="n"/>
      <c r="AE244" s="32" t="n"/>
      <c r="AF244" s="33" t="n"/>
      <c r="AG244" s="33" t="n"/>
      <c r="AH244" s="5" t="inlineStr"/>
    </row>
    <row r="245" ht="18" customHeight="1">
      <c r="A245" s="25" t="inlineStr">
        <is>
          <t>2521008040199</t>
        </is>
      </c>
      <c r="B245" s="34" t="inlineStr">
        <is>
          <t>餐厅-桌</t>
        </is>
      </c>
      <c r="C245" s="35" t="inlineStr">
        <is>
          <t>畔色樱桃木岩板餐桌2025 |樱桃木洞石餐桌 |樱桃木圆弧餐桌</t>
        </is>
      </c>
      <c r="D245" s="35" t="inlineStr">
        <is>
          <t>洞石岩板-1.4米</t>
        </is>
      </c>
      <c r="E245" s="34" t="inlineStr">
        <is>
          <t>北美进口FAS级樱桃木</t>
        </is>
      </c>
      <c r="F245" s="34" t="inlineStr">
        <is>
          <t>台面：白色岩板/黑色岩板/实木台面</t>
        </is>
      </c>
      <c r="G245" s="35" t="inlineStr">
        <is>
          <t xml:space="preserve">长度：1200mm/1400mm/1600mm/1800mm/2000mm
宽度：850mm
高度：750mm
</t>
        </is>
      </c>
      <c r="H245" s="26" t="n">
        <v>1806.9</v>
      </c>
      <c r="I245" s="26" t="n">
        <v>1150</v>
      </c>
      <c r="J245" s="27" t="n">
        <v>0.5</v>
      </c>
      <c r="K245" s="28">
        <f>IFERROR(H245,0)</f>
        <v/>
      </c>
      <c r="L245" s="29" t="n">
        <v>0.4672</v>
      </c>
      <c r="M245" s="29" t="n">
        <v>0.2105</v>
      </c>
      <c r="N245" s="29" t="n">
        <v>0.182</v>
      </c>
      <c r="O245" s="29" t="n">
        <v>0.1417</v>
      </c>
      <c r="P245" s="30">
        <f>IFERROR(IF(K245=0,"待填成本",ROUND(K245/(1-L245),0)),"" )</f>
        <v/>
      </c>
      <c r="Q245" s="30">
        <f>IFERROR(IF(K245=0,"待填成本",ROUND(K245/(1-M245),0)),"" )</f>
        <v/>
      </c>
      <c r="R245" s="30">
        <f>IFERROR(IF(K245=0,"待填成本",ROUND(K245/(1-N245),0)),"" )</f>
        <v/>
      </c>
      <c r="S245" s="30">
        <f>IFERROR(IF(K245=0,"待填成本",ROUND(K245/(1-O245),0)),"" )</f>
        <v/>
      </c>
      <c r="T245" s="31">
        <f>IFERROR(IF(K245=0,"",(P245-K245)/P245),"" )</f>
        <v/>
      </c>
      <c r="U245" s="31">
        <f>IFERROR(IF(K245=0,"",(Q245-K245)/Q245),"" )</f>
        <v/>
      </c>
      <c r="V245" s="31">
        <f>IFERROR(IF(K245=0,"",(R245-K245)/R245),"" )</f>
        <v/>
      </c>
      <c r="W245" s="31">
        <f>IFERROR(IF(K245=0,"",(S245-K245)/S245),"" )</f>
        <v/>
      </c>
      <c r="X245" s="36" t="n"/>
      <c r="Y245" s="37" t="n">
        <v>4.887499999999999</v>
      </c>
      <c r="Z245" s="36" t="n"/>
      <c r="AA245" s="36" t="n"/>
      <c r="AB245" s="36" t="n"/>
      <c r="AC245" s="36" t="n"/>
      <c r="AD245" s="36" t="n"/>
      <c r="AE245" s="36" t="n"/>
      <c r="AF245" s="33" t="n"/>
      <c r="AG245" s="33" t="n"/>
      <c r="AH245" s="35" t="inlineStr"/>
    </row>
    <row r="246" ht="18" customHeight="1">
      <c r="A246" s="25" t="inlineStr">
        <is>
          <t>2521008040199</t>
        </is>
      </c>
      <c r="B246" s="6" t="inlineStr">
        <is>
          <t>餐厅-桌</t>
        </is>
      </c>
      <c r="C246" s="5" t="inlineStr">
        <is>
          <t>畔色樱桃木岩板餐桌2025 |樱桃木洞石餐桌 |樱桃木圆弧餐桌</t>
        </is>
      </c>
      <c r="D246" s="5" t="inlineStr">
        <is>
          <t>洞石岩板-1.5米</t>
        </is>
      </c>
      <c r="E246" s="6" t="inlineStr">
        <is>
          <t>北美进口FAS级樱桃木</t>
        </is>
      </c>
      <c r="F246" s="6" t="inlineStr">
        <is>
          <t>台面：白色岩板/黑色岩板/实木台面</t>
        </is>
      </c>
      <c r="G246" s="5" t="inlineStr">
        <is>
          <t xml:space="preserve">长度：1200mm/1400mm/1600mm/1800mm/2000mm
宽度：850mm
高度：750mm
</t>
        </is>
      </c>
      <c r="H246" s="26" t="n">
        <v>1870.9</v>
      </c>
      <c r="I246" s="26" t="n">
        <v>1175</v>
      </c>
      <c r="J246" s="27" t="n">
        <v>0.5</v>
      </c>
      <c r="K246" s="28">
        <f>IFERROR(H246,0)</f>
        <v/>
      </c>
      <c r="L246" s="29" t="n">
        <v>0.4672</v>
      </c>
      <c r="M246" s="29" t="n">
        <v>0.211</v>
      </c>
      <c r="N246" s="29" t="n">
        <v>0.1819</v>
      </c>
      <c r="O246" s="29" t="n">
        <v>0.1412</v>
      </c>
      <c r="P246" s="30">
        <f>IFERROR(IF(K246=0,"待填成本",ROUND(K246/(1-L246),0)),"" )</f>
        <v/>
      </c>
      <c r="Q246" s="30">
        <f>IFERROR(IF(K246=0,"待填成本",ROUND(K246/(1-M246),0)),"" )</f>
        <v/>
      </c>
      <c r="R246" s="30">
        <f>IFERROR(IF(K246=0,"待填成本",ROUND(K246/(1-N246),0)),"" )</f>
        <v/>
      </c>
      <c r="S246" s="30">
        <f>IFERROR(IF(K246=0,"待填成本",ROUND(K246/(1-O246),0)),"" )</f>
        <v/>
      </c>
      <c r="T246" s="31">
        <f>IFERROR(IF(K246=0,"",(P246-K246)/P246),"" )</f>
        <v/>
      </c>
      <c r="U246" s="31">
        <f>IFERROR(IF(K246=0,"",(Q246-K246)/Q246),"" )</f>
        <v/>
      </c>
      <c r="V246" s="31">
        <f>IFERROR(IF(K246=0,"",(R246-K246)/R246),"" )</f>
        <v/>
      </c>
      <c r="W246" s="31">
        <f>IFERROR(IF(K246=0,"",(S246-K246)/S246),"" )</f>
        <v/>
      </c>
      <c r="X246" s="32" t="n"/>
      <c r="Y246" s="37" t="n">
        <v>5.174999999999999</v>
      </c>
      <c r="Z246" s="32" t="n"/>
      <c r="AA246" s="32" t="n"/>
      <c r="AB246" s="32" t="n"/>
      <c r="AC246" s="32" t="n"/>
      <c r="AD246" s="32" t="n"/>
      <c r="AE246" s="32" t="n"/>
      <c r="AF246" s="33" t="n"/>
      <c r="AG246" s="33" t="n"/>
      <c r="AH246" s="5" t="inlineStr"/>
    </row>
    <row r="247" ht="18" customHeight="1">
      <c r="A247" s="25" t="inlineStr">
        <is>
          <t>2521008040199</t>
        </is>
      </c>
      <c r="B247" s="34" t="inlineStr">
        <is>
          <t>餐厅-桌</t>
        </is>
      </c>
      <c r="C247" s="35" t="inlineStr">
        <is>
          <t>畔色樱桃木岩板餐桌2025 |樱桃木洞石餐桌 |樱桃木圆弧餐桌</t>
        </is>
      </c>
      <c r="D247" s="35" t="inlineStr">
        <is>
          <t>洞石岩板-1.6米</t>
        </is>
      </c>
      <c r="E247" s="34" t="inlineStr">
        <is>
          <t>北美进口FAS级樱桃木</t>
        </is>
      </c>
      <c r="F247" s="34" t="inlineStr">
        <is>
          <t>台面：白色岩板/黑色岩板/实木台面</t>
        </is>
      </c>
      <c r="G247" s="35" t="inlineStr">
        <is>
          <t xml:space="preserve">长度：1200mm/1400mm/1600mm/1800mm/2000mm
宽度：850mm
高度：750mm
</t>
        </is>
      </c>
      <c r="H247" s="26" t="n">
        <v>1934.9</v>
      </c>
      <c r="I247" s="26" t="n">
        <v>1200</v>
      </c>
      <c r="J247" s="27" t="n">
        <v>0.5</v>
      </c>
      <c r="K247" s="28">
        <f>IFERROR(H247,0)</f>
        <v/>
      </c>
      <c r="L247" s="29" t="n">
        <v>0.4673</v>
      </c>
      <c r="M247" s="29" t="n">
        <v>0.2114</v>
      </c>
      <c r="N247" s="29" t="n">
        <v>0.1818</v>
      </c>
      <c r="O247" s="29" t="n">
        <v>0.1408</v>
      </c>
      <c r="P247" s="30">
        <f>IFERROR(IF(K247=0,"待填成本",ROUND(K247/(1-L247),0)),"" )</f>
        <v/>
      </c>
      <c r="Q247" s="30">
        <f>IFERROR(IF(K247=0,"待填成本",ROUND(K247/(1-M247),0)),"" )</f>
        <v/>
      </c>
      <c r="R247" s="30">
        <f>IFERROR(IF(K247=0,"待填成本",ROUND(K247/(1-N247),0)),"" )</f>
        <v/>
      </c>
      <c r="S247" s="30">
        <f>IFERROR(IF(K247=0,"待填成本",ROUND(K247/(1-O247),0)),"" )</f>
        <v/>
      </c>
      <c r="T247" s="31">
        <f>IFERROR(IF(K247=0,"",(P247-K247)/P247),"" )</f>
        <v/>
      </c>
      <c r="U247" s="31">
        <f>IFERROR(IF(K247=0,"",(Q247-K247)/Q247),"" )</f>
        <v/>
      </c>
      <c r="V247" s="31">
        <f>IFERROR(IF(K247=0,"",(R247-K247)/R247),"" )</f>
        <v/>
      </c>
      <c r="W247" s="31">
        <f>IFERROR(IF(K247=0,"",(S247-K247)/S247),"" )</f>
        <v/>
      </c>
      <c r="X247" s="36" t="n"/>
      <c r="Y247" s="37" t="n">
        <v>5.462499999999999</v>
      </c>
      <c r="Z247" s="36" t="n"/>
      <c r="AA247" s="36" t="n"/>
      <c r="AB247" s="36" t="n"/>
      <c r="AC247" s="36" t="n"/>
      <c r="AD247" s="36" t="n"/>
      <c r="AE247" s="36" t="n"/>
      <c r="AF247" s="33" t="n"/>
      <c r="AG247" s="33" t="n"/>
      <c r="AH247" s="35" t="inlineStr"/>
    </row>
    <row r="248" ht="18" customHeight="1">
      <c r="A248" s="25" t="inlineStr">
        <is>
          <t>2521008040199</t>
        </is>
      </c>
      <c r="B248" s="6" t="inlineStr">
        <is>
          <t>餐厅-桌</t>
        </is>
      </c>
      <c r="C248" s="5" t="inlineStr">
        <is>
          <t>畔色樱桃木岩板餐桌2025 |樱桃木洞石餐桌 |樱桃木圆弧餐桌</t>
        </is>
      </c>
      <c r="D248" s="5" t="inlineStr">
        <is>
          <t>洞石岩板-1.7米</t>
        </is>
      </c>
      <c r="E248" s="6" t="inlineStr">
        <is>
          <t>北美进口FAS级樱桃木</t>
        </is>
      </c>
      <c r="F248" s="6" t="inlineStr">
        <is>
          <t>台面：白色岩板/黑色岩板/实木台面</t>
        </is>
      </c>
      <c r="G248" s="5" t="inlineStr">
        <is>
          <t xml:space="preserve">长度：1200mm/1400mm/1600mm/1800mm/2000mm
宽度：850mm
高度：750mm
</t>
        </is>
      </c>
      <c r="H248" s="26" t="n">
        <v>2003.9</v>
      </c>
      <c r="I248" s="26" t="n">
        <v>1225</v>
      </c>
      <c r="J248" s="27" t="n">
        <v>0.5</v>
      </c>
      <c r="K248" s="28">
        <f>IFERROR(H248,0)</f>
        <v/>
      </c>
      <c r="L248" s="29" t="n">
        <v>0.4671</v>
      </c>
      <c r="M248" s="29" t="n">
        <v>0.2115</v>
      </c>
      <c r="N248" s="29" t="n">
        <v>0.1814</v>
      </c>
      <c r="O248" s="29" t="n">
        <v>0.1415</v>
      </c>
      <c r="P248" s="30">
        <f>IFERROR(IF(K248=0,"待填成本",ROUND(K248/(1-L248),0)),"" )</f>
        <v/>
      </c>
      <c r="Q248" s="30">
        <f>IFERROR(IF(K248=0,"待填成本",ROUND(K248/(1-M248),0)),"" )</f>
        <v/>
      </c>
      <c r="R248" s="30">
        <f>IFERROR(IF(K248=0,"待填成本",ROUND(K248/(1-N248),0)),"" )</f>
        <v/>
      </c>
      <c r="S248" s="30">
        <f>IFERROR(IF(K248=0,"待填成本",ROUND(K248/(1-O248),0)),"" )</f>
        <v/>
      </c>
      <c r="T248" s="31">
        <f>IFERROR(IF(K248=0,"",(P248-K248)/P248),"" )</f>
        <v/>
      </c>
      <c r="U248" s="31">
        <f>IFERROR(IF(K248=0,"",(Q248-K248)/Q248),"" )</f>
        <v/>
      </c>
      <c r="V248" s="31">
        <f>IFERROR(IF(K248=0,"",(R248-K248)/R248),"" )</f>
        <v/>
      </c>
      <c r="W248" s="31">
        <f>IFERROR(IF(K248=0,"",(S248-K248)/S248),"" )</f>
        <v/>
      </c>
      <c r="X248" s="32" t="n"/>
      <c r="Y248" s="37" t="n">
        <v>5.75</v>
      </c>
      <c r="Z248" s="32" t="n"/>
      <c r="AA248" s="32" t="n"/>
      <c r="AB248" s="32" t="n"/>
      <c r="AC248" s="32" t="n"/>
      <c r="AD248" s="32" t="n"/>
      <c r="AE248" s="32" t="n"/>
      <c r="AF248" s="33" t="n"/>
      <c r="AG248" s="33" t="n"/>
      <c r="AH248" s="5" t="inlineStr"/>
    </row>
    <row r="249" ht="18" customHeight="1">
      <c r="A249" s="25" t="inlineStr">
        <is>
          <t>2521008040199</t>
        </is>
      </c>
      <c r="B249" s="34" t="inlineStr">
        <is>
          <t>餐厅-桌</t>
        </is>
      </c>
      <c r="C249" s="35" t="inlineStr">
        <is>
          <t>畔色樱桃木岩板餐桌2025 |樱桃木洞石餐桌 |樱桃木圆弧餐桌</t>
        </is>
      </c>
      <c r="D249" s="35" t="inlineStr">
        <is>
          <t>洞石岩板-1.8米</t>
        </is>
      </c>
      <c r="E249" s="34" t="inlineStr">
        <is>
          <t>北美进口FAS级樱桃木</t>
        </is>
      </c>
      <c r="F249" s="34" t="inlineStr">
        <is>
          <t>台面：白色岩板/黑色岩板/实木台面</t>
        </is>
      </c>
      <c r="G249" s="35" t="inlineStr">
        <is>
          <t xml:space="preserve">长度：1200mm/1400mm/1600mm/1800mm/2000mm
宽度：850mm
高度：750mm
</t>
        </is>
      </c>
      <c r="H249" s="26" t="n">
        <v>2072.9</v>
      </c>
      <c r="I249" s="26" t="n">
        <v>1250</v>
      </c>
      <c r="J249" s="27" t="n">
        <v>0.5</v>
      </c>
      <c r="K249" s="28">
        <f>IFERROR(H249,0)</f>
        <v/>
      </c>
      <c r="L249" s="29" t="n">
        <v>0.4669</v>
      </c>
      <c r="M249" s="29" t="n">
        <v>0.2115</v>
      </c>
      <c r="N249" s="29" t="n">
        <v>0.181</v>
      </c>
      <c r="O249" s="29" t="n">
        <v>0.1423</v>
      </c>
      <c r="P249" s="30">
        <f>IFERROR(IF(K249=0,"待填成本",ROUND(K249/(1-L249),0)),"" )</f>
        <v/>
      </c>
      <c r="Q249" s="30">
        <f>IFERROR(IF(K249=0,"待填成本",ROUND(K249/(1-M249),0)),"" )</f>
        <v/>
      </c>
      <c r="R249" s="30">
        <f>IFERROR(IF(K249=0,"待填成本",ROUND(K249/(1-N249),0)),"" )</f>
        <v/>
      </c>
      <c r="S249" s="30">
        <f>IFERROR(IF(K249=0,"待填成本",ROUND(K249/(1-O249),0)),"" )</f>
        <v/>
      </c>
      <c r="T249" s="31">
        <f>IFERROR(IF(K249=0,"",(P249-K249)/P249),"" )</f>
        <v/>
      </c>
      <c r="U249" s="31">
        <f>IFERROR(IF(K249=0,"",(Q249-K249)/Q249),"" )</f>
        <v/>
      </c>
      <c r="V249" s="31">
        <f>IFERROR(IF(K249=0,"",(R249-K249)/R249),"" )</f>
        <v/>
      </c>
      <c r="W249" s="31">
        <f>IFERROR(IF(K249=0,"",(S249-K249)/S249),"" )</f>
        <v/>
      </c>
      <c r="X249" s="36" t="n"/>
      <c r="Y249" s="37" t="n">
        <v>6.0375</v>
      </c>
      <c r="Z249" s="36" t="n"/>
      <c r="AA249" s="36" t="n"/>
      <c r="AB249" s="36" t="n"/>
      <c r="AC249" s="36" t="n"/>
      <c r="AD249" s="36" t="n"/>
      <c r="AE249" s="36" t="n"/>
      <c r="AF249" s="33" t="n"/>
      <c r="AG249" s="33" t="n"/>
      <c r="AH249" s="35" t="inlineStr"/>
    </row>
    <row r="250" ht="18" customHeight="1">
      <c r="A250" s="25" t="inlineStr">
        <is>
          <t>2521008040199</t>
        </is>
      </c>
      <c r="B250" s="6" t="inlineStr">
        <is>
          <t>餐厅-桌</t>
        </is>
      </c>
      <c r="C250" s="5" t="inlineStr">
        <is>
          <t>畔色樱桃木岩板餐桌2025 |樱桃木洞石餐桌 |樱桃木圆弧餐桌</t>
        </is>
      </c>
      <c r="D250" s="5" t="inlineStr">
        <is>
          <t>洞石岩板-1.9米</t>
        </is>
      </c>
      <c r="E250" s="6" t="inlineStr">
        <is>
          <t>北美进口FAS级樱桃木</t>
        </is>
      </c>
      <c r="F250" s="6" t="inlineStr">
        <is>
          <t>台面：白色岩板/黑色岩板/实木台面</t>
        </is>
      </c>
      <c r="G250" s="5" t="inlineStr">
        <is>
          <t xml:space="preserve">长度：1200mm/1400mm/1600mm/1800mm/2000mm
宽度：850mm
高度：750mm
</t>
        </is>
      </c>
      <c r="H250" s="26" t="n">
        <v>2124.9</v>
      </c>
      <c r="I250" s="26" t="n">
        <v>1300</v>
      </c>
      <c r="J250" s="27" t="n">
        <v>0.5</v>
      </c>
      <c r="K250" s="28">
        <f>IFERROR(H250,0)</f>
        <v/>
      </c>
      <c r="L250" s="29" t="n">
        <v>0.467</v>
      </c>
      <c r="M250" s="29" t="n">
        <v>0.2109</v>
      </c>
      <c r="N250" s="29" t="n">
        <v>0.1809</v>
      </c>
      <c r="O250" s="29" t="n">
        <v>0.1416</v>
      </c>
      <c r="P250" s="30">
        <f>IFERROR(IF(K250=0,"待填成本",ROUND(K250/(1-L250),0)),"" )</f>
        <v/>
      </c>
      <c r="Q250" s="30">
        <f>IFERROR(IF(K250=0,"待填成本",ROUND(K250/(1-M250),0)),"" )</f>
        <v/>
      </c>
      <c r="R250" s="30">
        <f>IFERROR(IF(K250=0,"待填成本",ROUND(K250/(1-N250),0)),"" )</f>
        <v/>
      </c>
      <c r="S250" s="30">
        <f>IFERROR(IF(K250=0,"待填成本",ROUND(K250/(1-O250),0)),"" )</f>
        <v/>
      </c>
      <c r="T250" s="31">
        <f>IFERROR(IF(K250=0,"",(P250-K250)/P250),"" )</f>
        <v/>
      </c>
      <c r="U250" s="31">
        <f>IFERROR(IF(K250=0,"",(Q250-K250)/Q250),"" )</f>
        <v/>
      </c>
      <c r="V250" s="31">
        <f>IFERROR(IF(K250=0,"",(R250-K250)/R250),"" )</f>
        <v/>
      </c>
      <c r="W250" s="31">
        <f>IFERROR(IF(K250=0,"",(S250-K250)/S250),"" )</f>
        <v/>
      </c>
      <c r="X250" s="32" t="n"/>
      <c r="Y250" s="37" t="n">
        <v>6.324999999999999</v>
      </c>
      <c r="Z250" s="32" t="n"/>
      <c r="AA250" s="32" t="n"/>
      <c r="AB250" s="32" t="n"/>
      <c r="AC250" s="32" t="n"/>
      <c r="AD250" s="32" t="n"/>
      <c r="AE250" s="32" t="n"/>
      <c r="AF250" s="33" t="n"/>
      <c r="AG250" s="33" t="n"/>
      <c r="AH250" s="5" t="inlineStr"/>
    </row>
    <row r="251" ht="18" customHeight="1">
      <c r="A251" s="25" t="inlineStr">
        <is>
          <t>2521008040199</t>
        </is>
      </c>
      <c r="B251" s="34" t="inlineStr">
        <is>
          <t>餐厅-桌</t>
        </is>
      </c>
      <c r="C251" s="35" t="inlineStr">
        <is>
          <t>畔色樱桃木岩板餐桌2025 |樱桃木洞石餐桌 |樱桃木圆弧餐桌</t>
        </is>
      </c>
      <c r="D251" s="35" t="inlineStr">
        <is>
          <t>洞石岩板-2.0米</t>
        </is>
      </c>
      <c r="E251" s="34" t="inlineStr">
        <is>
          <t>北美进口FAS级樱桃木</t>
        </is>
      </c>
      <c r="F251" s="34" t="inlineStr">
        <is>
          <t>台面：白色岩板/黑色岩板/实木台面</t>
        </is>
      </c>
      <c r="G251" s="35" t="inlineStr">
        <is>
          <t xml:space="preserve">长度：1200mm/1400mm/1600mm/1800mm/2000mm
宽度：850mm
高度：750mm
</t>
        </is>
      </c>
      <c r="H251" s="26" t="n">
        <v>2176.9</v>
      </c>
      <c r="I251" s="26" t="n">
        <v>1350</v>
      </c>
      <c r="J251" s="27" t="n">
        <v>0.5</v>
      </c>
      <c r="K251" s="28">
        <f>IFERROR(H251,0)</f>
        <v/>
      </c>
      <c r="L251" s="29" t="n">
        <v>0.4671</v>
      </c>
      <c r="M251" s="29" t="n">
        <v>0.2102</v>
      </c>
      <c r="N251" s="29" t="n">
        <v>0.1809</v>
      </c>
      <c r="O251" s="29" t="n">
        <v>0.141</v>
      </c>
      <c r="P251" s="30">
        <f>IFERROR(IF(K251=0,"待填成本",ROUND(K251/(1-L251),0)),"" )</f>
        <v/>
      </c>
      <c r="Q251" s="30">
        <f>IFERROR(IF(K251=0,"待填成本",ROUND(K251/(1-M251),0)),"" )</f>
        <v/>
      </c>
      <c r="R251" s="30">
        <f>IFERROR(IF(K251=0,"待填成本",ROUND(K251/(1-N251),0)),"" )</f>
        <v/>
      </c>
      <c r="S251" s="30">
        <f>IFERROR(IF(K251=0,"待填成本",ROUND(K251/(1-O251),0)),"" )</f>
        <v/>
      </c>
      <c r="T251" s="31">
        <f>IFERROR(IF(K251=0,"",(P251-K251)/P251),"" )</f>
        <v/>
      </c>
      <c r="U251" s="31">
        <f>IFERROR(IF(K251=0,"",(Q251-K251)/Q251),"" )</f>
        <v/>
      </c>
      <c r="V251" s="31">
        <f>IFERROR(IF(K251=0,"",(R251-K251)/R251),"" )</f>
        <v/>
      </c>
      <c r="W251" s="31">
        <f>IFERROR(IF(K251=0,"",(S251-K251)/S251),"" )</f>
        <v/>
      </c>
      <c r="X251" s="36" t="n"/>
      <c r="Y251" s="37" t="n">
        <v>6.6125</v>
      </c>
      <c r="Z251" s="36" t="n"/>
      <c r="AA251" s="36" t="n"/>
      <c r="AB251" s="36" t="n"/>
      <c r="AC251" s="36" t="n"/>
      <c r="AD251" s="36" t="n"/>
      <c r="AE251" s="36" t="n"/>
      <c r="AF251" s="33" t="n"/>
      <c r="AG251" s="33" t="n"/>
      <c r="AH251" s="35" t="inlineStr"/>
    </row>
    <row r="252" ht="18" customHeight="1">
      <c r="A252" s="25" t="inlineStr">
        <is>
          <t>2521008040199</t>
        </is>
      </c>
      <c r="B252" s="6" t="inlineStr">
        <is>
          <t>餐厅-桌</t>
        </is>
      </c>
      <c r="C252" s="5" t="inlineStr">
        <is>
          <t>畔色樱桃木岩板餐桌2025 |樱桃木洞石餐桌 |樱桃木圆弧餐桌</t>
        </is>
      </c>
      <c r="D252" s="5" t="inlineStr">
        <is>
          <t>洞石岩板-2.1米</t>
        </is>
      </c>
      <c r="E252" s="6" t="inlineStr">
        <is>
          <t>北美进口FAS级樱桃木</t>
        </is>
      </c>
      <c r="F252" s="6" t="inlineStr">
        <is>
          <t>台面：白色岩板/黑色岩板/实木台面</t>
        </is>
      </c>
      <c r="G252" s="5" t="inlineStr">
        <is>
          <t xml:space="preserve">长度：1200mm/1400mm/1600mm/1800mm/2000mm
宽度：850mm
高度：750mm
</t>
        </is>
      </c>
      <c r="H252" s="26" t="n">
        <v>2228.9</v>
      </c>
      <c r="I252" s="26" t="n">
        <v>1400</v>
      </c>
      <c r="J252" s="27" t="n">
        <v>0.5</v>
      </c>
      <c r="K252" s="28">
        <f>IFERROR(H252,0)</f>
        <v/>
      </c>
      <c r="L252" s="29" t="n">
        <v>0.4672</v>
      </c>
      <c r="M252" s="29" t="n">
        <v>0.2096</v>
      </c>
      <c r="N252" s="29" t="n">
        <v>0.1809</v>
      </c>
      <c r="O252" s="29" t="n">
        <v>0.1404</v>
      </c>
      <c r="P252" s="30">
        <f>IFERROR(IF(K252=0,"待填成本",ROUND(K252/(1-L252),0)),"" )</f>
        <v/>
      </c>
      <c r="Q252" s="30">
        <f>IFERROR(IF(K252=0,"待填成本",ROUND(K252/(1-M252),0)),"" )</f>
        <v/>
      </c>
      <c r="R252" s="30">
        <f>IFERROR(IF(K252=0,"待填成本",ROUND(K252/(1-N252),0)),"" )</f>
        <v/>
      </c>
      <c r="S252" s="30">
        <f>IFERROR(IF(K252=0,"待填成本",ROUND(K252/(1-O252),0)),"" )</f>
        <v/>
      </c>
      <c r="T252" s="31">
        <f>IFERROR(IF(K252=0,"",(P252-K252)/P252),"" )</f>
        <v/>
      </c>
      <c r="U252" s="31">
        <f>IFERROR(IF(K252=0,"",(Q252-K252)/Q252),"" )</f>
        <v/>
      </c>
      <c r="V252" s="31">
        <f>IFERROR(IF(K252=0,"",(R252-K252)/R252),"" )</f>
        <v/>
      </c>
      <c r="W252" s="31">
        <f>IFERROR(IF(K252=0,"",(S252-K252)/S252),"" )</f>
        <v/>
      </c>
      <c r="X252" s="32" t="n"/>
      <c r="Y252" s="37" t="n">
        <v>6.9</v>
      </c>
      <c r="Z252" s="32" t="n"/>
      <c r="AA252" s="32" t="n"/>
      <c r="AB252" s="32" t="n"/>
      <c r="AC252" s="32" t="n"/>
      <c r="AD252" s="32" t="n"/>
      <c r="AE252" s="32" t="n"/>
      <c r="AF252" s="33" t="n"/>
      <c r="AG252" s="33" t="n"/>
      <c r="AH252" s="5" t="inlineStr"/>
    </row>
    <row r="253" ht="18" customHeight="1">
      <c r="A253" s="25" t="inlineStr">
        <is>
          <t>2521008040199</t>
        </is>
      </c>
      <c r="B253" s="34" t="inlineStr">
        <is>
          <t>餐厅-桌</t>
        </is>
      </c>
      <c r="C253" s="35" t="inlineStr">
        <is>
          <t>畔色樱桃木岩板餐桌2025 |樱桃木洞石餐桌 |樱桃木圆弧餐桌</t>
        </is>
      </c>
      <c r="D253" s="35" t="inlineStr">
        <is>
          <t>洞石岩板-2.2米</t>
        </is>
      </c>
      <c r="E253" s="34" t="inlineStr">
        <is>
          <t>北美进口FAS级樱桃木</t>
        </is>
      </c>
      <c r="F253" s="34" t="inlineStr">
        <is>
          <t>台面：白色岩板/黑色岩板/实木台面</t>
        </is>
      </c>
      <c r="G253" s="35" t="inlineStr">
        <is>
          <t xml:space="preserve">长度：1200mm/1400mm/1600mm/1800mm/2000mm
宽度：850mm
高度：750mm
</t>
        </is>
      </c>
      <c r="H253" s="26" t="n">
        <v>2280.9</v>
      </c>
      <c r="I253" s="26" t="n">
        <v>1450</v>
      </c>
      <c r="J253" s="27" t="n">
        <v>0.5</v>
      </c>
      <c r="K253" s="28">
        <f>IFERROR(H253,0)</f>
        <v/>
      </c>
      <c r="L253" s="29" t="n">
        <v>0.4674</v>
      </c>
      <c r="M253" s="29" t="n">
        <v>0.2091</v>
      </c>
      <c r="N253" s="29" t="n">
        <v>0.1808</v>
      </c>
      <c r="O253" s="29" t="n">
        <v>0.1399</v>
      </c>
      <c r="P253" s="30">
        <f>IFERROR(IF(K253=0,"待填成本",ROUND(K253/(1-L253),0)),"" )</f>
        <v/>
      </c>
      <c r="Q253" s="30">
        <f>IFERROR(IF(K253=0,"待填成本",ROUND(K253/(1-M253),0)),"" )</f>
        <v/>
      </c>
      <c r="R253" s="30">
        <f>IFERROR(IF(K253=0,"待填成本",ROUND(K253/(1-N253),0)),"" )</f>
        <v/>
      </c>
      <c r="S253" s="30">
        <f>IFERROR(IF(K253=0,"待填成本",ROUND(K253/(1-O253),0)),"" )</f>
        <v/>
      </c>
      <c r="T253" s="31">
        <f>IFERROR(IF(K253=0,"",(P253-K253)/P253),"" )</f>
        <v/>
      </c>
      <c r="U253" s="31">
        <f>IFERROR(IF(K253=0,"",(Q253-K253)/Q253),"" )</f>
        <v/>
      </c>
      <c r="V253" s="31">
        <f>IFERROR(IF(K253=0,"",(R253-K253)/R253),"" )</f>
        <v/>
      </c>
      <c r="W253" s="31">
        <f>IFERROR(IF(K253=0,"",(S253-K253)/S253),"" )</f>
        <v/>
      </c>
      <c r="X253" s="36" t="n"/>
      <c r="Y253" s="37" t="n">
        <v>7.1875</v>
      </c>
      <c r="Z253" s="36" t="n"/>
      <c r="AA253" s="36" t="n"/>
      <c r="AB253" s="36" t="n"/>
      <c r="AC253" s="36" t="n"/>
      <c r="AD253" s="36" t="n"/>
      <c r="AE253" s="36" t="n"/>
      <c r="AF253" s="33" t="n"/>
      <c r="AG253" s="33" t="n"/>
      <c r="AH253" s="35" t="inlineStr"/>
    </row>
    <row r="254" ht="18" customHeight="1">
      <c r="A254" s="25" t="inlineStr">
        <is>
          <t>2521008040199</t>
        </is>
      </c>
      <c r="B254" s="6" t="inlineStr">
        <is>
          <t>餐厅-桌</t>
        </is>
      </c>
      <c r="C254" s="5" t="inlineStr">
        <is>
          <t>畔色樱桃木岩板餐桌2025 |樱桃木洞石餐桌 |樱桃木圆弧餐桌</t>
        </is>
      </c>
      <c r="D254" s="5" t="inlineStr">
        <is>
          <t>黑色岩板-1.0米</t>
        </is>
      </c>
      <c r="E254" s="6" t="inlineStr">
        <is>
          <t>北美进口FAS级樱桃木</t>
        </is>
      </c>
      <c r="F254" s="6" t="inlineStr">
        <is>
          <t>台面：白色岩板/黑色岩板/实木台面</t>
        </is>
      </c>
      <c r="G254" s="5" t="inlineStr">
        <is>
          <t xml:space="preserve">长度：1200mm/1400mm/1600mm/1800mm/2000mm
宽度：850mm
高度：750mm
</t>
        </is>
      </c>
      <c r="H254" s="26" t="n">
        <v>1450.9</v>
      </c>
      <c r="I254" s="26" t="n">
        <v>1050</v>
      </c>
      <c r="J254" s="27" t="n">
        <v>0.5</v>
      </c>
      <c r="K254" s="28">
        <f>IFERROR(H254,0)</f>
        <v/>
      </c>
      <c r="L254" s="29" t="n">
        <v>0.4655</v>
      </c>
      <c r="M254" s="29" t="n">
        <v>0.218</v>
      </c>
      <c r="N254" s="29" t="n">
        <v>0.1774</v>
      </c>
      <c r="O254" s="29" t="n">
        <v>0.144</v>
      </c>
      <c r="P254" s="30">
        <f>IFERROR(IF(K254=0,"待填成本",ROUND(K254/(1-L254),0)),"" )</f>
        <v/>
      </c>
      <c r="Q254" s="30">
        <f>IFERROR(IF(K254=0,"待填成本",ROUND(K254/(1-M254),0)),"" )</f>
        <v/>
      </c>
      <c r="R254" s="30">
        <f>IFERROR(IF(K254=0,"待填成本",ROUND(K254/(1-N254),0)),"" )</f>
        <v/>
      </c>
      <c r="S254" s="30">
        <f>IFERROR(IF(K254=0,"待填成本",ROUND(K254/(1-O254),0)),"" )</f>
        <v/>
      </c>
      <c r="T254" s="31">
        <f>IFERROR(IF(K254=0,"",(P254-K254)/P254),"" )</f>
        <v/>
      </c>
      <c r="U254" s="31">
        <f>IFERROR(IF(K254=0,"",(Q254-K254)/Q254),"" )</f>
        <v/>
      </c>
      <c r="V254" s="31">
        <f>IFERROR(IF(K254=0,"",(R254-K254)/R254),"" )</f>
        <v/>
      </c>
      <c r="W254" s="31">
        <f>IFERROR(IF(K254=0,"",(S254-K254)/S254),"" )</f>
        <v/>
      </c>
      <c r="X254" s="32" t="n"/>
      <c r="Y254" s="37" t="n">
        <v>3.7375</v>
      </c>
      <c r="Z254" s="32" t="n"/>
      <c r="AA254" s="32" t="n"/>
      <c r="AB254" s="32" t="n"/>
      <c r="AC254" s="32" t="n"/>
      <c r="AD254" s="32" t="n"/>
      <c r="AE254" s="32" t="n"/>
      <c r="AF254" s="33" t="n"/>
      <c r="AG254" s="33" t="n"/>
      <c r="AH254" s="5" t="inlineStr"/>
    </row>
    <row r="255" ht="18" customHeight="1">
      <c r="A255" s="25" t="inlineStr">
        <is>
          <t>2521008040199</t>
        </is>
      </c>
      <c r="B255" s="34" t="inlineStr">
        <is>
          <t>餐厅-桌</t>
        </is>
      </c>
      <c r="C255" s="35" t="inlineStr">
        <is>
          <t>畔色樱桃木岩板餐桌2025 |樱桃木洞石餐桌 |樱桃木圆弧餐桌</t>
        </is>
      </c>
      <c r="D255" s="35" t="inlineStr">
        <is>
          <t>黑色岩板-1.1米</t>
        </is>
      </c>
      <c r="E255" s="34" t="inlineStr">
        <is>
          <t>北美进口FAS级樱桃木</t>
        </is>
      </c>
      <c r="F255" s="34" t="inlineStr">
        <is>
          <t>台面：白色岩板/黑色岩板/实木台面</t>
        </is>
      </c>
      <c r="G255" s="35" t="inlineStr">
        <is>
          <t xml:space="preserve">长度：1200mm/1400mm/1600mm/1800mm/2000mm
宽度：850mm
高度：750mm
</t>
        </is>
      </c>
      <c r="H255" s="26" t="n">
        <v>1480.9</v>
      </c>
      <c r="I255" s="26" t="n">
        <v>1075</v>
      </c>
      <c r="J255" s="27" t="n">
        <v>0.5</v>
      </c>
      <c r="K255" s="28">
        <f>IFERROR(H255,0)</f>
        <v/>
      </c>
      <c r="L255" s="29" t="n">
        <v>0.4658</v>
      </c>
      <c r="M255" s="29" t="n">
        <v>0.2166</v>
      </c>
      <c r="N255" s="29" t="n">
        <v>0.1783</v>
      </c>
      <c r="O255" s="29" t="n">
        <v>0.1436</v>
      </c>
      <c r="P255" s="30">
        <f>IFERROR(IF(K255=0,"待填成本",ROUND(K255/(1-L255),0)),"" )</f>
        <v/>
      </c>
      <c r="Q255" s="30">
        <f>IFERROR(IF(K255=0,"待填成本",ROUND(K255/(1-M255),0)),"" )</f>
        <v/>
      </c>
      <c r="R255" s="30">
        <f>IFERROR(IF(K255=0,"待填成本",ROUND(K255/(1-N255),0)),"" )</f>
        <v/>
      </c>
      <c r="S255" s="30">
        <f>IFERROR(IF(K255=0,"待填成本",ROUND(K255/(1-O255),0)),"" )</f>
        <v/>
      </c>
      <c r="T255" s="31">
        <f>IFERROR(IF(K255=0,"",(P255-K255)/P255),"" )</f>
        <v/>
      </c>
      <c r="U255" s="31">
        <f>IFERROR(IF(K255=0,"",(Q255-K255)/Q255),"" )</f>
        <v/>
      </c>
      <c r="V255" s="31">
        <f>IFERROR(IF(K255=0,"",(R255-K255)/R255),"" )</f>
        <v/>
      </c>
      <c r="W255" s="31">
        <f>IFERROR(IF(K255=0,"",(S255-K255)/S255),"" )</f>
        <v/>
      </c>
      <c r="X255" s="36" t="n"/>
      <c r="Y255" s="37" t="n">
        <v>4.025</v>
      </c>
      <c r="Z255" s="36" t="n"/>
      <c r="AA255" s="36" t="n"/>
      <c r="AB255" s="36" t="n"/>
      <c r="AC255" s="36" t="n"/>
      <c r="AD255" s="36" t="n"/>
      <c r="AE255" s="36" t="n"/>
      <c r="AF255" s="33" t="n"/>
      <c r="AG255" s="33" t="n"/>
      <c r="AH255" s="35" t="inlineStr"/>
    </row>
    <row r="256" ht="18" customHeight="1">
      <c r="A256" s="25" t="inlineStr">
        <is>
          <t>2521008040199</t>
        </is>
      </c>
      <c r="B256" s="6" t="inlineStr">
        <is>
          <t>餐厅-桌</t>
        </is>
      </c>
      <c r="C256" s="5" t="inlineStr">
        <is>
          <t>畔色樱桃木岩板餐桌2025 |樱桃木洞石餐桌 |樱桃木圆弧餐桌</t>
        </is>
      </c>
      <c r="D256" s="5" t="inlineStr">
        <is>
          <t>黑色岩板-1.2米</t>
        </is>
      </c>
      <c r="E256" s="6" t="inlineStr">
        <is>
          <t>北美进口FAS级樱桃木</t>
        </is>
      </c>
      <c r="F256" s="6" t="inlineStr">
        <is>
          <t>台面：白色岩板/黑色岩板/实木台面</t>
        </is>
      </c>
      <c r="G256" s="5" t="inlineStr">
        <is>
          <t xml:space="preserve">长度：1200mm/1400mm/1600mm/1800mm/2000mm
宽度：850mm
高度：750mm
</t>
        </is>
      </c>
      <c r="H256" s="26" t="n">
        <v>1510.9</v>
      </c>
      <c r="I256" s="26" t="n">
        <v>1100</v>
      </c>
      <c r="J256" s="27" t="n">
        <v>0.5</v>
      </c>
      <c r="K256" s="28">
        <f>IFERROR(H256,0)</f>
        <v/>
      </c>
      <c r="L256" s="29" t="n">
        <v>0.4661</v>
      </c>
      <c r="M256" s="29" t="n">
        <v>0.2152</v>
      </c>
      <c r="N256" s="29" t="n">
        <v>0.1791</v>
      </c>
      <c r="O256" s="29" t="n">
        <v>0.1433</v>
      </c>
      <c r="P256" s="30">
        <f>IFERROR(IF(K256=0,"待填成本",ROUND(K256/(1-L256),0)),"" )</f>
        <v/>
      </c>
      <c r="Q256" s="30">
        <f>IFERROR(IF(K256=0,"待填成本",ROUND(K256/(1-M256),0)),"" )</f>
        <v/>
      </c>
      <c r="R256" s="30">
        <f>IFERROR(IF(K256=0,"待填成本",ROUND(K256/(1-N256),0)),"" )</f>
        <v/>
      </c>
      <c r="S256" s="30">
        <f>IFERROR(IF(K256=0,"待填成本",ROUND(K256/(1-O256),0)),"" )</f>
        <v/>
      </c>
      <c r="T256" s="31">
        <f>IFERROR(IF(K256=0,"",(P256-K256)/P256),"" )</f>
        <v/>
      </c>
      <c r="U256" s="31">
        <f>IFERROR(IF(K256=0,"",(Q256-K256)/Q256),"" )</f>
        <v/>
      </c>
      <c r="V256" s="31">
        <f>IFERROR(IF(K256=0,"",(R256-K256)/R256),"" )</f>
        <v/>
      </c>
      <c r="W256" s="31">
        <f>IFERROR(IF(K256=0,"",(S256-K256)/S256),"" )</f>
        <v/>
      </c>
      <c r="X256" s="32" t="n"/>
      <c r="Y256" s="37" t="n">
        <v>4.3125</v>
      </c>
      <c r="Z256" s="32" t="n"/>
      <c r="AA256" s="32" t="n"/>
      <c r="AB256" s="32" t="n"/>
      <c r="AC256" s="32" t="n"/>
      <c r="AD256" s="32" t="n"/>
      <c r="AE256" s="32" t="n"/>
      <c r="AF256" s="33" t="n"/>
      <c r="AG256" s="33" t="n"/>
      <c r="AH256" s="5" t="inlineStr"/>
    </row>
    <row r="257" ht="18" customHeight="1">
      <c r="A257" s="25" t="inlineStr">
        <is>
          <t>2521008040199</t>
        </is>
      </c>
      <c r="B257" s="34" t="inlineStr">
        <is>
          <t>餐厅-桌</t>
        </is>
      </c>
      <c r="C257" s="35" t="inlineStr">
        <is>
          <t>畔色樱桃木岩板餐桌2025 |樱桃木洞石餐桌 |樱桃木圆弧餐桌</t>
        </is>
      </c>
      <c r="D257" s="35" t="inlineStr">
        <is>
          <t>黑色岩板-1.3米</t>
        </is>
      </c>
      <c r="E257" s="34" t="inlineStr">
        <is>
          <t>北美进口FAS级樱桃木</t>
        </is>
      </c>
      <c r="F257" s="34" t="inlineStr">
        <is>
          <t>台面：白色岩板/黑色岩板/实木台面</t>
        </is>
      </c>
      <c r="G257" s="35" t="inlineStr">
        <is>
          <t xml:space="preserve">长度：1200mm/1400mm/1600mm/1800mm/2000mm
宽度：850mm
高度：750mm
</t>
        </is>
      </c>
      <c r="H257" s="26" t="n">
        <v>1540.9</v>
      </c>
      <c r="I257" s="26" t="n">
        <v>1125</v>
      </c>
      <c r="J257" s="27" t="n">
        <v>0.5</v>
      </c>
      <c r="K257" s="28">
        <f>IFERROR(H257,0)</f>
        <v/>
      </c>
      <c r="L257" s="29" t="n">
        <v>0.4665</v>
      </c>
      <c r="M257" s="29" t="n">
        <v>0.2139</v>
      </c>
      <c r="N257" s="29" t="n">
        <v>0.18</v>
      </c>
      <c r="O257" s="29" t="n">
        <v>0.1429</v>
      </c>
      <c r="P257" s="30">
        <f>IFERROR(IF(K257=0,"待填成本",ROUND(K257/(1-L257),0)),"" )</f>
        <v/>
      </c>
      <c r="Q257" s="30">
        <f>IFERROR(IF(K257=0,"待填成本",ROUND(K257/(1-M257),0)),"" )</f>
        <v/>
      </c>
      <c r="R257" s="30">
        <f>IFERROR(IF(K257=0,"待填成本",ROUND(K257/(1-N257),0)),"" )</f>
        <v/>
      </c>
      <c r="S257" s="30">
        <f>IFERROR(IF(K257=0,"待填成本",ROUND(K257/(1-O257),0)),"" )</f>
        <v/>
      </c>
      <c r="T257" s="31">
        <f>IFERROR(IF(K257=0,"",(P257-K257)/P257),"" )</f>
        <v/>
      </c>
      <c r="U257" s="31">
        <f>IFERROR(IF(K257=0,"",(Q257-K257)/Q257),"" )</f>
        <v/>
      </c>
      <c r="V257" s="31">
        <f>IFERROR(IF(K257=0,"",(R257-K257)/R257),"" )</f>
        <v/>
      </c>
      <c r="W257" s="31">
        <f>IFERROR(IF(K257=0,"",(S257-K257)/S257),"" )</f>
        <v/>
      </c>
      <c r="X257" s="36" t="n"/>
      <c r="Y257" s="37" t="n">
        <v>4.6</v>
      </c>
      <c r="Z257" s="36" t="n"/>
      <c r="AA257" s="36" t="n"/>
      <c r="AB257" s="36" t="n"/>
      <c r="AC257" s="36" t="n"/>
      <c r="AD257" s="36" t="n"/>
      <c r="AE257" s="36" t="n"/>
      <c r="AF257" s="33" t="n"/>
      <c r="AG257" s="33" t="n"/>
      <c r="AH257" s="35" t="inlineStr"/>
    </row>
    <row r="258" ht="18" customHeight="1">
      <c r="A258" s="25" t="inlineStr">
        <is>
          <t>2521008040199</t>
        </is>
      </c>
      <c r="B258" s="6" t="inlineStr">
        <is>
          <t>餐厅-桌</t>
        </is>
      </c>
      <c r="C258" s="5" t="inlineStr">
        <is>
          <t>畔色樱桃木岩板餐桌2025 |樱桃木洞石餐桌 |樱桃木圆弧餐桌</t>
        </is>
      </c>
      <c r="D258" s="5" t="inlineStr">
        <is>
          <t>黑色岩板-1.4米</t>
        </is>
      </c>
      <c r="E258" s="6" t="inlineStr">
        <is>
          <t>北美进口FAS级樱桃木</t>
        </is>
      </c>
      <c r="F258" s="6" t="inlineStr">
        <is>
          <t>台面：白色岩板/黑色岩板/实木台面</t>
        </is>
      </c>
      <c r="G258" s="5" t="inlineStr">
        <is>
          <t xml:space="preserve">长度：1200mm/1400mm/1600mm/1800mm/2000mm
宽度：850mm
高度：750mm
</t>
        </is>
      </c>
      <c r="H258" s="26" t="n">
        <v>1570.9</v>
      </c>
      <c r="I258" s="26" t="n">
        <v>1150</v>
      </c>
      <c r="J258" s="27" t="n">
        <v>0.5</v>
      </c>
      <c r="K258" s="28">
        <f>IFERROR(H258,0)</f>
        <v/>
      </c>
      <c r="L258" s="29" t="n">
        <v>0.4668</v>
      </c>
      <c r="M258" s="29" t="n">
        <v>0.2126</v>
      </c>
      <c r="N258" s="29" t="n">
        <v>0.1808</v>
      </c>
      <c r="O258" s="29" t="n">
        <v>0.1426</v>
      </c>
      <c r="P258" s="30">
        <f>IFERROR(IF(K258=0,"待填成本",ROUND(K258/(1-L258),0)),"" )</f>
        <v/>
      </c>
      <c r="Q258" s="30">
        <f>IFERROR(IF(K258=0,"待填成本",ROUND(K258/(1-M258),0)),"" )</f>
        <v/>
      </c>
      <c r="R258" s="30">
        <f>IFERROR(IF(K258=0,"待填成本",ROUND(K258/(1-N258),0)),"" )</f>
        <v/>
      </c>
      <c r="S258" s="30">
        <f>IFERROR(IF(K258=0,"待填成本",ROUND(K258/(1-O258),0)),"" )</f>
        <v/>
      </c>
      <c r="T258" s="31">
        <f>IFERROR(IF(K258=0,"",(P258-K258)/P258),"" )</f>
        <v/>
      </c>
      <c r="U258" s="31">
        <f>IFERROR(IF(K258=0,"",(Q258-K258)/Q258),"" )</f>
        <v/>
      </c>
      <c r="V258" s="31">
        <f>IFERROR(IF(K258=0,"",(R258-K258)/R258),"" )</f>
        <v/>
      </c>
      <c r="W258" s="31">
        <f>IFERROR(IF(K258=0,"",(S258-K258)/S258),"" )</f>
        <v/>
      </c>
      <c r="X258" s="32" t="n"/>
      <c r="Y258" s="37" t="n">
        <v>4.887499999999999</v>
      </c>
      <c r="Z258" s="32" t="n"/>
      <c r="AA258" s="32" t="n"/>
      <c r="AB258" s="32" t="n"/>
      <c r="AC258" s="32" t="n"/>
      <c r="AD258" s="32" t="n"/>
      <c r="AE258" s="32" t="n"/>
      <c r="AF258" s="33" t="n"/>
      <c r="AG258" s="33" t="n"/>
      <c r="AH258" s="5" t="inlineStr"/>
    </row>
    <row r="259" ht="18" customHeight="1">
      <c r="A259" s="25" t="inlineStr">
        <is>
          <t>2521008040199</t>
        </is>
      </c>
      <c r="B259" s="34" t="inlineStr">
        <is>
          <t>餐厅-桌</t>
        </is>
      </c>
      <c r="C259" s="35" t="inlineStr">
        <is>
          <t>畔色樱桃木岩板餐桌2025 |樱桃木洞石餐桌 |樱桃木圆弧餐桌</t>
        </is>
      </c>
      <c r="D259" s="35" t="inlineStr">
        <is>
          <t>黑色岩板-1.5米</t>
        </is>
      </c>
      <c r="E259" s="34" t="inlineStr">
        <is>
          <t>北美进口FAS级樱桃木</t>
        </is>
      </c>
      <c r="F259" s="34" t="inlineStr">
        <is>
          <t>台面：白色岩板/黑色岩板/实木台面</t>
        </is>
      </c>
      <c r="G259" s="35" t="inlineStr">
        <is>
          <t xml:space="preserve">长度：1200mm/1400mm/1600mm/1800mm/2000mm
宽度：850mm
高度：750mm
</t>
        </is>
      </c>
      <c r="H259" s="26" t="n">
        <v>1600.9</v>
      </c>
      <c r="I259" s="26" t="n">
        <v>1175</v>
      </c>
      <c r="J259" s="27" t="n">
        <v>0.5</v>
      </c>
      <c r="K259" s="28">
        <f>IFERROR(H259,0)</f>
        <v/>
      </c>
      <c r="L259" s="29" t="n">
        <v>0.4671</v>
      </c>
      <c r="M259" s="29" t="n">
        <v>0.2114</v>
      </c>
      <c r="N259" s="29" t="n">
        <v>0.1815</v>
      </c>
      <c r="O259" s="29" t="n">
        <v>0.1422</v>
      </c>
      <c r="P259" s="30">
        <f>IFERROR(IF(K259=0,"待填成本",ROUND(K259/(1-L259),0)),"" )</f>
        <v/>
      </c>
      <c r="Q259" s="30">
        <f>IFERROR(IF(K259=0,"待填成本",ROUND(K259/(1-M259),0)),"" )</f>
        <v/>
      </c>
      <c r="R259" s="30">
        <f>IFERROR(IF(K259=0,"待填成本",ROUND(K259/(1-N259),0)),"" )</f>
        <v/>
      </c>
      <c r="S259" s="30">
        <f>IFERROR(IF(K259=0,"待填成本",ROUND(K259/(1-O259),0)),"" )</f>
        <v/>
      </c>
      <c r="T259" s="31">
        <f>IFERROR(IF(K259=0,"",(P259-K259)/P259),"" )</f>
        <v/>
      </c>
      <c r="U259" s="31">
        <f>IFERROR(IF(K259=0,"",(Q259-K259)/Q259),"" )</f>
        <v/>
      </c>
      <c r="V259" s="31">
        <f>IFERROR(IF(K259=0,"",(R259-K259)/R259),"" )</f>
        <v/>
      </c>
      <c r="W259" s="31">
        <f>IFERROR(IF(K259=0,"",(S259-K259)/S259),"" )</f>
        <v/>
      </c>
      <c r="X259" s="36" t="n"/>
      <c r="Y259" s="37" t="n">
        <v>5.174999999999999</v>
      </c>
      <c r="Z259" s="36" t="n"/>
      <c r="AA259" s="36" t="n"/>
      <c r="AB259" s="36" t="n"/>
      <c r="AC259" s="36" t="n"/>
      <c r="AD259" s="36" t="n"/>
      <c r="AE259" s="36" t="n"/>
      <c r="AF259" s="33" t="n"/>
      <c r="AG259" s="33" t="n"/>
      <c r="AH259" s="35" t="inlineStr"/>
    </row>
    <row r="260" ht="18" customHeight="1">
      <c r="A260" s="25" t="inlineStr">
        <is>
          <t>2521008040199</t>
        </is>
      </c>
      <c r="B260" s="6" t="inlineStr">
        <is>
          <t>餐厅-桌</t>
        </is>
      </c>
      <c r="C260" s="5" t="inlineStr">
        <is>
          <t>畔色樱桃木岩板餐桌2025 |樱桃木洞石餐桌 |樱桃木圆弧餐桌</t>
        </is>
      </c>
      <c r="D260" s="5" t="inlineStr">
        <is>
          <t>黑色岩板-1.6米</t>
        </is>
      </c>
      <c r="E260" s="6" t="inlineStr">
        <is>
          <t>北美进口FAS级樱桃木</t>
        </is>
      </c>
      <c r="F260" s="6" t="inlineStr">
        <is>
          <t>台面：白色岩板/黑色岩板/实木台面</t>
        </is>
      </c>
      <c r="G260" s="5" t="inlineStr">
        <is>
          <t xml:space="preserve">长度：1200mm/1400mm/1600mm/1800mm/2000mm
宽度：850mm
高度：750mm
</t>
        </is>
      </c>
      <c r="H260" s="26" t="n">
        <v>1630.9</v>
      </c>
      <c r="I260" s="26" t="n">
        <v>1200</v>
      </c>
      <c r="J260" s="27" t="n">
        <v>0.5</v>
      </c>
      <c r="K260" s="28">
        <f>IFERROR(H260,0)</f>
        <v/>
      </c>
      <c r="L260" s="29" t="n">
        <v>0.4674</v>
      </c>
      <c r="M260" s="29" t="n">
        <v>0.2102</v>
      </c>
      <c r="N260" s="29" t="n">
        <v>0.1823</v>
      </c>
      <c r="O260" s="29" t="n">
        <v>0.1419</v>
      </c>
      <c r="P260" s="30">
        <f>IFERROR(IF(K260=0,"待填成本",ROUND(K260/(1-L260),0)),"" )</f>
        <v/>
      </c>
      <c r="Q260" s="30">
        <f>IFERROR(IF(K260=0,"待填成本",ROUND(K260/(1-M260),0)),"" )</f>
        <v/>
      </c>
      <c r="R260" s="30">
        <f>IFERROR(IF(K260=0,"待填成本",ROUND(K260/(1-N260),0)),"" )</f>
        <v/>
      </c>
      <c r="S260" s="30">
        <f>IFERROR(IF(K260=0,"待填成本",ROUND(K260/(1-O260),0)),"" )</f>
        <v/>
      </c>
      <c r="T260" s="31">
        <f>IFERROR(IF(K260=0,"",(P260-K260)/P260),"" )</f>
        <v/>
      </c>
      <c r="U260" s="31">
        <f>IFERROR(IF(K260=0,"",(Q260-K260)/Q260),"" )</f>
        <v/>
      </c>
      <c r="V260" s="31">
        <f>IFERROR(IF(K260=0,"",(R260-K260)/R260),"" )</f>
        <v/>
      </c>
      <c r="W260" s="31">
        <f>IFERROR(IF(K260=0,"",(S260-K260)/S260),"" )</f>
        <v/>
      </c>
      <c r="X260" s="32" t="n"/>
      <c r="Y260" s="37" t="n">
        <v>5.462499999999999</v>
      </c>
      <c r="Z260" s="32" t="n"/>
      <c r="AA260" s="32" t="n"/>
      <c r="AB260" s="32" t="n"/>
      <c r="AC260" s="32" t="n"/>
      <c r="AD260" s="32" t="n"/>
      <c r="AE260" s="32" t="n"/>
      <c r="AF260" s="33" t="n"/>
      <c r="AG260" s="33" t="n"/>
      <c r="AH260" s="5" t="inlineStr"/>
    </row>
    <row r="261" ht="18" customHeight="1">
      <c r="A261" s="25" t="inlineStr">
        <is>
          <t>2521008040199</t>
        </is>
      </c>
      <c r="B261" s="34" t="inlineStr">
        <is>
          <t>餐厅-桌</t>
        </is>
      </c>
      <c r="C261" s="35" t="inlineStr">
        <is>
          <t>畔色樱桃木岩板餐桌2025 |樱桃木洞石餐桌 |樱桃木圆弧餐桌</t>
        </is>
      </c>
      <c r="D261" s="35" t="inlineStr">
        <is>
          <t>黑色岩板-1.7米</t>
        </is>
      </c>
      <c r="E261" s="34" t="inlineStr">
        <is>
          <t>北美进口FAS级樱桃木</t>
        </is>
      </c>
      <c r="F261" s="34" t="inlineStr">
        <is>
          <t>台面：白色岩板/黑色岩板/实木台面</t>
        </is>
      </c>
      <c r="G261" s="35" t="inlineStr">
        <is>
          <t xml:space="preserve">长度：1200mm/1400mm/1600mm/1800mm/2000mm
宽度：850mm
高度：750mm
</t>
        </is>
      </c>
      <c r="H261" s="26" t="n">
        <v>1675.9</v>
      </c>
      <c r="I261" s="26" t="n">
        <v>1225</v>
      </c>
      <c r="J261" s="27" t="n">
        <v>0.5</v>
      </c>
      <c r="K261" s="28">
        <f>IFERROR(H261,0)</f>
        <v/>
      </c>
      <c r="L261" s="29" t="n">
        <v>0.4673</v>
      </c>
      <c r="M261" s="29" t="n">
        <v>0.2106</v>
      </c>
      <c r="N261" s="29" t="n">
        <v>0.1818</v>
      </c>
      <c r="O261" s="29" t="n">
        <v>0.1423</v>
      </c>
      <c r="P261" s="30">
        <f>IFERROR(IF(K261=0,"待填成本",ROUND(K261/(1-L261),0)),"" )</f>
        <v/>
      </c>
      <c r="Q261" s="30">
        <f>IFERROR(IF(K261=0,"待填成本",ROUND(K261/(1-M261),0)),"" )</f>
        <v/>
      </c>
      <c r="R261" s="30">
        <f>IFERROR(IF(K261=0,"待填成本",ROUND(K261/(1-N261),0)),"" )</f>
        <v/>
      </c>
      <c r="S261" s="30">
        <f>IFERROR(IF(K261=0,"待填成本",ROUND(K261/(1-O261),0)),"" )</f>
        <v/>
      </c>
      <c r="T261" s="31">
        <f>IFERROR(IF(K261=0,"",(P261-K261)/P261),"" )</f>
        <v/>
      </c>
      <c r="U261" s="31">
        <f>IFERROR(IF(K261=0,"",(Q261-K261)/Q261),"" )</f>
        <v/>
      </c>
      <c r="V261" s="31">
        <f>IFERROR(IF(K261=0,"",(R261-K261)/R261),"" )</f>
        <v/>
      </c>
      <c r="W261" s="31">
        <f>IFERROR(IF(K261=0,"",(S261-K261)/S261),"" )</f>
        <v/>
      </c>
      <c r="X261" s="36" t="n"/>
      <c r="Y261" s="37" t="n">
        <v>5.75</v>
      </c>
      <c r="Z261" s="36" t="n"/>
      <c r="AA261" s="36" t="n"/>
      <c r="AB261" s="36" t="n"/>
      <c r="AC261" s="36" t="n"/>
      <c r="AD261" s="36" t="n"/>
      <c r="AE261" s="36" t="n"/>
      <c r="AF261" s="33" t="n"/>
      <c r="AG261" s="33" t="n"/>
      <c r="AH261" s="35" t="inlineStr"/>
    </row>
    <row r="262" ht="18" customHeight="1">
      <c r="A262" s="25" t="inlineStr">
        <is>
          <t>2521008040199</t>
        </is>
      </c>
      <c r="B262" s="6" t="inlineStr">
        <is>
          <t>餐厅-桌</t>
        </is>
      </c>
      <c r="C262" s="5" t="inlineStr">
        <is>
          <t>畔色樱桃木岩板餐桌2025 |樱桃木洞石餐桌 |樱桃木圆弧餐桌</t>
        </is>
      </c>
      <c r="D262" s="5" t="inlineStr">
        <is>
          <t>黑色岩板-1.8米</t>
        </is>
      </c>
      <c r="E262" s="6" t="inlineStr">
        <is>
          <t>北美进口FAS级樱桃木</t>
        </is>
      </c>
      <c r="F262" s="6" t="inlineStr">
        <is>
          <t>台面：白色岩板/黑色岩板/实木台面</t>
        </is>
      </c>
      <c r="G262" s="5" t="inlineStr">
        <is>
          <t xml:space="preserve">长度：1200mm/1400mm/1600mm/1800mm/2000mm
宽度：850mm
高度：750mm
</t>
        </is>
      </c>
      <c r="H262" s="26" t="n">
        <v>1720.9</v>
      </c>
      <c r="I262" s="26" t="n">
        <v>1250</v>
      </c>
      <c r="J262" s="27" t="n">
        <v>0.5</v>
      </c>
      <c r="K262" s="28">
        <f>IFERROR(H262,0)</f>
        <v/>
      </c>
      <c r="L262" s="29" t="n">
        <v>0.4673</v>
      </c>
      <c r="M262" s="29" t="n">
        <v>0.211</v>
      </c>
      <c r="N262" s="29" t="n">
        <v>0.1814</v>
      </c>
      <c r="O262" s="29" t="n">
        <v>0.1427</v>
      </c>
      <c r="P262" s="30">
        <f>IFERROR(IF(K262=0,"待填成本",ROUND(K262/(1-L262),0)),"" )</f>
        <v/>
      </c>
      <c r="Q262" s="30">
        <f>IFERROR(IF(K262=0,"待填成本",ROUND(K262/(1-M262),0)),"" )</f>
        <v/>
      </c>
      <c r="R262" s="30">
        <f>IFERROR(IF(K262=0,"待填成本",ROUND(K262/(1-N262),0)),"" )</f>
        <v/>
      </c>
      <c r="S262" s="30">
        <f>IFERROR(IF(K262=0,"待填成本",ROUND(K262/(1-O262),0)),"" )</f>
        <v/>
      </c>
      <c r="T262" s="31">
        <f>IFERROR(IF(K262=0,"",(P262-K262)/P262),"" )</f>
        <v/>
      </c>
      <c r="U262" s="31">
        <f>IFERROR(IF(K262=0,"",(Q262-K262)/Q262),"" )</f>
        <v/>
      </c>
      <c r="V262" s="31">
        <f>IFERROR(IF(K262=0,"",(R262-K262)/R262),"" )</f>
        <v/>
      </c>
      <c r="W262" s="31">
        <f>IFERROR(IF(K262=0,"",(S262-K262)/S262),"" )</f>
        <v/>
      </c>
      <c r="X262" s="32" t="n"/>
      <c r="Y262" s="37" t="n">
        <v>6.0375</v>
      </c>
      <c r="Z262" s="32" t="n"/>
      <c r="AA262" s="32" t="n"/>
      <c r="AB262" s="32" t="n"/>
      <c r="AC262" s="32" t="n"/>
      <c r="AD262" s="32" t="n"/>
      <c r="AE262" s="32" t="n"/>
      <c r="AF262" s="33" t="n"/>
      <c r="AG262" s="33" t="n"/>
      <c r="AH262" s="5" t="inlineStr"/>
    </row>
    <row r="263" ht="18" customHeight="1">
      <c r="A263" s="25" t="inlineStr">
        <is>
          <t>2521008040199</t>
        </is>
      </c>
      <c r="B263" s="34" t="inlineStr">
        <is>
          <t>餐厅-桌</t>
        </is>
      </c>
      <c r="C263" s="35" t="inlineStr">
        <is>
          <t>畔色樱桃木岩板餐桌2025 |樱桃木洞石餐桌 |樱桃木圆弧餐桌</t>
        </is>
      </c>
      <c r="D263" s="35" t="inlineStr">
        <is>
          <t>黑色岩板-1.9米</t>
        </is>
      </c>
      <c r="E263" s="34" t="inlineStr">
        <is>
          <t>北美进口FAS级樱桃木</t>
        </is>
      </c>
      <c r="F263" s="34" t="inlineStr">
        <is>
          <t>台面：白色岩板/黑色岩板/实木台面</t>
        </is>
      </c>
      <c r="G263" s="35" t="inlineStr">
        <is>
          <t xml:space="preserve">长度：1200mm/1400mm/1600mm/1800mm/2000mm
宽度：850mm
高度：750mm
</t>
        </is>
      </c>
      <c r="H263" s="26" t="n">
        <v>1863.9</v>
      </c>
      <c r="I263" s="26" t="n">
        <v>1300</v>
      </c>
      <c r="J263" s="27" t="n">
        <v>0.5</v>
      </c>
      <c r="K263" s="28">
        <f>IFERROR(H263,0)</f>
        <v/>
      </c>
      <c r="L263" s="29" t="n">
        <v>0.467</v>
      </c>
      <c r="M263" s="29" t="n">
        <v>0.2108</v>
      </c>
      <c r="N263" s="29" t="n">
        <v>0.1816</v>
      </c>
      <c r="O263" s="29" t="n">
        <v>0.1423</v>
      </c>
      <c r="P263" s="30">
        <f>IFERROR(IF(K263=0,"待填成本",ROUND(K263/(1-L263),0)),"" )</f>
        <v/>
      </c>
      <c r="Q263" s="30">
        <f>IFERROR(IF(K263=0,"待填成本",ROUND(K263/(1-M263),0)),"" )</f>
        <v/>
      </c>
      <c r="R263" s="30">
        <f>IFERROR(IF(K263=0,"待填成本",ROUND(K263/(1-N263),0)),"" )</f>
        <v/>
      </c>
      <c r="S263" s="30">
        <f>IFERROR(IF(K263=0,"待填成本",ROUND(K263/(1-O263),0)),"" )</f>
        <v/>
      </c>
      <c r="T263" s="31">
        <f>IFERROR(IF(K263=0,"",(P263-K263)/P263),"" )</f>
        <v/>
      </c>
      <c r="U263" s="31">
        <f>IFERROR(IF(K263=0,"",(Q263-K263)/Q263),"" )</f>
        <v/>
      </c>
      <c r="V263" s="31">
        <f>IFERROR(IF(K263=0,"",(R263-K263)/R263),"" )</f>
        <v/>
      </c>
      <c r="W263" s="31">
        <f>IFERROR(IF(K263=0,"",(S263-K263)/S263),"" )</f>
        <v/>
      </c>
      <c r="X263" s="36" t="n"/>
      <c r="Y263" s="37" t="n">
        <v>6.324999999999999</v>
      </c>
      <c r="Z263" s="36" t="n"/>
      <c r="AA263" s="36" t="n"/>
      <c r="AB263" s="36" t="n"/>
      <c r="AC263" s="36" t="n"/>
      <c r="AD263" s="36" t="n"/>
      <c r="AE263" s="36" t="n"/>
      <c r="AF263" s="33" t="n"/>
      <c r="AG263" s="33" t="n"/>
      <c r="AH263" s="35" t="inlineStr"/>
    </row>
    <row r="264" ht="18" customHeight="1">
      <c r="A264" s="25" t="inlineStr">
        <is>
          <t>2521008040199</t>
        </is>
      </c>
      <c r="B264" s="6" t="inlineStr">
        <is>
          <t>餐厅-桌</t>
        </is>
      </c>
      <c r="C264" s="5" t="inlineStr">
        <is>
          <t>畔色樱桃木岩板餐桌2025 |樱桃木洞石餐桌 |樱桃木圆弧餐桌</t>
        </is>
      </c>
      <c r="D264" s="5" t="inlineStr">
        <is>
          <t>黑色岩板-2.0米</t>
        </is>
      </c>
      <c r="E264" s="6" t="inlineStr">
        <is>
          <t>北美进口FAS级樱桃木</t>
        </is>
      </c>
      <c r="F264" s="6" t="inlineStr">
        <is>
          <t>台面：白色岩板/黑色岩板/实木台面</t>
        </is>
      </c>
      <c r="G264" s="5" t="inlineStr">
        <is>
          <t xml:space="preserve">长度：1200mm/1400mm/1600mm/1800mm/2000mm
宽度：850mm
高度：750mm
</t>
        </is>
      </c>
      <c r="H264" s="26" t="n">
        <v>2006.9</v>
      </c>
      <c r="I264" s="26" t="n">
        <v>1350</v>
      </c>
      <c r="J264" s="27" t="n">
        <v>0.5</v>
      </c>
      <c r="K264" s="28">
        <f>IFERROR(H264,0)</f>
        <v/>
      </c>
      <c r="L264" s="29" t="n">
        <v>0.4669</v>
      </c>
      <c r="M264" s="29" t="n">
        <v>0.2105</v>
      </c>
      <c r="N264" s="29" t="n">
        <v>0.1817</v>
      </c>
      <c r="O264" s="29" t="n">
        <v>0.142</v>
      </c>
      <c r="P264" s="30">
        <f>IFERROR(IF(K264=0,"待填成本",ROUND(K264/(1-L264),0)),"" )</f>
        <v/>
      </c>
      <c r="Q264" s="30">
        <f>IFERROR(IF(K264=0,"待填成本",ROUND(K264/(1-M264),0)),"" )</f>
        <v/>
      </c>
      <c r="R264" s="30">
        <f>IFERROR(IF(K264=0,"待填成本",ROUND(K264/(1-N264),0)),"" )</f>
        <v/>
      </c>
      <c r="S264" s="30">
        <f>IFERROR(IF(K264=0,"待填成本",ROUND(K264/(1-O264),0)),"" )</f>
        <v/>
      </c>
      <c r="T264" s="31">
        <f>IFERROR(IF(K264=0,"",(P264-K264)/P264),"" )</f>
        <v/>
      </c>
      <c r="U264" s="31">
        <f>IFERROR(IF(K264=0,"",(Q264-K264)/Q264),"" )</f>
        <v/>
      </c>
      <c r="V264" s="31">
        <f>IFERROR(IF(K264=0,"",(R264-K264)/R264),"" )</f>
        <v/>
      </c>
      <c r="W264" s="31">
        <f>IFERROR(IF(K264=0,"",(S264-K264)/S264),"" )</f>
        <v/>
      </c>
      <c r="X264" s="32" t="n"/>
      <c r="Y264" s="37" t="n">
        <v>6.6125</v>
      </c>
      <c r="Z264" s="32" t="n"/>
      <c r="AA264" s="32" t="n"/>
      <c r="AB264" s="32" t="n"/>
      <c r="AC264" s="32" t="n"/>
      <c r="AD264" s="32" t="n"/>
      <c r="AE264" s="32" t="n"/>
      <c r="AF264" s="33" t="n"/>
      <c r="AG264" s="33" t="n"/>
      <c r="AH264" s="5" t="inlineStr"/>
    </row>
    <row r="265" ht="18" customHeight="1">
      <c r="A265" s="25" t="inlineStr">
        <is>
          <t>2521008040199</t>
        </is>
      </c>
      <c r="B265" s="34" t="inlineStr">
        <is>
          <t>餐厅-桌</t>
        </is>
      </c>
      <c r="C265" s="35" t="inlineStr">
        <is>
          <t>畔色樱桃木岩板餐桌2025 |樱桃木洞石餐桌 |樱桃木圆弧餐桌</t>
        </is>
      </c>
      <c r="D265" s="35" t="inlineStr">
        <is>
          <t>黑色岩板-2.1米</t>
        </is>
      </c>
      <c r="E265" s="34" t="inlineStr">
        <is>
          <t>北美进口FAS级樱桃木</t>
        </is>
      </c>
      <c r="F265" s="34" t="inlineStr">
        <is>
          <t>台面：白色岩板/黑色岩板/实木台面</t>
        </is>
      </c>
      <c r="G265" s="35" t="inlineStr">
        <is>
          <t xml:space="preserve">长度：1200mm/1400mm/1600mm/1800mm/2000mm
宽度：850mm
高度：750mm
</t>
        </is>
      </c>
      <c r="H265" s="26" t="n">
        <v>2149.9</v>
      </c>
      <c r="I265" s="26" t="n">
        <v>1400</v>
      </c>
      <c r="J265" s="27" t="n">
        <v>0.5</v>
      </c>
      <c r="K265" s="28">
        <f>IFERROR(H265,0)</f>
        <v/>
      </c>
      <c r="L265" s="29" t="n">
        <v>0.4667</v>
      </c>
      <c r="M265" s="29" t="n">
        <v>0.2103</v>
      </c>
      <c r="N265" s="29" t="n">
        <v>0.1819</v>
      </c>
      <c r="O265" s="29" t="n">
        <v>0.1417</v>
      </c>
      <c r="P265" s="30">
        <f>IFERROR(IF(K265=0,"待填成本",ROUND(K265/(1-L265),0)),"" )</f>
        <v/>
      </c>
      <c r="Q265" s="30">
        <f>IFERROR(IF(K265=0,"待填成本",ROUND(K265/(1-M265),0)),"" )</f>
        <v/>
      </c>
      <c r="R265" s="30">
        <f>IFERROR(IF(K265=0,"待填成本",ROUND(K265/(1-N265),0)),"" )</f>
        <v/>
      </c>
      <c r="S265" s="30">
        <f>IFERROR(IF(K265=0,"待填成本",ROUND(K265/(1-O265),0)),"" )</f>
        <v/>
      </c>
      <c r="T265" s="31">
        <f>IFERROR(IF(K265=0,"",(P265-K265)/P265),"" )</f>
        <v/>
      </c>
      <c r="U265" s="31">
        <f>IFERROR(IF(K265=0,"",(Q265-K265)/Q265),"" )</f>
        <v/>
      </c>
      <c r="V265" s="31">
        <f>IFERROR(IF(K265=0,"",(R265-K265)/R265),"" )</f>
        <v/>
      </c>
      <c r="W265" s="31">
        <f>IFERROR(IF(K265=0,"",(S265-K265)/S265),"" )</f>
        <v/>
      </c>
      <c r="X265" s="36" t="n"/>
      <c r="Y265" s="37" t="n">
        <v>6.9</v>
      </c>
      <c r="Z265" s="36" t="n"/>
      <c r="AA265" s="36" t="n"/>
      <c r="AB265" s="36" t="n"/>
      <c r="AC265" s="36" t="n"/>
      <c r="AD265" s="36" t="n"/>
      <c r="AE265" s="36" t="n"/>
      <c r="AF265" s="33" t="n"/>
      <c r="AG265" s="33" t="n"/>
      <c r="AH265" s="35" t="inlineStr"/>
    </row>
    <row r="266" ht="18" customHeight="1">
      <c r="A266" s="25" t="inlineStr">
        <is>
          <t>2521008040199</t>
        </is>
      </c>
      <c r="B266" s="6" t="inlineStr">
        <is>
          <t>餐厅-桌</t>
        </is>
      </c>
      <c r="C266" s="5" t="inlineStr">
        <is>
          <t>畔色樱桃木岩板餐桌2025 |樱桃木洞石餐桌 |樱桃木圆弧餐桌</t>
        </is>
      </c>
      <c r="D266" s="5" t="inlineStr">
        <is>
          <t>黑色岩板-2.2米</t>
        </is>
      </c>
      <c r="E266" s="6" t="inlineStr">
        <is>
          <t>北美进口FAS级樱桃木</t>
        </is>
      </c>
      <c r="F266" s="6" t="inlineStr">
        <is>
          <t>台面：白色岩板/黑色岩板/实木台面</t>
        </is>
      </c>
      <c r="G266" s="5" t="inlineStr">
        <is>
          <t xml:space="preserve">长度：1200mm/1400mm/1600mm/1800mm/2000mm
宽度：850mm
高度：750mm
</t>
        </is>
      </c>
      <c r="H266" s="26" t="n">
        <v>2292.9</v>
      </c>
      <c r="I266" s="26" t="n">
        <v>1450</v>
      </c>
      <c r="J266" s="27" t="n">
        <v>0.5</v>
      </c>
      <c r="K266" s="28">
        <f>IFERROR(H266,0)</f>
        <v/>
      </c>
      <c r="L266" s="29" t="n">
        <v>0.4665</v>
      </c>
      <c r="M266" s="29" t="n">
        <v>0.2101</v>
      </c>
      <c r="N266" s="29" t="n">
        <v>0.182</v>
      </c>
      <c r="O266" s="29" t="n">
        <v>0.1414</v>
      </c>
      <c r="P266" s="30">
        <f>IFERROR(IF(K266=0,"待填成本",ROUND(K266/(1-L266),0)),"" )</f>
        <v/>
      </c>
      <c r="Q266" s="30">
        <f>IFERROR(IF(K266=0,"待填成本",ROUND(K266/(1-M266),0)),"" )</f>
        <v/>
      </c>
      <c r="R266" s="30">
        <f>IFERROR(IF(K266=0,"待填成本",ROUND(K266/(1-N266),0)),"" )</f>
        <v/>
      </c>
      <c r="S266" s="30">
        <f>IFERROR(IF(K266=0,"待填成本",ROUND(K266/(1-O266),0)),"" )</f>
        <v/>
      </c>
      <c r="T266" s="31">
        <f>IFERROR(IF(K266=0,"",(P266-K266)/P266),"" )</f>
        <v/>
      </c>
      <c r="U266" s="31">
        <f>IFERROR(IF(K266=0,"",(Q266-K266)/Q266),"" )</f>
        <v/>
      </c>
      <c r="V266" s="31">
        <f>IFERROR(IF(K266=0,"",(R266-K266)/R266),"" )</f>
        <v/>
      </c>
      <c r="W266" s="31">
        <f>IFERROR(IF(K266=0,"",(S266-K266)/S266),"" )</f>
        <v/>
      </c>
      <c r="X266" s="32" t="n"/>
      <c r="Y266" s="37" t="n">
        <v>7.1875</v>
      </c>
      <c r="Z266" s="32" t="n"/>
      <c r="AA266" s="32" t="n"/>
      <c r="AB266" s="32" t="n"/>
      <c r="AC266" s="32" t="n"/>
      <c r="AD266" s="32" t="n"/>
      <c r="AE266" s="32" t="n"/>
      <c r="AF266" s="33" t="n"/>
      <c r="AG266" s="33" t="n"/>
      <c r="AH266" s="5" t="inlineStr"/>
    </row>
    <row r="267" ht="18" customHeight="1">
      <c r="A267" s="25" t="inlineStr">
        <is>
          <t>2521008040199</t>
        </is>
      </c>
      <c r="B267" s="34" t="inlineStr">
        <is>
          <t>餐厅-桌</t>
        </is>
      </c>
      <c r="C267" s="35" t="inlineStr">
        <is>
          <t>畔色樱桃木岩板餐桌2025 |樱桃木洞石餐桌 |樱桃木圆弧餐桌</t>
        </is>
      </c>
      <c r="D267" s="35" t="inlineStr">
        <is>
          <t>樱桃木-1.0米</t>
        </is>
      </c>
      <c r="E267" s="34" t="inlineStr">
        <is>
          <t>北美进口FAS级樱桃木</t>
        </is>
      </c>
      <c r="F267" s="34" t="inlineStr">
        <is>
          <t>台面：白色岩板/黑色岩板/实木台面</t>
        </is>
      </c>
      <c r="G267" s="35" t="inlineStr">
        <is>
          <t xml:space="preserve">长度：1200mm/1400mm/1600mm/1800mm/2000mm
宽度：850mm
高度：750mm
</t>
        </is>
      </c>
      <c r="H267" s="26" t="n">
        <v>1710.9</v>
      </c>
      <c r="I267" s="26" t="n">
        <v>1550</v>
      </c>
      <c r="J267" s="27" t="n">
        <v>0.5</v>
      </c>
      <c r="K267" s="28">
        <f>IFERROR(H267,0)</f>
        <v/>
      </c>
      <c r="L267" s="29" t="n">
        <v>0.4659</v>
      </c>
      <c r="M267" s="29" t="n">
        <v>0.209</v>
      </c>
      <c r="N267" s="29" t="n">
        <v>0.1852</v>
      </c>
      <c r="O267" s="29" t="n">
        <v>0.1434</v>
      </c>
      <c r="P267" s="30">
        <f>IFERROR(IF(K267=0,"待填成本",ROUND(K267/(1-L267),0)),"" )</f>
        <v/>
      </c>
      <c r="Q267" s="30">
        <f>IFERROR(IF(K267=0,"待填成本",ROUND(K267/(1-M267),0)),"" )</f>
        <v/>
      </c>
      <c r="R267" s="30">
        <f>IFERROR(IF(K267=0,"待填成本",ROUND(K267/(1-N267),0)),"" )</f>
        <v/>
      </c>
      <c r="S267" s="30">
        <f>IFERROR(IF(K267=0,"待填成本",ROUND(K267/(1-O267),0)),"" )</f>
        <v/>
      </c>
      <c r="T267" s="31">
        <f>IFERROR(IF(K267=0,"",(P267-K267)/P267),"" )</f>
        <v/>
      </c>
      <c r="U267" s="31">
        <f>IFERROR(IF(K267=0,"",(Q267-K267)/Q267),"" )</f>
        <v/>
      </c>
      <c r="V267" s="31">
        <f>IFERROR(IF(K267=0,"",(R267-K267)/R267),"" )</f>
        <v/>
      </c>
      <c r="W267" s="31">
        <f>IFERROR(IF(K267=0,"",(S267-K267)/S267),"" )</f>
        <v/>
      </c>
      <c r="X267" s="36" t="n"/>
      <c r="Y267" s="37" t="n">
        <v>5.174999999999996</v>
      </c>
      <c r="Z267" s="36" t="n"/>
      <c r="AA267" s="36" t="n"/>
      <c r="AB267" s="36" t="n"/>
      <c r="AC267" s="36" t="n"/>
      <c r="AD267" s="36" t="n"/>
      <c r="AE267" s="36" t="n"/>
      <c r="AF267" s="33" t="n"/>
      <c r="AG267" s="33" t="n"/>
      <c r="AH267" s="35" t="inlineStr"/>
    </row>
    <row r="268" ht="18" customHeight="1">
      <c r="A268" s="25" t="inlineStr">
        <is>
          <t>2521008040199</t>
        </is>
      </c>
      <c r="B268" s="6" t="inlineStr">
        <is>
          <t>餐厅-桌</t>
        </is>
      </c>
      <c r="C268" s="5" t="inlineStr">
        <is>
          <t>畔色樱桃木岩板餐桌2025 |樱桃木洞石餐桌 |樱桃木圆弧餐桌</t>
        </is>
      </c>
      <c r="D268" s="5" t="inlineStr">
        <is>
          <t>樱桃木-1.1米</t>
        </is>
      </c>
      <c r="E268" s="6" t="inlineStr">
        <is>
          <t>北美进口FAS级樱桃木</t>
        </is>
      </c>
      <c r="F268" s="6" t="inlineStr">
        <is>
          <t>台面：白色岩板/黑色岩板/实木台面</t>
        </is>
      </c>
      <c r="G268" s="5" t="inlineStr">
        <is>
          <t xml:space="preserve">长度：1200mm/1400mm/1600mm/1800mm/2000mm
宽度：850mm
高度：750mm
</t>
        </is>
      </c>
      <c r="H268" s="26" t="n">
        <v>1740.9</v>
      </c>
      <c r="I268" s="26" t="n">
        <v>1575</v>
      </c>
      <c r="J268" s="27" t="n">
        <v>0.5</v>
      </c>
      <c r="K268" s="28">
        <f>IFERROR(H268,0)</f>
        <v/>
      </c>
      <c r="L268" s="29" t="n">
        <v>0.4662</v>
      </c>
      <c r="M268" s="29" t="n">
        <v>0.2093</v>
      </c>
      <c r="N268" s="29" t="n">
        <v>0.1844</v>
      </c>
      <c r="O268" s="29" t="n">
        <v>0.1431</v>
      </c>
      <c r="P268" s="30">
        <f>IFERROR(IF(K268=0,"待填成本",ROUND(K268/(1-L268),0)),"" )</f>
        <v/>
      </c>
      <c r="Q268" s="30">
        <f>IFERROR(IF(K268=0,"待填成本",ROUND(K268/(1-M268),0)),"" )</f>
        <v/>
      </c>
      <c r="R268" s="30">
        <f>IFERROR(IF(K268=0,"待填成本",ROUND(K268/(1-N268),0)),"" )</f>
        <v/>
      </c>
      <c r="S268" s="30">
        <f>IFERROR(IF(K268=0,"待填成本",ROUND(K268/(1-O268),0)),"" )</f>
        <v/>
      </c>
      <c r="T268" s="31">
        <f>IFERROR(IF(K268=0,"",(P268-K268)/P268),"" )</f>
        <v/>
      </c>
      <c r="U268" s="31">
        <f>IFERROR(IF(K268=0,"",(Q268-K268)/Q268),"" )</f>
        <v/>
      </c>
      <c r="V268" s="31">
        <f>IFERROR(IF(K268=0,"",(R268-K268)/R268),"" )</f>
        <v/>
      </c>
      <c r="W268" s="31">
        <f>IFERROR(IF(K268=0,"",(S268-K268)/S268),"" )</f>
        <v/>
      </c>
      <c r="X268" s="32" t="n"/>
      <c r="Y268" s="37" t="n">
        <v>5.606249999999997</v>
      </c>
      <c r="Z268" s="32" t="n"/>
      <c r="AA268" s="32" t="n"/>
      <c r="AB268" s="32" t="n"/>
      <c r="AC268" s="32" t="n"/>
      <c r="AD268" s="32" t="n"/>
      <c r="AE268" s="32" t="n"/>
      <c r="AF268" s="33" t="n"/>
      <c r="AG268" s="33" t="n"/>
      <c r="AH268" s="5" t="inlineStr"/>
    </row>
    <row r="269" ht="18" customHeight="1">
      <c r="A269" s="25" t="inlineStr">
        <is>
          <t>2521008040199</t>
        </is>
      </c>
      <c r="B269" s="34" t="inlineStr">
        <is>
          <t>餐厅-桌</t>
        </is>
      </c>
      <c r="C269" s="35" t="inlineStr">
        <is>
          <t>畔色樱桃木岩板餐桌2025 |樱桃木洞石餐桌 |樱桃木圆弧餐桌</t>
        </is>
      </c>
      <c r="D269" s="35" t="inlineStr">
        <is>
          <t>樱桃木-1.2米</t>
        </is>
      </c>
      <c r="E269" s="34" t="inlineStr">
        <is>
          <t>北美进口FAS级樱桃木</t>
        </is>
      </c>
      <c r="F269" s="34" t="inlineStr">
        <is>
          <t>台面：白色岩板/黑色岩板/实木台面</t>
        </is>
      </c>
      <c r="G269" s="35" t="inlineStr">
        <is>
          <t xml:space="preserve">长度：1200mm/1400mm/1600mm/1800mm/2000mm
宽度：850mm
高度：750mm
</t>
        </is>
      </c>
      <c r="H269" s="26" t="n">
        <v>1770.9</v>
      </c>
      <c r="I269" s="26" t="n">
        <v>1600</v>
      </c>
      <c r="J269" s="27" t="n">
        <v>0.5</v>
      </c>
      <c r="K269" s="28">
        <f>IFERROR(H269,0)</f>
        <v/>
      </c>
      <c r="L269" s="29" t="n">
        <v>0.4665</v>
      </c>
      <c r="M269" s="29" t="n">
        <v>0.2096</v>
      </c>
      <c r="N269" s="29" t="n">
        <v>0.1836</v>
      </c>
      <c r="O269" s="29" t="n">
        <v>0.1427</v>
      </c>
      <c r="P269" s="30">
        <f>IFERROR(IF(K269=0,"待填成本",ROUND(K269/(1-L269),0)),"" )</f>
        <v/>
      </c>
      <c r="Q269" s="30">
        <f>IFERROR(IF(K269=0,"待填成本",ROUND(K269/(1-M269),0)),"" )</f>
        <v/>
      </c>
      <c r="R269" s="30">
        <f>IFERROR(IF(K269=0,"待填成本",ROUND(K269/(1-N269),0)),"" )</f>
        <v/>
      </c>
      <c r="S269" s="30">
        <f>IFERROR(IF(K269=0,"待填成本",ROUND(K269/(1-O269),0)),"" )</f>
        <v/>
      </c>
      <c r="T269" s="31">
        <f>IFERROR(IF(K269=0,"",(P269-K269)/P269),"" )</f>
        <v/>
      </c>
      <c r="U269" s="31">
        <f>IFERROR(IF(K269=0,"",(Q269-K269)/Q269),"" )</f>
        <v/>
      </c>
      <c r="V269" s="31">
        <f>IFERROR(IF(K269=0,"",(R269-K269)/R269),"" )</f>
        <v/>
      </c>
      <c r="W269" s="31">
        <f>IFERROR(IF(K269=0,"",(S269-K269)/S269),"" )</f>
        <v/>
      </c>
      <c r="X269" s="36" t="n"/>
      <c r="Y269" s="37" t="n">
        <v>6.037499999999997</v>
      </c>
      <c r="Z269" s="36" t="n"/>
      <c r="AA269" s="36" t="n"/>
      <c r="AB269" s="36" t="n"/>
      <c r="AC269" s="36" t="n"/>
      <c r="AD269" s="36" t="n"/>
      <c r="AE269" s="36" t="n"/>
      <c r="AF269" s="33" t="n"/>
      <c r="AG269" s="33" t="n"/>
      <c r="AH269" s="35" t="inlineStr"/>
    </row>
    <row r="270" ht="18" customHeight="1">
      <c r="A270" s="25" t="inlineStr">
        <is>
          <t>2521008040199</t>
        </is>
      </c>
      <c r="B270" s="6" t="inlineStr">
        <is>
          <t>餐厅-桌</t>
        </is>
      </c>
      <c r="C270" s="5" t="inlineStr">
        <is>
          <t>畔色樱桃木岩板餐桌2025 |樱桃木洞石餐桌 |樱桃木圆弧餐桌</t>
        </is>
      </c>
      <c r="D270" s="5" t="inlineStr">
        <is>
          <t>樱桃木-1.3米</t>
        </is>
      </c>
      <c r="E270" s="6" t="inlineStr">
        <is>
          <t>北美进口FAS级樱桃木</t>
        </is>
      </c>
      <c r="F270" s="6" t="inlineStr">
        <is>
          <t>台面：白色岩板/黑色岩板/实木台面</t>
        </is>
      </c>
      <c r="G270" s="5" t="inlineStr">
        <is>
          <t xml:space="preserve">长度：1200mm/1400mm/1600mm/1800mm/2000mm
宽度：850mm
高度：750mm
</t>
        </is>
      </c>
      <c r="H270" s="26" t="n">
        <v>1800.9</v>
      </c>
      <c r="I270" s="26" t="n">
        <v>1625</v>
      </c>
      <c r="J270" s="27" t="n">
        <v>0.5</v>
      </c>
      <c r="K270" s="28">
        <f>IFERROR(H270,0)</f>
        <v/>
      </c>
      <c r="L270" s="29" t="n">
        <v>0.4667</v>
      </c>
      <c r="M270" s="29" t="n">
        <v>0.2099</v>
      </c>
      <c r="N270" s="29" t="n">
        <v>0.1828</v>
      </c>
      <c r="O270" s="29" t="n">
        <v>0.1424</v>
      </c>
      <c r="P270" s="30">
        <f>IFERROR(IF(K270=0,"待填成本",ROUND(K270/(1-L270),0)),"" )</f>
        <v/>
      </c>
      <c r="Q270" s="30">
        <f>IFERROR(IF(K270=0,"待填成本",ROUND(K270/(1-M270),0)),"" )</f>
        <v/>
      </c>
      <c r="R270" s="30">
        <f>IFERROR(IF(K270=0,"待填成本",ROUND(K270/(1-N270),0)),"" )</f>
        <v/>
      </c>
      <c r="S270" s="30">
        <f>IFERROR(IF(K270=0,"待填成本",ROUND(K270/(1-O270),0)),"" )</f>
        <v/>
      </c>
      <c r="T270" s="31">
        <f>IFERROR(IF(K270=0,"",(P270-K270)/P270),"" )</f>
        <v/>
      </c>
      <c r="U270" s="31">
        <f>IFERROR(IF(K270=0,"",(Q270-K270)/Q270),"" )</f>
        <v/>
      </c>
      <c r="V270" s="31">
        <f>IFERROR(IF(K270=0,"",(R270-K270)/R270),"" )</f>
        <v/>
      </c>
      <c r="W270" s="31">
        <f>IFERROR(IF(K270=0,"",(S270-K270)/S270),"" )</f>
        <v/>
      </c>
      <c r="X270" s="32" t="n"/>
      <c r="Y270" s="37" t="n">
        <v>6.468749999999997</v>
      </c>
      <c r="Z270" s="32" t="n"/>
      <c r="AA270" s="32" t="n"/>
      <c r="AB270" s="32" t="n"/>
      <c r="AC270" s="32" t="n"/>
      <c r="AD270" s="32" t="n"/>
      <c r="AE270" s="32" t="n"/>
      <c r="AF270" s="33" t="n"/>
      <c r="AG270" s="33" t="n"/>
      <c r="AH270" s="5" t="inlineStr"/>
    </row>
    <row r="271" ht="18" customHeight="1">
      <c r="A271" s="25" t="inlineStr">
        <is>
          <t>2521008040199</t>
        </is>
      </c>
      <c r="B271" s="34" t="inlineStr">
        <is>
          <t>餐厅-桌</t>
        </is>
      </c>
      <c r="C271" s="35" t="inlineStr">
        <is>
          <t>畔色樱桃木岩板餐桌2025 |樱桃木洞石餐桌 |樱桃木圆弧餐桌</t>
        </is>
      </c>
      <c r="D271" s="35" t="inlineStr">
        <is>
          <t>樱桃木-1.4米</t>
        </is>
      </c>
      <c r="E271" s="34" t="inlineStr">
        <is>
          <t>北美进口FAS级樱桃木</t>
        </is>
      </c>
      <c r="F271" s="34" t="inlineStr">
        <is>
          <t>台面：白色岩板/黑色岩板/实木台面</t>
        </is>
      </c>
      <c r="G271" s="35" t="inlineStr">
        <is>
          <t xml:space="preserve">长度：1200mm/1400mm/1600mm/1800mm/2000mm
宽度：850mm
高度：750mm
</t>
        </is>
      </c>
      <c r="H271" s="26" t="n">
        <v>1830.9</v>
      </c>
      <c r="I271" s="26" t="n">
        <v>1650</v>
      </c>
      <c r="J271" s="27" t="n">
        <v>0.5</v>
      </c>
      <c r="K271" s="28">
        <f>IFERROR(H271,0)</f>
        <v/>
      </c>
      <c r="L271" s="29" t="n">
        <v>0.467</v>
      </c>
      <c r="M271" s="29" t="n">
        <v>0.2102</v>
      </c>
      <c r="N271" s="29" t="n">
        <v>0.182</v>
      </c>
      <c r="O271" s="29" t="n">
        <v>0.1422</v>
      </c>
      <c r="P271" s="30">
        <f>IFERROR(IF(K271=0,"待填成本",ROUND(K271/(1-L271),0)),"" )</f>
        <v/>
      </c>
      <c r="Q271" s="30">
        <f>IFERROR(IF(K271=0,"待填成本",ROUND(K271/(1-M271),0)),"" )</f>
        <v/>
      </c>
      <c r="R271" s="30">
        <f>IFERROR(IF(K271=0,"待填成本",ROUND(K271/(1-N271),0)),"" )</f>
        <v/>
      </c>
      <c r="S271" s="30">
        <f>IFERROR(IF(K271=0,"待填成本",ROUND(K271/(1-O271),0)),"" )</f>
        <v/>
      </c>
      <c r="T271" s="31">
        <f>IFERROR(IF(K271=0,"",(P271-K271)/P271),"" )</f>
        <v/>
      </c>
      <c r="U271" s="31">
        <f>IFERROR(IF(K271=0,"",(Q271-K271)/Q271),"" )</f>
        <v/>
      </c>
      <c r="V271" s="31">
        <f>IFERROR(IF(K271=0,"",(R271-K271)/R271),"" )</f>
        <v/>
      </c>
      <c r="W271" s="31">
        <f>IFERROR(IF(K271=0,"",(S271-K271)/S271),"" )</f>
        <v/>
      </c>
      <c r="X271" s="36" t="n"/>
      <c r="Y271" s="37" t="n">
        <v>6.899999999999998</v>
      </c>
      <c r="Z271" s="36" t="n"/>
      <c r="AA271" s="36" t="n"/>
      <c r="AB271" s="36" t="n"/>
      <c r="AC271" s="36" t="n"/>
      <c r="AD271" s="36" t="n"/>
      <c r="AE271" s="36" t="n"/>
      <c r="AF271" s="33" t="n"/>
      <c r="AG271" s="33" t="n"/>
      <c r="AH271" s="35" t="inlineStr"/>
    </row>
    <row r="272" ht="18" customHeight="1">
      <c r="A272" s="25" t="inlineStr">
        <is>
          <t>2521008040199</t>
        </is>
      </c>
      <c r="B272" s="6" t="inlineStr">
        <is>
          <t>餐厅-桌</t>
        </is>
      </c>
      <c r="C272" s="5" t="inlineStr">
        <is>
          <t>畔色樱桃木岩板餐桌2025 |樱桃木洞石餐桌 |樱桃木圆弧餐桌</t>
        </is>
      </c>
      <c r="D272" s="5" t="inlineStr">
        <is>
          <t>樱桃木-1.5米</t>
        </is>
      </c>
      <c r="E272" s="6" t="inlineStr">
        <is>
          <t>北美进口FAS级樱桃木</t>
        </is>
      </c>
      <c r="F272" s="6" t="inlineStr">
        <is>
          <t>台面：白色岩板/黑色岩板/实木台面</t>
        </is>
      </c>
      <c r="G272" s="5" t="inlineStr">
        <is>
          <t xml:space="preserve">长度：1200mm/1400mm/1600mm/1800mm/2000mm
宽度：850mm
高度：750mm
</t>
        </is>
      </c>
      <c r="H272" s="26" t="n">
        <v>1860.9</v>
      </c>
      <c r="I272" s="26" t="n">
        <v>1675</v>
      </c>
      <c r="J272" s="27" t="n">
        <v>0.5</v>
      </c>
      <c r="K272" s="28">
        <f>IFERROR(H272,0)</f>
        <v/>
      </c>
      <c r="L272" s="29" t="n">
        <v>0.4673</v>
      </c>
      <c r="M272" s="29" t="n">
        <v>0.2105</v>
      </c>
      <c r="N272" s="29" t="n">
        <v>0.1812</v>
      </c>
      <c r="O272" s="29" t="n">
        <v>0.1419</v>
      </c>
      <c r="P272" s="30">
        <f>IFERROR(IF(K272=0,"待填成本",ROUND(K272/(1-L272),0)),"" )</f>
        <v/>
      </c>
      <c r="Q272" s="30">
        <f>IFERROR(IF(K272=0,"待填成本",ROUND(K272/(1-M272),0)),"" )</f>
        <v/>
      </c>
      <c r="R272" s="30">
        <f>IFERROR(IF(K272=0,"待填成本",ROUND(K272/(1-N272),0)),"" )</f>
        <v/>
      </c>
      <c r="S272" s="30">
        <f>IFERROR(IF(K272=0,"待填成本",ROUND(K272/(1-O272),0)),"" )</f>
        <v/>
      </c>
      <c r="T272" s="31">
        <f>IFERROR(IF(K272=0,"",(P272-K272)/P272),"" )</f>
        <v/>
      </c>
      <c r="U272" s="31">
        <f>IFERROR(IF(K272=0,"",(Q272-K272)/Q272),"" )</f>
        <v/>
      </c>
      <c r="V272" s="31">
        <f>IFERROR(IF(K272=0,"",(R272-K272)/R272),"" )</f>
        <v/>
      </c>
      <c r="W272" s="31">
        <f>IFERROR(IF(K272=0,"",(S272-K272)/S272),"" )</f>
        <v/>
      </c>
      <c r="X272" s="32" t="n"/>
      <c r="Y272" s="37" t="n">
        <v>7.331249999999998</v>
      </c>
      <c r="Z272" s="32" t="n"/>
      <c r="AA272" s="32" t="n"/>
      <c r="AB272" s="32" t="n"/>
      <c r="AC272" s="32" t="n"/>
      <c r="AD272" s="32" t="n"/>
      <c r="AE272" s="32" t="n"/>
      <c r="AF272" s="33" t="n"/>
      <c r="AG272" s="33" t="n"/>
      <c r="AH272" s="5" t="inlineStr"/>
    </row>
    <row r="273" ht="18" customHeight="1">
      <c r="A273" s="25" t="inlineStr">
        <is>
          <t>2521008040199</t>
        </is>
      </c>
      <c r="B273" s="34" t="inlineStr">
        <is>
          <t>餐厅-桌</t>
        </is>
      </c>
      <c r="C273" s="35" t="inlineStr">
        <is>
          <t>畔色樱桃木岩板餐桌2025 |樱桃木洞石餐桌 |樱桃木圆弧餐桌</t>
        </is>
      </c>
      <c r="D273" s="35" t="inlineStr">
        <is>
          <t>樱桃木-1.6米</t>
        </is>
      </c>
      <c r="E273" s="34" t="inlineStr">
        <is>
          <t>北美进口FAS级樱桃木</t>
        </is>
      </c>
      <c r="F273" s="34" t="inlineStr">
        <is>
          <t>台面：白色岩板/黑色岩板/实木台面</t>
        </is>
      </c>
      <c r="G273" s="35" t="inlineStr">
        <is>
          <t xml:space="preserve">长度：1200mm/1400mm/1600mm/1800mm/2000mm
宽度：850mm
高度：750mm
</t>
        </is>
      </c>
      <c r="H273" s="26" t="n">
        <v>1890.9</v>
      </c>
      <c r="I273" s="26" t="n">
        <v>1700</v>
      </c>
      <c r="J273" s="27" t="n">
        <v>0.5</v>
      </c>
      <c r="K273" s="28">
        <f>IFERROR(H273,0)</f>
        <v/>
      </c>
      <c r="L273" s="29" t="n">
        <v>0.4676</v>
      </c>
      <c r="M273" s="29" t="n">
        <v>0.2107</v>
      </c>
      <c r="N273" s="29" t="n">
        <v>0.1805</v>
      </c>
      <c r="O273" s="29" t="n">
        <v>0.1416</v>
      </c>
      <c r="P273" s="30">
        <f>IFERROR(IF(K273=0,"待填成本",ROUND(K273/(1-L273),0)),"" )</f>
        <v/>
      </c>
      <c r="Q273" s="30">
        <f>IFERROR(IF(K273=0,"待填成本",ROUND(K273/(1-M273),0)),"" )</f>
        <v/>
      </c>
      <c r="R273" s="30">
        <f>IFERROR(IF(K273=0,"待填成本",ROUND(K273/(1-N273),0)),"" )</f>
        <v/>
      </c>
      <c r="S273" s="30">
        <f>IFERROR(IF(K273=0,"待填成本",ROUND(K273/(1-O273),0)),"" )</f>
        <v/>
      </c>
      <c r="T273" s="31">
        <f>IFERROR(IF(K273=0,"",(P273-K273)/P273),"" )</f>
        <v/>
      </c>
      <c r="U273" s="31">
        <f>IFERROR(IF(K273=0,"",(Q273-K273)/Q273),"" )</f>
        <v/>
      </c>
      <c r="V273" s="31">
        <f>IFERROR(IF(K273=0,"",(R273-K273)/R273),"" )</f>
        <v/>
      </c>
      <c r="W273" s="31">
        <f>IFERROR(IF(K273=0,"",(S273-K273)/S273),"" )</f>
        <v/>
      </c>
      <c r="X273" s="36" t="n"/>
      <c r="Y273" s="37" t="n">
        <v>7.762499999999998</v>
      </c>
      <c r="Z273" s="36" t="n"/>
      <c r="AA273" s="36" t="n"/>
      <c r="AB273" s="36" t="n"/>
      <c r="AC273" s="36" t="n"/>
      <c r="AD273" s="36" t="n"/>
      <c r="AE273" s="36" t="n"/>
      <c r="AF273" s="33" t="n"/>
      <c r="AG273" s="33" t="n"/>
      <c r="AH273" s="35" t="inlineStr"/>
    </row>
    <row r="274" ht="18" customHeight="1">
      <c r="A274" s="25" t="inlineStr">
        <is>
          <t>2521008040199</t>
        </is>
      </c>
      <c r="B274" s="6" t="inlineStr">
        <is>
          <t>餐厅-桌</t>
        </is>
      </c>
      <c r="C274" s="5" t="inlineStr">
        <is>
          <t>畔色樱桃木岩板餐桌2025 |樱桃木洞石餐桌 |樱桃木圆弧餐桌</t>
        </is>
      </c>
      <c r="D274" s="5" t="inlineStr">
        <is>
          <t>樱桃木-1.7米</t>
        </is>
      </c>
      <c r="E274" s="6" t="inlineStr">
        <is>
          <t>北美进口FAS级樱桃木</t>
        </is>
      </c>
      <c r="F274" s="6" t="inlineStr">
        <is>
          <t>台面：白色岩板/黑色岩板/实木台面</t>
        </is>
      </c>
      <c r="G274" s="5" t="inlineStr">
        <is>
          <t xml:space="preserve">长度：1200mm/1400mm/1600mm/1800mm/2000mm
宽度：850mm
高度：750mm
</t>
        </is>
      </c>
      <c r="H274" s="26" t="n">
        <v>1915.9</v>
      </c>
      <c r="I274" s="26" t="n">
        <v>1715</v>
      </c>
      <c r="J274" s="27" t="n">
        <v>0.5</v>
      </c>
      <c r="K274" s="28">
        <f>IFERROR(H274,0)</f>
        <v/>
      </c>
      <c r="L274" s="29" t="n">
        <v>0.4672</v>
      </c>
      <c r="M274" s="29" t="n">
        <v>0.2114</v>
      </c>
      <c r="N274" s="29" t="n">
        <v>0.1815</v>
      </c>
      <c r="O274" s="29" t="n">
        <v>0.1416</v>
      </c>
      <c r="P274" s="30">
        <f>IFERROR(IF(K274=0,"待填成本",ROUND(K274/(1-L274),0)),"" )</f>
        <v/>
      </c>
      <c r="Q274" s="30">
        <f>IFERROR(IF(K274=0,"待填成本",ROUND(K274/(1-M274),0)),"" )</f>
        <v/>
      </c>
      <c r="R274" s="30">
        <f>IFERROR(IF(K274=0,"待填成本",ROUND(K274/(1-N274),0)),"" )</f>
        <v/>
      </c>
      <c r="S274" s="30">
        <f>IFERROR(IF(K274=0,"待填成本",ROUND(K274/(1-O274),0)),"" )</f>
        <v/>
      </c>
      <c r="T274" s="31">
        <f>IFERROR(IF(K274=0,"",(P274-K274)/P274),"" )</f>
        <v/>
      </c>
      <c r="U274" s="31">
        <f>IFERROR(IF(K274=0,"",(Q274-K274)/Q274),"" )</f>
        <v/>
      </c>
      <c r="V274" s="31">
        <f>IFERROR(IF(K274=0,"",(R274-K274)/R274),"" )</f>
        <v/>
      </c>
      <c r="W274" s="31">
        <f>IFERROR(IF(K274=0,"",(S274-K274)/S274),"" )</f>
        <v/>
      </c>
      <c r="X274" s="32" t="n"/>
      <c r="Y274" s="37" t="n">
        <v>8.19375</v>
      </c>
      <c r="Z274" s="32" t="n"/>
      <c r="AA274" s="32" t="n"/>
      <c r="AB274" s="32" t="n"/>
      <c r="AC274" s="32" t="n"/>
      <c r="AD274" s="32" t="n"/>
      <c r="AE274" s="32" t="n"/>
      <c r="AF274" s="33" t="n"/>
      <c r="AG274" s="33" t="n"/>
      <c r="AH274" s="5" t="inlineStr"/>
    </row>
    <row r="275" ht="18" customHeight="1">
      <c r="A275" s="25" t="inlineStr">
        <is>
          <t>2521008040199</t>
        </is>
      </c>
      <c r="B275" s="34" t="inlineStr">
        <is>
          <t>餐厅-桌</t>
        </is>
      </c>
      <c r="C275" s="35" t="inlineStr">
        <is>
          <t>畔色樱桃木岩板餐桌2025 |樱桃木洞石餐桌 |樱桃木圆弧餐桌</t>
        </is>
      </c>
      <c r="D275" s="35" t="inlineStr">
        <is>
          <t>樱桃木-1.8米</t>
        </is>
      </c>
      <c r="E275" s="34" t="inlineStr">
        <is>
          <t>北美进口FAS级樱桃木</t>
        </is>
      </c>
      <c r="F275" s="34" t="inlineStr">
        <is>
          <t>台面：白色岩板/黑色岩板/实木台面</t>
        </is>
      </c>
      <c r="G275" s="35" t="inlineStr">
        <is>
          <t xml:space="preserve">长度：1200mm/1400mm/1600mm/1800mm/2000mm
宽度：850mm
高度：750mm
</t>
        </is>
      </c>
      <c r="H275" s="26" t="n">
        <v>1940.9</v>
      </c>
      <c r="I275" s="26" t="n">
        <v>1730</v>
      </c>
      <c r="J275" s="27" t="n">
        <v>0.5</v>
      </c>
      <c r="K275" s="28">
        <f>IFERROR(H275,0)</f>
        <v/>
      </c>
      <c r="L275" s="29" t="n">
        <v>0.4668</v>
      </c>
      <c r="M275" s="29" t="n">
        <v>0.212</v>
      </c>
      <c r="N275" s="29" t="n">
        <v>0.1825</v>
      </c>
      <c r="O275" s="29" t="n">
        <v>0.1416</v>
      </c>
      <c r="P275" s="30">
        <f>IFERROR(IF(K275=0,"待填成本",ROUND(K275/(1-L275),0)),"" )</f>
        <v/>
      </c>
      <c r="Q275" s="30">
        <f>IFERROR(IF(K275=0,"待填成本",ROUND(K275/(1-M275),0)),"" )</f>
        <v/>
      </c>
      <c r="R275" s="30">
        <f>IFERROR(IF(K275=0,"待填成本",ROUND(K275/(1-N275),0)),"" )</f>
        <v/>
      </c>
      <c r="S275" s="30">
        <f>IFERROR(IF(K275=0,"待填成本",ROUND(K275/(1-O275),0)),"" )</f>
        <v/>
      </c>
      <c r="T275" s="31">
        <f>IFERROR(IF(K275=0,"",(P275-K275)/P275),"" )</f>
        <v/>
      </c>
      <c r="U275" s="31">
        <f>IFERROR(IF(K275=0,"",(Q275-K275)/Q275),"" )</f>
        <v/>
      </c>
      <c r="V275" s="31">
        <f>IFERROR(IF(K275=0,"",(R275-K275)/R275),"" )</f>
        <v/>
      </c>
      <c r="W275" s="31">
        <f>IFERROR(IF(K275=0,"",(S275-K275)/S275),"" )</f>
        <v/>
      </c>
      <c r="X275" s="36" t="n"/>
      <c r="Y275" s="37" t="n">
        <v>8.625</v>
      </c>
      <c r="Z275" s="36" t="n"/>
      <c r="AA275" s="36" t="n"/>
      <c r="AB275" s="36" t="n"/>
      <c r="AC275" s="36" t="n"/>
      <c r="AD275" s="36" t="n"/>
      <c r="AE275" s="36" t="n"/>
      <c r="AF275" s="33" t="n"/>
      <c r="AG275" s="33" t="n"/>
      <c r="AH275" s="35" t="inlineStr"/>
    </row>
    <row r="276" ht="18" customHeight="1">
      <c r="A276" s="25" t="inlineStr">
        <is>
          <t>2521008040199</t>
        </is>
      </c>
      <c r="B276" s="6" t="inlineStr">
        <is>
          <t>餐厅-桌</t>
        </is>
      </c>
      <c r="C276" s="5" t="inlineStr">
        <is>
          <t>畔色樱桃木岩板餐桌2025 |樱桃木洞石餐桌 |樱桃木圆弧餐桌</t>
        </is>
      </c>
      <c r="D276" s="5" t="inlineStr">
        <is>
          <t>樱桃木-1.9米</t>
        </is>
      </c>
      <c r="E276" s="6" t="inlineStr">
        <is>
          <t>北美进口FAS级樱桃木</t>
        </is>
      </c>
      <c r="F276" s="6" t="inlineStr">
        <is>
          <t>台面：白色岩板/黑色岩板/实木台面</t>
        </is>
      </c>
      <c r="G276" s="5" t="inlineStr">
        <is>
          <t xml:space="preserve">长度：1200mm/1400mm/1600mm/1800mm/2000mm
宽度：850mm
高度：750mm
</t>
        </is>
      </c>
      <c r="H276" s="26" t="n">
        <v>1975.9</v>
      </c>
      <c r="I276" s="26" t="n">
        <v>1765</v>
      </c>
      <c r="J276" s="27" t="n">
        <v>0.5</v>
      </c>
      <c r="K276" s="28">
        <f>IFERROR(H276,0)</f>
        <v/>
      </c>
      <c r="L276" s="29" t="n">
        <v>0.4668</v>
      </c>
      <c r="M276" s="29" t="n">
        <v>0.2119</v>
      </c>
      <c r="N276" s="29" t="n">
        <v>0.1814</v>
      </c>
      <c r="O276" s="29" t="n">
        <v>0.1411</v>
      </c>
      <c r="P276" s="30">
        <f>IFERROR(IF(K276=0,"待填成本",ROUND(K276/(1-L276),0)),"" )</f>
        <v/>
      </c>
      <c r="Q276" s="30">
        <f>IFERROR(IF(K276=0,"待填成本",ROUND(K276/(1-M276),0)),"" )</f>
        <v/>
      </c>
      <c r="R276" s="30">
        <f>IFERROR(IF(K276=0,"待填成本",ROUND(K276/(1-N276),0)),"" )</f>
        <v/>
      </c>
      <c r="S276" s="30">
        <f>IFERROR(IF(K276=0,"待填成本",ROUND(K276/(1-O276),0)),"" )</f>
        <v/>
      </c>
      <c r="T276" s="31">
        <f>IFERROR(IF(K276=0,"",(P276-K276)/P276),"" )</f>
        <v/>
      </c>
      <c r="U276" s="31">
        <f>IFERROR(IF(K276=0,"",(Q276-K276)/Q276),"" )</f>
        <v/>
      </c>
      <c r="V276" s="31">
        <f>IFERROR(IF(K276=0,"",(R276-K276)/R276),"" )</f>
        <v/>
      </c>
      <c r="W276" s="31">
        <f>IFERROR(IF(K276=0,"",(S276-K276)/S276),"" )</f>
        <v/>
      </c>
      <c r="X276" s="32" t="n"/>
      <c r="Y276" s="37" t="n">
        <v>9.056249999999999</v>
      </c>
      <c r="Z276" s="32" t="n"/>
      <c r="AA276" s="32" t="n"/>
      <c r="AB276" s="32" t="n"/>
      <c r="AC276" s="32" t="n"/>
      <c r="AD276" s="32" t="n"/>
      <c r="AE276" s="32" t="n"/>
      <c r="AF276" s="33" t="n"/>
      <c r="AG276" s="33" t="n"/>
      <c r="AH276" s="5" t="inlineStr"/>
    </row>
    <row r="277" ht="18" customHeight="1">
      <c r="A277" s="25" t="inlineStr">
        <is>
          <t>2521008040199</t>
        </is>
      </c>
      <c r="B277" s="34" t="inlineStr">
        <is>
          <t>餐厅-桌</t>
        </is>
      </c>
      <c r="C277" s="35" t="inlineStr">
        <is>
          <t>畔色樱桃木岩板餐桌2025 |樱桃木洞石餐桌 |樱桃木圆弧餐桌</t>
        </is>
      </c>
      <c r="D277" s="35" t="inlineStr">
        <is>
          <t>樱桃木-2.0米</t>
        </is>
      </c>
      <c r="E277" s="34" t="inlineStr">
        <is>
          <t>北美进口FAS级樱桃木</t>
        </is>
      </c>
      <c r="F277" s="34" t="inlineStr">
        <is>
          <t>台面：白色岩板/黑色岩板/实木台面</t>
        </is>
      </c>
      <c r="G277" s="35" t="inlineStr">
        <is>
          <t xml:space="preserve">长度：1200mm/1400mm/1600mm/1800mm/2000mm
宽度：850mm
高度：750mm
</t>
        </is>
      </c>
      <c r="H277" s="26" t="n">
        <v>2010.9</v>
      </c>
      <c r="I277" s="26" t="n">
        <v>1800</v>
      </c>
      <c r="J277" s="27" t="n">
        <v>0.5</v>
      </c>
      <c r="K277" s="28">
        <f>IFERROR(H277,0)</f>
        <v/>
      </c>
      <c r="L277" s="29" t="n">
        <v>0.4668</v>
      </c>
      <c r="M277" s="29" t="n">
        <v>0.2117</v>
      </c>
      <c r="N277" s="29" t="n">
        <v>0.1804</v>
      </c>
      <c r="O277" s="29" t="n">
        <v>0.1405</v>
      </c>
      <c r="P277" s="30">
        <f>IFERROR(IF(K277=0,"待填成本",ROUND(K277/(1-L277),0)),"" )</f>
        <v/>
      </c>
      <c r="Q277" s="30">
        <f>IFERROR(IF(K277=0,"待填成本",ROUND(K277/(1-M277),0)),"" )</f>
        <v/>
      </c>
      <c r="R277" s="30">
        <f>IFERROR(IF(K277=0,"待填成本",ROUND(K277/(1-N277),0)),"" )</f>
        <v/>
      </c>
      <c r="S277" s="30">
        <f>IFERROR(IF(K277=0,"待填成本",ROUND(K277/(1-O277),0)),"" )</f>
        <v/>
      </c>
      <c r="T277" s="31">
        <f>IFERROR(IF(K277=0,"",(P277-K277)/P277),"" )</f>
        <v/>
      </c>
      <c r="U277" s="31">
        <f>IFERROR(IF(K277=0,"",(Q277-K277)/Q277),"" )</f>
        <v/>
      </c>
      <c r="V277" s="31">
        <f>IFERROR(IF(K277=0,"",(R277-K277)/R277),"" )</f>
        <v/>
      </c>
      <c r="W277" s="31">
        <f>IFERROR(IF(K277=0,"",(S277-K277)/S277),"" )</f>
        <v/>
      </c>
      <c r="X277" s="36" t="n"/>
      <c r="Y277" s="37" t="n">
        <v>9.487499999999999</v>
      </c>
      <c r="Z277" s="36" t="n"/>
      <c r="AA277" s="36" t="n"/>
      <c r="AB277" s="36" t="n"/>
      <c r="AC277" s="36" t="n"/>
      <c r="AD277" s="36" t="n"/>
      <c r="AE277" s="36" t="n"/>
      <c r="AF277" s="33" t="n"/>
      <c r="AG277" s="33" t="n"/>
      <c r="AH277" s="35" t="inlineStr"/>
    </row>
    <row r="278" ht="18" customHeight="1">
      <c r="A278" s="25" t="inlineStr">
        <is>
          <t>2521008040199</t>
        </is>
      </c>
      <c r="B278" s="6" t="inlineStr">
        <is>
          <t>餐厅-桌</t>
        </is>
      </c>
      <c r="C278" s="5" t="inlineStr">
        <is>
          <t>畔色樱桃木岩板餐桌2025 |樱桃木洞石餐桌 |樱桃木圆弧餐桌</t>
        </is>
      </c>
      <c r="D278" s="5" t="inlineStr">
        <is>
          <t>樱桃木-2.1米</t>
        </is>
      </c>
      <c r="E278" s="6" t="inlineStr">
        <is>
          <t>北美进口FAS级樱桃木</t>
        </is>
      </c>
      <c r="F278" s="6" t="inlineStr">
        <is>
          <t>台面：白色岩板/黑色岩板/实木台面</t>
        </is>
      </c>
      <c r="G278" s="5" t="inlineStr">
        <is>
          <t xml:space="preserve">长度：1200mm/1400mm/1600mm/1800mm/2000mm
宽度：850mm
高度：750mm
</t>
        </is>
      </c>
      <c r="H278" s="26" t="n">
        <v>2045.9</v>
      </c>
      <c r="I278" s="26" t="n">
        <v>1835</v>
      </c>
      <c r="J278" s="27" t="n">
        <v>0.5</v>
      </c>
      <c r="K278" s="28">
        <f>IFERROR(H278,0)</f>
        <v/>
      </c>
      <c r="L278" s="29" t="n">
        <v>0.4668</v>
      </c>
      <c r="M278" s="29" t="n">
        <v>0.2116</v>
      </c>
      <c r="N278" s="29" t="n">
        <v>0.1793</v>
      </c>
      <c r="O278" s="29" t="n">
        <v>0.14</v>
      </c>
      <c r="P278" s="30">
        <f>IFERROR(IF(K278=0,"待填成本",ROUND(K278/(1-L278),0)),"" )</f>
        <v/>
      </c>
      <c r="Q278" s="30">
        <f>IFERROR(IF(K278=0,"待填成本",ROUND(K278/(1-M278),0)),"" )</f>
        <v/>
      </c>
      <c r="R278" s="30">
        <f>IFERROR(IF(K278=0,"待填成本",ROUND(K278/(1-N278),0)),"" )</f>
        <v/>
      </c>
      <c r="S278" s="30">
        <f>IFERROR(IF(K278=0,"待填成本",ROUND(K278/(1-O278),0)),"" )</f>
        <v/>
      </c>
      <c r="T278" s="31">
        <f>IFERROR(IF(K278=0,"",(P278-K278)/P278),"" )</f>
        <v/>
      </c>
      <c r="U278" s="31">
        <f>IFERROR(IF(K278=0,"",(Q278-K278)/Q278),"" )</f>
        <v/>
      </c>
      <c r="V278" s="31">
        <f>IFERROR(IF(K278=0,"",(R278-K278)/R278),"" )</f>
        <v/>
      </c>
      <c r="W278" s="31">
        <f>IFERROR(IF(K278=0,"",(S278-K278)/S278),"" )</f>
        <v/>
      </c>
      <c r="X278" s="32" t="n"/>
      <c r="Y278" s="37" t="n">
        <v>9.918749999999999</v>
      </c>
      <c r="Z278" s="32" t="n"/>
      <c r="AA278" s="32" t="n"/>
      <c r="AB278" s="32" t="n"/>
      <c r="AC278" s="32" t="n"/>
      <c r="AD278" s="32" t="n"/>
      <c r="AE278" s="32" t="n"/>
      <c r="AF278" s="33" t="n"/>
      <c r="AG278" s="33" t="n"/>
      <c r="AH278" s="5" t="inlineStr"/>
    </row>
    <row r="279" ht="18" customHeight="1">
      <c r="A279" s="25" t="inlineStr">
        <is>
          <t>2521008040199</t>
        </is>
      </c>
      <c r="B279" s="34" t="inlineStr">
        <is>
          <t>餐厅-桌</t>
        </is>
      </c>
      <c r="C279" s="35" t="inlineStr">
        <is>
          <t>畔色樱桃木岩板餐桌2025 |樱桃木洞石餐桌 |樱桃木圆弧餐桌</t>
        </is>
      </c>
      <c r="D279" s="35" t="inlineStr">
        <is>
          <t>樱桃木-2.2米</t>
        </is>
      </c>
      <c r="E279" s="34" t="inlineStr">
        <is>
          <t>北美进口FAS级樱桃木</t>
        </is>
      </c>
      <c r="F279" s="34" t="inlineStr">
        <is>
          <t>台面：白色岩板/黑色岩板/实木台面</t>
        </is>
      </c>
      <c r="G279" s="35" t="inlineStr">
        <is>
          <t xml:space="preserve">长度：1200mm/1400mm/1600mm/1800mm/2000mm
宽度：850mm
高度：750mm
</t>
        </is>
      </c>
      <c r="H279" s="26" t="n">
        <v>2080.9</v>
      </c>
      <c r="I279" s="26" t="n">
        <v>1870</v>
      </c>
      <c r="J279" s="27" t="n">
        <v>0.5</v>
      </c>
      <c r="K279" s="28">
        <f>IFERROR(H279,0)</f>
        <v/>
      </c>
      <c r="L279" s="29" t="n">
        <v>0.4668</v>
      </c>
      <c r="M279" s="29" t="n">
        <v>0.2114</v>
      </c>
      <c r="N279" s="29" t="n">
        <v>0.1783</v>
      </c>
      <c r="O279" s="29" t="n">
        <v>0.1395</v>
      </c>
      <c r="P279" s="30">
        <f>IFERROR(IF(K279=0,"待填成本",ROUND(K279/(1-L279),0)),"" )</f>
        <v/>
      </c>
      <c r="Q279" s="30">
        <f>IFERROR(IF(K279=0,"待填成本",ROUND(K279/(1-M279),0)),"" )</f>
        <v/>
      </c>
      <c r="R279" s="30">
        <f>IFERROR(IF(K279=0,"待填成本",ROUND(K279/(1-N279),0)),"" )</f>
        <v/>
      </c>
      <c r="S279" s="30">
        <f>IFERROR(IF(K279=0,"待填成本",ROUND(K279/(1-O279),0)),"" )</f>
        <v/>
      </c>
      <c r="T279" s="31">
        <f>IFERROR(IF(K279=0,"",(P279-K279)/P279),"" )</f>
        <v/>
      </c>
      <c r="U279" s="31">
        <f>IFERROR(IF(K279=0,"",(Q279-K279)/Q279),"" )</f>
        <v/>
      </c>
      <c r="V279" s="31">
        <f>IFERROR(IF(K279=0,"",(R279-K279)/R279),"" )</f>
        <v/>
      </c>
      <c r="W279" s="31">
        <f>IFERROR(IF(K279=0,"",(S279-K279)/S279),"" )</f>
        <v/>
      </c>
      <c r="X279" s="36" t="n"/>
      <c r="Y279" s="37" t="n">
        <v>10.35</v>
      </c>
      <c r="Z279" s="36" t="n"/>
      <c r="AA279" s="36" t="n"/>
      <c r="AB279" s="36" t="n"/>
      <c r="AC279" s="36" t="n"/>
      <c r="AD279" s="36" t="n"/>
      <c r="AE279" s="36" t="n"/>
      <c r="AF279" s="33" t="n"/>
      <c r="AG279" s="33" t="n"/>
      <c r="AH279" s="35" t="inlineStr"/>
    </row>
    <row r="280" ht="18" customHeight="1">
      <c r="A280" s="25" t="inlineStr">
        <is>
          <t>2521009040599</t>
        </is>
      </c>
      <c r="B280" s="6" t="inlineStr">
        <is>
          <t>餐厅-桌</t>
        </is>
      </c>
      <c r="C280" s="5" t="inlineStr">
        <is>
          <t>樱桃木餐桌-伸缩桌</t>
        </is>
      </c>
      <c r="D280" s="5" t="inlineStr">
        <is>
          <t>伸缩桌-1.2米</t>
        </is>
      </c>
      <c r="E280" s="6" t="inlineStr">
        <is>
          <t>北美进口FAS级樱桃木</t>
        </is>
      </c>
      <c r="F280" s="6" t="inlineStr">
        <is>
          <t>未知</t>
        </is>
      </c>
      <c r="G280" s="5" t="inlineStr">
        <is>
          <t>未知</t>
        </is>
      </c>
      <c r="H280" s="26" t="n">
        <v>0</v>
      </c>
      <c r="I280" s="26" t="n">
        <v>0</v>
      </c>
      <c r="J280" s="27" t="n">
        <v>0.5</v>
      </c>
      <c r="K280" s="28">
        <f>IFERROR(H280,0)</f>
        <v/>
      </c>
      <c r="L280" s="29" t="n"/>
      <c r="M280" s="29" t="n"/>
      <c r="N280" s="29" t="n"/>
      <c r="O280" s="29" t="n"/>
      <c r="P280" s="30">
        <f>IFERROR(IF(K280=0,"待填成本",ROUND(K280/(1-L280),0)),"" )</f>
        <v/>
      </c>
      <c r="Q280" s="30">
        <f>IFERROR(IF(K280=0,"待填成本",ROUND(K280/(1-M280),0)),"" )</f>
        <v/>
      </c>
      <c r="R280" s="30">
        <f>IFERROR(IF(K280=0,"待填成本",ROUND(K280/(1-N280),0)),"" )</f>
        <v/>
      </c>
      <c r="S280" s="30">
        <f>IFERROR(IF(K280=0,"待填成本",ROUND(K280/(1-O280),0)),"" )</f>
        <v/>
      </c>
      <c r="T280" s="31">
        <f>IFERROR(IF(K280=0,"",(P280-K280)/P280),"" )</f>
        <v/>
      </c>
      <c r="U280" s="31">
        <f>IFERROR(IF(K280=0,"",(Q280-K280)/Q280),"" )</f>
        <v/>
      </c>
      <c r="V280" s="31">
        <f>IFERROR(IF(K280=0,"",(R280-K280)/R280),"" )</f>
        <v/>
      </c>
      <c r="W280" s="31">
        <f>IFERROR(IF(K280=0,"",(S280-K280)/S280),"" )</f>
        <v/>
      </c>
      <c r="X280" s="32" t="n"/>
      <c r="Y280" s="32" t="n"/>
      <c r="Z280" s="32" t="n"/>
      <c r="AA280" s="32" t="n"/>
      <c r="AB280" s="32" t="n"/>
      <c r="AC280" s="32" t="n"/>
      <c r="AD280" s="32" t="n"/>
      <c r="AE280" s="32" t="n"/>
      <c r="AF280" s="33" t="n"/>
      <c r="AG280" s="33" t="n"/>
      <c r="AH280" s="5" t="inlineStr"/>
    </row>
    <row r="281" ht="18" customHeight="1">
      <c r="A281" s="25" t="inlineStr">
        <is>
          <t>2521009040599</t>
        </is>
      </c>
      <c r="B281" s="34" t="inlineStr">
        <is>
          <t>餐厅-桌</t>
        </is>
      </c>
      <c r="C281" s="35" t="inlineStr">
        <is>
          <t>樱桃木餐桌-伸缩桌</t>
        </is>
      </c>
      <c r="D281" s="35" t="inlineStr">
        <is>
          <t>伸缩桌-1.3米</t>
        </is>
      </c>
      <c r="E281" s="34" t="inlineStr">
        <is>
          <t>北美进口FAS级樱桃木</t>
        </is>
      </c>
      <c r="F281" s="34" t="inlineStr">
        <is>
          <t>未知</t>
        </is>
      </c>
      <c r="G281" s="35" t="inlineStr">
        <is>
          <t>未知</t>
        </is>
      </c>
      <c r="H281" s="26" t="n">
        <v>0</v>
      </c>
      <c r="I281" s="26" t="n">
        <v>0</v>
      </c>
      <c r="J281" s="27" t="n">
        <v>0.5</v>
      </c>
      <c r="K281" s="28">
        <f>IFERROR(H281,0)</f>
        <v/>
      </c>
      <c r="L281" s="29" t="n"/>
      <c r="M281" s="29" t="n"/>
      <c r="N281" s="29" t="n"/>
      <c r="O281" s="29" t="n"/>
      <c r="P281" s="30">
        <f>IFERROR(IF(K281=0,"待填成本",ROUND(K281/(1-L281),0)),"" )</f>
        <v/>
      </c>
      <c r="Q281" s="30">
        <f>IFERROR(IF(K281=0,"待填成本",ROUND(K281/(1-M281),0)),"" )</f>
        <v/>
      </c>
      <c r="R281" s="30">
        <f>IFERROR(IF(K281=0,"待填成本",ROUND(K281/(1-N281),0)),"" )</f>
        <v/>
      </c>
      <c r="S281" s="30">
        <f>IFERROR(IF(K281=0,"待填成本",ROUND(K281/(1-O281),0)),"" )</f>
        <v/>
      </c>
      <c r="T281" s="31">
        <f>IFERROR(IF(K281=0,"",(P281-K281)/P281),"" )</f>
        <v/>
      </c>
      <c r="U281" s="31">
        <f>IFERROR(IF(K281=0,"",(Q281-K281)/Q281),"" )</f>
        <v/>
      </c>
      <c r="V281" s="31">
        <f>IFERROR(IF(K281=0,"",(R281-K281)/R281),"" )</f>
        <v/>
      </c>
      <c r="W281" s="31">
        <f>IFERROR(IF(K281=0,"",(S281-K281)/S281),"" )</f>
        <v/>
      </c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3" t="n"/>
      <c r="AG281" s="33" t="n"/>
      <c r="AH281" s="35" t="inlineStr"/>
    </row>
    <row r="282" ht="18" customHeight="1">
      <c r="A282" s="25" t="inlineStr">
        <is>
          <t>2521009040599</t>
        </is>
      </c>
      <c r="B282" s="6" t="inlineStr">
        <is>
          <t>餐厅-桌</t>
        </is>
      </c>
      <c r="C282" s="5" t="inlineStr">
        <is>
          <t>樱桃木餐桌-伸缩桌</t>
        </is>
      </c>
      <c r="D282" s="5" t="inlineStr">
        <is>
          <t>伸缩桌-1.4米</t>
        </is>
      </c>
      <c r="E282" s="6" t="inlineStr">
        <is>
          <t>北美进口FAS级樱桃木</t>
        </is>
      </c>
      <c r="F282" s="6" t="inlineStr">
        <is>
          <t>未知</t>
        </is>
      </c>
      <c r="G282" s="5" t="inlineStr">
        <is>
          <t>未知</t>
        </is>
      </c>
      <c r="H282" s="26" t="n">
        <v>0</v>
      </c>
      <c r="I282" s="26" t="n">
        <v>0</v>
      </c>
      <c r="J282" s="27" t="n">
        <v>0.5</v>
      </c>
      <c r="K282" s="28">
        <f>IFERROR(H282,0)</f>
        <v/>
      </c>
      <c r="L282" s="29" t="n"/>
      <c r="M282" s="29" t="n"/>
      <c r="N282" s="29" t="n"/>
      <c r="O282" s="29" t="n"/>
      <c r="P282" s="30">
        <f>IFERROR(IF(K282=0,"待填成本",ROUND(K282/(1-L282),0)),"" )</f>
        <v/>
      </c>
      <c r="Q282" s="30">
        <f>IFERROR(IF(K282=0,"待填成本",ROUND(K282/(1-M282),0)),"" )</f>
        <v/>
      </c>
      <c r="R282" s="30">
        <f>IFERROR(IF(K282=0,"待填成本",ROUND(K282/(1-N282),0)),"" )</f>
        <v/>
      </c>
      <c r="S282" s="30">
        <f>IFERROR(IF(K282=0,"待填成本",ROUND(K282/(1-O282),0)),"" )</f>
        <v/>
      </c>
      <c r="T282" s="31">
        <f>IFERROR(IF(K282=0,"",(P282-K282)/P282),"" )</f>
        <v/>
      </c>
      <c r="U282" s="31">
        <f>IFERROR(IF(K282=0,"",(Q282-K282)/Q282),"" )</f>
        <v/>
      </c>
      <c r="V282" s="31">
        <f>IFERROR(IF(K282=0,"",(R282-K282)/R282),"" )</f>
        <v/>
      </c>
      <c r="W282" s="31">
        <f>IFERROR(IF(K282=0,"",(S282-K282)/S282),"" )</f>
        <v/>
      </c>
      <c r="X282" s="32" t="n"/>
      <c r="Y282" s="32" t="n"/>
      <c r="Z282" s="32" t="n"/>
      <c r="AA282" s="32" t="n"/>
      <c r="AB282" s="32" t="n"/>
      <c r="AC282" s="32" t="n"/>
      <c r="AD282" s="32" t="n"/>
      <c r="AE282" s="32" t="n"/>
      <c r="AF282" s="33" t="n"/>
      <c r="AG282" s="33" t="n"/>
      <c r="AH282" s="5" t="inlineStr"/>
    </row>
    <row r="283" ht="18" customHeight="1">
      <c r="A283" s="25" t="inlineStr">
        <is>
          <t>2521009040599</t>
        </is>
      </c>
      <c r="B283" s="34" t="inlineStr">
        <is>
          <t>餐厅-桌</t>
        </is>
      </c>
      <c r="C283" s="35" t="inlineStr">
        <is>
          <t>樱桃木餐桌-伸缩桌</t>
        </is>
      </c>
      <c r="D283" s="35" t="inlineStr">
        <is>
          <t>伸缩桌-1.5米</t>
        </is>
      </c>
      <c r="E283" s="34" t="inlineStr">
        <is>
          <t>北美进口FAS级樱桃木</t>
        </is>
      </c>
      <c r="F283" s="34" t="inlineStr">
        <is>
          <t>未知</t>
        </is>
      </c>
      <c r="G283" s="35" t="inlineStr">
        <is>
          <t>未知</t>
        </is>
      </c>
      <c r="H283" s="26" t="n">
        <v>0</v>
      </c>
      <c r="I283" s="26" t="n">
        <v>0</v>
      </c>
      <c r="J283" s="27" t="n">
        <v>0.5</v>
      </c>
      <c r="K283" s="28">
        <f>IFERROR(H283,0)</f>
        <v/>
      </c>
      <c r="L283" s="29" t="n"/>
      <c r="M283" s="29" t="n"/>
      <c r="N283" s="29" t="n"/>
      <c r="O283" s="29" t="n"/>
      <c r="P283" s="30">
        <f>IFERROR(IF(K283=0,"待填成本",ROUND(K283/(1-L283),0)),"" )</f>
        <v/>
      </c>
      <c r="Q283" s="30">
        <f>IFERROR(IF(K283=0,"待填成本",ROUND(K283/(1-M283),0)),"" )</f>
        <v/>
      </c>
      <c r="R283" s="30">
        <f>IFERROR(IF(K283=0,"待填成本",ROUND(K283/(1-N283),0)),"" )</f>
        <v/>
      </c>
      <c r="S283" s="30">
        <f>IFERROR(IF(K283=0,"待填成本",ROUND(K283/(1-O283),0)),"" )</f>
        <v/>
      </c>
      <c r="T283" s="31">
        <f>IFERROR(IF(K283=0,"",(P283-K283)/P283),"" )</f>
        <v/>
      </c>
      <c r="U283" s="31">
        <f>IFERROR(IF(K283=0,"",(Q283-K283)/Q283),"" )</f>
        <v/>
      </c>
      <c r="V283" s="31">
        <f>IFERROR(IF(K283=0,"",(R283-K283)/R283),"" )</f>
        <v/>
      </c>
      <c r="W283" s="31">
        <f>IFERROR(IF(K283=0,"",(S283-K283)/S283),"" )</f>
        <v/>
      </c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3" t="n"/>
      <c r="AG283" s="33" t="n"/>
      <c r="AH283" s="35" t="inlineStr"/>
    </row>
    <row r="284" ht="18" customHeight="1">
      <c r="A284" s="25" t="inlineStr">
        <is>
          <t>2521009040599</t>
        </is>
      </c>
      <c r="B284" s="6" t="inlineStr">
        <is>
          <t>餐厅-桌</t>
        </is>
      </c>
      <c r="C284" s="5" t="inlineStr">
        <is>
          <t>樱桃木餐桌-伸缩桌</t>
        </is>
      </c>
      <c r="D284" s="5" t="inlineStr">
        <is>
          <t>伸缩桌-1.6米</t>
        </is>
      </c>
      <c r="E284" s="6" t="inlineStr">
        <is>
          <t>北美进口FAS级樱桃木</t>
        </is>
      </c>
      <c r="F284" s="6" t="inlineStr">
        <is>
          <t>未知</t>
        </is>
      </c>
      <c r="G284" s="5" t="inlineStr">
        <is>
          <t>未知</t>
        </is>
      </c>
      <c r="H284" s="26" t="n">
        <v>0</v>
      </c>
      <c r="I284" s="26" t="n">
        <v>0</v>
      </c>
      <c r="J284" s="27" t="n">
        <v>0.5</v>
      </c>
      <c r="K284" s="28">
        <f>IFERROR(H284,0)</f>
        <v/>
      </c>
      <c r="L284" s="29" t="n"/>
      <c r="M284" s="29" t="n"/>
      <c r="N284" s="29" t="n"/>
      <c r="O284" s="29" t="n"/>
      <c r="P284" s="30">
        <f>IFERROR(IF(K284=0,"待填成本",ROUND(K284/(1-L284),0)),"" )</f>
        <v/>
      </c>
      <c r="Q284" s="30">
        <f>IFERROR(IF(K284=0,"待填成本",ROUND(K284/(1-M284),0)),"" )</f>
        <v/>
      </c>
      <c r="R284" s="30">
        <f>IFERROR(IF(K284=0,"待填成本",ROUND(K284/(1-N284),0)),"" )</f>
        <v/>
      </c>
      <c r="S284" s="30">
        <f>IFERROR(IF(K284=0,"待填成本",ROUND(K284/(1-O284),0)),"" )</f>
        <v/>
      </c>
      <c r="T284" s="31">
        <f>IFERROR(IF(K284=0,"",(P284-K284)/P284),"" )</f>
        <v/>
      </c>
      <c r="U284" s="31">
        <f>IFERROR(IF(K284=0,"",(Q284-K284)/Q284),"" )</f>
        <v/>
      </c>
      <c r="V284" s="31">
        <f>IFERROR(IF(K284=0,"",(R284-K284)/R284),"" )</f>
        <v/>
      </c>
      <c r="W284" s="31">
        <f>IFERROR(IF(K284=0,"",(S284-K284)/S284),"" )</f>
        <v/>
      </c>
      <c r="X284" s="32" t="n"/>
      <c r="Y284" s="32" t="n"/>
      <c r="Z284" s="32" t="n"/>
      <c r="AA284" s="32" t="n"/>
      <c r="AB284" s="32" t="n"/>
      <c r="AC284" s="32" t="n"/>
      <c r="AD284" s="32" t="n"/>
      <c r="AE284" s="32" t="n"/>
      <c r="AF284" s="33" t="n"/>
      <c r="AG284" s="33" t="n"/>
      <c r="AH284" s="5" t="inlineStr"/>
    </row>
    <row r="285" ht="18" customHeight="1">
      <c r="A285" s="25" t="inlineStr">
        <is>
          <t>2521009040599</t>
        </is>
      </c>
      <c r="B285" s="34" t="inlineStr">
        <is>
          <t>餐厅-桌</t>
        </is>
      </c>
      <c r="C285" s="35" t="inlineStr">
        <is>
          <t>樱桃木餐桌-伸缩桌</t>
        </is>
      </c>
      <c r="D285" s="35" t="inlineStr">
        <is>
          <t>伸缩桌-1.7米</t>
        </is>
      </c>
      <c r="E285" s="34" t="inlineStr">
        <is>
          <t>北美进口FAS级樱桃木</t>
        </is>
      </c>
      <c r="F285" s="34" t="inlineStr">
        <is>
          <t>未知</t>
        </is>
      </c>
      <c r="G285" s="35" t="inlineStr">
        <is>
          <t>未知</t>
        </is>
      </c>
      <c r="H285" s="26" t="n">
        <v>0</v>
      </c>
      <c r="I285" s="26" t="n">
        <v>0</v>
      </c>
      <c r="J285" s="27" t="n">
        <v>0.5</v>
      </c>
      <c r="K285" s="28">
        <f>IFERROR(H285,0)</f>
        <v/>
      </c>
      <c r="L285" s="29" t="n"/>
      <c r="M285" s="29" t="n"/>
      <c r="N285" s="29" t="n"/>
      <c r="O285" s="29" t="n"/>
      <c r="P285" s="30">
        <f>IFERROR(IF(K285=0,"待填成本",ROUND(K285/(1-L285),0)),"" )</f>
        <v/>
      </c>
      <c r="Q285" s="30">
        <f>IFERROR(IF(K285=0,"待填成本",ROUND(K285/(1-M285),0)),"" )</f>
        <v/>
      </c>
      <c r="R285" s="30">
        <f>IFERROR(IF(K285=0,"待填成本",ROUND(K285/(1-N285),0)),"" )</f>
        <v/>
      </c>
      <c r="S285" s="30">
        <f>IFERROR(IF(K285=0,"待填成本",ROUND(K285/(1-O285),0)),"" )</f>
        <v/>
      </c>
      <c r="T285" s="31">
        <f>IFERROR(IF(K285=0,"",(P285-K285)/P285),"" )</f>
        <v/>
      </c>
      <c r="U285" s="31">
        <f>IFERROR(IF(K285=0,"",(Q285-K285)/Q285),"" )</f>
        <v/>
      </c>
      <c r="V285" s="31">
        <f>IFERROR(IF(K285=0,"",(R285-K285)/R285),"" )</f>
        <v/>
      </c>
      <c r="W285" s="31">
        <f>IFERROR(IF(K285=0,"",(S285-K285)/S285),"" )</f>
        <v/>
      </c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3" t="n"/>
      <c r="AG285" s="33" t="n"/>
      <c r="AH285" s="35" t="inlineStr"/>
    </row>
    <row r="286" ht="18" customHeight="1">
      <c r="A286" s="25" t="inlineStr">
        <is>
          <t>2521009040599</t>
        </is>
      </c>
      <c r="B286" s="6" t="inlineStr">
        <is>
          <t>餐厅-桌</t>
        </is>
      </c>
      <c r="C286" s="5" t="inlineStr">
        <is>
          <t>樱桃木餐桌-伸缩桌</t>
        </is>
      </c>
      <c r="D286" s="5" t="inlineStr">
        <is>
          <t>伸缩桌-1.8米</t>
        </is>
      </c>
      <c r="E286" s="6" t="inlineStr">
        <is>
          <t>北美进口FAS级樱桃木</t>
        </is>
      </c>
      <c r="F286" s="6" t="inlineStr">
        <is>
          <t>未知</t>
        </is>
      </c>
      <c r="G286" s="5" t="inlineStr">
        <is>
          <t>未知</t>
        </is>
      </c>
      <c r="H286" s="26" t="n">
        <v>0</v>
      </c>
      <c r="I286" s="26" t="n">
        <v>0</v>
      </c>
      <c r="J286" s="27" t="n">
        <v>0.5</v>
      </c>
      <c r="K286" s="28">
        <f>IFERROR(H286,0)</f>
        <v/>
      </c>
      <c r="L286" s="29" t="n"/>
      <c r="M286" s="29" t="n"/>
      <c r="N286" s="29" t="n"/>
      <c r="O286" s="29" t="n"/>
      <c r="P286" s="30">
        <f>IFERROR(IF(K286=0,"待填成本",ROUND(K286/(1-L286),0)),"" )</f>
        <v/>
      </c>
      <c r="Q286" s="30">
        <f>IFERROR(IF(K286=0,"待填成本",ROUND(K286/(1-M286),0)),"" )</f>
        <v/>
      </c>
      <c r="R286" s="30">
        <f>IFERROR(IF(K286=0,"待填成本",ROUND(K286/(1-N286),0)),"" )</f>
        <v/>
      </c>
      <c r="S286" s="30">
        <f>IFERROR(IF(K286=0,"待填成本",ROUND(K286/(1-O286),0)),"" )</f>
        <v/>
      </c>
      <c r="T286" s="31">
        <f>IFERROR(IF(K286=0,"",(P286-K286)/P286),"" )</f>
        <v/>
      </c>
      <c r="U286" s="31">
        <f>IFERROR(IF(K286=0,"",(Q286-K286)/Q286),"" )</f>
        <v/>
      </c>
      <c r="V286" s="31">
        <f>IFERROR(IF(K286=0,"",(R286-K286)/R286),"" )</f>
        <v/>
      </c>
      <c r="W286" s="31">
        <f>IFERROR(IF(K286=0,"",(S286-K286)/S286),"" )</f>
        <v/>
      </c>
      <c r="X286" s="32" t="n"/>
      <c r="Y286" s="32" t="n"/>
      <c r="Z286" s="32" t="n"/>
      <c r="AA286" s="32" t="n"/>
      <c r="AB286" s="32" t="n"/>
      <c r="AC286" s="32" t="n"/>
      <c r="AD286" s="32" t="n"/>
      <c r="AE286" s="32" t="n"/>
      <c r="AF286" s="33" t="n"/>
      <c r="AG286" s="33" t="n"/>
      <c r="AH286" s="5" t="inlineStr"/>
    </row>
    <row r="287" ht="18" customHeight="1">
      <c r="A287" s="25" t="inlineStr">
        <is>
          <t>2521009040599</t>
        </is>
      </c>
      <c r="B287" s="34" t="inlineStr">
        <is>
          <t>餐厅-桌</t>
        </is>
      </c>
      <c r="C287" s="35" t="inlineStr">
        <is>
          <t>樱桃木餐桌-伸缩桌</t>
        </is>
      </c>
      <c r="D287" s="35" t="inlineStr">
        <is>
          <t>伸缩桌-1.9米</t>
        </is>
      </c>
      <c r="E287" s="34" t="inlineStr">
        <is>
          <t>北美进口FAS级樱桃木</t>
        </is>
      </c>
      <c r="F287" s="34" t="inlineStr">
        <is>
          <t>未知</t>
        </is>
      </c>
      <c r="G287" s="35" t="inlineStr">
        <is>
          <t>未知</t>
        </is>
      </c>
      <c r="H287" s="26" t="n">
        <v>0</v>
      </c>
      <c r="I287" s="26" t="n">
        <v>0</v>
      </c>
      <c r="J287" s="27" t="n">
        <v>0.5</v>
      </c>
      <c r="K287" s="28">
        <f>IFERROR(H287,0)</f>
        <v/>
      </c>
      <c r="L287" s="29" t="n"/>
      <c r="M287" s="29" t="n"/>
      <c r="N287" s="29" t="n"/>
      <c r="O287" s="29" t="n"/>
      <c r="P287" s="30">
        <f>IFERROR(IF(K287=0,"待填成本",ROUND(K287/(1-L287),0)),"" )</f>
        <v/>
      </c>
      <c r="Q287" s="30">
        <f>IFERROR(IF(K287=0,"待填成本",ROUND(K287/(1-M287),0)),"" )</f>
        <v/>
      </c>
      <c r="R287" s="30">
        <f>IFERROR(IF(K287=0,"待填成本",ROUND(K287/(1-N287),0)),"" )</f>
        <v/>
      </c>
      <c r="S287" s="30">
        <f>IFERROR(IF(K287=0,"待填成本",ROUND(K287/(1-O287),0)),"" )</f>
        <v/>
      </c>
      <c r="T287" s="31">
        <f>IFERROR(IF(K287=0,"",(P287-K287)/P287),"" )</f>
        <v/>
      </c>
      <c r="U287" s="31">
        <f>IFERROR(IF(K287=0,"",(Q287-K287)/Q287),"" )</f>
        <v/>
      </c>
      <c r="V287" s="31">
        <f>IFERROR(IF(K287=0,"",(R287-K287)/R287),"" )</f>
        <v/>
      </c>
      <c r="W287" s="31">
        <f>IFERROR(IF(K287=0,"",(S287-K287)/S287),"" )</f>
        <v/>
      </c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3" t="n"/>
      <c r="AG287" s="33" t="n"/>
      <c r="AH287" s="35" t="inlineStr"/>
    </row>
    <row r="288" ht="18" customHeight="1">
      <c r="A288" s="25" t="inlineStr">
        <is>
          <t>2521009040599</t>
        </is>
      </c>
      <c r="B288" s="6" t="inlineStr">
        <is>
          <t>餐厅-桌</t>
        </is>
      </c>
      <c r="C288" s="5" t="inlineStr">
        <is>
          <t>樱桃木餐桌-伸缩桌</t>
        </is>
      </c>
      <c r="D288" s="5" t="inlineStr">
        <is>
          <t>伸缩桌-2.0米</t>
        </is>
      </c>
      <c r="E288" s="6" t="inlineStr">
        <is>
          <t>北美进口FAS级樱桃木</t>
        </is>
      </c>
      <c r="F288" s="6" t="inlineStr">
        <is>
          <t>未知</t>
        </is>
      </c>
      <c r="G288" s="5" t="inlineStr">
        <is>
          <t>未知</t>
        </is>
      </c>
      <c r="H288" s="26" t="n">
        <v>0</v>
      </c>
      <c r="I288" s="26" t="n">
        <v>0</v>
      </c>
      <c r="J288" s="27" t="n">
        <v>0.5</v>
      </c>
      <c r="K288" s="28">
        <f>IFERROR(H288,0)</f>
        <v/>
      </c>
      <c r="L288" s="29" t="n"/>
      <c r="M288" s="29" t="n"/>
      <c r="N288" s="29" t="n"/>
      <c r="O288" s="29" t="n"/>
      <c r="P288" s="30">
        <f>IFERROR(IF(K288=0,"待填成本",ROUND(K288/(1-L288),0)),"" )</f>
        <v/>
      </c>
      <c r="Q288" s="30">
        <f>IFERROR(IF(K288=0,"待填成本",ROUND(K288/(1-M288),0)),"" )</f>
        <v/>
      </c>
      <c r="R288" s="30">
        <f>IFERROR(IF(K288=0,"待填成本",ROUND(K288/(1-N288),0)),"" )</f>
        <v/>
      </c>
      <c r="S288" s="30">
        <f>IFERROR(IF(K288=0,"待填成本",ROUND(K288/(1-O288),0)),"" )</f>
        <v/>
      </c>
      <c r="T288" s="31">
        <f>IFERROR(IF(K288=0,"",(P288-K288)/P288),"" )</f>
        <v/>
      </c>
      <c r="U288" s="31">
        <f>IFERROR(IF(K288=0,"",(Q288-K288)/Q288),"" )</f>
        <v/>
      </c>
      <c r="V288" s="31">
        <f>IFERROR(IF(K288=0,"",(R288-K288)/R288),"" )</f>
        <v/>
      </c>
      <c r="W288" s="31">
        <f>IFERROR(IF(K288=0,"",(S288-K288)/S288),"" )</f>
        <v/>
      </c>
      <c r="X288" s="32" t="n"/>
      <c r="Y288" s="32" t="n"/>
      <c r="Z288" s="32" t="n"/>
      <c r="AA288" s="32" t="n"/>
      <c r="AB288" s="32" t="n"/>
      <c r="AC288" s="32" t="n"/>
      <c r="AD288" s="32" t="n"/>
      <c r="AE288" s="32" t="n"/>
      <c r="AF288" s="33" t="n"/>
      <c r="AG288" s="33" t="n"/>
      <c r="AH288" s="5" t="inlineStr"/>
    </row>
    <row r="289" ht="18" customHeight="1">
      <c r="A289" s="25" t="inlineStr">
        <is>
          <t>2521009040599</t>
        </is>
      </c>
      <c r="B289" s="34" t="inlineStr">
        <is>
          <t>餐厅-桌</t>
        </is>
      </c>
      <c r="C289" s="35" t="inlineStr">
        <is>
          <t>樱桃木餐桌-伸缩桌</t>
        </is>
      </c>
      <c r="D289" s="35" t="inlineStr">
        <is>
          <t>伸缩桌-2.1米</t>
        </is>
      </c>
      <c r="E289" s="34" t="inlineStr">
        <is>
          <t>北美进口FAS级樱桃木</t>
        </is>
      </c>
      <c r="F289" s="34" t="inlineStr">
        <is>
          <t>未知</t>
        </is>
      </c>
      <c r="G289" s="35" t="inlineStr">
        <is>
          <t>未知</t>
        </is>
      </c>
      <c r="H289" s="26" t="n">
        <v>0</v>
      </c>
      <c r="I289" s="26" t="n">
        <v>0</v>
      </c>
      <c r="J289" s="27" t="n">
        <v>0.5</v>
      </c>
      <c r="K289" s="28">
        <f>IFERROR(H289,0)</f>
        <v/>
      </c>
      <c r="L289" s="29" t="n"/>
      <c r="M289" s="29" t="n"/>
      <c r="N289" s="29" t="n"/>
      <c r="O289" s="29" t="n"/>
      <c r="P289" s="30">
        <f>IFERROR(IF(K289=0,"待填成本",ROUND(K289/(1-L289),0)),"" )</f>
        <v/>
      </c>
      <c r="Q289" s="30">
        <f>IFERROR(IF(K289=0,"待填成本",ROUND(K289/(1-M289),0)),"" )</f>
        <v/>
      </c>
      <c r="R289" s="30">
        <f>IFERROR(IF(K289=0,"待填成本",ROUND(K289/(1-N289),0)),"" )</f>
        <v/>
      </c>
      <c r="S289" s="30">
        <f>IFERROR(IF(K289=0,"待填成本",ROUND(K289/(1-O289),0)),"" )</f>
        <v/>
      </c>
      <c r="T289" s="31">
        <f>IFERROR(IF(K289=0,"",(P289-K289)/P289),"" )</f>
        <v/>
      </c>
      <c r="U289" s="31">
        <f>IFERROR(IF(K289=0,"",(Q289-K289)/Q289),"" )</f>
        <v/>
      </c>
      <c r="V289" s="31">
        <f>IFERROR(IF(K289=0,"",(R289-K289)/R289),"" )</f>
        <v/>
      </c>
      <c r="W289" s="31">
        <f>IFERROR(IF(K289=0,"",(S289-K289)/S289),"" )</f>
        <v/>
      </c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3" t="n"/>
      <c r="AG289" s="33" t="n"/>
      <c r="AH289" s="35" t="inlineStr"/>
    </row>
    <row r="290" ht="18" customHeight="1">
      <c r="A290" s="25" t="inlineStr">
        <is>
          <t>2521009040599</t>
        </is>
      </c>
      <c r="B290" s="6" t="inlineStr">
        <is>
          <t>餐厅-桌</t>
        </is>
      </c>
      <c r="C290" s="5" t="inlineStr">
        <is>
          <t>樱桃木餐桌-伸缩桌</t>
        </is>
      </c>
      <c r="D290" s="5" t="inlineStr">
        <is>
          <t>伸缩桌-2.2米</t>
        </is>
      </c>
      <c r="E290" s="6" t="inlineStr">
        <is>
          <t>北美进口FAS级樱桃木</t>
        </is>
      </c>
      <c r="F290" s="6" t="inlineStr">
        <is>
          <t>未知</t>
        </is>
      </c>
      <c r="G290" s="5" t="inlineStr">
        <is>
          <t>未知</t>
        </is>
      </c>
      <c r="H290" s="26" t="n">
        <v>0</v>
      </c>
      <c r="I290" s="26" t="n">
        <v>0</v>
      </c>
      <c r="J290" s="27" t="n">
        <v>0.5</v>
      </c>
      <c r="K290" s="28">
        <f>IFERROR(H290,0)</f>
        <v/>
      </c>
      <c r="L290" s="29" t="n"/>
      <c r="M290" s="29" t="n"/>
      <c r="N290" s="29" t="n"/>
      <c r="O290" s="29" t="n"/>
      <c r="P290" s="30">
        <f>IFERROR(IF(K290=0,"待填成本",ROUND(K290/(1-L290),0)),"" )</f>
        <v/>
      </c>
      <c r="Q290" s="30">
        <f>IFERROR(IF(K290=0,"待填成本",ROUND(K290/(1-M290),0)),"" )</f>
        <v/>
      </c>
      <c r="R290" s="30">
        <f>IFERROR(IF(K290=0,"待填成本",ROUND(K290/(1-N290),0)),"" )</f>
        <v/>
      </c>
      <c r="S290" s="30">
        <f>IFERROR(IF(K290=0,"待填成本",ROUND(K290/(1-O290),0)),"" )</f>
        <v/>
      </c>
      <c r="T290" s="31">
        <f>IFERROR(IF(K290=0,"",(P290-K290)/P290),"" )</f>
        <v/>
      </c>
      <c r="U290" s="31">
        <f>IFERROR(IF(K290=0,"",(Q290-K290)/Q290),"" )</f>
        <v/>
      </c>
      <c r="V290" s="31">
        <f>IFERROR(IF(K290=0,"",(R290-K290)/R290),"" )</f>
        <v/>
      </c>
      <c r="W290" s="31">
        <f>IFERROR(IF(K290=0,"",(S290-K290)/S290),"" )</f>
        <v/>
      </c>
      <c r="X290" s="32" t="n"/>
      <c r="Y290" s="32" t="n"/>
      <c r="Z290" s="32" t="n"/>
      <c r="AA290" s="32" t="n"/>
      <c r="AB290" s="32" t="n"/>
      <c r="AC290" s="32" t="n"/>
      <c r="AD290" s="32" t="n"/>
      <c r="AE290" s="32" t="n"/>
      <c r="AF290" s="33" t="n"/>
      <c r="AG290" s="33" t="n"/>
      <c r="AH290" s="5" t="inlineStr"/>
    </row>
    <row r="291" ht="18" customHeight="1">
      <c r="A291" s="25" t="inlineStr">
        <is>
          <t>2521009040599</t>
        </is>
      </c>
      <c r="B291" s="34" t="inlineStr">
        <is>
          <t>餐厅-桌</t>
        </is>
      </c>
      <c r="C291" s="35" t="inlineStr">
        <is>
          <t>樱桃木餐桌-伸缩桌</t>
        </is>
      </c>
      <c r="D291" s="35" t="inlineStr">
        <is>
          <t>桌面宽度增加0.05米-1.6米桌面</t>
        </is>
      </c>
      <c r="E291" s="34" t="inlineStr">
        <is>
          <t>北美进口FAS级樱桃木</t>
        </is>
      </c>
      <c r="F291" s="34" t="inlineStr">
        <is>
          <t>未知</t>
        </is>
      </c>
      <c r="G291" s="35" t="inlineStr">
        <is>
          <t>未知</t>
        </is>
      </c>
      <c r="H291" s="26" t="n">
        <v>0</v>
      </c>
      <c r="I291" s="26" t="n">
        <v>0</v>
      </c>
      <c r="J291" s="27" t="n">
        <v>0.5</v>
      </c>
      <c r="K291" s="28">
        <f>IFERROR(H291,0)</f>
        <v/>
      </c>
      <c r="L291" s="29" t="n"/>
      <c r="M291" s="29" t="n"/>
      <c r="N291" s="29" t="n"/>
      <c r="O291" s="29" t="n"/>
      <c r="P291" s="30">
        <f>IFERROR(IF(K291=0,"待填成本",ROUND(K291/(1-L291),0)),"" )</f>
        <v/>
      </c>
      <c r="Q291" s="30">
        <f>IFERROR(IF(K291=0,"待填成本",ROUND(K291/(1-M291),0)),"" )</f>
        <v/>
      </c>
      <c r="R291" s="30">
        <f>IFERROR(IF(K291=0,"待填成本",ROUND(K291/(1-N291),0)),"" )</f>
        <v/>
      </c>
      <c r="S291" s="30">
        <f>IFERROR(IF(K291=0,"待填成本",ROUND(K291/(1-O291),0)),"" )</f>
        <v/>
      </c>
      <c r="T291" s="31">
        <f>IFERROR(IF(K291=0,"",(P291-K291)/P291),"" )</f>
        <v/>
      </c>
      <c r="U291" s="31">
        <f>IFERROR(IF(K291=0,"",(Q291-K291)/Q291),"" )</f>
        <v/>
      </c>
      <c r="V291" s="31">
        <f>IFERROR(IF(K291=0,"",(R291-K291)/R291),"" )</f>
        <v/>
      </c>
      <c r="W291" s="31">
        <f>IFERROR(IF(K291=0,"",(S291-K291)/S291),"" )</f>
        <v/>
      </c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3" t="n"/>
      <c r="AG291" s="33" t="n"/>
      <c r="AH291" s="35" t="inlineStr"/>
    </row>
    <row r="292" ht="18" customHeight="1">
      <c r="A292" s="25" t="inlineStr">
        <is>
          <t>2521009040599</t>
        </is>
      </c>
      <c r="B292" s="6" t="inlineStr">
        <is>
          <t>餐厅-桌</t>
        </is>
      </c>
      <c r="C292" s="5" t="inlineStr">
        <is>
          <t>樱桃木餐桌-伸缩桌</t>
        </is>
      </c>
      <c r="D292" s="5" t="inlineStr">
        <is>
          <t>桌面宽度增加0.05米-1.8米桌面</t>
        </is>
      </c>
      <c r="E292" s="6" t="inlineStr">
        <is>
          <t>北美进口FAS级樱桃木</t>
        </is>
      </c>
      <c r="F292" s="6" t="inlineStr">
        <is>
          <t>未知</t>
        </is>
      </c>
      <c r="G292" s="5" t="inlineStr">
        <is>
          <t>未知</t>
        </is>
      </c>
      <c r="H292" s="26" t="n">
        <v>0</v>
      </c>
      <c r="I292" s="26" t="n">
        <v>0</v>
      </c>
      <c r="J292" s="27" t="n">
        <v>0.5</v>
      </c>
      <c r="K292" s="28">
        <f>IFERROR(H292,0)</f>
        <v/>
      </c>
      <c r="L292" s="29" t="n"/>
      <c r="M292" s="29" t="n"/>
      <c r="N292" s="29" t="n"/>
      <c r="O292" s="29" t="n"/>
      <c r="P292" s="30">
        <f>IFERROR(IF(K292=0,"待填成本",ROUND(K292/(1-L292),0)),"" )</f>
        <v/>
      </c>
      <c r="Q292" s="30">
        <f>IFERROR(IF(K292=0,"待填成本",ROUND(K292/(1-M292),0)),"" )</f>
        <v/>
      </c>
      <c r="R292" s="30">
        <f>IFERROR(IF(K292=0,"待填成本",ROUND(K292/(1-N292),0)),"" )</f>
        <v/>
      </c>
      <c r="S292" s="30">
        <f>IFERROR(IF(K292=0,"待填成本",ROUND(K292/(1-O292),0)),"" )</f>
        <v/>
      </c>
      <c r="T292" s="31">
        <f>IFERROR(IF(K292=0,"",(P292-K292)/P292),"" )</f>
        <v/>
      </c>
      <c r="U292" s="31">
        <f>IFERROR(IF(K292=0,"",(Q292-K292)/Q292),"" )</f>
        <v/>
      </c>
      <c r="V292" s="31">
        <f>IFERROR(IF(K292=0,"",(R292-K292)/R292),"" )</f>
        <v/>
      </c>
      <c r="W292" s="31">
        <f>IFERROR(IF(K292=0,"",(S292-K292)/S292),"" )</f>
        <v/>
      </c>
      <c r="X292" s="32" t="n"/>
      <c r="Y292" s="32" t="n"/>
      <c r="Z292" s="32" t="n"/>
      <c r="AA292" s="32" t="n"/>
      <c r="AB292" s="32" t="n"/>
      <c r="AC292" s="32" t="n"/>
      <c r="AD292" s="32" t="n"/>
      <c r="AE292" s="32" t="n"/>
      <c r="AF292" s="33" t="n"/>
      <c r="AG292" s="33" t="n"/>
      <c r="AH292" s="5" t="inlineStr"/>
    </row>
    <row r="293" ht="18" customHeight="1">
      <c r="A293" s="25" t="inlineStr">
        <is>
          <t>2521009040599</t>
        </is>
      </c>
      <c r="B293" s="34" t="inlineStr">
        <is>
          <t>餐厅-桌</t>
        </is>
      </c>
      <c r="C293" s="35" t="inlineStr">
        <is>
          <t>樱桃木餐桌-伸缩桌</t>
        </is>
      </c>
      <c r="D293" s="35" t="inlineStr">
        <is>
          <t>桌面宽度增加0.05米-2.0米桌面</t>
        </is>
      </c>
      <c r="E293" s="34" t="inlineStr">
        <is>
          <t>北美进口FAS级樱桃木</t>
        </is>
      </c>
      <c r="F293" s="34" t="inlineStr">
        <is>
          <t>未知</t>
        </is>
      </c>
      <c r="G293" s="35" t="inlineStr">
        <is>
          <t>未知</t>
        </is>
      </c>
      <c r="H293" s="26" t="n">
        <v>0</v>
      </c>
      <c r="I293" s="26" t="n">
        <v>0</v>
      </c>
      <c r="J293" s="27" t="n">
        <v>0.5</v>
      </c>
      <c r="K293" s="28">
        <f>IFERROR(H293,0)</f>
        <v/>
      </c>
      <c r="L293" s="29" t="n"/>
      <c r="M293" s="29" t="n"/>
      <c r="N293" s="29" t="n"/>
      <c r="O293" s="29" t="n"/>
      <c r="P293" s="30">
        <f>IFERROR(IF(K293=0,"待填成本",ROUND(K293/(1-L293),0)),"" )</f>
        <v/>
      </c>
      <c r="Q293" s="30">
        <f>IFERROR(IF(K293=0,"待填成本",ROUND(K293/(1-M293),0)),"" )</f>
        <v/>
      </c>
      <c r="R293" s="30">
        <f>IFERROR(IF(K293=0,"待填成本",ROUND(K293/(1-N293),0)),"" )</f>
        <v/>
      </c>
      <c r="S293" s="30">
        <f>IFERROR(IF(K293=0,"待填成本",ROUND(K293/(1-O293),0)),"" )</f>
        <v/>
      </c>
      <c r="T293" s="31">
        <f>IFERROR(IF(K293=0,"",(P293-K293)/P293),"" )</f>
        <v/>
      </c>
      <c r="U293" s="31">
        <f>IFERROR(IF(K293=0,"",(Q293-K293)/Q293),"" )</f>
        <v/>
      </c>
      <c r="V293" s="31">
        <f>IFERROR(IF(K293=0,"",(R293-K293)/R293),"" )</f>
        <v/>
      </c>
      <c r="W293" s="31">
        <f>IFERROR(IF(K293=0,"",(S293-K293)/S293),"" )</f>
        <v/>
      </c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3" t="n"/>
      <c r="AG293" s="33" t="n"/>
      <c r="AH293" s="35" t="inlineStr"/>
    </row>
    <row r="294" ht="18" customHeight="1">
      <c r="A294" s="25" t="inlineStr">
        <is>
          <t>2521009040599</t>
        </is>
      </c>
      <c r="B294" s="6" t="inlineStr">
        <is>
          <t>餐厅-桌</t>
        </is>
      </c>
      <c r="C294" s="5" t="inlineStr">
        <is>
          <t>樱桃木餐桌-伸缩桌</t>
        </is>
      </c>
      <c r="D294" s="5" t="inlineStr">
        <is>
          <t>额外定制增加费用</t>
        </is>
      </c>
      <c r="E294" s="6" t="inlineStr">
        <is>
          <t>北美进口FAS级樱桃木</t>
        </is>
      </c>
      <c r="F294" s="6" t="inlineStr">
        <is>
          <t>未知</t>
        </is>
      </c>
      <c r="G294" s="5" t="inlineStr">
        <is>
          <t>未知</t>
        </is>
      </c>
      <c r="H294" s="26" t="n">
        <v>0</v>
      </c>
      <c r="I294" s="26" t="n">
        <v>0</v>
      </c>
      <c r="J294" s="27" t="n">
        <v>0.5</v>
      </c>
      <c r="K294" s="28">
        <f>IFERROR(H294,0)</f>
        <v/>
      </c>
      <c r="L294" s="29" t="n"/>
      <c r="M294" s="29" t="n"/>
      <c r="N294" s="29" t="n"/>
      <c r="O294" s="29" t="n"/>
      <c r="P294" s="30">
        <f>IFERROR(IF(K294=0,"待填成本",ROUND(K294/(1-L294),0)),"" )</f>
        <v/>
      </c>
      <c r="Q294" s="30">
        <f>IFERROR(IF(K294=0,"待填成本",ROUND(K294/(1-M294),0)),"" )</f>
        <v/>
      </c>
      <c r="R294" s="30">
        <f>IFERROR(IF(K294=0,"待填成本",ROUND(K294/(1-N294),0)),"" )</f>
        <v/>
      </c>
      <c r="S294" s="30">
        <f>IFERROR(IF(K294=0,"待填成本",ROUND(K294/(1-O294),0)),"" )</f>
        <v/>
      </c>
      <c r="T294" s="31">
        <f>IFERROR(IF(K294=0,"",(P294-K294)/P294),"" )</f>
        <v/>
      </c>
      <c r="U294" s="31">
        <f>IFERROR(IF(K294=0,"",(Q294-K294)/Q294),"" )</f>
        <v/>
      </c>
      <c r="V294" s="31">
        <f>IFERROR(IF(K294=0,"",(R294-K294)/R294),"" )</f>
        <v/>
      </c>
      <c r="W294" s="31">
        <f>IFERROR(IF(K294=0,"",(S294-K294)/S294),"" )</f>
        <v/>
      </c>
      <c r="X294" s="32" t="n"/>
      <c r="Y294" s="32" t="n"/>
      <c r="Z294" s="32" t="n"/>
      <c r="AA294" s="32" t="n"/>
      <c r="AB294" s="32" t="n"/>
      <c r="AC294" s="32" t="n"/>
      <c r="AD294" s="32" t="n"/>
      <c r="AE294" s="32" t="n"/>
      <c r="AF294" s="33" t="n"/>
      <c r="AG294" s="33" t="n"/>
      <c r="AH294" s="5" t="inlineStr"/>
    </row>
    <row r="295" ht="18" customHeight="1">
      <c r="A295" s="25" t="inlineStr">
        <is>
          <t>2521010041099</t>
        </is>
      </c>
      <c r="B295" s="34" t="inlineStr">
        <is>
          <t>餐厅-桌</t>
        </is>
      </c>
      <c r="C295" s="35" t="inlineStr">
        <is>
          <t>畔色黑胡桃木岩板餐桌2025 |黑胡桃木三角腿餐桌</t>
        </is>
      </c>
      <c r="D295" s="35" t="inlineStr">
        <is>
          <t>黑胡桃木岩板-1.2米</t>
        </is>
      </c>
      <c r="E295" s="34" t="inlineStr">
        <is>
          <t>北美进口FAS级黑胡桃木</t>
        </is>
      </c>
      <c r="F295" s="34" t="inlineStr">
        <is>
          <t>台面：洞石岩板/黑色岩板</t>
        </is>
      </c>
      <c r="G295" s="35" t="inlineStr">
        <is>
          <t>长度：1200mm/1400mm/1600mm/1800mm/2000mm</t>
        </is>
      </c>
      <c r="H295" s="26" t="n">
        <v>2360.9</v>
      </c>
      <c r="I295" s="26" t="n">
        <v>1930</v>
      </c>
      <c r="J295" s="27" t="n">
        <v>0.5</v>
      </c>
      <c r="K295" s="28">
        <f>IFERROR(H295,0)</f>
        <v/>
      </c>
      <c r="L295" s="29" t="n">
        <v>0.4677</v>
      </c>
      <c r="M295" s="29" t="n">
        <v>0.141</v>
      </c>
      <c r="N295" s="29" t="n">
        <v>0.1197</v>
      </c>
      <c r="O295" s="29" t="n">
        <v>0.0827</v>
      </c>
      <c r="P295" s="30">
        <f>IFERROR(IF(K295=0,"待填成本",ROUND(K295/(1-L295),0)),"" )</f>
        <v/>
      </c>
      <c r="Q295" s="30">
        <f>IFERROR(IF(K295=0,"待填成本",ROUND(K295/(1-M295),0)),"" )</f>
        <v/>
      </c>
      <c r="R295" s="30">
        <f>IFERROR(IF(K295=0,"待填成本",ROUND(K295/(1-N295),0)),"" )</f>
        <v/>
      </c>
      <c r="S295" s="30">
        <f>IFERROR(IF(K295=0,"待填成本",ROUND(K295/(1-O295),0)),"" )</f>
        <v/>
      </c>
      <c r="T295" s="31">
        <f>IFERROR(IF(K295=0,"",(P295-K295)/P295),"" )</f>
        <v/>
      </c>
      <c r="U295" s="31">
        <f>IFERROR(IF(K295=0,"",(Q295-K295)/Q295),"" )</f>
        <v/>
      </c>
      <c r="V295" s="31">
        <f>IFERROR(IF(K295=0,"",(R295-K295)/R295),"" )</f>
        <v/>
      </c>
      <c r="W295" s="31">
        <f>IFERROR(IF(K295=0,"",(S295-K295)/S295),"" )</f>
        <v/>
      </c>
      <c r="X295" s="36" t="n"/>
      <c r="Y295" s="37" t="n">
        <v>4.887499999999999</v>
      </c>
      <c r="Z295" s="36" t="n"/>
      <c r="AA295" s="36" t="n"/>
      <c r="AB295" s="36" t="n"/>
      <c r="AC295" s="36" t="n"/>
      <c r="AD295" s="36" t="n"/>
      <c r="AE295" s="36" t="n"/>
      <c r="AF295" s="33" t="n"/>
      <c r="AG295" s="33" t="n"/>
      <c r="AH295" s="35" t="inlineStr"/>
    </row>
    <row r="296" ht="18" customHeight="1">
      <c r="A296" s="25" t="inlineStr">
        <is>
          <t>2521010041099</t>
        </is>
      </c>
      <c r="B296" s="6" t="inlineStr">
        <is>
          <t>餐厅-桌</t>
        </is>
      </c>
      <c r="C296" s="5" t="inlineStr">
        <is>
          <t>畔色黑胡桃木岩板餐桌2026 |黑胡桃木三角腿餐桌</t>
        </is>
      </c>
      <c r="D296" s="5" t="inlineStr">
        <is>
          <t>黑胡桃木岩板-1.3米</t>
        </is>
      </c>
      <c r="E296" s="6" t="inlineStr">
        <is>
          <t>北美进口FAS级黑胡桃木</t>
        </is>
      </c>
      <c r="F296" s="6" t="inlineStr">
        <is>
          <t>台面：洞石岩板/黑色岩板</t>
        </is>
      </c>
      <c r="G296" s="5" t="inlineStr">
        <is>
          <t>长度：1200mm/1400mm/1600mm/1800mm/2000mm</t>
        </is>
      </c>
      <c r="H296" s="26" t="n">
        <v>2410.9</v>
      </c>
      <c r="I296" s="26" t="n">
        <v>1980</v>
      </c>
      <c r="J296" s="27" t="n">
        <v>0.5</v>
      </c>
      <c r="K296" s="28">
        <f>IFERROR(H296,0)</f>
        <v/>
      </c>
      <c r="L296" s="29" t="n">
        <v>0.4674</v>
      </c>
      <c r="M296" s="29" t="n">
        <v>0.1411</v>
      </c>
      <c r="N296" s="29" t="n">
        <v>0.1201</v>
      </c>
      <c r="O296" s="29" t="n">
        <v>0.0824</v>
      </c>
      <c r="P296" s="30">
        <f>IFERROR(IF(K296=0,"待填成本",ROUND(K296/(1-L296),0)),"" )</f>
        <v/>
      </c>
      <c r="Q296" s="30">
        <f>IFERROR(IF(K296=0,"待填成本",ROUND(K296/(1-M296),0)),"" )</f>
        <v/>
      </c>
      <c r="R296" s="30">
        <f>IFERROR(IF(K296=0,"待填成本",ROUND(K296/(1-N296),0)),"" )</f>
        <v/>
      </c>
      <c r="S296" s="30">
        <f>IFERROR(IF(K296=0,"待填成本",ROUND(K296/(1-O296),0)),"" )</f>
        <v/>
      </c>
      <c r="T296" s="31">
        <f>IFERROR(IF(K296=0,"",(P296-K296)/P296),"" )</f>
        <v/>
      </c>
      <c r="U296" s="31">
        <f>IFERROR(IF(K296=0,"",(Q296-K296)/Q296),"" )</f>
        <v/>
      </c>
      <c r="V296" s="31">
        <f>IFERROR(IF(K296=0,"",(R296-K296)/R296),"" )</f>
        <v/>
      </c>
      <c r="W296" s="31">
        <f>IFERROR(IF(K296=0,"",(S296-K296)/S296),"" )</f>
        <v/>
      </c>
      <c r="X296" s="32" t="n"/>
      <c r="Y296" s="37" t="n">
        <v>5.174999999999999</v>
      </c>
      <c r="Z296" s="32" t="n"/>
      <c r="AA296" s="32" t="n"/>
      <c r="AB296" s="32" t="n"/>
      <c r="AC296" s="32" t="n"/>
      <c r="AD296" s="32" t="n"/>
      <c r="AE296" s="32" t="n"/>
      <c r="AF296" s="33" t="n"/>
      <c r="AG296" s="33" t="n"/>
      <c r="AH296" s="5" t="inlineStr"/>
    </row>
    <row r="297" ht="18" customHeight="1">
      <c r="A297" s="25" t="inlineStr">
        <is>
          <t>2521010041099</t>
        </is>
      </c>
      <c r="B297" s="34" t="inlineStr">
        <is>
          <t>餐厅-桌</t>
        </is>
      </c>
      <c r="C297" s="35" t="inlineStr">
        <is>
          <t>畔色黑胡桃木岩板餐桌2027 |黑胡桃木三角腿餐桌</t>
        </is>
      </c>
      <c r="D297" s="35" t="inlineStr">
        <is>
          <t>黑胡桃木岩板-1.4米</t>
        </is>
      </c>
      <c r="E297" s="34" t="inlineStr">
        <is>
          <t>北美进口FAS级黑胡桃木</t>
        </is>
      </c>
      <c r="F297" s="34" t="inlineStr">
        <is>
          <t>台面：洞石岩板/黑色岩板</t>
        </is>
      </c>
      <c r="G297" s="35" t="inlineStr">
        <is>
          <t>长度：1200mm/1400mm/1600mm/1800mm/2000mm</t>
        </is>
      </c>
      <c r="H297" s="26" t="n">
        <v>2460.9</v>
      </c>
      <c r="I297" s="26" t="n">
        <v>2030</v>
      </c>
      <c r="J297" s="27" t="n">
        <v>0.5</v>
      </c>
      <c r="K297" s="28">
        <f>IFERROR(H297,0)</f>
        <v/>
      </c>
      <c r="L297" s="29" t="n">
        <v>0.4672</v>
      </c>
      <c r="M297" s="29" t="n">
        <v>0.1411</v>
      </c>
      <c r="N297" s="29" t="n">
        <v>0.1206</v>
      </c>
      <c r="O297" s="29" t="n">
        <v>0.08210000000000001</v>
      </c>
      <c r="P297" s="30">
        <f>IFERROR(IF(K297=0,"待填成本",ROUND(K297/(1-L297),0)),"" )</f>
        <v/>
      </c>
      <c r="Q297" s="30">
        <f>IFERROR(IF(K297=0,"待填成本",ROUND(K297/(1-M297),0)),"" )</f>
        <v/>
      </c>
      <c r="R297" s="30">
        <f>IFERROR(IF(K297=0,"待填成本",ROUND(K297/(1-N297),0)),"" )</f>
        <v/>
      </c>
      <c r="S297" s="30">
        <f>IFERROR(IF(K297=0,"待填成本",ROUND(K297/(1-O297),0)),"" )</f>
        <v/>
      </c>
      <c r="T297" s="31">
        <f>IFERROR(IF(K297=0,"",(P297-K297)/P297),"" )</f>
        <v/>
      </c>
      <c r="U297" s="31">
        <f>IFERROR(IF(K297=0,"",(Q297-K297)/Q297),"" )</f>
        <v/>
      </c>
      <c r="V297" s="31">
        <f>IFERROR(IF(K297=0,"",(R297-K297)/R297),"" )</f>
        <v/>
      </c>
      <c r="W297" s="31">
        <f>IFERROR(IF(K297=0,"",(S297-K297)/S297),"" )</f>
        <v/>
      </c>
      <c r="X297" s="36" t="n"/>
      <c r="Y297" s="37" t="n">
        <v>5.462499999999999</v>
      </c>
      <c r="Z297" s="36" t="n"/>
      <c r="AA297" s="36" t="n"/>
      <c r="AB297" s="36" t="n"/>
      <c r="AC297" s="36" t="n"/>
      <c r="AD297" s="36" t="n"/>
      <c r="AE297" s="36" t="n"/>
      <c r="AF297" s="33" t="n"/>
      <c r="AG297" s="33" t="n"/>
      <c r="AH297" s="35" t="inlineStr"/>
    </row>
    <row r="298" ht="18" customHeight="1">
      <c r="A298" s="25" t="inlineStr">
        <is>
          <t>2521010041099</t>
        </is>
      </c>
      <c r="B298" s="6" t="inlineStr">
        <is>
          <t>餐厅-桌</t>
        </is>
      </c>
      <c r="C298" s="5" t="inlineStr">
        <is>
          <t>畔色黑胡桃木岩板餐桌2028 |黑胡桃木三角腿餐桌</t>
        </is>
      </c>
      <c r="D298" s="5" t="inlineStr">
        <is>
          <t>黑胡桃木岩板-1.5米</t>
        </is>
      </c>
      <c r="E298" s="6" t="inlineStr">
        <is>
          <t>北美进口FAS级黑胡桃木</t>
        </is>
      </c>
      <c r="F298" s="6" t="inlineStr">
        <is>
          <t>台面：洞石岩板/黑色岩板</t>
        </is>
      </c>
      <c r="G298" s="5" t="inlineStr">
        <is>
          <t>长度：1200mm/1400mm/1600mm/1800mm/2000mm</t>
        </is>
      </c>
      <c r="H298" s="26" t="n">
        <v>2510.9</v>
      </c>
      <c r="I298" s="26" t="n">
        <v>2080</v>
      </c>
      <c r="J298" s="27" t="n">
        <v>0.5</v>
      </c>
      <c r="K298" s="28">
        <f>IFERROR(H298,0)</f>
        <v/>
      </c>
      <c r="L298" s="29" t="n">
        <v>0.4669</v>
      </c>
      <c r="M298" s="29" t="n">
        <v>0.1412</v>
      </c>
      <c r="N298" s="29" t="n">
        <v>0.121</v>
      </c>
      <c r="O298" s="29" t="n">
        <v>0.0818</v>
      </c>
      <c r="P298" s="30">
        <f>IFERROR(IF(K298=0,"待填成本",ROUND(K298/(1-L298),0)),"" )</f>
        <v/>
      </c>
      <c r="Q298" s="30">
        <f>IFERROR(IF(K298=0,"待填成本",ROUND(K298/(1-M298),0)),"" )</f>
        <v/>
      </c>
      <c r="R298" s="30">
        <f>IFERROR(IF(K298=0,"待填成本",ROUND(K298/(1-N298),0)),"" )</f>
        <v/>
      </c>
      <c r="S298" s="30">
        <f>IFERROR(IF(K298=0,"待填成本",ROUND(K298/(1-O298),0)),"" )</f>
        <v/>
      </c>
      <c r="T298" s="31">
        <f>IFERROR(IF(K298=0,"",(P298-K298)/P298),"" )</f>
        <v/>
      </c>
      <c r="U298" s="31">
        <f>IFERROR(IF(K298=0,"",(Q298-K298)/Q298),"" )</f>
        <v/>
      </c>
      <c r="V298" s="31">
        <f>IFERROR(IF(K298=0,"",(R298-K298)/R298),"" )</f>
        <v/>
      </c>
      <c r="W298" s="31">
        <f>IFERROR(IF(K298=0,"",(S298-K298)/S298),"" )</f>
        <v/>
      </c>
      <c r="X298" s="32" t="n"/>
      <c r="Y298" s="37" t="n">
        <v>5.75</v>
      </c>
      <c r="Z298" s="32" t="n"/>
      <c r="AA298" s="32" t="n"/>
      <c r="AB298" s="32" t="n"/>
      <c r="AC298" s="32" t="n"/>
      <c r="AD298" s="32" t="n"/>
      <c r="AE298" s="32" t="n"/>
      <c r="AF298" s="33" t="n"/>
      <c r="AG298" s="33" t="n"/>
      <c r="AH298" s="5" t="inlineStr"/>
    </row>
    <row r="299" ht="18" customHeight="1">
      <c r="A299" s="25" t="inlineStr">
        <is>
          <t>2521010041099</t>
        </is>
      </c>
      <c r="B299" s="34" t="inlineStr">
        <is>
          <t>餐厅-桌</t>
        </is>
      </c>
      <c r="C299" s="35" t="inlineStr">
        <is>
          <t>畔色黑胡桃木岩板餐桌2029 |黑胡桃木三角腿餐桌</t>
        </is>
      </c>
      <c r="D299" s="35" t="inlineStr">
        <is>
          <t>黑胡桃木岩板-1.6米</t>
        </is>
      </c>
      <c r="E299" s="34" t="inlineStr">
        <is>
          <t>北美进口FAS级黑胡桃木</t>
        </is>
      </c>
      <c r="F299" s="34" t="inlineStr">
        <is>
          <t>台面：洞石岩板/黑色岩板</t>
        </is>
      </c>
      <c r="G299" s="35" t="inlineStr">
        <is>
          <t>长度：1200mm/1400mm/1600mm/1800mm/2000mm</t>
        </is>
      </c>
      <c r="H299" s="26" t="n">
        <v>2560.9</v>
      </c>
      <c r="I299" s="26" t="n">
        <v>2130</v>
      </c>
      <c r="J299" s="27" t="n">
        <v>0.5</v>
      </c>
      <c r="K299" s="28">
        <f>IFERROR(H299,0)</f>
        <v/>
      </c>
      <c r="L299" s="29" t="n">
        <v>0.4667</v>
      </c>
      <c r="M299" s="29" t="n">
        <v>0.1413</v>
      </c>
      <c r="N299" s="29" t="n">
        <v>0.1214</v>
      </c>
      <c r="O299" s="29" t="n">
        <v>0.08160000000000001</v>
      </c>
      <c r="P299" s="30">
        <f>IFERROR(IF(K299=0,"待填成本",ROUND(K299/(1-L299),0)),"" )</f>
        <v/>
      </c>
      <c r="Q299" s="30">
        <f>IFERROR(IF(K299=0,"待填成本",ROUND(K299/(1-M299),0)),"" )</f>
        <v/>
      </c>
      <c r="R299" s="30">
        <f>IFERROR(IF(K299=0,"待填成本",ROUND(K299/(1-N299),0)),"" )</f>
        <v/>
      </c>
      <c r="S299" s="30">
        <f>IFERROR(IF(K299=0,"待填成本",ROUND(K299/(1-O299),0)),"" )</f>
        <v/>
      </c>
      <c r="T299" s="31">
        <f>IFERROR(IF(K299=0,"",(P299-K299)/P299),"" )</f>
        <v/>
      </c>
      <c r="U299" s="31">
        <f>IFERROR(IF(K299=0,"",(Q299-K299)/Q299),"" )</f>
        <v/>
      </c>
      <c r="V299" s="31">
        <f>IFERROR(IF(K299=0,"",(R299-K299)/R299),"" )</f>
        <v/>
      </c>
      <c r="W299" s="31">
        <f>IFERROR(IF(K299=0,"",(S299-K299)/S299),"" )</f>
        <v/>
      </c>
      <c r="X299" s="36" t="n"/>
      <c r="Y299" s="37" t="n">
        <v>6.0375</v>
      </c>
      <c r="Z299" s="36" t="n"/>
      <c r="AA299" s="36" t="n"/>
      <c r="AB299" s="36" t="n"/>
      <c r="AC299" s="36" t="n"/>
      <c r="AD299" s="36" t="n"/>
      <c r="AE299" s="36" t="n"/>
      <c r="AF299" s="33" t="n"/>
      <c r="AG299" s="33" t="n"/>
      <c r="AH299" s="35" t="inlineStr"/>
    </row>
    <row r="300" ht="18" customHeight="1">
      <c r="A300" s="25" t="inlineStr">
        <is>
          <t>2521010041099</t>
        </is>
      </c>
      <c r="B300" s="6" t="inlineStr">
        <is>
          <t>餐厅-桌</t>
        </is>
      </c>
      <c r="C300" s="5" t="inlineStr">
        <is>
          <t>畔色黑胡桃木岩板餐桌2030 |黑胡桃木三角腿餐桌</t>
        </is>
      </c>
      <c r="D300" s="5" t="inlineStr">
        <is>
          <t>黑胡桃木岩板-1.7米</t>
        </is>
      </c>
      <c r="E300" s="6" t="inlineStr">
        <is>
          <t>北美进口FAS级黑胡桃木</t>
        </is>
      </c>
      <c r="F300" s="6" t="inlineStr">
        <is>
          <t>台面：洞石岩板/黑色岩板</t>
        </is>
      </c>
      <c r="G300" s="5" t="inlineStr">
        <is>
          <t>长度：1200mm/1400mm/1600mm/1800mm/2000mm</t>
        </is>
      </c>
      <c r="H300" s="26" t="n">
        <v>2620.9</v>
      </c>
      <c r="I300" s="26" t="n">
        <v>2180</v>
      </c>
      <c r="J300" s="27" t="n">
        <v>0.5</v>
      </c>
      <c r="K300" s="28">
        <f>IFERROR(H300,0)</f>
        <v/>
      </c>
      <c r="L300" s="29" t="n">
        <v>0.4667</v>
      </c>
      <c r="M300" s="29" t="n">
        <v>0.1408</v>
      </c>
      <c r="N300" s="29" t="n">
        <v>0.1214</v>
      </c>
      <c r="O300" s="29" t="n">
        <v>0.081</v>
      </c>
      <c r="P300" s="30">
        <f>IFERROR(IF(K300=0,"待填成本",ROUND(K300/(1-L300),0)),"" )</f>
        <v/>
      </c>
      <c r="Q300" s="30">
        <f>IFERROR(IF(K300=0,"待填成本",ROUND(K300/(1-M300),0)),"" )</f>
        <v/>
      </c>
      <c r="R300" s="30">
        <f>IFERROR(IF(K300=0,"待填成本",ROUND(K300/(1-N300),0)),"" )</f>
        <v/>
      </c>
      <c r="S300" s="30">
        <f>IFERROR(IF(K300=0,"待填成本",ROUND(K300/(1-O300),0)),"" )</f>
        <v/>
      </c>
      <c r="T300" s="31">
        <f>IFERROR(IF(K300=0,"",(P300-K300)/P300),"" )</f>
        <v/>
      </c>
      <c r="U300" s="31">
        <f>IFERROR(IF(K300=0,"",(Q300-K300)/Q300),"" )</f>
        <v/>
      </c>
      <c r="V300" s="31">
        <f>IFERROR(IF(K300=0,"",(R300-K300)/R300),"" )</f>
        <v/>
      </c>
      <c r="W300" s="31">
        <f>IFERROR(IF(K300=0,"",(S300-K300)/S300),"" )</f>
        <v/>
      </c>
      <c r="X300" s="32" t="n"/>
      <c r="Y300" s="37" t="n">
        <v>6.325</v>
      </c>
      <c r="Z300" s="32" t="n"/>
      <c r="AA300" s="32" t="n"/>
      <c r="AB300" s="32" t="n"/>
      <c r="AC300" s="32" t="n"/>
      <c r="AD300" s="32" t="n"/>
      <c r="AE300" s="32" t="n"/>
      <c r="AF300" s="33" t="n"/>
      <c r="AG300" s="33" t="n"/>
      <c r="AH300" s="5" t="inlineStr"/>
    </row>
    <row r="301" ht="18" customHeight="1">
      <c r="A301" s="25" t="inlineStr">
        <is>
          <t>2521010041099</t>
        </is>
      </c>
      <c r="B301" s="34" t="inlineStr">
        <is>
          <t>餐厅-桌</t>
        </is>
      </c>
      <c r="C301" s="35" t="inlineStr">
        <is>
          <t>畔色黑胡桃木岩板餐桌2031 |黑胡桃木三角腿餐桌</t>
        </is>
      </c>
      <c r="D301" s="35" t="inlineStr">
        <is>
          <t>黑胡桃木岩板-1.8米</t>
        </is>
      </c>
      <c r="E301" s="34" t="inlineStr">
        <is>
          <t>北美进口FAS级黑胡桃木</t>
        </is>
      </c>
      <c r="F301" s="34" t="inlineStr">
        <is>
          <t>台面：洞石岩板/黑色岩板</t>
        </is>
      </c>
      <c r="G301" s="35" t="inlineStr">
        <is>
          <t>长度：1200mm/1400mm/1600mm/1800mm/2000mm</t>
        </is>
      </c>
      <c r="H301" s="26" t="n">
        <v>2680.9</v>
      </c>
      <c r="I301" s="26" t="n">
        <v>2230</v>
      </c>
      <c r="J301" s="27" t="n">
        <v>0.5</v>
      </c>
      <c r="K301" s="28">
        <f>IFERROR(H301,0)</f>
        <v/>
      </c>
      <c r="L301" s="29" t="n">
        <v>0.4668</v>
      </c>
      <c r="M301" s="29" t="n">
        <v>0.1405</v>
      </c>
      <c r="N301" s="29" t="n">
        <v>0.1213</v>
      </c>
      <c r="O301" s="29" t="n">
        <v>0.0805</v>
      </c>
      <c r="P301" s="30">
        <f>IFERROR(IF(K301=0,"待填成本",ROUND(K301/(1-L301),0)),"" )</f>
        <v/>
      </c>
      <c r="Q301" s="30">
        <f>IFERROR(IF(K301=0,"待填成本",ROUND(K301/(1-M301),0)),"" )</f>
        <v/>
      </c>
      <c r="R301" s="30">
        <f>IFERROR(IF(K301=0,"待填成本",ROUND(K301/(1-N301),0)),"" )</f>
        <v/>
      </c>
      <c r="S301" s="30">
        <f>IFERROR(IF(K301=0,"待填成本",ROUND(K301/(1-O301),0)),"" )</f>
        <v/>
      </c>
      <c r="T301" s="31">
        <f>IFERROR(IF(K301=0,"",(P301-K301)/P301),"" )</f>
        <v/>
      </c>
      <c r="U301" s="31">
        <f>IFERROR(IF(K301=0,"",(Q301-K301)/Q301),"" )</f>
        <v/>
      </c>
      <c r="V301" s="31">
        <f>IFERROR(IF(K301=0,"",(R301-K301)/R301),"" )</f>
        <v/>
      </c>
      <c r="W301" s="31">
        <f>IFERROR(IF(K301=0,"",(S301-K301)/S301),"" )</f>
        <v/>
      </c>
      <c r="X301" s="36" t="n"/>
      <c r="Y301" s="37" t="n">
        <v>6.612500000000001</v>
      </c>
      <c r="Z301" s="36" t="n"/>
      <c r="AA301" s="36" t="n"/>
      <c r="AB301" s="36" t="n"/>
      <c r="AC301" s="36" t="n"/>
      <c r="AD301" s="36" t="n"/>
      <c r="AE301" s="36" t="n"/>
      <c r="AF301" s="33" t="n"/>
      <c r="AG301" s="33" t="n"/>
      <c r="AH301" s="35" t="inlineStr"/>
    </row>
    <row r="302" ht="18" customHeight="1">
      <c r="A302" s="25" t="inlineStr">
        <is>
          <t>2521010041099</t>
        </is>
      </c>
      <c r="B302" s="6" t="inlineStr">
        <is>
          <t>餐厅-桌</t>
        </is>
      </c>
      <c r="C302" s="5" t="inlineStr">
        <is>
          <t>畔色黑胡桃木岩板餐桌2032 |黑胡桃木三角腿餐桌</t>
        </is>
      </c>
      <c r="D302" s="5" t="inlineStr">
        <is>
          <t>黑胡桃木岩板-1.9米</t>
        </is>
      </c>
      <c r="E302" s="6" t="inlineStr">
        <is>
          <t>北美进口FAS级黑胡桃木</t>
        </is>
      </c>
      <c r="F302" s="6" t="inlineStr">
        <is>
          <t>台面：洞石岩板/黑色岩板</t>
        </is>
      </c>
      <c r="G302" s="5" t="inlineStr">
        <is>
          <t>长度：1200mm/1400mm/1600mm/1800mm/2000mm</t>
        </is>
      </c>
      <c r="H302" s="26" t="n">
        <v>2865.9</v>
      </c>
      <c r="I302" s="26" t="n">
        <v>2280</v>
      </c>
      <c r="J302" s="27" t="n">
        <v>0.5</v>
      </c>
      <c r="K302" s="28">
        <f>IFERROR(H302,0)</f>
        <v/>
      </c>
      <c r="L302" s="29" t="n">
        <v>0.4668</v>
      </c>
      <c r="M302" s="29" t="n">
        <v>0.1402</v>
      </c>
      <c r="N302" s="29" t="n">
        <v>0.1211</v>
      </c>
      <c r="O302" s="29" t="n">
        <v>0.0813</v>
      </c>
      <c r="P302" s="30">
        <f>IFERROR(IF(K302=0,"待填成本",ROUND(K302/(1-L302),0)),"" )</f>
        <v/>
      </c>
      <c r="Q302" s="30">
        <f>IFERROR(IF(K302=0,"待填成本",ROUND(K302/(1-M302),0)),"" )</f>
        <v/>
      </c>
      <c r="R302" s="30">
        <f>IFERROR(IF(K302=0,"待填成本",ROUND(K302/(1-N302),0)),"" )</f>
        <v/>
      </c>
      <c r="S302" s="30">
        <f>IFERROR(IF(K302=0,"待填成本",ROUND(K302/(1-O302),0)),"" )</f>
        <v/>
      </c>
      <c r="T302" s="31">
        <f>IFERROR(IF(K302=0,"",(P302-K302)/P302),"" )</f>
        <v/>
      </c>
      <c r="U302" s="31">
        <f>IFERROR(IF(K302=0,"",(Q302-K302)/Q302),"" )</f>
        <v/>
      </c>
      <c r="V302" s="31">
        <f>IFERROR(IF(K302=0,"",(R302-K302)/R302),"" )</f>
        <v/>
      </c>
      <c r="W302" s="31">
        <f>IFERROR(IF(K302=0,"",(S302-K302)/S302),"" )</f>
        <v/>
      </c>
      <c r="X302" s="32" t="n"/>
      <c r="Y302" s="37" t="n">
        <v>6.9</v>
      </c>
      <c r="Z302" s="32" t="n"/>
      <c r="AA302" s="32" t="n"/>
      <c r="AB302" s="32" t="n"/>
      <c r="AC302" s="32" t="n"/>
      <c r="AD302" s="32" t="n"/>
      <c r="AE302" s="32" t="n"/>
      <c r="AF302" s="33" t="n"/>
      <c r="AG302" s="33" t="n"/>
      <c r="AH302" s="5" t="inlineStr"/>
    </row>
    <row r="303" ht="18" customHeight="1">
      <c r="A303" s="25" t="inlineStr">
        <is>
          <t>2521010041099</t>
        </is>
      </c>
      <c r="B303" s="34" t="inlineStr">
        <is>
          <t>餐厅-桌</t>
        </is>
      </c>
      <c r="C303" s="35" t="inlineStr">
        <is>
          <t>畔色黑胡桃木岩板餐桌2033 |黑胡桃木三角腿餐桌</t>
        </is>
      </c>
      <c r="D303" s="35" t="inlineStr">
        <is>
          <t>黑胡桃木岩板-2.0米</t>
        </is>
      </c>
      <c r="E303" s="34" t="inlineStr">
        <is>
          <t>北美进口FAS级黑胡桃木</t>
        </is>
      </c>
      <c r="F303" s="34" t="inlineStr">
        <is>
          <t>台面：洞石岩板/黑色岩板</t>
        </is>
      </c>
      <c r="G303" s="35" t="inlineStr">
        <is>
          <t>长度：1200mm/1400mm/1600mm/1800mm/2000mm</t>
        </is>
      </c>
      <c r="H303" s="26" t="n">
        <v>3050.9</v>
      </c>
      <c r="I303" s="26" t="n">
        <v>2330</v>
      </c>
      <c r="J303" s="27" t="n">
        <v>0.5</v>
      </c>
      <c r="K303" s="28">
        <f>IFERROR(H303,0)</f>
        <v/>
      </c>
      <c r="L303" s="29" t="n">
        <v>0.4668</v>
      </c>
      <c r="M303" s="29" t="n">
        <v>0.14</v>
      </c>
      <c r="N303" s="29" t="n">
        <v>0.1208</v>
      </c>
      <c r="O303" s="29" t="n">
        <v>0.08210000000000001</v>
      </c>
      <c r="P303" s="30">
        <f>IFERROR(IF(K303=0,"待填成本",ROUND(K303/(1-L303),0)),"" )</f>
        <v/>
      </c>
      <c r="Q303" s="30">
        <f>IFERROR(IF(K303=0,"待填成本",ROUND(K303/(1-M303),0)),"" )</f>
        <v/>
      </c>
      <c r="R303" s="30">
        <f>IFERROR(IF(K303=0,"待填成本",ROUND(K303/(1-N303),0)),"" )</f>
        <v/>
      </c>
      <c r="S303" s="30">
        <f>IFERROR(IF(K303=0,"待填成本",ROUND(K303/(1-O303),0)),"" )</f>
        <v/>
      </c>
      <c r="T303" s="31">
        <f>IFERROR(IF(K303=0,"",(P303-K303)/P303),"" )</f>
        <v/>
      </c>
      <c r="U303" s="31">
        <f>IFERROR(IF(K303=0,"",(Q303-K303)/Q303),"" )</f>
        <v/>
      </c>
      <c r="V303" s="31">
        <f>IFERROR(IF(K303=0,"",(R303-K303)/R303),"" )</f>
        <v/>
      </c>
      <c r="W303" s="31">
        <f>IFERROR(IF(K303=0,"",(S303-K303)/S303),"" )</f>
        <v/>
      </c>
      <c r="X303" s="36" t="n"/>
      <c r="Y303" s="37" t="n">
        <v>7.187499999999999</v>
      </c>
      <c r="Z303" s="36" t="n"/>
      <c r="AA303" s="36" t="n"/>
      <c r="AB303" s="36" t="n"/>
      <c r="AC303" s="36" t="n"/>
      <c r="AD303" s="36" t="n"/>
      <c r="AE303" s="36" t="n"/>
      <c r="AF303" s="33" t="n"/>
      <c r="AG303" s="33" t="n"/>
      <c r="AH303" s="35" t="inlineStr"/>
    </row>
    <row r="304" ht="18" customHeight="1">
      <c r="A304" s="25" t="inlineStr">
        <is>
          <t>2521010041099</t>
        </is>
      </c>
      <c r="B304" s="6" t="inlineStr">
        <is>
          <t>餐厅-桌</t>
        </is>
      </c>
      <c r="C304" s="5" t="inlineStr">
        <is>
          <t>畔色黑胡桃木岩板餐桌2034 |黑胡桃木三角腿餐桌</t>
        </is>
      </c>
      <c r="D304" s="5" t="inlineStr">
        <is>
          <t>黑胡桃木岩板-2.1米</t>
        </is>
      </c>
      <c r="E304" s="6" t="inlineStr">
        <is>
          <t>北美进口FAS级黑胡桃木</t>
        </is>
      </c>
      <c r="F304" s="6" t="inlineStr">
        <is>
          <t>台面：洞石岩板/黑色岩板</t>
        </is>
      </c>
      <c r="G304" s="5" t="inlineStr">
        <is>
          <t>长度：1200mm/1400mm/1600mm/1800mm/2000mm</t>
        </is>
      </c>
      <c r="H304" s="26" t="n">
        <v>3235.9</v>
      </c>
      <c r="I304" s="26" t="n">
        <v>2380</v>
      </c>
      <c r="J304" s="27" t="n">
        <v>0.5</v>
      </c>
      <c r="K304" s="28">
        <f>IFERROR(H304,0)</f>
        <v/>
      </c>
      <c r="L304" s="29" t="n">
        <v>0.4668</v>
      </c>
      <c r="M304" s="29" t="n">
        <v>0.1399</v>
      </c>
      <c r="N304" s="29" t="n">
        <v>0.1206</v>
      </c>
      <c r="O304" s="29" t="n">
        <v>0.0828</v>
      </c>
      <c r="P304" s="30">
        <f>IFERROR(IF(K304=0,"待填成本",ROUND(K304/(1-L304),0)),"" )</f>
        <v/>
      </c>
      <c r="Q304" s="30">
        <f>IFERROR(IF(K304=0,"待填成本",ROUND(K304/(1-M304),0)),"" )</f>
        <v/>
      </c>
      <c r="R304" s="30">
        <f>IFERROR(IF(K304=0,"待填成本",ROUND(K304/(1-N304),0)),"" )</f>
        <v/>
      </c>
      <c r="S304" s="30">
        <f>IFERROR(IF(K304=0,"待填成本",ROUND(K304/(1-O304),0)),"" )</f>
        <v/>
      </c>
      <c r="T304" s="31">
        <f>IFERROR(IF(K304=0,"",(P304-K304)/P304),"" )</f>
        <v/>
      </c>
      <c r="U304" s="31">
        <f>IFERROR(IF(K304=0,"",(Q304-K304)/Q304),"" )</f>
        <v/>
      </c>
      <c r="V304" s="31">
        <f>IFERROR(IF(K304=0,"",(R304-K304)/R304),"" )</f>
        <v/>
      </c>
      <c r="W304" s="31">
        <f>IFERROR(IF(K304=0,"",(S304-K304)/S304),"" )</f>
        <v/>
      </c>
      <c r="X304" s="32" t="n"/>
      <c r="Y304" s="37" t="n">
        <v>7.474999999999998</v>
      </c>
      <c r="Z304" s="32" t="n"/>
      <c r="AA304" s="32" t="n"/>
      <c r="AB304" s="32" t="n"/>
      <c r="AC304" s="32" t="n"/>
      <c r="AD304" s="32" t="n"/>
      <c r="AE304" s="32" t="n"/>
      <c r="AF304" s="33" t="n"/>
      <c r="AG304" s="33" t="n"/>
      <c r="AH304" s="5" t="inlineStr"/>
    </row>
    <row r="305" ht="18" customHeight="1">
      <c r="A305" s="25" t="inlineStr">
        <is>
          <t>2521010041099</t>
        </is>
      </c>
      <c r="B305" s="34" t="inlineStr">
        <is>
          <t>餐厅-桌</t>
        </is>
      </c>
      <c r="C305" s="35" t="inlineStr">
        <is>
          <t>畔色黑胡桃木岩板餐桌2035 |黑胡桃木三角腿餐桌</t>
        </is>
      </c>
      <c r="D305" s="35" t="inlineStr">
        <is>
          <t>黑胡桃木岩板-2.2米</t>
        </is>
      </c>
      <c r="E305" s="34" t="inlineStr">
        <is>
          <t>北美进口FAS级黑胡桃木</t>
        </is>
      </c>
      <c r="F305" s="34" t="inlineStr">
        <is>
          <t>台面：洞石岩板/黑色岩板</t>
        </is>
      </c>
      <c r="G305" s="35" t="inlineStr">
        <is>
          <t>长度：1200mm/1400mm/1600mm/1800mm/2000mm</t>
        </is>
      </c>
      <c r="H305" s="26" t="n">
        <v>3420.9</v>
      </c>
      <c r="I305" s="26" t="n">
        <v>2430</v>
      </c>
      <c r="J305" s="27" t="n">
        <v>0.5</v>
      </c>
      <c r="K305" s="28">
        <f>IFERROR(H305,0)</f>
        <v/>
      </c>
      <c r="L305" s="29" t="n">
        <v>0.4668</v>
      </c>
      <c r="M305" s="29" t="n">
        <v>0.1397</v>
      </c>
      <c r="N305" s="29" t="n">
        <v>0.1204</v>
      </c>
      <c r="O305" s="29" t="n">
        <v>0.0834</v>
      </c>
      <c r="P305" s="30">
        <f>IFERROR(IF(K305=0,"待填成本",ROUND(K305/(1-L305),0)),"" )</f>
        <v/>
      </c>
      <c r="Q305" s="30">
        <f>IFERROR(IF(K305=0,"待填成本",ROUND(K305/(1-M305),0)),"" )</f>
        <v/>
      </c>
      <c r="R305" s="30">
        <f>IFERROR(IF(K305=0,"待填成本",ROUND(K305/(1-N305),0)),"" )</f>
        <v/>
      </c>
      <c r="S305" s="30">
        <f>IFERROR(IF(K305=0,"待填成本",ROUND(K305/(1-O305),0)),"" )</f>
        <v/>
      </c>
      <c r="T305" s="31">
        <f>IFERROR(IF(K305=0,"",(P305-K305)/P305),"" )</f>
        <v/>
      </c>
      <c r="U305" s="31">
        <f>IFERROR(IF(K305=0,"",(Q305-K305)/Q305),"" )</f>
        <v/>
      </c>
      <c r="V305" s="31">
        <f>IFERROR(IF(K305=0,"",(R305-K305)/R305),"" )</f>
        <v/>
      </c>
      <c r="W305" s="31">
        <f>IFERROR(IF(K305=0,"",(S305-K305)/S305),"" )</f>
        <v/>
      </c>
      <c r="X305" s="36" t="n"/>
      <c r="Y305" s="37" t="n">
        <v>7.762499999999998</v>
      </c>
      <c r="Z305" s="36" t="n"/>
      <c r="AA305" s="36" t="n"/>
      <c r="AB305" s="36" t="n"/>
      <c r="AC305" s="36" t="n"/>
      <c r="AD305" s="36" t="n"/>
      <c r="AE305" s="36" t="n"/>
      <c r="AF305" s="33" t="n"/>
      <c r="AG305" s="33" t="n"/>
      <c r="AH305" s="35" t="inlineStr"/>
    </row>
    <row r="306" ht="18" customHeight="1">
      <c r="A306" s="25" t="inlineStr">
        <is>
          <t>2521011041599</t>
        </is>
      </c>
      <c r="B306" s="6" t="inlineStr">
        <is>
          <t>餐厅-桌</t>
        </is>
      </c>
      <c r="C306" s="5" t="inlineStr">
        <is>
          <t>畔色黑胡桃木微圆饭桌 |黑胡桃木大圆墩腿餐桌</t>
        </is>
      </c>
      <c r="D306" s="5" t="inlineStr">
        <is>
          <t>黑胡桃木实木-1.2米</t>
        </is>
      </c>
      <c r="E306" s="6" t="inlineStr">
        <is>
          <t>北美进口FAS级黑胡桃木</t>
        </is>
      </c>
      <c r="F306" s="6" t="inlineStr">
        <is>
          <t>台面：实木台面</t>
        </is>
      </c>
      <c r="G306" s="5" t="inlineStr">
        <is>
          <t>长度：1200mm/1400mm/1600mm/1800mm/2000mm</t>
        </is>
      </c>
      <c r="H306" s="26" t="n">
        <v>3460.9</v>
      </c>
      <c r="I306" s="26" t="n">
        <v>3350</v>
      </c>
      <c r="J306" s="27" t="n">
        <v>0.5</v>
      </c>
      <c r="K306" s="28">
        <f>IFERROR(H306,0)</f>
        <v/>
      </c>
      <c r="L306" s="29" t="n">
        <v>0.4672</v>
      </c>
      <c r="M306" s="29" t="n">
        <v>0.1211</v>
      </c>
      <c r="N306" s="29" t="n">
        <v>0.1211</v>
      </c>
      <c r="O306" s="29" t="n">
        <v>0.09909999999999999</v>
      </c>
      <c r="P306" s="30">
        <f>IFERROR(IF(K306=0,"待填成本",ROUND(K306/(1-L306),0)),"" )</f>
        <v/>
      </c>
      <c r="Q306" s="30">
        <f>IFERROR(IF(K306=0,"待填成本",ROUND(K306/(1-M306),0)),"" )</f>
        <v/>
      </c>
      <c r="R306" s="30">
        <f>IFERROR(IF(K306=0,"待填成本",ROUND(K306/(1-N306),0)),"" )</f>
        <v/>
      </c>
      <c r="S306" s="30">
        <f>IFERROR(IF(K306=0,"待填成本",ROUND(K306/(1-O306),0)),"" )</f>
        <v/>
      </c>
      <c r="T306" s="31">
        <f>IFERROR(IF(K306=0,"",(P306-K306)/P306),"" )</f>
        <v/>
      </c>
      <c r="U306" s="31">
        <f>IFERROR(IF(K306=0,"",(Q306-K306)/Q306),"" )</f>
        <v/>
      </c>
      <c r="V306" s="31">
        <f>IFERROR(IF(K306=0,"",(R306-K306)/R306),"" )</f>
        <v/>
      </c>
      <c r="W306" s="31">
        <f>IFERROR(IF(K306=0,"",(S306-K306)/S306),"" )</f>
        <v/>
      </c>
      <c r="X306" s="32" t="n"/>
      <c r="Y306" s="37" t="n">
        <v>10.0625</v>
      </c>
      <c r="Z306" s="32" t="n"/>
      <c r="AA306" s="32" t="n"/>
      <c r="AB306" s="32" t="n"/>
      <c r="AC306" s="32" t="n"/>
      <c r="AD306" s="32" t="n"/>
      <c r="AE306" s="32" t="n"/>
      <c r="AF306" s="33" t="n"/>
      <c r="AG306" s="33" t="n"/>
      <c r="AH306" s="5" t="inlineStr"/>
    </row>
    <row r="307" ht="18" customHeight="1">
      <c r="A307" s="25" t="inlineStr">
        <is>
          <t>2521011041599</t>
        </is>
      </c>
      <c r="B307" s="34" t="inlineStr">
        <is>
          <t>餐厅-桌</t>
        </is>
      </c>
      <c r="C307" s="35" t="inlineStr">
        <is>
          <t>畔色黑胡桃木微圆饭桌 |黑胡桃木大圆墩腿餐桌</t>
        </is>
      </c>
      <c r="D307" s="35" t="inlineStr">
        <is>
          <t>黑胡桃木实木-1.3米</t>
        </is>
      </c>
      <c r="E307" s="34" t="inlineStr">
        <is>
          <t>北美进口FAS级黑胡桃木</t>
        </is>
      </c>
      <c r="F307" s="34" t="inlineStr">
        <is>
          <t>台面：实木台面</t>
        </is>
      </c>
      <c r="G307" s="35" t="inlineStr">
        <is>
          <t>长度：1200mm/1400mm/1600mm/1800mm/2000mm</t>
        </is>
      </c>
      <c r="H307" s="26" t="n">
        <v>3515.9</v>
      </c>
      <c r="I307" s="26" t="n">
        <v>3400</v>
      </c>
      <c r="J307" s="27" t="n">
        <v>0.5</v>
      </c>
      <c r="K307" s="28">
        <f>IFERROR(H307,0)</f>
        <v/>
      </c>
      <c r="L307" s="29" t="n">
        <v>0.4671</v>
      </c>
      <c r="M307" s="29" t="n">
        <v>0.1212</v>
      </c>
      <c r="N307" s="29" t="n">
        <v>0.1212</v>
      </c>
      <c r="O307" s="29" t="n">
        <v>0.09959999999999999</v>
      </c>
      <c r="P307" s="30">
        <f>IFERROR(IF(K307=0,"待填成本",ROUND(K307/(1-L307),0)),"" )</f>
        <v/>
      </c>
      <c r="Q307" s="30">
        <f>IFERROR(IF(K307=0,"待填成本",ROUND(K307/(1-M307),0)),"" )</f>
        <v/>
      </c>
      <c r="R307" s="30">
        <f>IFERROR(IF(K307=0,"待填成本",ROUND(K307/(1-N307),0)),"" )</f>
        <v/>
      </c>
      <c r="S307" s="30">
        <f>IFERROR(IF(K307=0,"待填成本",ROUND(K307/(1-O307),0)),"" )</f>
        <v/>
      </c>
      <c r="T307" s="31">
        <f>IFERROR(IF(K307=0,"",(P307-K307)/P307),"" )</f>
        <v/>
      </c>
      <c r="U307" s="31">
        <f>IFERROR(IF(K307=0,"",(Q307-K307)/Q307),"" )</f>
        <v/>
      </c>
      <c r="V307" s="31">
        <f>IFERROR(IF(K307=0,"",(R307-K307)/R307),"" )</f>
        <v/>
      </c>
      <c r="W307" s="31">
        <f>IFERROR(IF(K307=0,"",(S307-K307)/S307),"" )</f>
        <v/>
      </c>
      <c r="X307" s="36" t="n"/>
      <c r="Y307" s="37" t="n">
        <v>10.78125</v>
      </c>
      <c r="Z307" s="36" t="n"/>
      <c r="AA307" s="36" t="n"/>
      <c r="AB307" s="36" t="n"/>
      <c r="AC307" s="36" t="n"/>
      <c r="AD307" s="36" t="n"/>
      <c r="AE307" s="36" t="n"/>
      <c r="AF307" s="33" t="n"/>
      <c r="AG307" s="33" t="n"/>
      <c r="AH307" s="35" t="inlineStr"/>
    </row>
    <row r="308" ht="18" customHeight="1">
      <c r="A308" s="25" t="inlineStr">
        <is>
          <t>2521011041599</t>
        </is>
      </c>
      <c r="B308" s="6" t="inlineStr">
        <is>
          <t>餐厅-桌</t>
        </is>
      </c>
      <c r="C308" s="5" t="inlineStr">
        <is>
          <t>畔色黑胡桃木微圆饭桌 |黑胡桃木大圆墩腿餐桌</t>
        </is>
      </c>
      <c r="D308" s="5" t="inlineStr">
        <is>
          <t>黑胡桃木实木-1.4米</t>
        </is>
      </c>
      <c r="E308" s="6" t="inlineStr">
        <is>
          <t>北美进口FAS级黑胡桃木</t>
        </is>
      </c>
      <c r="F308" s="6" t="inlineStr">
        <is>
          <t>台面：实木台面</t>
        </is>
      </c>
      <c r="G308" s="5" t="inlineStr">
        <is>
          <t>长度：1200mm/1400mm/1600mm/1800mm/2000mm</t>
        </is>
      </c>
      <c r="H308" s="26" t="n">
        <v>3570.9</v>
      </c>
      <c r="I308" s="26" t="n">
        <v>3450</v>
      </c>
      <c r="J308" s="27" t="n">
        <v>0.5</v>
      </c>
      <c r="K308" s="28">
        <f>IFERROR(H308,0)</f>
        <v/>
      </c>
      <c r="L308" s="29" t="n">
        <v>0.4671</v>
      </c>
      <c r="M308" s="29" t="n">
        <v>0.1214</v>
      </c>
      <c r="N308" s="29" t="n">
        <v>0.1214</v>
      </c>
      <c r="O308" s="29" t="n">
        <v>0.1</v>
      </c>
      <c r="P308" s="30">
        <f>IFERROR(IF(K308=0,"待填成本",ROUND(K308/(1-L308),0)),"" )</f>
        <v/>
      </c>
      <c r="Q308" s="30">
        <f>IFERROR(IF(K308=0,"待填成本",ROUND(K308/(1-M308),0)),"" )</f>
        <v/>
      </c>
      <c r="R308" s="30">
        <f>IFERROR(IF(K308=0,"待填成本",ROUND(K308/(1-N308),0)),"" )</f>
        <v/>
      </c>
      <c r="S308" s="30">
        <f>IFERROR(IF(K308=0,"待填成本",ROUND(K308/(1-O308),0)),"" )</f>
        <v/>
      </c>
      <c r="T308" s="31">
        <f>IFERROR(IF(K308=0,"",(P308-K308)/P308),"" )</f>
        <v/>
      </c>
      <c r="U308" s="31">
        <f>IFERROR(IF(K308=0,"",(Q308-K308)/Q308),"" )</f>
        <v/>
      </c>
      <c r="V308" s="31">
        <f>IFERROR(IF(K308=0,"",(R308-K308)/R308),"" )</f>
        <v/>
      </c>
      <c r="W308" s="31">
        <f>IFERROR(IF(K308=0,"",(S308-K308)/S308),"" )</f>
        <v/>
      </c>
      <c r="X308" s="32" t="n"/>
      <c r="Y308" s="37" t="n">
        <v>11.5</v>
      </c>
      <c r="Z308" s="32" t="n"/>
      <c r="AA308" s="32" t="n"/>
      <c r="AB308" s="32" t="n"/>
      <c r="AC308" s="32" t="n"/>
      <c r="AD308" s="32" t="n"/>
      <c r="AE308" s="32" t="n"/>
      <c r="AF308" s="33" t="n"/>
      <c r="AG308" s="33" t="n"/>
      <c r="AH308" s="5" t="inlineStr"/>
    </row>
    <row r="309" ht="18" customHeight="1">
      <c r="A309" s="25" t="inlineStr">
        <is>
          <t>2521011041599</t>
        </is>
      </c>
      <c r="B309" s="34" t="inlineStr">
        <is>
          <t>餐厅-桌</t>
        </is>
      </c>
      <c r="C309" s="35" t="inlineStr">
        <is>
          <t>畔色黑胡桃木微圆饭桌 |黑胡桃木大圆墩腿餐桌</t>
        </is>
      </c>
      <c r="D309" s="35" t="inlineStr">
        <is>
          <t>黑胡桃木实木-1.5米</t>
        </is>
      </c>
      <c r="E309" s="34" t="inlineStr">
        <is>
          <t>北美进口FAS级黑胡桃木</t>
        </is>
      </c>
      <c r="F309" s="34" t="inlineStr">
        <is>
          <t>台面：实木台面</t>
        </is>
      </c>
      <c r="G309" s="35" t="inlineStr">
        <is>
          <t>长度：1200mm/1400mm/1600mm/1800mm/2000mm</t>
        </is>
      </c>
      <c r="H309" s="26" t="n">
        <v>3625.9</v>
      </c>
      <c r="I309" s="26" t="n">
        <v>3500</v>
      </c>
      <c r="J309" s="27" t="n">
        <v>0.5</v>
      </c>
      <c r="K309" s="28">
        <f>IFERROR(H309,0)</f>
        <v/>
      </c>
      <c r="L309" s="29" t="n">
        <v>0.467</v>
      </c>
      <c r="M309" s="29" t="n">
        <v>0.1215</v>
      </c>
      <c r="N309" s="29" t="n">
        <v>0.1215</v>
      </c>
      <c r="O309" s="29" t="n">
        <v>0.1005</v>
      </c>
      <c r="P309" s="30">
        <f>IFERROR(IF(K309=0,"待填成本",ROUND(K309/(1-L309),0)),"" )</f>
        <v/>
      </c>
      <c r="Q309" s="30">
        <f>IFERROR(IF(K309=0,"待填成本",ROUND(K309/(1-M309),0)),"" )</f>
        <v/>
      </c>
      <c r="R309" s="30">
        <f>IFERROR(IF(K309=0,"待填成本",ROUND(K309/(1-N309),0)),"" )</f>
        <v/>
      </c>
      <c r="S309" s="30">
        <f>IFERROR(IF(K309=0,"待填成本",ROUND(K309/(1-O309),0)),"" )</f>
        <v/>
      </c>
      <c r="T309" s="31">
        <f>IFERROR(IF(K309=0,"",(P309-K309)/P309),"" )</f>
        <v/>
      </c>
      <c r="U309" s="31">
        <f>IFERROR(IF(K309=0,"",(Q309-K309)/Q309),"" )</f>
        <v/>
      </c>
      <c r="V309" s="31">
        <f>IFERROR(IF(K309=0,"",(R309-K309)/R309),"" )</f>
        <v/>
      </c>
      <c r="W309" s="31">
        <f>IFERROR(IF(K309=0,"",(S309-K309)/S309),"" )</f>
        <v/>
      </c>
      <c r="X309" s="36" t="n"/>
      <c r="Y309" s="37" t="n">
        <v>12.21875</v>
      </c>
      <c r="Z309" s="36" t="n"/>
      <c r="AA309" s="36" t="n"/>
      <c r="AB309" s="36" t="n"/>
      <c r="AC309" s="36" t="n"/>
      <c r="AD309" s="36" t="n"/>
      <c r="AE309" s="36" t="n"/>
      <c r="AF309" s="33" t="n"/>
      <c r="AG309" s="33" t="n"/>
      <c r="AH309" s="35" t="inlineStr"/>
    </row>
    <row r="310" ht="18" customHeight="1">
      <c r="A310" s="25" t="inlineStr">
        <is>
          <t>2521011041599</t>
        </is>
      </c>
      <c r="B310" s="6" t="inlineStr">
        <is>
          <t>餐厅-桌</t>
        </is>
      </c>
      <c r="C310" s="5" t="inlineStr">
        <is>
          <t>畔色黑胡桃木微圆饭桌 |黑胡桃木大圆墩腿餐桌</t>
        </is>
      </c>
      <c r="D310" s="5" t="inlineStr">
        <is>
          <t>黑胡桃木实木-1.6米</t>
        </is>
      </c>
      <c r="E310" s="6" t="inlineStr">
        <is>
          <t>北美进口FAS级黑胡桃木</t>
        </is>
      </c>
      <c r="F310" s="6" t="inlineStr">
        <is>
          <t>台面：实木台面</t>
        </is>
      </c>
      <c r="G310" s="5" t="inlineStr">
        <is>
          <t>长度：1200mm/1400mm/1600mm/1800mm/2000mm</t>
        </is>
      </c>
      <c r="H310" s="26" t="n">
        <v>3680.9</v>
      </c>
      <c r="I310" s="26" t="n">
        <v>3550</v>
      </c>
      <c r="J310" s="27" t="n">
        <v>0.5</v>
      </c>
      <c r="K310" s="28">
        <f>IFERROR(H310,0)</f>
        <v/>
      </c>
      <c r="L310" s="29" t="n">
        <v>0.4669</v>
      </c>
      <c r="M310" s="29" t="n">
        <v>0.1216</v>
      </c>
      <c r="N310" s="29" t="n">
        <v>0.1216</v>
      </c>
      <c r="O310" s="29" t="n">
        <v>0.1009</v>
      </c>
      <c r="P310" s="30">
        <f>IFERROR(IF(K310=0,"待填成本",ROUND(K310/(1-L310),0)),"" )</f>
        <v/>
      </c>
      <c r="Q310" s="30">
        <f>IFERROR(IF(K310=0,"待填成本",ROUND(K310/(1-M310),0)),"" )</f>
        <v/>
      </c>
      <c r="R310" s="30">
        <f>IFERROR(IF(K310=0,"待填成本",ROUND(K310/(1-N310),0)),"" )</f>
        <v/>
      </c>
      <c r="S310" s="30">
        <f>IFERROR(IF(K310=0,"待填成本",ROUND(K310/(1-O310),0)),"" )</f>
        <v/>
      </c>
      <c r="T310" s="31">
        <f>IFERROR(IF(K310=0,"",(P310-K310)/P310),"" )</f>
        <v/>
      </c>
      <c r="U310" s="31">
        <f>IFERROR(IF(K310=0,"",(Q310-K310)/Q310),"" )</f>
        <v/>
      </c>
      <c r="V310" s="31">
        <f>IFERROR(IF(K310=0,"",(R310-K310)/R310),"" )</f>
        <v/>
      </c>
      <c r="W310" s="31">
        <f>IFERROR(IF(K310=0,"",(S310-K310)/S310),"" )</f>
        <v/>
      </c>
      <c r="X310" s="32" t="n"/>
      <c r="Y310" s="37" t="n">
        <v>12.9375</v>
      </c>
      <c r="Z310" s="32" t="n"/>
      <c r="AA310" s="32" t="n"/>
      <c r="AB310" s="32" t="n"/>
      <c r="AC310" s="32" t="n"/>
      <c r="AD310" s="32" t="n"/>
      <c r="AE310" s="32" t="n"/>
      <c r="AF310" s="33" t="n"/>
      <c r="AG310" s="33" t="n"/>
      <c r="AH310" s="5" t="inlineStr"/>
    </row>
    <row r="311" ht="18" customHeight="1">
      <c r="A311" s="25" t="inlineStr">
        <is>
          <t>2521011041599</t>
        </is>
      </c>
      <c r="B311" s="34" t="inlineStr">
        <is>
          <t>餐厅-桌</t>
        </is>
      </c>
      <c r="C311" s="35" t="inlineStr">
        <is>
          <t>畔色黑胡桃木微圆饭桌 |黑胡桃木大圆墩腿餐桌</t>
        </is>
      </c>
      <c r="D311" s="35" t="inlineStr">
        <is>
          <t>黑胡桃木实木-1.7米</t>
        </is>
      </c>
      <c r="E311" s="34" t="inlineStr">
        <is>
          <t>北美进口FAS级黑胡桃木</t>
        </is>
      </c>
      <c r="F311" s="34" t="inlineStr">
        <is>
          <t>台面：实木台面</t>
        </is>
      </c>
      <c r="G311" s="35" t="inlineStr">
        <is>
          <t>长度：1200mm/1400mm/1600mm/1800mm/2000mm</t>
        </is>
      </c>
      <c r="H311" s="26" t="n">
        <v>3705.9</v>
      </c>
      <c r="I311" s="26" t="n">
        <v>3575</v>
      </c>
      <c r="J311" s="27" t="n">
        <v>0.5</v>
      </c>
      <c r="K311" s="28">
        <f>IFERROR(H311,0)</f>
        <v/>
      </c>
      <c r="L311" s="29" t="n">
        <v>0.467</v>
      </c>
      <c r="M311" s="29" t="n">
        <v>0.1209</v>
      </c>
      <c r="N311" s="29" t="n">
        <v>0.1209</v>
      </c>
      <c r="O311" s="29" t="n">
        <v>0.1012</v>
      </c>
      <c r="P311" s="30">
        <f>IFERROR(IF(K311=0,"待填成本",ROUND(K311/(1-L311),0)),"" )</f>
        <v/>
      </c>
      <c r="Q311" s="30">
        <f>IFERROR(IF(K311=0,"待填成本",ROUND(K311/(1-M311),0)),"" )</f>
        <v/>
      </c>
      <c r="R311" s="30">
        <f>IFERROR(IF(K311=0,"待填成本",ROUND(K311/(1-N311),0)),"" )</f>
        <v/>
      </c>
      <c r="S311" s="30">
        <f>IFERROR(IF(K311=0,"待填成本",ROUND(K311/(1-O311),0)),"" )</f>
        <v/>
      </c>
      <c r="T311" s="31">
        <f>IFERROR(IF(K311=0,"",(P311-K311)/P311),"" )</f>
        <v/>
      </c>
      <c r="U311" s="31">
        <f>IFERROR(IF(K311=0,"",(Q311-K311)/Q311),"" )</f>
        <v/>
      </c>
      <c r="V311" s="31">
        <f>IFERROR(IF(K311=0,"",(R311-K311)/R311),"" )</f>
        <v/>
      </c>
      <c r="W311" s="31">
        <f>IFERROR(IF(K311=0,"",(S311-K311)/S311),"" )</f>
        <v/>
      </c>
      <c r="X311" s="36" t="n"/>
      <c r="Y311" s="37" t="n">
        <v>13.65625</v>
      </c>
      <c r="Z311" s="36" t="n"/>
      <c r="AA311" s="36" t="n"/>
      <c r="AB311" s="36" t="n"/>
      <c r="AC311" s="36" t="n"/>
      <c r="AD311" s="36" t="n"/>
      <c r="AE311" s="36" t="n"/>
      <c r="AF311" s="33" t="n"/>
      <c r="AG311" s="33" t="n"/>
      <c r="AH311" s="35" t="inlineStr"/>
    </row>
    <row r="312" ht="18" customHeight="1">
      <c r="A312" s="25" t="inlineStr">
        <is>
          <t>2521011041599</t>
        </is>
      </c>
      <c r="B312" s="6" t="inlineStr">
        <is>
          <t>餐厅-桌</t>
        </is>
      </c>
      <c r="C312" s="5" t="inlineStr">
        <is>
          <t>畔色黑胡桃木微圆饭桌 |黑胡桃木大圆墩腿餐桌</t>
        </is>
      </c>
      <c r="D312" s="5" t="inlineStr">
        <is>
          <t>黑胡桃木实木-1.8米</t>
        </is>
      </c>
      <c r="E312" s="6" t="inlineStr">
        <is>
          <t>北美进口FAS级黑胡桃木</t>
        </is>
      </c>
      <c r="F312" s="6" t="inlineStr">
        <is>
          <t>台面：实木台面</t>
        </is>
      </c>
      <c r="G312" s="5" t="inlineStr">
        <is>
          <t>长度：1200mm/1400mm/1600mm/1800mm/2000mm</t>
        </is>
      </c>
      <c r="H312" s="26" t="n">
        <v>3730.9</v>
      </c>
      <c r="I312" s="26" t="n">
        <v>3600</v>
      </c>
      <c r="J312" s="27" t="n">
        <v>0.5</v>
      </c>
      <c r="K312" s="28">
        <f>IFERROR(H312,0)</f>
        <v/>
      </c>
      <c r="L312" s="29" t="n">
        <v>0.467</v>
      </c>
      <c r="M312" s="29" t="n">
        <v>0.1201</v>
      </c>
      <c r="N312" s="29" t="n">
        <v>0.1201</v>
      </c>
      <c r="O312" s="29" t="n">
        <v>0.1014</v>
      </c>
      <c r="P312" s="30">
        <f>IFERROR(IF(K312=0,"待填成本",ROUND(K312/(1-L312),0)),"" )</f>
        <v/>
      </c>
      <c r="Q312" s="30">
        <f>IFERROR(IF(K312=0,"待填成本",ROUND(K312/(1-M312),0)),"" )</f>
        <v/>
      </c>
      <c r="R312" s="30">
        <f>IFERROR(IF(K312=0,"待填成本",ROUND(K312/(1-N312),0)),"" )</f>
        <v/>
      </c>
      <c r="S312" s="30">
        <f>IFERROR(IF(K312=0,"待填成本",ROUND(K312/(1-O312),0)),"" )</f>
        <v/>
      </c>
      <c r="T312" s="31">
        <f>IFERROR(IF(K312=0,"",(P312-K312)/P312),"" )</f>
        <v/>
      </c>
      <c r="U312" s="31">
        <f>IFERROR(IF(K312=0,"",(Q312-K312)/Q312),"" )</f>
        <v/>
      </c>
      <c r="V312" s="31">
        <f>IFERROR(IF(K312=0,"",(R312-K312)/R312),"" )</f>
        <v/>
      </c>
      <c r="W312" s="31">
        <f>IFERROR(IF(K312=0,"",(S312-K312)/S312),"" )</f>
        <v/>
      </c>
      <c r="X312" s="32" t="n"/>
      <c r="Y312" s="37" t="n">
        <v>14.375</v>
      </c>
      <c r="Z312" s="32" t="n"/>
      <c r="AA312" s="32" t="n"/>
      <c r="AB312" s="32" t="n"/>
      <c r="AC312" s="32" t="n"/>
      <c r="AD312" s="32" t="n"/>
      <c r="AE312" s="32" t="n"/>
      <c r="AF312" s="33" t="n"/>
      <c r="AG312" s="33" t="n"/>
      <c r="AH312" s="5" t="inlineStr"/>
    </row>
    <row r="313" ht="18" customHeight="1">
      <c r="A313" s="25" t="inlineStr">
        <is>
          <t>2521011041599</t>
        </is>
      </c>
      <c r="B313" s="34" t="inlineStr">
        <is>
          <t>餐厅-桌</t>
        </is>
      </c>
      <c r="C313" s="35" t="inlineStr">
        <is>
          <t>畔色黑胡桃木微圆饭桌 |黑胡桃木大圆墩腿餐桌</t>
        </is>
      </c>
      <c r="D313" s="35" t="inlineStr">
        <is>
          <t>黑胡桃木实木-1.9米</t>
        </is>
      </c>
      <c r="E313" s="34" t="inlineStr">
        <is>
          <t>北美进口FAS级黑胡桃木</t>
        </is>
      </c>
      <c r="F313" s="34" t="inlineStr">
        <is>
          <t>台面：实木台面</t>
        </is>
      </c>
      <c r="G313" s="35" t="inlineStr">
        <is>
          <t>长度：1200mm/1400mm/1600mm/1800mm/2000mm</t>
        </is>
      </c>
      <c r="H313" s="26" t="n">
        <v>3835.9</v>
      </c>
      <c r="I313" s="26" t="n">
        <v>3700</v>
      </c>
      <c r="J313" s="27" t="n">
        <v>0.5</v>
      </c>
      <c r="K313" s="28">
        <f>IFERROR(H313,0)</f>
        <v/>
      </c>
      <c r="L313" s="29" t="n">
        <v>0.467</v>
      </c>
      <c r="M313" s="29" t="n">
        <v>0.1205</v>
      </c>
      <c r="N313" s="29" t="n">
        <v>0.1205</v>
      </c>
      <c r="O313" s="29" t="n">
        <v>0.1015</v>
      </c>
      <c r="P313" s="30">
        <f>IFERROR(IF(K313=0,"待填成本",ROUND(K313/(1-L313),0)),"" )</f>
        <v/>
      </c>
      <c r="Q313" s="30">
        <f>IFERROR(IF(K313=0,"待填成本",ROUND(K313/(1-M313),0)),"" )</f>
        <v/>
      </c>
      <c r="R313" s="30">
        <f>IFERROR(IF(K313=0,"待填成本",ROUND(K313/(1-N313),0)),"" )</f>
        <v/>
      </c>
      <c r="S313" s="30">
        <f>IFERROR(IF(K313=0,"待填成本",ROUND(K313/(1-O313),0)),"" )</f>
        <v/>
      </c>
      <c r="T313" s="31">
        <f>IFERROR(IF(K313=0,"",(P313-K313)/P313),"" )</f>
        <v/>
      </c>
      <c r="U313" s="31">
        <f>IFERROR(IF(K313=0,"",(Q313-K313)/Q313),"" )</f>
        <v/>
      </c>
      <c r="V313" s="31">
        <f>IFERROR(IF(K313=0,"",(R313-K313)/R313),"" )</f>
        <v/>
      </c>
      <c r="W313" s="31">
        <f>IFERROR(IF(K313=0,"",(S313-K313)/S313),"" )</f>
        <v/>
      </c>
      <c r="X313" s="36" t="n"/>
      <c r="Y313" s="37" t="n">
        <v>15.09375</v>
      </c>
      <c r="Z313" s="36" t="n"/>
      <c r="AA313" s="36" t="n"/>
      <c r="AB313" s="36" t="n"/>
      <c r="AC313" s="36" t="n"/>
      <c r="AD313" s="36" t="n"/>
      <c r="AE313" s="36" t="n"/>
      <c r="AF313" s="33" t="n"/>
      <c r="AG313" s="33" t="n"/>
      <c r="AH313" s="35" t="inlineStr"/>
    </row>
    <row r="314" ht="18" customHeight="1">
      <c r="A314" s="25" t="inlineStr">
        <is>
          <t>2521011041599</t>
        </is>
      </c>
      <c r="B314" s="6" t="inlineStr">
        <is>
          <t>餐厅-桌</t>
        </is>
      </c>
      <c r="C314" s="5" t="inlineStr">
        <is>
          <t>畔色黑胡桃木微圆饭桌 |黑胡桃木大圆墩腿餐桌</t>
        </is>
      </c>
      <c r="D314" s="5" t="inlineStr">
        <is>
          <t>黑胡桃木实木-2.0米</t>
        </is>
      </c>
      <c r="E314" s="6" t="inlineStr">
        <is>
          <t>北美进口FAS级黑胡桃木</t>
        </is>
      </c>
      <c r="F314" s="6" t="inlineStr">
        <is>
          <t>台面：实木台面</t>
        </is>
      </c>
      <c r="G314" s="5" t="inlineStr">
        <is>
          <t>长度：1200mm/1400mm/1600mm/1800mm/2000mm</t>
        </is>
      </c>
      <c r="H314" s="26" t="n">
        <v>3940.9</v>
      </c>
      <c r="I314" s="26" t="n">
        <v>3800</v>
      </c>
      <c r="J314" s="27" t="n">
        <v>0.5</v>
      </c>
      <c r="K314" s="28">
        <f>IFERROR(H314,0)</f>
        <v/>
      </c>
      <c r="L314" s="29" t="n">
        <v>0.4671</v>
      </c>
      <c r="M314" s="29" t="n">
        <v>0.121</v>
      </c>
      <c r="N314" s="29" t="n">
        <v>0.121</v>
      </c>
      <c r="O314" s="29" t="n">
        <v>0.1015</v>
      </c>
      <c r="P314" s="30">
        <f>IFERROR(IF(K314=0,"待填成本",ROUND(K314/(1-L314),0)),"" )</f>
        <v/>
      </c>
      <c r="Q314" s="30">
        <f>IFERROR(IF(K314=0,"待填成本",ROUND(K314/(1-M314),0)),"" )</f>
        <v/>
      </c>
      <c r="R314" s="30">
        <f>IFERROR(IF(K314=0,"待填成本",ROUND(K314/(1-N314),0)),"" )</f>
        <v/>
      </c>
      <c r="S314" s="30">
        <f>IFERROR(IF(K314=0,"待填成本",ROUND(K314/(1-O314),0)),"" )</f>
        <v/>
      </c>
      <c r="T314" s="31">
        <f>IFERROR(IF(K314=0,"",(P314-K314)/P314),"" )</f>
        <v/>
      </c>
      <c r="U314" s="31">
        <f>IFERROR(IF(K314=0,"",(Q314-K314)/Q314),"" )</f>
        <v/>
      </c>
      <c r="V314" s="31">
        <f>IFERROR(IF(K314=0,"",(R314-K314)/R314),"" )</f>
        <v/>
      </c>
      <c r="W314" s="31">
        <f>IFERROR(IF(K314=0,"",(S314-K314)/S314),"" )</f>
        <v/>
      </c>
      <c r="X314" s="32" t="n"/>
      <c r="Y314" s="37" t="n">
        <v>15.8125</v>
      </c>
      <c r="Z314" s="32" t="n"/>
      <c r="AA314" s="32" t="n"/>
      <c r="AB314" s="32" t="n"/>
      <c r="AC314" s="32" t="n"/>
      <c r="AD314" s="32" t="n"/>
      <c r="AE314" s="32" t="n"/>
      <c r="AF314" s="33" t="n"/>
      <c r="AG314" s="33" t="n"/>
      <c r="AH314" s="5" t="inlineStr"/>
    </row>
    <row r="315" ht="18" customHeight="1">
      <c r="A315" s="25" t="inlineStr">
        <is>
          <t>2521011041599</t>
        </is>
      </c>
      <c r="B315" s="34" t="inlineStr">
        <is>
          <t>餐厅-桌</t>
        </is>
      </c>
      <c r="C315" s="35" t="inlineStr">
        <is>
          <t>畔色黑胡桃木微圆饭桌 |黑胡桃木大圆墩腿餐桌</t>
        </is>
      </c>
      <c r="D315" s="35" t="inlineStr">
        <is>
          <t>黑胡桃木实木-2.1米</t>
        </is>
      </c>
      <c r="E315" s="34" t="inlineStr">
        <is>
          <t>北美进口FAS级黑胡桃木</t>
        </is>
      </c>
      <c r="F315" s="34" t="inlineStr">
        <is>
          <t>台面：实木台面</t>
        </is>
      </c>
      <c r="G315" s="35" t="inlineStr">
        <is>
          <t>长度：1200mm/1400mm/1600mm/1800mm/2000mm</t>
        </is>
      </c>
      <c r="H315" s="26" t="n">
        <v>4045.9</v>
      </c>
      <c r="I315" s="26" t="n">
        <v>3900</v>
      </c>
      <c r="J315" s="27" t="n">
        <v>0.5</v>
      </c>
      <c r="K315" s="28">
        <f>IFERROR(H315,0)</f>
        <v/>
      </c>
      <c r="L315" s="29" t="n">
        <v>0.4671</v>
      </c>
      <c r="M315" s="29" t="n">
        <v>0.1214</v>
      </c>
      <c r="N315" s="29" t="n">
        <v>0.1214</v>
      </c>
      <c r="O315" s="29" t="n">
        <v>0.1015</v>
      </c>
      <c r="P315" s="30">
        <f>IFERROR(IF(K315=0,"待填成本",ROUND(K315/(1-L315),0)),"" )</f>
        <v/>
      </c>
      <c r="Q315" s="30">
        <f>IFERROR(IF(K315=0,"待填成本",ROUND(K315/(1-M315),0)),"" )</f>
        <v/>
      </c>
      <c r="R315" s="30">
        <f>IFERROR(IF(K315=0,"待填成本",ROUND(K315/(1-N315),0)),"" )</f>
        <v/>
      </c>
      <c r="S315" s="30">
        <f>IFERROR(IF(K315=0,"待填成本",ROUND(K315/(1-O315),0)),"" )</f>
        <v/>
      </c>
      <c r="T315" s="31">
        <f>IFERROR(IF(K315=0,"",(P315-K315)/P315),"" )</f>
        <v/>
      </c>
      <c r="U315" s="31">
        <f>IFERROR(IF(K315=0,"",(Q315-K315)/Q315),"" )</f>
        <v/>
      </c>
      <c r="V315" s="31">
        <f>IFERROR(IF(K315=0,"",(R315-K315)/R315),"" )</f>
        <v/>
      </c>
      <c r="W315" s="31">
        <f>IFERROR(IF(K315=0,"",(S315-K315)/S315),"" )</f>
        <v/>
      </c>
      <c r="X315" s="36" t="n"/>
      <c r="Y315" s="37" t="n">
        <v>16.53125</v>
      </c>
      <c r="Z315" s="36" t="n"/>
      <c r="AA315" s="36" t="n"/>
      <c r="AB315" s="36" t="n"/>
      <c r="AC315" s="36" t="n"/>
      <c r="AD315" s="36" t="n"/>
      <c r="AE315" s="36" t="n"/>
      <c r="AF315" s="33" t="n"/>
      <c r="AG315" s="33" t="n"/>
      <c r="AH315" s="35" t="inlineStr"/>
    </row>
    <row r="316" ht="18" customHeight="1">
      <c r="A316" s="25" t="inlineStr">
        <is>
          <t>2521011041599</t>
        </is>
      </c>
      <c r="B316" s="6" t="inlineStr">
        <is>
          <t>餐厅-桌</t>
        </is>
      </c>
      <c r="C316" s="5" t="inlineStr">
        <is>
          <t>畔色黑胡桃木微圆饭桌 |黑胡桃木大圆墩腿餐桌</t>
        </is>
      </c>
      <c r="D316" s="5" t="inlineStr">
        <is>
          <t>黑胡桃木实木-2.2米</t>
        </is>
      </c>
      <c r="E316" s="6" t="inlineStr">
        <is>
          <t>北美进口FAS级黑胡桃木</t>
        </is>
      </c>
      <c r="F316" s="6" t="inlineStr">
        <is>
          <t>台面：实木台面</t>
        </is>
      </c>
      <c r="G316" s="5" t="inlineStr">
        <is>
          <t>长度：1200mm/1400mm/1600mm/1800mm/2000mm</t>
        </is>
      </c>
      <c r="H316" s="26" t="n">
        <v>4150.9</v>
      </c>
      <c r="I316" s="26" t="n">
        <v>4000</v>
      </c>
      <c r="J316" s="27" t="n">
        <v>0.5</v>
      </c>
      <c r="K316" s="28">
        <f>IFERROR(H316,0)</f>
        <v/>
      </c>
      <c r="L316" s="29" t="n">
        <v>0.4671</v>
      </c>
      <c r="M316" s="29" t="n">
        <v>0.1217</v>
      </c>
      <c r="N316" s="29" t="n">
        <v>0.1217</v>
      </c>
      <c r="O316" s="29" t="n">
        <v>0.1015</v>
      </c>
      <c r="P316" s="30">
        <f>IFERROR(IF(K316=0,"待填成本",ROUND(K316/(1-L316),0)),"" )</f>
        <v/>
      </c>
      <c r="Q316" s="30">
        <f>IFERROR(IF(K316=0,"待填成本",ROUND(K316/(1-M316),0)),"" )</f>
        <v/>
      </c>
      <c r="R316" s="30">
        <f>IFERROR(IF(K316=0,"待填成本",ROUND(K316/(1-N316),0)),"" )</f>
        <v/>
      </c>
      <c r="S316" s="30">
        <f>IFERROR(IF(K316=0,"待填成本",ROUND(K316/(1-O316),0)),"" )</f>
        <v/>
      </c>
      <c r="T316" s="31">
        <f>IFERROR(IF(K316=0,"",(P316-K316)/P316),"" )</f>
        <v/>
      </c>
      <c r="U316" s="31">
        <f>IFERROR(IF(K316=0,"",(Q316-K316)/Q316),"" )</f>
        <v/>
      </c>
      <c r="V316" s="31">
        <f>IFERROR(IF(K316=0,"",(R316-K316)/R316),"" )</f>
        <v/>
      </c>
      <c r="W316" s="31">
        <f>IFERROR(IF(K316=0,"",(S316-K316)/S316),"" )</f>
        <v/>
      </c>
      <c r="X316" s="32" t="n"/>
      <c r="Y316" s="37" t="n">
        <v>17.24999999999999</v>
      </c>
      <c r="Z316" s="32" t="n"/>
      <c r="AA316" s="32" t="n"/>
      <c r="AB316" s="32" t="n"/>
      <c r="AC316" s="32" t="n"/>
      <c r="AD316" s="32" t="n"/>
      <c r="AE316" s="32" t="n"/>
      <c r="AF316" s="33" t="n"/>
      <c r="AG316" s="33" t="n"/>
      <c r="AH316" s="5" t="inlineStr"/>
    </row>
    <row r="317" ht="18" customHeight="1">
      <c r="A317" s="25" t="inlineStr">
        <is>
          <t>2522004040599</t>
        </is>
      </c>
      <c r="B317" s="34" t="inlineStr">
        <is>
          <t>餐厅-椅</t>
        </is>
      </c>
      <c r="C317" s="35" t="inlineStr">
        <is>
          <t>餐椅-斜立水-2025</t>
        </is>
      </c>
      <c r="D317" s="35" t="inlineStr">
        <is>
          <t>白蜡木实木原色</t>
        </is>
      </c>
      <c r="E317" s="34" t="inlineStr">
        <is>
          <t>未知</t>
        </is>
      </c>
      <c r="F317" s="34" t="inlineStr">
        <is>
          <t>未知</t>
        </is>
      </c>
      <c r="G317" s="35" t="inlineStr">
        <is>
          <t>未知</t>
        </is>
      </c>
      <c r="H317" s="26" t="n">
        <v>0</v>
      </c>
      <c r="I317" s="26" t="n">
        <v>0</v>
      </c>
      <c r="J317" s="27" t="n">
        <v>0.5</v>
      </c>
      <c r="K317" s="28">
        <f>IFERROR(H317,0)</f>
        <v/>
      </c>
      <c r="L317" s="29" t="n"/>
      <c r="M317" s="29" t="n"/>
      <c r="N317" s="29" t="n"/>
      <c r="O317" s="29" t="n"/>
      <c r="P317" s="30">
        <f>IFERROR(IF(K317=0,"待填成本",ROUND(K317/(1-L317),0)),"" )</f>
        <v/>
      </c>
      <c r="Q317" s="30">
        <f>IFERROR(IF(K317=0,"待填成本",ROUND(K317/(1-M317),0)),"" )</f>
        <v/>
      </c>
      <c r="R317" s="30">
        <f>IFERROR(IF(K317=0,"待填成本",ROUND(K317/(1-N317),0)),"" )</f>
        <v/>
      </c>
      <c r="S317" s="30">
        <f>IFERROR(IF(K317=0,"待填成本",ROUND(K317/(1-O317),0)),"" )</f>
        <v/>
      </c>
      <c r="T317" s="31">
        <f>IFERROR(IF(K317=0,"",(P317-K317)/P317),"" )</f>
        <v/>
      </c>
      <c r="U317" s="31">
        <f>IFERROR(IF(K317=0,"",(Q317-K317)/Q317),"" )</f>
        <v/>
      </c>
      <c r="V317" s="31">
        <f>IFERROR(IF(K317=0,"",(R317-K317)/R317),"" )</f>
        <v/>
      </c>
      <c r="W317" s="31">
        <f>IFERROR(IF(K317=0,"",(S317-K317)/S317),"" )</f>
        <v/>
      </c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3" t="n"/>
      <c r="AG317" s="33" t="n"/>
      <c r="AH317" s="35" t="inlineStr"/>
    </row>
    <row r="318" ht="18" customHeight="1">
      <c r="A318" s="25" t="inlineStr">
        <is>
          <t>2522004040599</t>
        </is>
      </c>
      <c r="B318" s="6" t="inlineStr">
        <is>
          <t>餐厅-椅</t>
        </is>
      </c>
      <c r="C318" s="5" t="inlineStr">
        <is>
          <t>餐椅-斜立水-2025</t>
        </is>
      </c>
      <c r="D318" s="5" t="inlineStr">
        <is>
          <t>白蜡木实木+樱桃木色</t>
        </is>
      </c>
      <c r="E318" s="6" t="inlineStr">
        <is>
          <t>未知</t>
        </is>
      </c>
      <c r="F318" s="6" t="inlineStr">
        <is>
          <t>未知</t>
        </is>
      </c>
      <c r="G318" s="5" t="inlineStr">
        <is>
          <t>未知</t>
        </is>
      </c>
      <c r="H318" s="26" t="n">
        <v>0</v>
      </c>
      <c r="I318" s="26" t="n">
        <v>0</v>
      </c>
      <c r="J318" s="27" t="n">
        <v>0.5</v>
      </c>
      <c r="K318" s="28">
        <f>IFERROR(H318,0)</f>
        <v/>
      </c>
      <c r="L318" s="29" t="n"/>
      <c r="M318" s="29" t="n"/>
      <c r="N318" s="29" t="n"/>
      <c r="O318" s="29" t="n"/>
      <c r="P318" s="30">
        <f>IFERROR(IF(K318=0,"待填成本",ROUND(K318/(1-L318),0)),"" )</f>
        <v/>
      </c>
      <c r="Q318" s="30">
        <f>IFERROR(IF(K318=0,"待填成本",ROUND(K318/(1-M318),0)),"" )</f>
        <v/>
      </c>
      <c r="R318" s="30">
        <f>IFERROR(IF(K318=0,"待填成本",ROUND(K318/(1-N318),0)),"" )</f>
        <v/>
      </c>
      <c r="S318" s="30">
        <f>IFERROR(IF(K318=0,"待填成本",ROUND(K318/(1-O318),0)),"" )</f>
        <v/>
      </c>
      <c r="T318" s="31">
        <f>IFERROR(IF(K318=0,"",(P318-K318)/P318),"" )</f>
        <v/>
      </c>
      <c r="U318" s="31">
        <f>IFERROR(IF(K318=0,"",(Q318-K318)/Q318),"" )</f>
        <v/>
      </c>
      <c r="V318" s="31">
        <f>IFERROR(IF(K318=0,"",(R318-K318)/R318),"" )</f>
        <v/>
      </c>
      <c r="W318" s="31">
        <f>IFERROR(IF(K318=0,"",(S318-K318)/S318),"" )</f>
        <v/>
      </c>
      <c r="X318" s="32" t="n"/>
      <c r="Y318" s="32" t="n"/>
      <c r="Z318" s="32" t="n"/>
      <c r="AA318" s="32" t="n"/>
      <c r="AB318" s="32" t="n"/>
      <c r="AC318" s="32" t="n"/>
      <c r="AD318" s="32" t="n"/>
      <c r="AE318" s="32" t="n"/>
      <c r="AF318" s="33" t="n"/>
      <c r="AG318" s="33" t="n"/>
      <c r="AH318" s="5" t="inlineStr"/>
    </row>
    <row r="319" ht="18" customHeight="1">
      <c r="A319" s="25" t="inlineStr">
        <is>
          <t>2522005041099</t>
        </is>
      </c>
      <c r="B319" s="34" t="inlineStr">
        <is>
          <t>餐厅-椅</t>
        </is>
      </c>
      <c r="C319" s="35" t="inlineStr">
        <is>
          <t>餐椅-细木棍-2025</t>
        </is>
      </c>
      <c r="D319" s="35" t="inlineStr">
        <is>
          <t>白蜡木实木原色--实木款</t>
        </is>
      </c>
      <c r="E319" s="34" t="inlineStr">
        <is>
          <t>未知</t>
        </is>
      </c>
      <c r="F319" s="34" t="inlineStr">
        <is>
          <t>未知</t>
        </is>
      </c>
      <c r="G319" s="35" t="inlineStr">
        <is>
          <t>未知</t>
        </is>
      </c>
      <c r="H319" s="26" t="n">
        <v>0</v>
      </c>
      <c r="I319" s="26" t="n">
        <v>0</v>
      </c>
      <c r="J319" s="27" t="n">
        <v>0.5</v>
      </c>
      <c r="K319" s="28">
        <f>IFERROR(H319,0)</f>
        <v/>
      </c>
      <c r="L319" s="29" t="n"/>
      <c r="M319" s="29" t="n"/>
      <c r="N319" s="29" t="n"/>
      <c r="O319" s="29" t="n"/>
      <c r="P319" s="30">
        <f>IFERROR(IF(K319=0,"待填成本",ROUND(K319/(1-L319),0)),"" )</f>
        <v/>
      </c>
      <c r="Q319" s="30">
        <f>IFERROR(IF(K319=0,"待填成本",ROUND(K319/(1-M319),0)),"" )</f>
        <v/>
      </c>
      <c r="R319" s="30">
        <f>IFERROR(IF(K319=0,"待填成本",ROUND(K319/(1-N319),0)),"" )</f>
        <v/>
      </c>
      <c r="S319" s="30">
        <f>IFERROR(IF(K319=0,"待填成本",ROUND(K319/(1-O319),0)),"" )</f>
        <v/>
      </c>
      <c r="T319" s="31">
        <f>IFERROR(IF(K319=0,"",(P319-K319)/P319),"" )</f>
        <v/>
      </c>
      <c r="U319" s="31">
        <f>IFERROR(IF(K319=0,"",(Q319-K319)/Q319),"" )</f>
        <v/>
      </c>
      <c r="V319" s="31">
        <f>IFERROR(IF(K319=0,"",(R319-K319)/R319),"" )</f>
        <v/>
      </c>
      <c r="W319" s="31">
        <f>IFERROR(IF(K319=0,"",(S319-K319)/S319),"" )</f>
        <v/>
      </c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3" t="n"/>
      <c r="AG319" s="33" t="n"/>
      <c r="AH319" s="35" t="inlineStr"/>
    </row>
    <row r="320" ht="18" customHeight="1">
      <c r="A320" s="25" t="inlineStr">
        <is>
          <t>2522005041099</t>
        </is>
      </c>
      <c r="B320" s="6" t="inlineStr">
        <is>
          <t>餐厅-椅</t>
        </is>
      </c>
      <c r="C320" s="5" t="inlineStr">
        <is>
          <t>餐椅-细木棍-2025</t>
        </is>
      </c>
      <c r="D320" s="5" t="inlineStr">
        <is>
          <t>白蜡木实木+樱桃木色--实木款</t>
        </is>
      </c>
      <c r="E320" s="6" t="inlineStr">
        <is>
          <t>未知</t>
        </is>
      </c>
      <c r="F320" s="6" t="inlineStr">
        <is>
          <t>未知</t>
        </is>
      </c>
      <c r="G320" s="5" t="inlineStr">
        <is>
          <t>未知</t>
        </is>
      </c>
      <c r="H320" s="26" t="n">
        <v>0</v>
      </c>
      <c r="I320" s="26" t="n">
        <v>0</v>
      </c>
      <c r="J320" s="27" t="n">
        <v>0.5</v>
      </c>
      <c r="K320" s="28">
        <f>IFERROR(H320,0)</f>
        <v/>
      </c>
      <c r="L320" s="29" t="n"/>
      <c r="M320" s="29" t="n"/>
      <c r="N320" s="29" t="n"/>
      <c r="O320" s="29" t="n"/>
      <c r="P320" s="30">
        <f>IFERROR(IF(K320=0,"待填成本",ROUND(K320/(1-L320),0)),"" )</f>
        <v/>
      </c>
      <c r="Q320" s="30">
        <f>IFERROR(IF(K320=0,"待填成本",ROUND(K320/(1-M320),0)),"" )</f>
        <v/>
      </c>
      <c r="R320" s="30">
        <f>IFERROR(IF(K320=0,"待填成本",ROUND(K320/(1-N320),0)),"" )</f>
        <v/>
      </c>
      <c r="S320" s="30">
        <f>IFERROR(IF(K320=0,"待填成本",ROUND(K320/(1-O320),0)),"" )</f>
        <v/>
      </c>
      <c r="T320" s="31">
        <f>IFERROR(IF(K320=0,"",(P320-K320)/P320),"" )</f>
        <v/>
      </c>
      <c r="U320" s="31">
        <f>IFERROR(IF(K320=0,"",(Q320-K320)/Q320),"" )</f>
        <v/>
      </c>
      <c r="V320" s="31">
        <f>IFERROR(IF(K320=0,"",(R320-K320)/R320),"" )</f>
        <v/>
      </c>
      <c r="W320" s="31">
        <f>IFERROR(IF(K320=0,"",(S320-K320)/S320),"" )</f>
        <v/>
      </c>
      <c r="X320" s="32" t="n"/>
      <c r="Y320" s="32" t="n"/>
      <c r="Z320" s="32" t="n"/>
      <c r="AA320" s="32" t="n"/>
      <c r="AB320" s="32" t="n"/>
      <c r="AC320" s="32" t="n"/>
      <c r="AD320" s="32" t="n"/>
      <c r="AE320" s="32" t="n"/>
      <c r="AF320" s="33" t="n"/>
      <c r="AG320" s="33" t="n"/>
      <c r="AH320" s="5" t="inlineStr"/>
    </row>
    <row r="321" ht="18" customHeight="1">
      <c r="A321" s="25" t="inlineStr">
        <is>
          <t>2522005041099</t>
        </is>
      </c>
      <c r="B321" s="34" t="inlineStr">
        <is>
          <t>餐厅-椅</t>
        </is>
      </c>
      <c r="C321" s="35" t="inlineStr">
        <is>
          <t>餐椅-细木棍-2025</t>
        </is>
      </c>
      <c r="D321" s="35" t="inlineStr">
        <is>
          <t>白蜡木实木原色--软包款</t>
        </is>
      </c>
      <c r="E321" s="34" t="inlineStr">
        <is>
          <t>未知</t>
        </is>
      </c>
      <c r="F321" s="34" t="inlineStr">
        <is>
          <t>未知</t>
        </is>
      </c>
      <c r="G321" s="35" t="inlineStr">
        <is>
          <t>未知</t>
        </is>
      </c>
      <c r="H321" s="26" t="n">
        <v>0</v>
      </c>
      <c r="I321" s="26" t="n">
        <v>0</v>
      </c>
      <c r="J321" s="27" t="n">
        <v>0.5</v>
      </c>
      <c r="K321" s="28">
        <f>IFERROR(H321,0)</f>
        <v/>
      </c>
      <c r="L321" s="29" t="n"/>
      <c r="M321" s="29" t="n"/>
      <c r="N321" s="29" t="n"/>
      <c r="O321" s="29" t="n"/>
      <c r="P321" s="30">
        <f>IFERROR(IF(K321=0,"待填成本",ROUND(K321/(1-L321),0)),"" )</f>
        <v/>
      </c>
      <c r="Q321" s="30">
        <f>IFERROR(IF(K321=0,"待填成本",ROUND(K321/(1-M321),0)),"" )</f>
        <v/>
      </c>
      <c r="R321" s="30">
        <f>IFERROR(IF(K321=0,"待填成本",ROUND(K321/(1-N321),0)),"" )</f>
        <v/>
      </c>
      <c r="S321" s="30">
        <f>IFERROR(IF(K321=0,"待填成本",ROUND(K321/(1-O321),0)),"" )</f>
        <v/>
      </c>
      <c r="T321" s="31">
        <f>IFERROR(IF(K321=0,"",(P321-K321)/P321),"" )</f>
        <v/>
      </c>
      <c r="U321" s="31">
        <f>IFERROR(IF(K321=0,"",(Q321-K321)/Q321),"" )</f>
        <v/>
      </c>
      <c r="V321" s="31">
        <f>IFERROR(IF(K321=0,"",(R321-K321)/R321),"" )</f>
        <v/>
      </c>
      <c r="W321" s="31">
        <f>IFERROR(IF(K321=0,"",(S321-K321)/S321),"" )</f>
        <v/>
      </c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3" t="n"/>
      <c r="AG321" s="33" t="n"/>
      <c r="AH321" s="35" t="inlineStr"/>
    </row>
    <row r="322" ht="18" customHeight="1">
      <c r="A322" s="25" t="inlineStr">
        <is>
          <t>2522005041099</t>
        </is>
      </c>
      <c r="B322" s="6" t="inlineStr">
        <is>
          <t>餐厅-椅</t>
        </is>
      </c>
      <c r="C322" s="5" t="inlineStr">
        <is>
          <t>餐椅-细木棍-2025</t>
        </is>
      </c>
      <c r="D322" s="5" t="inlineStr">
        <is>
          <t>白蜡木实木+樱桃木色--软包款</t>
        </is>
      </c>
      <c r="E322" s="6" t="inlineStr">
        <is>
          <t>未知</t>
        </is>
      </c>
      <c r="F322" s="6" t="inlineStr">
        <is>
          <t>未知</t>
        </is>
      </c>
      <c r="G322" s="5" t="inlineStr">
        <is>
          <t>未知</t>
        </is>
      </c>
      <c r="H322" s="26" t="n">
        <v>0</v>
      </c>
      <c r="I322" s="26" t="n">
        <v>0</v>
      </c>
      <c r="J322" s="27" t="n">
        <v>0.5</v>
      </c>
      <c r="K322" s="28">
        <f>IFERROR(H322,0)</f>
        <v/>
      </c>
      <c r="L322" s="29" t="n"/>
      <c r="M322" s="29" t="n"/>
      <c r="N322" s="29" t="n"/>
      <c r="O322" s="29" t="n"/>
      <c r="P322" s="30">
        <f>IFERROR(IF(K322=0,"待填成本",ROUND(K322/(1-L322),0)),"" )</f>
        <v/>
      </c>
      <c r="Q322" s="30">
        <f>IFERROR(IF(K322=0,"待填成本",ROUND(K322/(1-M322),0)),"" )</f>
        <v/>
      </c>
      <c r="R322" s="30">
        <f>IFERROR(IF(K322=0,"待填成本",ROUND(K322/(1-N322),0)),"" )</f>
        <v/>
      </c>
      <c r="S322" s="30">
        <f>IFERROR(IF(K322=0,"待填成本",ROUND(K322/(1-O322),0)),"" )</f>
        <v/>
      </c>
      <c r="T322" s="31">
        <f>IFERROR(IF(K322=0,"",(P322-K322)/P322),"" )</f>
        <v/>
      </c>
      <c r="U322" s="31">
        <f>IFERROR(IF(K322=0,"",(Q322-K322)/Q322),"" )</f>
        <v/>
      </c>
      <c r="V322" s="31">
        <f>IFERROR(IF(K322=0,"",(R322-K322)/R322),"" )</f>
        <v/>
      </c>
      <c r="W322" s="31">
        <f>IFERROR(IF(K322=0,"",(S322-K322)/S322),"" )</f>
        <v/>
      </c>
      <c r="X322" s="32" t="n"/>
      <c r="Y322" s="32" t="n"/>
      <c r="Z322" s="32" t="n"/>
      <c r="AA322" s="32" t="n"/>
      <c r="AB322" s="32" t="n"/>
      <c r="AC322" s="32" t="n"/>
      <c r="AD322" s="32" t="n"/>
      <c r="AE322" s="32" t="n"/>
      <c r="AF322" s="33" t="n"/>
      <c r="AG322" s="33" t="n"/>
      <c r="AH322" s="5" t="inlineStr"/>
    </row>
    <row r="323" ht="18" customHeight="1">
      <c r="A323" s="25" t="inlineStr">
        <is>
          <t>2522006041599</t>
        </is>
      </c>
      <c r="B323" s="34" t="inlineStr">
        <is>
          <t>餐厅-椅</t>
        </is>
      </c>
      <c r="C323" s="35" t="inlineStr">
        <is>
          <t>餐椅-软包款-2025</t>
        </is>
      </c>
      <c r="D323" s="35" t="inlineStr">
        <is>
          <t>白蜡木实木原色--白色软包</t>
        </is>
      </c>
      <c r="E323" s="34" t="inlineStr">
        <is>
          <t>未知</t>
        </is>
      </c>
      <c r="F323" s="34" t="inlineStr">
        <is>
          <t>未知</t>
        </is>
      </c>
      <c r="G323" s="35" t="inlineStr">
        <is>
          <t>未知</t>
        </is>
      </c>
      <c r="H323" s="26" t="n">
        <v>0</v>
      </c>
      <c r="I323" s="26" t="n">
        <v>0</v>
      </c>
      <c r="J323" s="27" t="n">
        <v>0.5</v>
      </c>
      <c r="K323" s="28">
        <f>IFERROR(H323,0)</f>
        <v/>
      </c>
      <c r="L323" s="29" t="n"/>
      <c r="M323" s="29" t="n"/>
      <c r="N323" s="29" t="n"/>
      <c r="O323" s="29" t="n"/>
      <c r="P323" s="30">
        <f>IFERROR(IF(K323=0,"待填成本",ROUND(K323/(1-L323),0)),"" )</f>
        <v/>
      </c>
      <c r="Q323" s="30">
        <f>IFERROR(IF(K323=0,"待填成本",ROUND(K323/(1-M323),0)),"" )</f>
        <v/>
      </c>
      <c r="R323" s="30">
        <f>IFERROR(IF(K323=0,"待填成本",ROUND(K323/(1-N323),0)),"" )</f>
        <v/>
      </c>
      <c r="S323" s="30">
        <f>IFERROR(IF(K323=0,"待填成本",ROUND(K323/(1-O323),0)),"" )</f>
        <v/>
      </c>
      <c r="T323" s="31">
        <f>IFERROR(IF(K323=0,"",(P323-K323)/P323),"" )</f>
        <v/>
      </c>
      <c r="U323" s="31">
        <f>IFERROR(IF(K323=0,"",(Q323-K323)/Q323),"" )</f>
        <v/>
      </c>
      <c r="V323" s="31">
        <f>IFERROR(IF(K323=0,"",(R323-K323)/R323),"" )</f>
        <v/>
      </c>
      <c r="W323" s="31">
        <f>IFERROR(IF(K323=0,"",(S323-K323)/S323),"" )</f>
        <v/>
      </c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3" t="n"/>
      <c r="AG323" s="33" t="n"/>
      <c r="AH323" s="35" t="inlineStr"/>
    </row>
    <row r="324" ht="18" customHeight="1">
      <c r="A324" s="25" t="inlineStr">
        <is>
          <t>2522006041599</t>
        </is>
      </c>
      <c r="B324" s="6" t="inlineStr">
        <is>
          <t>餐厅-椅</t>
        </is>
      </c>
      <c r="C324" s="5" t="inlineStr">
        <is>
          <t>餐椅-软包款-2025</t>
        </is>
      </c>
      <c r="D324" s="5" t="inlineStr">
        <is>
          <t>白蜡木实木+樱桃木色--白色软包</t>
        </is>
      </c>
      <c r="E324" s="6" t="inlineStr">
        <is>
          <t>未知</t>
        </is>
      </c>
      <c r="F324" s="6" t="inlineStr">
        <is>
          <t>未知</t>
        </is>
      </c>
      <c r="G324" s="5" t="inlineStr">
        <is>
          <t>未知</t>
        </is>
      </c>
      <c r="H324" s="26" t="n">
        <v>0</v>
      </c>
      <c r="I324" s="26" t="n">
        <v>0</v>
      </c>
      <c r="J324" s="27" t="n">
        <v>0.5</v>
      </c>
      <c r="K324" s="28">
        <f>IFERROR(H324,0)</f>
        <v/>
      </c>
      <c r="L324" s="29" t="n"/>
      <c r="M324" s="29" t="n"/>
      <c r="N324" s="29" t="n"/>
      <c r="O324" s="29" t="n"/>
      <c r="P324" s="30">
        <f>IFERROR(IF(K324=0,"待填成本",ROUND(K324/(1-L324),0)),"" )</f>
        <v/>
      </c>
      <c r="Q324" s="30">
        <f>IFERROR(IF(K324=0,"待填成本",ROUND(K324/(1-M324),0)),"" )</f>
        <v/>
      </c>
      <c r="R324" s="30">
        <f>IFERROR(IF(K324=0,"待填成本",ROUND(K324/(1-N324),0)),"" )</f>
        <v/>
      </c>
      <c r="S324" s="30">
        <f>IFERROR(IF(K324=0,"待填成本",ROUND(K324/(1-O324),0)),"" )</f>
        <v/>
      </c>
      <c r="T324" s="31">
        <f>IFERROR(IF(K324=0,"",(P324-K324)/P324),"" )</f>
        <v/>
      </c>
      <c r="U324" s="31">
        <f>IFERROR(IF(K324=0,"",(Q324-K324)/Q324),"" )</f>
        <v/>
      </c>
      <c r="V324" s="31">
        <f>IFERROR(IF(K324=0,"",(R324-K324)/R324),"" )</f>
        <v/>
      </c>
      <c r="W324" s="31">
        <f>IFERROR(IF(K324=0,"",(S324-K324)/S324),"" )</f>
        <v/>
      </c>
      <c r="X324" s="32" t="n"/>
      <c r="Y324" s="32" t="n"/>
      <c r="Z324" s="32" t="n"/>
      <c r="AA324" s="32" t="n"/>
      <c r="AB324" s="32" t="n"/>
      <c r="AC324" s="32" t="n"/>
      <c r="AD324" s="32" t="n"/>
      <c r="AE324" s="32" t="n"/>
      <c r="AF324" s="33" t="n"/>
      <c r="AG324" s="33" t="n"/>
      <c r="AH324" s="5" t="inlineStr"/>
    </row>
    <row r="325" ht="18" customHeight="1">
      <c r="A325" s="25" t="inlineStr">
        <is>
          <t>2522006041599</t>
        </is>
      </c>
      <c r="B325" s="34" t="inlineStr">
        <is>
          <t>餐厅-椅</t>
        </is>
      </c>
      <c r="C325" s="35" t="inlineStr">
        <is>
          <t>餐椅-软包款-2025</t>
        </is>
      </c>
      <c r="D325" s="35" t="inlineStr">
        <is>
          <t>白蜡木实木原色--黑色软包</t>
        </is>
      </c>
      <c r="E325" s="34" t="inlineStr">
        <is>
          <t>未知</t>
        </is>
      </c>
      <c r="F325" s="34" t="inlineStr">
        <is>
          <t>未知</t>
        </is>
      </c>
      <c r="G325" s="35" t="inlineStr">
        <is>
          <t>未知</t>
        </is>
      </c>
      <c r="H325" s="26" t="n">
        <v>0</v>
      </c>
      <c r="I325" s="26" t="n">
        <v>0</v>
      </c>
      <c r="J325" s="27" t="n">
        <v>0.5</v>
      </c>
      <c r="K325" s="28">
        <f>IFERROR(H325,0)</f>
        <v/>
      </c>
      <c r="L325" s="29" t="n"/>
      <c r="M325" s="29" t="n"/>
      <c r="N325" s="29" t="n"/>
      <c r="O325" s="29" t="n"/>
      <c r="P325" s="30">
        <f>IFERROR(IF(K325=0,"待填成本",ROUND(K325/(1-L325),0)),"" )</f>
        <v/>
      </c>
      <c r="Q325" s="30">
        <f>IFERROR(IF(K325=0,"待填成本",ROUND(K325/(1-M325),0)),"" )</f>
        <v/>
      </c>
      <c r="R325" s="30">
        <f>IFERROR(IF(K325=0,"待填成本",ROUND(K325/(1-N325),0)),"" )</f>
        <v/>
      </c>
      <c r="S325" s="30">
        <f>IFERROR(IF(K325=0,"待填成本",ROUND(K325/(1-O325),0)),"" )</f>
        <v/>
      </c>
      <c r="T325" s="31">
        <f>IFERROR(IF(K325=0,"",(P325-K325)/P325),"" )</f>
        <v/>
      </c>
      <c r="U325" s="31">
        <f>IFERROR(IF(K325=0,"",(Q325-K325)/Q325),"" )</f>
        <v/>
      </c>
      <c r="V325" s="31">
        <f>IFERROR(IF(K325=0,"",(R325-K325)/R325),"" )</f>
        <v/>
      </c>
      <c r="W325" s="31">
        <f>IFERROR(IF(K325=0,"",(S325-K325)/S325),"" )</f>
        <v/>
      </c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3" t="n"/>
      <c r="AG325" s="33" t="n"/>
      <c r="AH325" s="35" t="inlineStr"/>
    </row>
    <row r="326" ht="18" customHeight="1">
      <c r="A326" s="25" t="inlineStr">
        <is>
          <t>2522006041599</t>
        </is>
      </c>
      <c r="B326" s="6" t="inlineStr">
        <is>
          <t>餐厅-椅</t>
        </is>
      </c>
      <c r="C326" s="5" t="inlineStr">
        <is>
          <t>餐椅-软包款-2025</t>
        </is>
      </c>
      <c r="D326" s="5" t="inlineStr">
        <is>
          <t>白蜡木实木+樱桃木色--黑色软包</t>
        </is>
      </c>
      <c r="E326" s="6" t="inlineStr">
        <is>
          <t>未知</t>
        </is>
      </c>
      <c r="F326" s="6" t="inlineStr">
        <is>
          <t>未知</t>
        </is>
      </c>
      <c r="G326" s="5" t="inlineStr">
        <is>
          <t>未知</t>
        </is>
      </c>
      <c r="H326" s="26" t="n">
        <v>0</v>
      </c>
      <c r="I326" s="26" t="n">
        <v>0</v>
      </c>
      <c r="J326" s="27" t="n">
        <v>0.5</v>
      </c>
      <c r="K326" s="28">
        <f>IFERROR(H326,0)</f>
        <v/>
      </c>
      <c r="L326" s="29" t="n"/>
      <c r="M326" s="29" t="n"/>
      <c r="N326" s="29" t="n"/>
      <c r="O326" s="29" t="n"/>
      <c r="P326" s="30">
        <f>IFERROR(IF(K326=0,"待填成本",ROUND(K326/(1-L326),0)),"" )</f>
        <v/>
      </c>
      <c r="Q326" s="30">
        <f>IFERROR(IF(K326=0,"待填成本",ROUND(K326/(1-M326),0)),"" )</f>
        <v/>
      </c>
      <c r="R326" s="30">
        <f>IFERROR(IF(K326=0,"待填成本",ROUND(K326/(1-N326),0)),"" )</f>
        <v/>
      </c>
      <c r="S326" s="30">
        <f>IFERROR(IF(K326=0,"待填成本",ROUND(K326/(1-O326),0)),"" )</f>
        <v/>
      </c>
      <c r="T326" s="31">
        <f>IFERROR(IF(K326=0,"",(P326-K326)/P326),"" )</f>
        <v/>
      </c>
      <c r="U326" s="31">
        <f>IFERROR(IF(K326=0,"",(Q326-K326)/Q326),"" )</f>
        <v/>
      </c>
      <c r="V326" s="31">
        <f>IFERROR(IF(K326=0,"",(R326-K326)/R326),"" )</f>
        <v/>
      </c>
      <c r="W326" s="31">
        <f>IFERROR(IF(K326=0,"",(S326-K326)/S326),"" )</f>
        <v/>
      </c>
      <c r="X326" s="32" t="n"/>
      <c r="Y326" s="32" t="n"/>
      <c r="Z326" s="32" t="n"/>
      <c r="AA326" s="32" t="n"/>
      <c r="AB326" s="32" t="n"/>
      <c r="AC326" s="32" t="n"/>
      <c r="AD326" s="32" t="n"/>
      <c r="AE326" s="32" t="n"/>
      <c r="AF326" s="33" t="n"/>
      <c r="AG326" s="33" t="n"/>
      <c r="AH326" s="5" t="inlineStr"/>
    </row>
    <row r="327" ht="18" customHeight="1">
      <c r="A327" s="25" t="inlineStr">
        <is>
          <t>24150030513</t>
        </is>
      </c>
      <c r="B327" s="34" t="inlineStr">
        <is>
          <t>客厅-柜</t>
        </is>
      </c>
      <c r="C327" s="35" t="inlineStr">
        <is>
          <t>畔色组合柜 |樱桃木灵感组合柜</t>
        </is>
      </c>
      <c r="D327" s="35" t="inlineStr">
        <is>
          <t>组合柜-开放柜</t>
        </is>
      </c>
      <c r="E327" s="34" t="inlineStr">
        <is>
          <t>北美进口FAS级樱桃木</t>
        </is>
      </c>
      <c r="F327" s="34" t="inlineStr">
        <is>
          <t>背板：实木多层板
抽屉围板：实木多层板</t>
        </is>
      </c>
      <c r="G327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27" s="26" t="n">
        <v>470</v>
      </c>
      <c r="I327" s="26" t="n">
        <v>450</v>
      </c>
      <c r="J327" s="27" t="n">
        <v>0.55</v>
      </c>
      <c r="K327" s="28">
        <f>IFERROR(H327,0)</f>
        <v/>
      </c>
      <c r="L327" s="29" t="n">
        <v>0.4695</v>
      </c>
      <c r="M327" s="29" t="n">
        <v>0.1624</v>
      </c>
      <c r="N327" s="29" t="n">
        <v>0.1513</v>
      </c>
      <c r="O327" s="29" t="n">
        <v>0.1159</v>
      </c>
      <c r="P327" s="30">
        <f>IFERROR(IF(K327=0,"待填成本",ROUND(K327/(1-L327),0)),"" )</f>
        <v/>
      </c>
      <c r="Q327" s="30">
        <f>IFERROR(IF(K327=0,"待填成本",ROUND(K327/(1-M327),0)),"" )</f>
        <v/>
      </c>
      <c r="R327" s="30">
        <f>IFERROR(IF(K327=0,"待填成本",ROUND(K327/(1-N327),0)),"" )</f>
        <v/>
      </c>
      <c r="S327" s="30">
        <f>IFERROR(IF(K327=0,"待填成本",ROUND(K327/(1-O327),0)),"" )</f>
        <v/>
      </c>
      <c r="T327" s="31">
        <f>IFERROR(IF(K327=0,"",(P327-K327)/P327),"" )</f>
        <v/>
      </c>
      <c r="U327" s="31">
        <f>IFERROR(IF(K327=0,"",(Q327-K327)/Q327),"" )</f>
        <v/>
      </c>
      <c r="V327" s="31">
        <f>IFERROR(IF(K327=0,"",(R327-K327)/R327),"" )</f>
        <v/>
      </c>
      <c r="W327" s="31">
        <f>IFERROR(IF(K327=0,"",(S327-K327)/S327),"" )</f>
        <v/>
      </c>
      <c r="X327" s="36" t="n"/>
      <c r="Y327" s="36" t="n"/>
      <c r="Z327" s="36" t="n"/>
      <c r="AA327" s="36" t="n"/>
      <c r="AB327" s="36" t="n"/>
      <c r="AC327" s="36" t="n"/>
      <c r="AD327" s="37" t="n">
        <v>300</v>
      </c>
      <c r="AE327" s="36" t="n"/>
      <c r="AF327" s="33" t="n"/>
      <c r="AG327" s="33" t="n"/>
      <c r="AH327" s="35" t="inlineStr"/>
    </row>
    <row r="328" ht="18" customHeight="1">
      <c r="A328" s="25" t="inlineStr">
        <is>
          <t>24150030513</t>
        </is>
      </c>
      <c r="B328" s="6" t="inlineStr">
        <is>
          <t>客厅-柜</t>
        </is>
      </c>
      <c r="C328" s="5" t="inlineStr">
        <is>
          <t>畔色组合柜 |樱桃木灵感组合柜</t>
        </is>
      </c>
      <c r="D328" s="5" t="inlineStr">
        <is>
          <t>组合柜-隔板柜2竖·1横</t>
        </is>
      </c>
      <c r="E328" s="6" t="inlineStr">
        <is>
          <t>北美进口FAS级樱桃木</t>
        </is>
      </c>
      <c r="F328" s="6" t="inlineStr">
        <is>
          <t>背板：实木多层板
抽屉围板：实木多层板</t>
        </is>
      </c>
      <c r="G328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28" s="26" t="n">
        <v>750</v>
      </c>
      <c r="I328" s="26" t="n">
        <v>730</v>
      </c>
      <c r="J328" s="27" t="n">
        <v>0.55</v>
      </c>
      <c r="K328" s="28">
        <f>IFERROR(H328,0)</f>
        <v/>
      </c>
      <c r="L328" s="29" t="n">
        <v>0.469</v>
      </c>
      <c r="M328" s="29" t="n">
        <v>0.1675</v>
      </c>
      <c r="N328" s="29" t="n">
        <v>0.1444</v>
      </c>
      <c r="O328" s="29" t="n">
        <v>0.1115</v>
      </c>
      <c r="P328" s="30">
        <f>IFERROR(IF(K328=0,"待填成本",ROUND(K328/(1-L328),0)),"" )</f>
        <v/>
      </c>
      <c r="Q328" s="30">
        <f>IFERROR(IF(K328=0,"待填成本",ROUND(K328/(1-M328),0)),"" )</f>
        <v/>
      </c>
      <c r="R328" s="30">
        <f>IFERROR(IF(K328=0,"待填成本",ROUND(K328/(1-N328),0)),"" )</f>
        <v/>
      </c>
      <c r="S328" s="30">
        <f>IFERROR(IF(K328=0,"待填成本",ROUND(K328/(1-O328),0)),"" )</f>
        <v/>
      </c>
      <c r="T328" s="31">
        <f>IFERROR(IF(K328=0,"",(P328-K328)/P328),"" )</f>
        <v/>
      </c>
      <c r="U328" s="31">
        <f>IFERROR(IF(K328=0,"",(Q328-K328)/Q328),"" )</f>
        <v/>
      </c>
      <c r="V328" s="31">
        <f>IFERROR(IF(K328=0,"",(R328-K328)/R328),"" )</f>
        <v/>
      </c>
      <c r="W328" s="31">
        <f>IFERROR(IF(K328=0,"",(S328-K328)/S328),"" )</f>
        <v/>
      </c>
      <c r="X328" s="32" t="n"/>
      <c r="Y328" s="32" t="n"/>
      <c r="Z328" s="32" t="n"/>
      <c r="AA328" s="32" t="n"/>
      <c r="AB328" s="32" t="n"/>
      <c r="AC328" s="32" t="n"/>
      <c r="AD328" s="37" t="n">
        <v>300</v>
      </c>
      <c r="AE328" s="32" t="n"/>
      <c r="AF328" s="33" t="n"/>
      <c r="AG328" s="33" t="n"/>
      <c r="AH328" s="5" t="inlineStr"/>
    </row>
    <row r="329" ht="18" customHeight="1">
      <c r="A329" s="25" t="inlineStr">
        <is>
          <t>24150030513</t>
        </is>
      </c>
      <c r="B329" s="34" t="inlineStr">
        <is>
          <t>客厅-柜</t>
        </is>
      </c>
      <c r="C329" s="35" t="inlineStr">
        <is>
          <t>畔色组合柜 |樱桃木灵感组合柜</t>
        </is>
      </c>
      <c r="D329" s="35" t="inlineStr">
        <is>
          <t>组合柜-隔板柜1横</t>
        </is>
      </c>
      <c r="E329" s="34" t="inlineStr">
        <is>
          <t>北美进口FAS级樱桃木</t>
        </is>
      </c>
      <c r="F329" s="34" t="inlineStr">
        <is>
          <t>背板：实木多层板
抽屉围板：实木多层板</t>
        </is>
      </c>
      <c r="G329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29" s="26" t="n">
        <v>700</v>
      </c>
      <c r="I329" s="26" t="n">
        <v>680</v>
      </c>
      <c r="J329" s="27" t="n">
        <v>0.55</v>
      </c>
      <c r="K329" s="28">
        <f>IFERROR(H329,0)</f>
        <v/>
      </c>
      <c r="L329" s="29" t="n">
        <v>0.4687</v>
      </c>
      <c r="M329" s="29" t="n">
        <v>0.1609</v>
      </c>
      <c r="N329" s="29" t="n">
        <v>0.1444</v>
      </c>
      <c r="O329" s="29" t="n">
        <v>0.1185</v>
      </c>
      <c r="P329" s="30">
        <f>IFERROR(IF(K329=0,"待填成本",ROUND(K329/(1-L329),0)),"" )</f>
        <v/>
      </c>
      <c r="Q329" s="30">
        <f>IFERROR(IF(K329=0,"待填成本",ROUND(K329/(1-M329),0)),"" )</f>
        <v/>
      </c>
      <c r="R329" s="30">
        <f>IFERROR(IF(K329=0,"待填成本",ROUND(K329/(1-N329),0)),"" )</f>
        <v/>
      </c>
      <c r="S329" s="30">
        <f>IFERROR(IF(K329=0,"待填成本",ROUND(K329/(1-O329),0)),"" )</f>
        <v/>
      </c>
      <c r="T329" s="31">
        <f>IFERROR(IF(K329=0,"",(P329-K329)/P329),"" )</f>
        <v/>
      </c>
      <c r="U329" s="31">
        <f>IFERROR(IF(K329=0,"",(Q329-K329)/Q329),"" )</f>
        <v/>
      </c>
      <c r="V329" s="31">
        <f>IFERROR(IF(K329=0,"",(R329-K329)/R329),"" )</f>
        <v/>
      </c>
      <c r="W329" s="31">
        <f>IFERROR(IF(K329=0,"",(S329-K329)/S329),"" )</f>
        <v/>
      </c>
      <c r="X329" s="36" t="n"/>
      <c r="Y329" s="36" t="n"/>
      <c r="Z329" s="36" t="n"/>
      <c r="AA329" s="36" t="n"/>
      <c r="AB329" s="36" t="n"/>
      <c r="AC329" s="36" t="n"/>
      <c r="AD329" s="37" t="n">
        <v>300</v>
      </c>
      <c r="AE329" s="36" t="n"/>
      <c r="AF329" s="33" t="n"/>
      <c r="AG329" s="33" t="n"/>
      <c r="AH329" s="35" t="inlineStr"/>
    </row>
    <row r="330" ht="18" customHeight="1">
      <c r="A330" s="25" t="inlineStr">
        <is>
          <t>24150030513</t>
        </is>
      </c>
      <c r="B330" s="6" t="inlineStr">
        <is>
          <t>客厅-柜</t>
        </is>
      </c>
      <c r="C330" s="5" t="inlineStr">
        <is>
          <t>畔色组合柜 |樱桃木灵感组合柜</t>
        </is>
      </c>
      <c r="D330" s="5" t="inlineStr">
        <is>
          <t>组合柜-抽屉-单抽</t>
        </is>
      </c>
      <c r="E330" s="6" t="inlineStr">
        <is>
          <t>北美进口FAS级樱桃木</t>
        </is>
      </c>
      <c r="F330" s="6" t="inlineStr">
        <is>
          <t>背板：实木多层板
抽屉围板：实木多层板</t>
        </is>
      </c>
      <c r="G330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0" s="26" t="n">
        <v>740</v>
      </c>
      <c r="I330" s="26" t="n">
        <v>720</v>
      </c>
      <c r="J330" s="27" t="n">
        <v>0.55</v>
      </c>
      <c r="K330" s="28">
        <f>IFERROR(H330,0)</f>
        <v/>
      </c>
      <c r="L330" s="29" t="n">
        <v>0.468</v>
      </c>
      <c r="M330" s="29" t="n">
        <v>0.1617</v>
      </c>
      <c r="N330" s="29" t="n">
        <v>0.146</v>
      </c>
      <c r="O330" s="29" t="n">
        <v>0.1129</v>
      </c>
      <c r="P330" s="30">
        <f>IFERROR(IF(K330=0,"待填成本",ROUND(K330/(1-L330),0)),"" )</f>
        <v/>
      </c>
      <c r="Q330" s="30">
        <f>IFERROR(IF(K330=0,"待填成本",ROUND(K330/(1-M330),0)),"" )</f>
        <v/>
      </c>
      <c r="R330" s="30">
        <f>IFERROR(IF(K330=0,"待填成本",ROUND(K330/(1-N330),0)),"" )</f>
        <v/>
      </c>
      <c r="S330" s="30">
        <f>IFERROR(IF(K330=0,"待填成本",ROUND(K330/(1-O330),0)),"" )</f>
        <v/>
      </c>
      <c r="T330" s="31">
        <f>IFERROR(IF(K330=0,"",(P330-K330)/P330),"" )</f>
        <v/>
      </c>
      <c r="U330" s="31">
        <f>IFERROR(IF(K330=0,"",(Q330-K330)/Q330),"" )</f>
        <v/>
      </c>
      <c r="V330" s="31">
        <f>IFERROR(IF(K330=0,"",(R330-K330)/R330),"" )</f>
        <v/>
      </c>
      <c r="W330" s="31">
        <f>IFERROR(IF(K330=0,"",(S330-K330)/S330),"" )</f>
        <v/>
      </c>
      <c r="X330" s="32" t="n"/>
      <c r="Y330" s="32" t="n"/>
      <c r="Z330" s="32" t="n"/>
      <c r="AA330" s="32" t="n"/>
      <c r="AB330" s="32" t="n"/>
      <c r="AC330" s="32" t="n"/>
      <c r="AD330" s="37" t="n">
        <v>300</v>
      </c>
      <c r="AE330" s="32" t="n"/>
      <c r="AF330" s="33" t="n"/>
      <c r="AG330" s="33" t="n"/>
      <c r="AH330" s="5" t="inlineStr"/>
    </row>
    <row r="331" ht="18" customHeight="1">
      <c r="A331" s="25" t="inlineStr">
        <is>
          <t>24150030513</t>
        </is>
      </c>
      <c r="B331" s="34" t="inlineStr">
        <is>
          <t>客厅-柜</t>
        </is>
      </c>
      <c r="C331" s="35" t="inlineStr">
        <is>
          <t>畔色组合柜 |樱桃木灵感组合柜</t>
        </is>
      </c>
      <c r="D331" s="35" t="inlineStr">
        <is>
          <t>组合柜-抽屉-双抽</t>
        </is>
      </c>
      <c r="E331" s="34" t="inlineStr">
        <is>
          <t>北美进口FAS级樱桃木</t>
        </is>
      </c>
      <c r="F331" s="34" t="inlineStr">
        <is>
          <t>背板：实木多层板
抽屉围板：实木多层板</t>
        </is>
      </c>
      <c r="G331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1" s="26" t="n">
        <v>750</v>
      </c>
      <c r="I331" s="26" t="n">
        <v>730</v>
      </c>
      <c r="J331" s="27" t="n">
        <v>0.55</v>
      </c>
      <c r="K331" s="28">
        <f>IFERROR(H331,0)</f>
        <v/>
      </c>
      <c r="L331" s="29" t="n">
        <v>0.469</v>
      </c>
      <c r="M331" s="29" t="n">
        <v>0.1675</v>
      </c>
      <c r="N331" s="29" t="n">
        <v>0.1444</v>
      </c>
      <c r="O331" s="29" t="n">
        <v>0.1115</v>
      </c>
      <c r="P331" s="30">
        <f>IFERROR(IF(K331=0,"待填成本",ROUND(K331/(1-L331),0)),"" )</f>
        <v/>
      </c>
      <c r="Q331" s="30">
        <f>IFERROR(IF(K331=0,"待填成本",ROUND(K331/(1-M331),0)),"" )</f>
        <v/>
      </c>
      <c r="R331" s="30">
        <f>IFERROR(IF(K331=0,"待填成本",ROUND(K331/(1-N331),0)),"" )</f>
        <v/>
      </c>
      <c r="S331" s="30">
        <f>IFERROR(IF(K331=0,"待填成本",ROUND(K331/(1-O331),0)),"" )</f>
        <v/>
      </c>
      <c r="T331" s="31">
        <f>IFERROR(IF(K331=0,"",(P331-K331)/P331),"" )</f>
        <v/>
      </c>
      <c r="U331" s="31">
        <f>IFERROR(IF(K331=0,"",(Q331-K331)/Q331),"" )</f>
        <v/>
      </c>
      <c r="V331" s="31">
        <f>IFERROR(IF(K331=0,"",(R331-K331)/R331),"" )</f>
        <v/>
      </c>
      <c r="W331" s="31">
        <f>IFERROR(IF(K331=0,"",(S331-K331)/S331),"" )</f>
        <v/>
      </c>
      <c r="X331" s="36" t="n"/>
      <c r="Y331" s="36" t="n"/>
      <c r="Z331" s="36" t="n"/>
      <c r="AA331" s="36" t="n"/>
      <c r="AB331" s="36" t="n"/>
      <c r="AC331" s="36" t="n"/>
      <c r="AD331" s="37" t="n">
        <v>300</v>
      </c>
      <c r="AE331" s="36" t="n"/>
      <c r="AF331" s="33" t="n"/>
      <c r="AG331" s="33" t="n"/>
      <c r="AH331" s="35" t="inlineStr"/>
    </row>
    <row r="332" ht="18" customHeight="1">
      <c r="A332" s="25" t="inlineStr">
        <is>
          <t>24150030513</t>
        </is>
      </c>
      <c r="B332" s="6" t="inlineStr">
        <is>
          <t>客厅-柜</t>
        </is>
      </c>
      <c r="C332" s="5" t="inlineStr">
        <is>
          <t>畔色组合柜 |樱桃木灵感组合柜</t>
        </is>
      </c>
      <c r="D332" s="5" t="inlineStr">
        <is>
          <t>组合柜-单移门柜（含2竖隔板）</t>
        </is>
      </c>
      <c r="E332" s="6" t="inlineStr">
        <is>
          <t>北美进口FAS级樱桃木</t>
        </is>
      </c>
      <c r="F332" s="6" t="inlineStr">
        <is>
          <t>背板：实木多层板
抽屉围板：实木多层板</t>
        </is>
      </c>
      <c r="G332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2" s="26" t="n">
        <v>840</v>
      </c>
      <c r="I332" s="26" t="n">
        <v>820</v>
      </c>
      <c r="J332" s="27" t="n">
        <v>0.55</v>
      </c>
      <c r="K332" s="28">
        <f>IFERROR(H332,0)</f>
        <v/>
      </c>
      <c r="L332" s="29" t="n">
        <v>0.4685</v>
      </c>
      <c r="M332" s="29" t="n">
        <v>0.1669</v>
      </c>
      <c r="N332" s="29" t="n">
        <v>0.1459</v>
      </c>
      <c r="O332" s="29" t="n">
        <v>0.1162</v>
      </c>
      <c r="P332" s="30">
        <f>IFERROR(IF(K332=0,"待填成本",ROUND(K332/(1-L332),0)),"" )</f>
        <v/>
      </c>
      <c r="Q332" s="30">
        <f>IFERROR(IF(K332=0,"待填成本",ROUND(K332/(1-M332),0)),"" )</f>
        <v/>
      </c>
      <c r="R332" s="30">
        <f>IFERROR(IF(K332=0,"待填成本",ROUND(K332/(1-N332),0)),"" )</f>
        <v/>
      </c>
      <c r="S332" s="30">
        <f>IFERROR(IF(K332=0,"待填成本",ROUND(K332/(1-O332),0)),"" )</f>
        <v/>
      </c>
      <c r="T332" s="31">
        <f>IFERROR(IF(K332=0,"",(P332-K332)/P332),"" )</f>
        <v/>
      </c>
      <c r="U332" s="31">
        <f>IFERROR(IF(K332=0,"",(Q332-K332)/Q332),"" )</f>
        <v/>
      </c>
      <c r="V332" s="31">
        <f>IFERROR(IF(K332=0,"",(R332-K332)/R332),"" )</f>
        <v/>
      </c>
      <c r="W332" s="31">
        <f>IFERROR(IF(K332=0,"",(S332-K332)/S332),"" )</f>
        <v/>
      </c>
      <c r="X332" s="32" t="n"/>
      <c r="Y332" s="32" t="n"/>
      <c r="Z332" s="32" t="n"/>
      <c r="AA332" s="32" t="n"/>
      <c r="AB332" s="32" t="n"/>
      <c r="AC332" s="32" t="n"/>
      <c r="AD332" s="37" t="n">
        <v>300</v>
      </c>
      <c r="AE332" s="32" t="n"/>
      <c r="AF332" s="33" t="n"/>
      <c r="AG332" s="33" t="n"/>
      <c r="AH332" s="5" t="inlineStr"/>
    </row>
    <row r="333" ht="18" customHeight="1">
      <c r="A333" s="25" t="inlineStr">
        <is>
          <t>24150030513</t>
        </is>
      </c>
      <c r="B333" s="34" t="inlineStr">
        <is>
          <t>客厅-柜</t>
        </is>
      </c>
      <c r="C333" s="35" t="inlineStr">
        <is>
          <t>畔色组合柜 |樱桃木灵感组合柜</t>
        </is>
      </c>
      <c r="D333" s="35" t="inlineStr">
        <is>
          <t>组合柜-双移门柜</t>
        </is>
      </c>
      <c r="E333" s="34" t="inlineStr">
        <is>
          <t>北美进口FAS级樱桃木</t>
        </is>
      </c>
      <c r="F333" s="34" t="inlineStr">
        <is>
          <t>背板：实木多层板
抽屉围板：实木多层板</t>
        </is>
      </c>
      <c r="G333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3" s="26" t="n">
        <v>800</v>
      </c>
      <c r="I333" s="26" t="n">
        <v>780</v>
      </c>
      <c r="J333" s="27" t="n">
        <v>0.55</v>
      </c>
      <c r="K333" s="28">
        <f>IFERROR(H333,0)</f>
        <v/>
      </c>
      <c r="L333" s="29" t="n">
        <v>0.467</v>
      </c>
      <c r="M333" s="29" t="n">
        <v>0.1664</v>
      </c>
      <c r="N333" s="29" t="n">
        <v>0.1444</v>
      </c>
      <c r="O333" s="29" t="n">
        <v>0.1133</v>
      </c>
      <c r="P333" s="30">
        <f>IFERROR(IF(K333=0,"待填成本",ROUND(K333/(1-L333),0)),"" )</f>
        <v/>
      </c>
      <c r="Q333" s="30">
        <f>IFERROR(IF(K333=0,"待填成本",ROUND(K333/(1-M333),0)),"" )</f>
        <v/>
      </c>
      <c r="R333" s="30">
        <f>IFERROR(IF(K333=0,"待填成本",ROUND(K333/(1-N333),0)),"" )</f>
        <v/>
      </c>
      <c r="S333" s="30">
        <f>IFERROR(IF(K333=0,"待填成本",ROUND(K333/(1-O333),0)),"" )</f>
        <v/>
      </c>
      <c r="T333" s="31">
        <f>IFERROR(IF(K333=0,"",(P333-K333)/P333),"" )</f>
        <v/>
      </c>
      <c r="U333" s="31">
        <f>IFERROR(IF(K333=0,"",(Q333-K333)/Q333),"" )</f>
        <v/>
      </c>
      <c r="V333" s="31">
        <f>IFERROR(IF(K333=0,"",(R333-K333)/R333),"" )</f>
        <v/>
      </c>
      <c r="W333" s="31">
        <f>IFERROR(IF(K333=0,"",(S333-K333)/S333),"" )</f>
        <v/>
      </c>
      <c r="X333" s="36" t="n"/>
      <c r="Y333" s="36" t="n"/>
      <c r="Z333" s="36" t="n"/>
      <c r="AA333" s="36" t="n"/>
      <c r="AB333" s="36" t="n"/>
      <c r="AC333" s="36" t="n"/>
      <c r="AD333" s="37" t="n">
        <v>300</v>
      </c>
      <c r="AE333" s="36" t="n"/>
      <c r="AF333" s="33" t="n"/>
      <c r="AG333" s="33" t="n"/>
      <c r="AH333" s="35" t="inlineStr"/>
    </row>
    <row r="334" ht="18" customHeight="1">
      <c r="A334" s="25" t="inlineStr">
        <is>
          <t>24150030513</t>
        </is>
      </c>
      <c r="B334" s="6" t="inlineStr">
        <is>
          <t>客厅-柜</t>
        </is>
      </c>
      <c r="C334" s="5" t="inlineStr">
        <is>
          <t>畔色组合柜 |樱桃木灵感组合柜</t>
        </is>
      </c>
      <c r="D334" s="5" t="inlineStr">
        <is>
          <t>组合柜-玻璃移门柜</t>
        </is>
      </c>
      <c r="E334" s="6" t="inlineStr">
        <is>
          <t>北美进口FAS级樱桃木</t>
        </is>
      </c>
      <c r="F334" s="6" t="inlineStr">
        <is>
          <t>背板：实木多层板
抽屉围板：实木多层板</t>
        </is>
      </c>
      <c r="G334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4" s="26" t="n">
        <v>648</v>
      </c>
      <c r="I334" s="26" t="n">
        <v>600</v>
      </c>
      <c r="J334" s="27" t="n">
        <v>0.55</v>
      </c>
      <c r="K334" s="28">
        <f>IFERROR(H334,0)</f>
        <v/>
      </c>
      <c r="L334" s="29" t="n">
        <v>0.4671</v>
      </c>
      <c r="M334" s="29" t="n">
        <v>0.164</v>
      </c>
      <c r="N334" s="29" t="n">
        <v>0.1466</v>
      </c>
      <c r="O334" s="29" t="n">
        <v>0.119</v>
      </c>
      <c r="P334" s="30">
        <f>IFERROR(IF(K334=0,"待填成本",ROUND(K334/(1-L334),0)),"" )</f>
        <v/>
      </c>
      <c r="Q334" s="30">
        <f>IFERROR(IF(K334=0,"待填成本",ROUND(K334/(1-M334),0)),"" )</f>
        <v/>
      </c>
      <c r="R334" s="30">
        <f>IFERROR(IF(K334=0,"待填成本",ROUND(K334/(1-N334),0)),"" )</f>
        <v/>
      </c>
      <c r="S334" s="30">
        <f>IFERROR(IF(K334=0,"待填成本",ROUND(K334/(1-O334),0)),"" )</f>
        <v/>
      </c>
      <c r="T334" s="31">
        <f>IFERROR(IF(K334=0,"",(P334-K334)/P334),"" )</f>
        <v/>
      </c>
      <c r="U334" s="31">
        <f>IFERROR(IF(K334=0,"",(Q334-K334)/Q334),"" )</f>
        <v/>
      </c>
      <c r="V334" s="31">
        <f>IFERROR(IF(K334=0,"",(R334-K334)/R334),"" )</f>
        <v/>
      </c>
      <c r="W334" s="31">
        <f>IFERROR(IF(K334=0,"",(S334-K334)/S334),"" )</f>
        <v/>
      </c>
      <c r="X334" s="32" t="n"/>
      <c r="Y334" s="32" t="n"/>
      <c r="Z334" s="32" t="n"/>
      <c r="AA334" s="32" t="n"/>
      <c r="AB334" s="32" t="n"/>
      <c r="AC334" s="32" t="n"/>
      <c r="AD334" s="37" t="n">
        <v>300</v>
      </c>
      <c r="AE334" s="32" t="n"/>
      <c r="AF334" s="33" t="n"/>
      <c r="AG334" s="33" t="n"/>
      <c r="AH334" s="5" t="inlineStr"/>
    </row>
    <row r="335" ht="18" customHeight="1">
      <c r="A335" s="25" t="inlineStr">
        <is>
          <t>24150030513</t>
        </is>
      </c>
      <c r="B335" s="34" t="inlineStr">
        <is>
          <t>客厅-柜</t>
        </is>
      </c>
      <c r="C335" s="35" t="inlineStr">
        <is>
          <t>畔色组合柜 |樱桃木灵感组合柜</t>
        </is>
      </c>
      <c r="D335" s="35" t="inlineStr">
        <is>
          <t>组合柜-翻门柜</t>
        </is>
      </c>
      <c r="E335" s="34" t="inlineStr">
        <is>
          <t>北美进口FAS级樱桃木</t>
        </is>
      </c>
      <c r="F335" s="34" t="inlineStr">
        <is>
          <t>背板：实木多层板
抽屉围板：实木多层板</t>
        </is>
      </c>
      <c r="G335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5" s="26" t="n">
        <v>830</v>
      </c>
      <c r="I335" s="26" t="n">
        <v>800</v>
      </c>
      <c r="J335" s="27" t="n">
        <v>0.55</v>
      </c>
      <c r="K335" s="28">
        <f>IFERROR(H335,0)</f>
        <v/>
      </c>
      <c r="L335" s="29" t="n">
        <v>0.4676</v>
      </c>
      <c r="M335" s="29" t="n">
        <v>0.1615</v>
      </c>
      <c r="N335" s="29" t="n">
        <v>0.14</v>
      </c>
      <c r="O335" s="29" t="n">
        <v>0.1174</v>
      </c>
      <c r="P335" s="30">
        <f>IFERROR(IF(K335=0,"待填成本",ROUND(K335/(1-L335),0)),"" )</f>
        <v/>
      </c>
      <c r="Q335" s="30">
        <f>IFERROR(IF(K335=0,"待填成本",ROUND(K335/(1-M335),0)),"" )</f>
        <v/>
      </c>
      <c r="R335" s="30">
        <f>IFERROR(IF(K335=0,"待填成本",ROUND(K335/(1-N335),0)),"" )</f>
        <v/>
      </c>
      <c r="S335" s="30">
        <f>IFERROR(IF(K335=0,"待填成本",ROUND(K335/(1-O335),0)),"" )</f>
        <v/>
      </c>
      <c r="T335" s="31">
        <f>IFERROR(IF(K335=0,"",(P335-K335)/P335),"" )</f>
        <v/>
      </c>
      <c r="U335" s="31">
        <f>IFERROR(IF(K335=0,"",(Q335-K335)/Q335),"" )</f>
        <v/>
      </c>
      <c r="V335" s="31">
        <f>IFERROR(IF(K335=0,"",(R335-K335)/R335),"" )</f>
        <v/>
      </c>
      <c r="W335" s="31">
        <f>IFERROR(IF(K335=0,"",(S335-K335)/S335),"" )</f>
        <v/>
      </c>
      <c r="X335" s="36" t="n"/>
      <c r="Y335" s="36" t="n"/>
      <c r="Z335" s="36" t="n"/>
      <c r="AA335" s="36" t="n"/>
      <c r="AB335" s="36" t="n"/>
      <c r="AC335" s="36" t="n"/>
      <c r="AD335" s="37" t="n">
        <v>300</v>
      </c>
      <c r="AE335" s="36" t="n"/>
      <c r="AF335" s="33" t="n"/>
      <c r="AG335" s="33" t="n"/>
      <c r="AH335" s="35" t="inlineStr"/>
    </row>
    <row r="336" ht="18" customHeight="1">
      <c r="A336" s="25" t="inlineStr">
        <is>
          <t>24150030513</t>
        </is>
      </c>
      <c r="B336" s="6" t="inlineStr">
        <is>
          <t>客厅-柜</t>
        </is>
      </c>
      <c r="C336" s="5" t="inlineStr">
        <is>
          <t>畔色组合柜 |樱桃木灵感组合柜</t>
        </is>
      </c>
      <c r="D336" s="5" t="inlineStr">
        <is>
          <t>组合柜-灵感柜</t>
        </is>
      </c>
      <c r="E336" s="6" t="inlineStr">
        <is>
          <t>北美进口FAS级樱桃木</t>
        </is>
      </c>
      <c r="F336" s="6" t="inlineStr">
        <is>
          <t>背板：实木多层板
抽屉围板：实木多层板</t>
        </is>
      </c>
      <c r="G336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6" s="26" t="n">
        <v>920</v>
      </c>
      <c r="I336" s="26" t="n">
        <v>900</v>
      </c>
      <c r="J336" s="27" t="n">
        <v>0.55</v>
      </c>
      <c r="K336" s="28">
        <f>IFERROR(H336,0)</f>
        <v/>
      </c>
      <c r="L336" s="29" t="n">
        <v>0.4674</v>
      </c>
      <c r="M336" s="29" t="n">
        <v>0.1614</v>
      </c>
      <c r="N336" s="29" t="n">
        <v>0.1417</v>
      </c>
      <c r="O336" s="29" t="n">
        <v>0.1141</v>
      </c>
      <c r="P336" s="30">
        <f>IFERROR(IF(K336=0,"待填成本",ROUND(K336/(1-L336),0)),"" )</f>
        <v/>
      </c>
      <c r="Q336" s="30">
        <f>IFERROR(IF(K336=0,"待填成本",ROUND(K336/(1-M336),0)),"" )</f>
        <v/>
      </c>
      <c r="R336" s="30">
        <f>IFERROR(IF(K336=0,"待填成本",ROUND(K336/(1-N336),0)),"" )</f>
        <v/>
      </c>
      <c r="S336" s="30">
        <f>IFERROR(IF(K336=0,"待填成本",ROUND(K336/(1-O336),0)),"" )</f>
        <v/>
      </c>
      <c r="T336" s="31">
        <f>IFERROR(IF(K336=0,"",(P336-K336)/P336),"" )</f>
        <v/>
      </c>
      <c r="U336" s="31">
        <f>IFERROR(IF(K336=0,"",(Q336-K336)/Q336),"" )</f>
        <v/>
      </c>
      <c r="V336" s="31">
        <f>IFERROR(IF(K336=0,"",(R336-K336)/R336),"" )</f>
        <v/>
      </c>
      <c r="W336" s="31">
        <f>IFERROR(IF(K336=0,"",(S336-K336)/S336),"" )</f>
        <v/>
      </c>
      <c r="X336" s="32" t="n"/>
      <c r="Y336" s="32" t="n"/>
      <c r="Z336" s="32" t="n"/>
      <c r="AA336" s="32" t="n"/>
      <c r="AB336" s="32" t="n"/>
      <c r="AC336" s="32" t="n"/>
      <c r="AD336" s="37" t="n">
        <v>300</v>
      </c>
      <c r="AE336" s="32" t="n"/>
      <c r="AF336" s="33" t="n"/>
      <c r="AG336" s="33" t="n"/>
      <c r="AH336" s="5" t="inlineStr"/>
    </row>
    <row r="337" ht="18" customHeight="1">
      <c r="A337" s="25" t="inlineStr">
        <is>
          <t>24150030513</t>
        </is>
      </c>
      <c r="B337" s="34" t="inlineStr">
        <is>
          <t>客厅-柜</t>
        </is>
      </c>
      <c r="C337" s="35" t="inlineStr">
        <is>
          <t>畔色组合柜 |樱桃木灵感组合柜</t>
        </is>
      </c>
      <c r="D337" s="35" t="inlineStr">
        <is>
          <t>组合柜-层板上柜（无亚克力条，软木板）</t>
        </is>
      </c>
      <c r="E337" s="34" t="inlineStr">
        <is>
          <t>北美进口FAS级樱桃木</t>
        </is>
      </c>
      <c r="F337" s="34" t="inlineStr">
        <is>
          <t>背板：实木多层板
抽屉围板：实木多层板</t>
        </is>
      </c>
      <c r="G337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7" s="26" t="n">
        <v>620</v>
      </c>
      <c r="I337" s="26" t="n">
        <v>600</v>
      </c>
      <c r="J337" s="27" t="n">
        <v>0.55</v>
      </c>
      <c r="K337" s="28">
        <f>IFERROR(H337,0)</f>
        <v/>
      </c>
      <c r="L337" s="29" t="n">
        <v>0.4676</v>
      </c>
      <c r="M337" s="29" t="n">
        <v>0.1678</v>
      </c>
      <c r="N337" s="29" t="n">
        <v>0.1407</v>
      </c>
      <c r="O337" s="29" t="n">
        <v>0.1117</v>
      </c>
      <c r="P337" s="30">
        <f>IFERROR(IF(K337=0,"待填成本",ROUND(K337/(1-L337),0)),"" )</f>
        <v/>
      </c>
      <c r="Q337" s="30">
        <f>IFERROR(IF(K337=0,"待填成本",ROUND(K337/(1-M337),0)),"" )</f>
        <v/>
      </c>
      <c r="R337" s="30">
        <f>IFERROR(IF(K337=0,"待填成本",ROUND(K337/(1-N337),0)),"" )</f>
        <v/>
      </c>
      <c r="S337" s="30">
        <f>IFERROR(IF(K337=0,"待填成本",ROUND(K337/(1-O337),0)),"" )</f>
        <v/>
      </c>
      <c r="T337" s="31">
        <f>IFERROR(IF(K337=0,"",(P337-K337)/P337),"" )</f>
        <v/>
      </c>
      <c r="U337" s="31">
        <f>IFERROR(IF(K337=0,"",(Q337-K337)/Q337),"" )</f>
        <v/>
      </c>
      <c r="V337" s="31">
        <f>IFERROR(IF(K337=0,"",(R337-K337)/R337),"" )</f>
        <v/>
      </c>
      <c r="W337" s="31">
        <f>IFERROR(IF(K337=0,"",(S337-K337)/S337),"" )</f>
        <v/>
      </c>
      <c r="X337" s="36" t="n"/>
      <c r="Y337" s="36" t="n"/>
      <c r="Z337" s="36" t="n"/>
      <c r="AA337" s="36" t="n"/>
      <c r="AB337" s="36" t="n"/>
      <c r="AC337" s="36" t="n"/>
      <c r="AD337" s="37" t="n">
        <v>300</v>
      </c>
      <c r="AE337" s="36" t="n"/>
      <c r="AF337" s="33" t="n"/>
      <c r="AG337" s="33" t="n"/>
      <c r="AH337" s="35" t="inlineStr"/>
    </row>
    <row r="338" ht="18" customHeight="1">
      <c r="A338" s="25" t="inlineStr">
        <is>
          <t>24150030513</t>
        </is>
      </c>
      <c r="B338" s="6" t="inlineStr">
        <is>
          <t>客厅-柜</t>
        </is>
      </c>
      <c r="C338" s="5" t="inlineStr">
        <is>
          <t>畔色组合柜 |樱桃木灵感组合柜</t>
        </is>
      </c>
      <c r="D338" s="5" t="inlineStr">
        <is>
          <t>组合柜-层板上柜（赠软木板）</t>
        </is>
      </c>
      <c r="E338" s="6" t="inlineStr">
        <is>
          <t>北美进口FAS级樱桃木</t>
        </is>
      </c>
      <c r="F338" s="6" t="inlineStr">
        <is>
          <t>背板：实木多层板
抽屉围板：实木多层板</t>
        </is>
      </c>
      <c r="G338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8" s="26" t="n">
        <v>675</v>
      </c>
      <c r="I338" s="26" t="n">
        <v>620</v>
      </c>
      <c r="J338" s="27" t="n">
        <v>0.55</v>
      </c>
      <c r="K338" s="28">
        <f>IFERROR(H338,0)</f>
        <v/>
      </c>
      <c r="L338" s="29" t="n">
        <v>0.4673</v>
      </c>
      <c r="M338" s="29" t="n">
        <v>0.1614</v>
      </c>
      <c r="N338" s="29" t="n">
        <v>0.1444</v>
      </c>
      <c r="O338" s="29" t="n">
        <v>0.1177</v>
      </c>
      <c r="P338" s="30">
        <f>IFERROR(IF(K338=0,"待填成本",ROUND(K338/(1-L338),0)),"" )</f>
        <v/>
      </c>
      <c r="Q338" s="30">
        <f>IFERROR(IF(K338=0,"待填成本",ROUND(K338/(1-M338),0)),"" )</f>
        <v/>
      </c>
      <c r="R338" s="30">
        <f>IFERROR(IF(K338=0,"待填成本",ROUND(K338/(1-N338),0)),"" )</f>
        <v/>
      </c>
      <c r="S338" s="30">
        <f>IFERROR(IF(K338=0,"待填成本",ROUND(K338/(1-O338),0)),"" )</f>
        <v/>
      </c>
      <c r="T338" s="31">
        <f>IFERROR(IF(K338=0,"",(P338-K338)/P338),"" )</f>
        <v/>
      </c>
      <c r="U338" s="31">
        <f>IFERROR(IF(K338=0,"",(Q338-K338)/Q338),"" )</f>
        <v/>
      </c>
      <c r="V338" s="31">
        <f>IFERROR(IF(K338=0,"",(R338-K338)/R338),"" )</f>
        <v/>
      </c>
      <c r="W338" s="31">
        <f>IFERROR(IF(K338=0,"",(S338-K338)/S338),"" )</f>
        <v/>
      </c>
      <c r="X338" s="32" t="n"/>
      <c r="Y338" s="32" t="n"/>
      <c r="Z338" s="32" t="n"/>
      <c r="AA338" s="32" t="n"/>
      <c r="AB338" s="32" t="n"/>
      <c r="AC338" s="32" t="n"/>
      <c r="AD338" s="37" t="n">
        <v>300</v>
      </c>
      <c r="AE338" s="32" t="n"/>
      <c r="AF338" s="33" t="n"/>
      <c r="AG338" s="33" t="n"/>
      <c r="AH338" s="5" t="inlineStr"/>
    </row>
    <row r="339" ht="18" customHeight="1">
      <c r="A339" s="25" t="inlineStr">
        <is>
          <t>24150030513</t>
        </is>
      </c>
      <c r="B339" s="34" t="inlineStr">
        <is>
          <t>客厅-柜</t>
        </is>
      </c>
      <c r="C339" s="35" t="inlineStr">
        <is>
          <t>畔色组合柜 |樱桃木灵感组合柜</t>
        </is>
      </c>
      <c r="D339" s="35" t="inlineStr">
        <is>
          <t>组合柜-洞洞板上柜</t>
        </is>
      </c>
      <c r="E339" s="34" t="inlineStr">
        <is>
          <t>北美进口FAS级樱桃木</t>
        </is>
      </c>
      <c r="F339" s="34" t="inlineStr">
        <is>
          <t>背板：实木多层板
抽屉围板：实木多层板</t>
        </is>
      </c>
      <c r="G339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39" s="26" t="n">
        <v>720</v>
      </c>
      <c r="I339" s="26" t="n">
        <v>580</v>
      </c>
      <c r="J339" s="27" t="n">
        <v>0.55</v>
      </c>
      <c r="K339" s="28">
        <f>IFERROR(H339,0)</f>
        <v/>
      </c>
      <c r="L339" s="29" t="n">
        <v>0.4683</v>
      </c>
      <c r="M339" s="29" t="n">
        <v>0.1652</v>
      </c>
      <c r="N339" s="29" t="n">
        <v>0.1411</v>
      </c>
      <c r="O339" s="29" t="n">
        <v>0.1156</v>
      </c>
      <c r="P339" s="30">
        <f>IFERROR(IF(K339=0,"待填成本",ROUND(K339/(1-L339),0)),"" )</f>
        <v/>
      </c>
      <c r="Q339" s="30">
        <f>IFERROR(IF(K339=0,"待填成本",ROUND(K339/(1-M339),0)),"" )</f>
        <v/>
      </c>
      <c r="R339" s="30">
        <f>IFERROR(IF(K339=0,"待填成本",ROUND(K339/(1-N339),0)),"" )</f>
        <v/>
      </c>
      <c r="S339" s="30">
        <f>IFERROR(IF(K339=0,"待填成本",ROUND(K339/(1-O339),0)),"" )</f>
        <v/>
      </c>
      <c r="T339" s="31">
        <f>IFERROR(IF(K339=0,"",(P339-K339)/P339),"" )</f>
        <v/>
      </c>
      <c r="U339" s="31">
        <f>IFERROR(IF(K339=0,"",(Q339-K339)/Q339),"" )</f>
        <v/>
      </c>
      <c r="V339" s="31">
        <f>IFERROR(IF(K339=0,"",(R339-K339)/R339),"" )</f>
        <v/>
      </c>
      <c r="W339" s="31">
        <f>IFERROR(IF(K339=0,"",(S339-K339)/S339),"" )</f>
        <v/>
      </c>
      <c r="X339" s="36" t="n"/>
      <c r="Y339" s="36" t="n"/>
      <c r="Z339" s="36" t="n"/>
      <c r="AA339" s="36" t="n"/>
      <c r="AB339" s="36" t="n"/>
      <c r="AC339" s="36" t="n"/>
      <c r="AD339" s="37" t="n">
        <v>300</v>
      </c>
      <c r="AE339" s="36" t="n"/>
      <c r="AF339" s="33" t="n"/>
      <c r="AG339" s="33" t="n"/>
      <c r="AH339" s="35" t="inlineStr"/>
    </row>
    <row r="340" ht="18" customHeight="1">
      <c r="A340" s="25" t="inlineStr">
        <is>
          <t>24150030513</t>
        </is>
      </c>
      <c r="B340" s="6" t="inlineStr">
        <is>
          <t>客厅-柜</t>
        </is>
      </c>
      <c r="C340" s="5" t="inlineStr">
        <is>
          <t>畔色组合柜 |樱桃木灵感组合柜</t>
        </is>
      </c>
      <c r="D340" s="5" t="inlineStr">
        <is>
          <t>组合柜-隔板柜2竖</t>
        </is>
      </c>
      <c r="E340" s="6" t="inlineStr">
        <is>
          <t>北美进口FAS级樱桃木</t>
        </is>
      </c>
      <c r="F340" s="6" t="inlineStr">
        <is>
          <t>背板：实木多层板
抽屉围板：实木多层板</t>
        </is>
      </c>
      <c r="G340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40" s="26" t="n">
        <v>700</v>
      </c>
      <c r="I340" s="26" t="n">
        <v>680</v>
      </c>
      <c r="J340" s="27" t="n">
        <v>0.55</v>
      </c>
      <c r="K340" s="28">
        <f>IFERROR(H340,0)</f>
        <v/>
      </c>
      <c r="L340" s="29" t="n">
        <v>0.4687</v>
      </c>
      <c r="M340" s="29" t="n">
        <v>0.1609</v>
      </c>
      <c r="N340" s="29" t="n">
        <v>0.1444</v>
      </c>
      <c r="O340" s="29" t="n">
        <v>0.1185</v>
      </c>
      <c r="P340" s="30">
        <f>IFERROR(IF(K340=0,"待填成本",ROUND(K340/(1-L340),0)),"" )</f>
        <v/>
      </c>
      <c r="Q340" s="30">
        <f>IFERROR(IF(K340=0,"待填成本",ROUND(K340/(1-M340),0)),"" )</f>
        <v/>
      </c>
      <c r="R340" s="30">
        <f>IFERROR(IF(K340=0,"待填成本",ROUND(K340/(1-N340),0)),"" )</f>
        <v/>
      </c>
      <c r="S340" s="30">
        <f>IFERROR(IF(K340=0,"待填成本",ROUND(K340/(1-O340),0)),"" )</f>
        <v/>
      </c>
      <c r="T340" s="31">
        <f>IFERROR(IF(K340=0,"",(P340-K340)/P340),"" )</f>
        <v/>
      </c>
      <c r="U340" s="31">
        <f>IFERROR(IF(K340=0,"",(Q340-K340)/Q340),"" )</f>
        <v/>
      </c>
      <c r="V340" s="31">
        <f>IFERROR(IF(K340=0,"",(R340-K340)/R340),"" )</f>
        <v/>
      </c>
      <c r="W340" s="31">
        <f>IFERROR(IF(K340=0,"",(S340-K340)/S340),"" )</f>
        <v/>
      </c>
      <c r="X340" s="32" t="n"/>
      <c r="Y340" s="32" t="n"/>
      <c r="Z340" s="32" t="n"/>
      <c r="AA340" s="32" t="n"/>
      <c r="AB340" s="32" t="n"/>
      <c r="AC340" s="32" t="n"/>
      <c r="AD340" s="37" t="n">
        <v>300</v>
      </c>
      <c r="AE340" s="32" t="n"/>
      <c r="AF340" s="33" t="n"/>
      <c r="AG340" s="33" t="n"/>
      <c r="AH340" s="5" t="inlineStr"/>
    </row>
    <row r="341" ht="18" customHeight="1">
      <c r="A341" s="25" t="inlineStr">
        <is>
          <t>24150030513</t>
        </is>
      </c>
      <c r="B341" s="34" t="inlineStr">
        <is>
          <t>客厅-柜</t>
        </is>
      </c>
      <c r="C341" s="35" t="inlineStr">
        <is>
          <t>畔色组合柜 |樱桃木灵感组合柜</t>
        </is>
      </c>
      <c r="D341" s="35" t="inlineStr">
        <is>
          <t>组合柜-隔板柜3竖</t>
        </is>
      </c>
      <c r="E341" s="34" t="inlineStr">
        <is>
          <t>北美进口FAS级樱桃木</t>
        </is>
      </c>
      <c r="F341" s="34" t="inlineStr">
        <is>
          <t>背板：实木多层板
抽屉围板：实木多层板</t>
        </is>
      </c>
      <c r="G341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41" s="26" t="n">
        <v>760</v>
      </c>
      <c r="I341" s="26" t="n">
        <v>740</v>
      </c>
      <c r="J341" s="27" t="n">
        <v>0.55</v>
      </c>
      <c r="K341" s="28">
        <f>IFERROR(H341,0)</f>
        <v/>
      </c>
      <c r="L341" s="29" t="n">
        <v>0.4676</v>
      </c>
      <c r="M341" s="29" t="n">
        <v>0.1658</v>
      </c>
      <c r="N341" s="29" t="n">
        <v>0.1429</v>
      </c>
      <c r="O341" s="29" t="n">
        <v>0.1102</v>
      </c>
      <c r="P341" s="30">
        <f>IFERROR(IF(K341=0,"待填成本",ROUND(K341/(1-L341),0)),"" )</f>
        <v/>
      </c>
      <c r="Q341" s="30">
        <f>IFERROR(IF(K341=0,"待填成本",ROUND(K341/(1-M341),0)),"" )</f>
        <v/>
      </c>
      <c r="R341" s="30">
        <f>IFERROR(IF(K341=0,"待填成本",ROUND(K341/(1-N341),0)),"" )</f>
        <v/>
      </c>
      <c r="S341" s="30">
        <f>IFERROR(IF(K341=0,"待填成本",ROUND(K341/(1-O341),0)),"" )</f>
        <v/>
      </c>
      <c r="T341" s="31">
        <f>IFERROR(IF(K341=0,"",(P341-K341)/P341),"" )</f>
        <v/>
      </c>
      <c r="U341" s="31">
        <f>IFERROR(IF(K341=0,"",(Q341-K341)/Q341),"" )</f>
        <v/>
      </c>
      <c r="V341" s="31">
        <f>IFERROR(IF(K341=0,"",(R341-K341)/R341),"" )</f>
        <v/>
      </c>
      <c r="W341" s="31">
        <f>IFERROR(IF(K341=0,"",(S341-K341)/S341),"" )</f>
        <v/>
      </c>
      <c r="X341" s="36" t="n"/>
      <c r="Y341" s="36" t="n"/>
      <c r="Z341" s="36" t="n"/>
      <c r="AA341" s="36" t="n"/>
      <c r="AB341" s="36" t="n"/>
      <c r="AC341" s="36" t="n"/>
      <c r="AD341" s="37" t="n">
        <v>300</v>
      </c>
      <c r="AE341" s="36" t="n"/>
      <c r="AF341" s="33" t="n"/>
      <c r="AG341" s="33" t="n"/>
      <c r="AH341" s="35" t="inlineStr"/>
    </row>
    <row r="342" ht="18" customHeight="1">
      <c r="A342" s="25" t="inlineStr">
        <is>
          <t>24150030513</t>
        </is>
      </c>
      <c r="B342" s="6" t="inlineStr">
        <is>
          <t>客厅-柜</t>
        </is>
      </c>
      <c r="C342" s="5" t="inlineStr">
        <is>
          <t>畔色组合柜 |樱桃木灵感组合柜</t>
        </is>
      </c>
      <c r="D342" s="5" t="inlineStr">
        <is>
          <t>组合柜-横竖隔板</t>
        </is>
      </c>
      <c r="E342" s="6" t="inlineStr">
        <is>
          <t>北美进口FAS级樱桃木</t>
        </is>
      </c>
      <c r="F342" s="6" t="inlineStr">
        <is>
          <t>背板：实木多层板
抽屉围板：实木多层板</t>
        </is>
      </c>
      <c r="G342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42" s="26" t="n">
        <v>720</v>
      </c>
      <c r="I342" s="26" t="n">
        <v>700</v>
      </c>
      <c r="J342" s="27" t="n">
        <v>0.55</v>
      </c>
      <c r="K342" s="28">
        <f>IFERROR(H342,0)</f>
        <v/>
      </c>
      <c r="L342" s="29" t="n">
        <v>0.4683</v>
      </c>
      <c r="M342" s="29" t="n">
        <v>0.1652</v>
      </c>
      <c r="N342" s="29" t="n">
        <v>0.1411</v>
      </c>
      <c r="O342" s="29" t="n">
        <v>0.1156</v>
      </c>
      <c r="P342" s="30">
        <f>IFERROR(IF(K342=0,"待填成本",ROUND(K342/(1-L342),0)),"" )</f>
        <v/>
      </c>
      <c r="Q342" s="30">
        <f>IFERROR(IF(K342=0,"待填成本",ROUND(K342/(1-M342),0)),"" )</f>
        <v/>
      </c>
      <c r="R342" s="30">
        <f>IFERROR(IF(K342=0,"待填成本",ROUND(K342/(1-N342),0)),"" )</f>
        <v/>
      </c>
      <c r="S342" s="30">
        <f>IFERROR(IF(K342=0,"待填成本",ROUND(K342/(1-O342),0)),"" )</f>
        <v/>
      </c>
      <c r="T342" s="31">
        <f>IFERROR(IF(K342=0,"",(P342-K342)/P342),"" )</f>
        <v/>
      </c>
      <c r="U342" s="31">
        <f>IFERROR(IF(K342=0,"",(Q342-K342)/Q342),"" )</f>
        <v/>
      </c>
      <c r="V342" s="31">
        <f>IFERROR(IF(K342=0,"",(R342-K342)/R342),"" )</f>
        <v/>
      </c>
      <c r="W342" s="31">
        <f>IFERROR(IF(K342=0,"",(S342-K342)/S342),"" )</f>
        <v/>
      </c>
      <c r="X342" s="32" t="n"/>
      <c r="Y342" s="32" t="n"/>
      <c r="Z342" s="32" t="n"/>
      <c r="AA342" s="32" t="n"/>
      <c r="AB342" s="32" t="n"/>
      <c r="AC342" s="32" t="n"/>
      <c r="AD342" s="37" t="n">
        <v>300</v>
      </c>
      <c r="AE342" s="32" t="n"/>
      <c r="AF342" s="33" t="n"/>
      <c r="AG342" s="33" t="n"/>
      <c r="AH342" s="5" t="inlineStr"/>
    </row>
    <row r="343" ht="18" customHeight="1">
      <c r="A343" s="25" t="inlineStr">
        <is>
          <t>24150030513</t>
        </is>
      </c>
      <c r="B343" s="34" t="inlineStr">
        <is>
          <t>客厅-柜</t>
        </is>
      </c>
      <c r="C343" s="35" t="inlineStr">
        <is>
          <t>畔色组合柜 |樱桃木灵感组合柜</t>
        </is>
      </c>
      <c r="D343" s="35" t="inlineStr">
        <is>
          <t>组合柜-木头底座</t>
        </is>
      </c>
      <c r="E343" s="34" t="inlineStr">
        <is>
          <t>北美进口FAS级樱桃木</t>
        </is>
      </c>
      <c r="F343" s="34" t="inlineStr">
        <is>
          <t>背板：实木多层板
抽屉围板：实木多层板</t>
        </is>
      </c>
      <c r="G343" s="3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43" s="26" t="n">
        <v>70</v>
      </c>
      <c r="I343" s="26" t="n">
        <v>50</v>
      </c>
      <c r="J343" s="27" t="n">
        <v>0.55</v>
      </c>
      <c r="K343" s="28">
        <f>IFERROR(H343,0)</f>
        <v/>
      </c>
      <c r="L343" s="29" t="n">
        <v>0.4701</v>
      </c>
      <c r="M343" s="29" t="n">
        <v>0.1786</v>
      </c>
      <c r="N343" s="29" t="n">
        <v>0.1786</v>
      </c>
      <c r="O343" s="29" t="n">
        <v>0.12</v>
      </c>
      <c r="P343" s="30">
        <f>IFERROR(IF(K343=0,"待填成本",ROUND(K343/(1-L343),0)),"" )</f>
        <v/>
      </c>
      <c r="Q343" s="30">
        <f>IFERROR(IF(K343=0,"待填成本",ROUND(K343/(1-M343),0)),"" )</f>
        <v/>
      </c>
      <c r="R343" s="30">
        <f>IFERROR(IF(K343=0,"待填成本",ROUND(K343/(1-N343),0)),"" )</f>
        <v/>
      </c>
      <c r="S343" s="30">
        <f>IFERROR(IF(K343=0,"待填成本",ROUND(K343/(1-O343),0)),"" )</f>
        <v/>
      </c>
      <c r="T343" s="31">
        <f>IFERROR(IF(K343=0,"",(P343-K343)/P343),"" )</f>
        <v/>
      </c>
      <c r="U343" s="31">
        <f>IFERROR(IF(K343=0,"",(Q343-K343)/Q343),"" )</f>
        <v/>
      </c>
      <c r="V343" s="31">
        <f>IFERROR(IF(K343=0,"",(R343-K343)/R343),"" )</f>
        <v/>
      </c>
      <c r="W343" s="31">
        <f>IFERROR(IF(K343=0,"",(S343-K343)/S343),"" )</f>
        <v/>
      </c>
      <c r="X343" s="36" t="n"/>
      <c r="Y343" s="36" t="n"/>
      <c r="Z343" s="36" t="n"/>
      <c r="AA343" s="36" t="n"/>
      <c r="AB343" s="36" t="n"/>
      <c r="AC343" s="36" t="n"/>
      <c r="AD343" s="37" t="n">
        <v>300</v>
      </c>
      <c r="AE343" s="36" t="n"/>
      <c r="AF343" s="33" t="n"/>
      <c r="AG343" s="33" t="n"/>
      <c r="AH343" s="35" t="inlineStr"/>
    </row>
    <row r="344" ht="18" customHeight="1">
      <c r="A344" s="25" t="inlineStr">
        <is>
          <t>24150030513</t>
        </is>
      </c>
      <c r="B344" s="6" t="inlineStr">
        <is>
          <t>客厅-柜</t>
        </is>
      </c>
      <c r="C344" s="5" t="inlineStr">
        <is>
          <t>畔色组合柜 |樱桃木灵感组合柜</t>
        </is>
      </c>
      <c r="D344" s="5" t="inlineStr">
        <is>
          <t>组合柜-金属腿底座</t>
        </is>
      </c>
      <c r="E344" s="6" t="inlineStr">
        <is>
          <t>北美进口FAS级樱桃木</t>
        </is>
      </c>
      <c r="F344" s="6" t="inlineStr">
        <is>
          <t>背板：实木多层板
抽屉围板：实木多层板</t>
        </is>
      </c>
      <c r="G344" s="5" t="inlineStr">
        <is>
          <t xml:space="preserve">开放柜-长度：720mm
开放柜-深度：380mm
开放柜-高度：360mm
隔板柜-长度：720mm
隔板柜-深度：380mm
隔板柜-高度：360mm
单抽屉柜-长度：720mm
单抽屉柜-深度：380mm
单抽屉柜-高度：360mm
双抽屉柜-长度：720mm
双抽屉柜-深度：380mm
双抽屉柜-高度：360mm
单移门柜-长度：720mm
单移门柜-深度：380mm
单移门柜-高度：360mm
双移门柜-长度：720mm
双移门柜-深度：380mm
双移门柜-高度：360mm
玻璃门柜-长度：720mm
玻璃门柜-深度：380mm
玻璃门柜-高度：360mm
翻门柜-长度：720mm
翻门柜-深度：380mm
翻门柜-高度：360mm
灵感柜-长度：720mm
灵感柜-深度：380mm
灵感柜-高度：360mm
双内板隔板柜-长度：720mm
双内板隔板柜-深度：380mm
双内板隔板柜-高度：360mm
横竖隔板柜-长度：720mm
横竖隔板柜-深度：380mm
横竖隔板柜-高度：360mm
无门隔板上柜-长度：720mm
无门隔板上柜-深度：220mm
无门隔板上柜-高度：800mm
洞洞板上柜-长度：720mm
洞洞板上柜-深度：220mm
洞洞板上柜-高度：800mm
装饰隔板上柜-长度：720mm
装饰隔板上柜-深度：220mm
装饰隔板上柜-高度：800mm
金属腿底座-长度：720mm
金属腿底座-深度：380mm
金属腿底座-高度：180mm
木底座-长度：720mm
木底座-深度：360mm
木底座-高度：80mm
</t>
        </is>
      </c>
      <c r="H344" s="26" t="n">
        <v>105.6</v>
      </c>
      <c r="I344" s="26" t="n">
        <v>50</v>
      </c>
      <c r="J344" s="27" t="n">
        <v>0.55</v>
      </c>
      <c r="K344" s="28">
        <f>IFERROR(H344,0)</f>
        <v/>
      </c>
      <c r="L344" s="29" t="n">
        <v>0.4675</v>
      </c>
      <c r="M344" s="29" t="n">
        <v>0.1125</v>
      </c>
      <c r="N344" s="29" t="n">
        <v>0.1125</v>
      </c>
      <c r="O344" s="29" t="n">
        <v>0.1125</v>
      </c>
      <c r="P344" s="30">
        <f>IFERROR(IF(K344=0,"待填成本",ROUND(K344/(1-L344),0)),"" )</f>
        <v/>
      </c>
      <c r="Q344" s="30">
        <f>IFERROR(IF(K344=0,"待填成本",ROUND(K344/(1-M344),0)),"" )</f>
        <v/>
      </c>
      <c r="R344" s="30">
        <f>IFERROR(IF(K344=0,"待填成本",ROUND(K344/(1-N344),0)),"" )</f>
        <v/>
      </c>
      <c r="S344" s="30">
        <f>IFERROR(IF(K344=0,"待填成本",ROUND(K344/(1-O344),0)),"" )</f>
        <v/>
      </c>
      <c r="T344" s="31">
        <f>IFERROR(IF(K344=0,"",(P344-K344)/P344),"" )</f>
        <v/>
      </c>
      <c r="U344" s="31">
        <f>IFERROR(IF(K344=0,"",(Q344-K344)/Q344),"" )</f>
        <v/>
      </c>
      <c r="V344" s="31">
        <f>IFERROR(IF(K344=0,"",(R344-K344)/R344),"" )</f>
        <v/>
      </c>
      <c r="W344" s="31">
        <f>IFERROR(IF(K344=0,"",(S344-K344)/S344),"" )</f>
        <v/>
      </c>
      <c r="X344" s="32" t="n"/>
      <c r="Y344" s="32" t="n"/>
      <c r="Z344" s="32" t="n"/>
      <c r="AA344" s="32" t="n"/>
      <c r="AB344" s="32" t="n"/>
      <c r="AC344" s="32" t="n"/>
      <c r="AD344" s="37" t="n">
        <v>300</v>
      </c>
      <c r="AE344" s="32" t="n"/>
      <c r="AF344" s="33" t="n"/>
      <c r="AG344" s="33" t="n"/>
      <c r="AH344" s="5" t="inlineStr"/>
    </row>
    <row r="345" ht="18" customHeight="1">
      <c r="A345" s="25" t="inlineStr">
        <is>
          <t>2425007090199</t>
        </is>
      </c>
      <c r="B345" s="34" t="inlineStr">
        <is>
          <t>餐厅-柜</t>
        </is>
      </c>
      <c r="C345" s="35" t="inlineStr">
        <is>
          <t>榉木餐边柜</t>
        </is>
      </c>
      <c r="D345" s="35" t="inlineStr">
        <is>
          <t>榉木餐边柜-上柜-2.1米</t>
        </is>
      </c>
      <c r="E345" s="34" t="inlineStr">
        <is>
          <t>德国进口AA级榉木</t>
        </is>
      </c>
      <c r="F345" s="34" t="inlineStr">
        <is>
          <t xml:space="preserve">抽屉围板：实木多层板
台面：白色岩板
背板：实木多层板
电力轨道：xpower 挂架式电力轨道
顶柜玻璃：灰玻
</t>
        </is>
      </c>
      <c r="G345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45" s="26" t="n">
        <v>0</v>
      </c>
      <c r="I345" s="26" t="n">
        <v>0</v>
      </c>
      <c r="J345" s="27" t="n">
        <v>0.48</v>
      </c>
      <c r="K345" s="28">
        <f>IFERROR(H345,0)</f>
        <v/>
      </c>
      <c r="L345" s="29" t="n"/>
      <c r="M345" s="29" t="n"/>
      <c r="N345" s="29" t="n"/>
      <c r="O345" s="29" t="n"/>
      <c r="P345" s="30">
        <f>IFERROR(IF(K345=0,"待填成本",ROUND(K345/(1-L345),0)),"" )</f>
        <v/>
      </c>
      <c r="Q345" s="30">
        <f>IFERROR(IF(K345=0,"待填成本",ROUND(K345/(1-M345),0)),"" )</f>
        <v/>
      </c>
      <c r="R345" s="30">
        <f>IFERROR(IF(K345=0,"待填成本",ROUND(K345/(1-N345),0)),"" )</f>
        <v/>
      </c>
      <c r="S345" s="30">
        <f>IFERROR(IF(K345=0,"待填成本",ROUND(K345/(1-O345),0)),"" )</f>
        <v/>
      </c>
      <c r="T345" s="31">
        <f>IFERROR(IF(K345=0,"",(P345-K345)/P345),"" )</f>
        <v/>
      </c>
      <c r="U345" s="31">
        <f>IFERROR(IF(K345=0,"",(Q345-K345)/Q345),"" )</f>
        <v/>
      </c>
      <c r="V345" s="31">
        <f>IFERROR(IF(K345=0,"",(R345-K345)/R345),"" )</f>
        <v/>
      </c>
      <c r="W345" s="31">
        <f>IFERROR(IF(K345=0,"",(S345-K345)/S345),"" )</f>
        <v/>
      </c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3" t="n"/>
      <c r="AG345" s="33" t="n"/>
      <c r="AH345" s="35" t="inlineStr"/>
    </row>
    <row r="346" ht="18" customHeight="1">
      <c r="A346" s="25" t="inlineStr">
        <is>
          <t>2425007090199</t>
        </is>
      </c>
      <c r="B346" s="6" t="inlineStr">
        <is>
          <t>餐厅-柜</t>
        </is>
      </c>
      <c r="C346" s="5" t="inlineStr">
        <is>
          <t>榉木餐边柜</t>
        </is>
      </c>
      <c r="D346" s="5" t="inlineStr">
        <is>
          <t>榉木餐边柜-上柜-1.8米</t>
        </is>
      </c>
      <c r="E346" s="6" t="inlineStr">
        <is>
          <t>德国进口AA级榉木</t>
        </is>
      </c>
      <c r="F346" s="6" t="inlineStr">
        <is>
          <t xml:space="preserve">抽屉围板：实木多层板
台面：白色岩板
背板：实木多层板
电力轨道：xpower 挂架式电力轨道
顶柜玻璃：灰玻
</t>
        </is>
      </c>
      <c r="G346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46" s="26" t="n">
        <v>0</v>
      </c>
      <c r="I346" s="26" t="n">
        <v>0</v>
      </c>
      <c r="J346" s="27" t="n">
        <v>0.48</v>
      </c>
      <c r="K346" s="28">
        <f>IFERROR(H346,0)</f>
        <v/>
      </c>
      <c r="L346" s="29" t="n"/>
      <c r="M346" s="29" t="n"/>
      <c r="N346" s="29" t="n"/>
      <c r="O346" s="29" t="n"/>
      <c r="P346" s="30">
        <f>IFERROR(IF(K346=0,"待填成本",ROUND(K346/(1-L346),0)),"" )</f>
        <v/>
      </c>
      <c r="Q346" s="30">
        <f>IFERROR(IF(K346=0,"待填成本",ROUND(K346/(1-M346),0)),"" )</f>
        <v/>
      </c>
      <c r="R346" s="30">
        <f>IFERROR(IF(K346=0,"待填成本",ROUND(K346/(1-N346),0)),"" )</f>
        <v/>
      </c>
      <c r="S346" s="30">
        <f>IFERROR(IF(K346=0,"待填成本",ROUND(K346/(1-O346),0)),"" )</f>
        <v/>
      </c>
      <c r="T346" s="31">
        <f>IFERROR(IF(K346=0,"",(P346-K346)/P346),"" )</f>
        <v/>
      </c>
      <c r="U346" s="31">
        <f>IFERROR(IF(K346=0,"",(Q346-K346)/Q346),"" )</f>
        <v/>
      </c>
      <c r="V346" s="31">
        <f>IFERROR(IF(K346=0,"",(R346-K346)/R346),"" )</f>
        <v/>
      </c>
      <c r="W346" s="31">
        <f>IFERROR(IF(K346=0,"",(S346-K346)/S346),"" )</f>
        <v/>
      </c>
      <c r="X346" s="32" t="n"/>
      <c r="Y346" s="32" t="n"/>
      <c r="Z346" s="32" t="n"/>
      <c r="AA346" s="32" t="n"/>
      <c r="AB346" s="32" t="n"/>
      <c r="AC346" s="32" t="n"/>
      <c r="AD346" s="32" t="n"/>
      <c r="AE346" s="32" t="n"/>
      <c r="AF346" s="33" t="n"/>
      <c r="AG346" s="33" t="n"/>
      <c r="AH346" s="5" t="inlineStr"/>
    </row>
    <row r="347" ht="18" customHeight="1">
      <c r="A347" s="25" t="inlineStr">
        <is>
          <t>2425007090199</t>
        </is>
      </c>
      <c r="B347" s="34" t="inlineStr">
        <is>
          <t>餐厅-柜</t>
        </is>
      </c>
      <c r="C347" s="35" t="inlineStr">
        <is>
          <t>榉木餐边柜</t>
        </is>
      </c>
      <c r="D347" s="35" t="inlineStr">
        <is>
          <t>榉木餐边柜-上柜1.5米</t>
        </is>
      </c>
      <c r="E347" s="34" t="inlineStr">
        <is>
          <t>德国进口AA级榉木</t>
        </is>
      </c>
      <c r="F347" s="34" t="inlineStr">
        <is>
          <t xml:space="preserve">抽屉围板：实木多层板
台面：白色岩板
背板：实木多层板
电力轨道：xpower 挂架式电力轨道
顶柜玻璃：灰玻
</t>
        </is>
      </c>
      <c r="G347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47" s="26" t="n">
        <v>0</v>
      </c>
      <c r="I347" s="26" t="n">
        <v>0</v>
      </c>
      <c r="J347" s="27" t="n">
        <v>0.48</v>
      </c>
      <c r="K347" s="28">
        <f>IFERROR(H347,0)</f>
        <v/>
      </c>
      <c r="L347" s="29" t="n"/>
      <c r="M347" s="29" t="n"/>
      <c r="N347" s="29" t="n"/>
      <c r="O347" s="29" t="n"/>
      <c r="P347" s="30">
        <f>IFERROR(IF(K347=0,"待填成本",ROUND(K347/(1-L347),0)),"" )</f>
        <v/>
      </c>
      <c r="Q347" s="30">
        <f>IFERROR(IF(K347=0,"待填成本",ROUND(K347/(1-M347),0)),"" )</f>
        <v/>
      </c>
      <c r="R347" s="30">
        <f>IFERROR(IF(K347=0,"待填成本",ROUND(K347/(1-N347),0)),"" )</f>
        <v/>
      </c>
      <c r="S347" s="30">
        <f>IFERROR(IF(K347=0,"待填成本",ROUND(K347/(1-O347),0)),"" )</f>
        <v/>
      </c>
      <c r="T347" s="31">
        <f>IFERROR(IF(K347=0,"",(P347-K347)/P347),"" )</f>
        <v/>
      </c>
      <c r="U347" s="31">
        <f>IFERROR(IF(K347=0,"",(Q347-K347)/Q347),"" )</f>
        <v/>
      </c>
      <c r="V347" s="31">
        <f>IFERROR(IF(K347=0,"",(R347-K347)/R347),"" )</f>
        <v/>
      </c>
      <c r="W347" s="31">
        <f>IFERROR(IF(K347=0,"",(S347-K347)/S347),"" )</f>
        <v/>
      </c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3" t="n"/>
      <c r="AG347" s="33" t="n"/>
      <c r="AH347" s="35" t="inlineStr"/>
    </row>
    <row r="348" ht="18" customHeight="1">
      <c r="A348" s="25" t="inlineStr">
        <is>
          <t>2425007090199</t>
        </is>
      </c>
      <c r="B348" s="6" t="inlineStr">
        <is>
          <t>餐厅-柜</t>
        </is>
      </c>
      <c r="C348" s="5" t="inlineStr">
        <is>
          <t>榉木餐边柜</t>
        </is>
      </c>
      <c r="D348" s="5" t="inlineStr">
        <is>
          <t>榉木餐边柜-上柜-1.2米</t>
        </is>
      </c>
      <c r="E348" s="6" t="inlineStr">
        <is>
          <t>德国进口AA级榉木</t>
        </is>
      </c>
      <c r="F348" s="6" t="inlineStr">
        <is>
          <t xml:space="preserve">抽屉围板：实木多层板
台面：白色岩板
背板：实木多层板
电力轨道：xpower 挂架式电力轨道
顶柜玻璃：灰玻
</t>
        </is>
      </c>
      <c r="G348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48" s="26" t="n">
        <v>0</v>
      </c>
      <c r="I348" s="26" t="n">
        <v>0</v>
      </c>
      <c r="J348" s="27" t="n">
        <v>0.48</v>
      </c>
      <c r="K348" s="28">
        <f>IFERROR(H348,0)</f>
        <v/>
      </c>
      <c r="L348" s="29" t="n"/>
      <c r="M348" s="29" t="n"/>
      <c r="N348" s="29" t="n"/>
      <c r="O348" s="29" t="n"/>
      <c r="P348" s="30">
        <f>IFERROR(IF(K348=0,"待填成本",ROUND(K348/(1-L348),0)),"" )</f>
        <v/>
      </c>
      <c r="Q348" s="30">
        <f>IFERROR(IF(K348=0,"待填成本",ROUND(K348/(1-M348),0)),"" )</f>
        <v/>
      </c>
      <c r="R348" s="30">
        <f>IFERROR(IF(K348=0,"待填成本",ROUND(K348/(1-N348),0)),"" )</f>
        <v/>
      </c>
      <c r="S348" s="30">
        <f>IFERROR(IF(K348=0,"待填成本",ROUND(K348/(1-O348),0)),"" )</f>
        <v/>
      </c>
      <c r="T348" s="31">
        <f>IFERROR(IF(K348=0,"",(P348-K348)/P348),"" )</f>
        <v/>
      </c>
      <c r="U348" s="31">
        <f>IFERROR(IF(K348=0,"",(Q348-K348)/Q348),"" )</f>
        <v/>
      </c>
      <c r="V348" s="31">
        <f>IFERROR(IF(K348=0,"",(R348-K348)/R348),"" )</f>
        <v/>
      </c>
      <c r="W348" s="31">
        <f>IFERROR(IF(K348=0,"",(S348-K348)/S348),"" )</f>
        <v/>
      </c>
      <c r="X348" s="32" t="n"/>
      <c r="Y348" s="32" t="n"/>
      <c r="Z348" s="32" t="n"/>
      <c r="AA348" s="32" t="n"/>
      <c r="AB348" s="32" t="n"/>
      <c r="AC348" s="32" t="n"/>
      <c r="AD348" s="32" t="n"/>
      <c r="AE348" s="32" t="n"/>
      <c r="AF348" s="33" t="n"/>
      <c r="AG348" s="33" t="n"/>
      <c r="AH348" s="5" t="inlineStr"/>
    </row>
    <row r="349" ht="18" customHeight="1">
      <c r="A349" s="25" t="inlineStr">
        <is>
          <t>2425007090199</t>
        </is>
      </c>
      <c r="B349" s="34" t="inlineStr">
        <is>
          <t>餐厅-柜</t>
        </is>
      </c>
      <c r="C349" s="35" t="inlineStr">
        <is>
          <t>榉木餐边柜</t>
        </is>
      </c>
      <c r="D349" s="35" t="inlineStr">
        <is>
          <t>榉木餐边柜-下柜-2.1米</t>
        </is>
      </c>
      <c r="E349" s="34" t="inlineStr">
        <is>
          <t>德国进口AA级榉木</t>
        </is>
      </c>
      <c r="F349" s="34" t="inlineStr">
        <is>
          <t xml:space="preserve">抽屉围板：实木多层板
台面：白色岩板
背板：实木多层板
电力轨道：xpower 挂架式电力轨道
顶柜玻璃：灰玻
</t>
        </is>
      </c>
      <c r="G349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49" s="26" t="n">
        <v>0</v>
      </c>
      <c r="I349" s="26" t="n">
        <v>0</v>
      </c>
      <c r="J349" s="27" t="n">
        <v>0.48</v>
      </c>
      <c r="K349" s="28">
        <f>IFERROR(H349,0)</f>
        <v/>
      </c>
      <c r="L349" s="29" t="n"/>
      <c r="M349" s="29" t="n"/>
      <c r="N349" s="29" t="n"/>
      <c r="O349" s="29" t="n"/>
      <c r="P349" s="30">
        <f>IFERROR(IF(K349=0,"待填成本",ROUND(K349/(1-L349),0)),"" )</f>
        <v/>
      </c>
      <c r="Q349" s="30">
        <f>IFERROR(IF(K349=0,"待填成本",ROUND(K349/(1-M349),0)),"" )</f>
        <v/>
      </c>
      <c r="R349" s="30">
        <f>IFERROR(IF(K349=0,"待填成本",ROUND(K349/(1-N349),0)),"" )</f>
        <v/>
      </c>
      <c r="S349" s="30">
        <f>IFERROR(IF(K349=0,"待填成本",ROUND(K349/(1-O349),0)),"" )</f>
        <v/>
      </c>
      <c r="T349" s="31">
        <f>IFERROR(IF(K349=0,"",(P349-K349)/P349),"" )</f>
        <v/>
      </c>
      <c r="U349" s="31">
        <f>IFERROR(IF(K349=0,"",(Q349-K349)/Q349),"" )</f>
        <v/>
      </c>
      <c r="V349" s="31">
        <f>IFERROR(IF(K349=0,"",(R349-K349)/R349),"" )</f>
        <v/>
      </c>
      <c r="W349" s="31">
        <f>IFERROR(IF(K349=0,"",(S349-K349)/S349),"" )</f>
        <v/>
      </c>
      <c r="X349" s="36" t="n"/>
      <c r="Y349" s="36" t="n"/>
      <c r="Z349" s="36" t="n"/>
      <c r="AA349" s="36" t="n"/>
      <c r="AB349" s="36" t="n"/>
      <c r="AC349" s="37" t="n">
        <v>18.1815</v>
      </c>
      <c r="AD349" s="37" t="n">
        <v>300</v>
      </c>
      <c r="AE349" s="36" t="n"/>
      <c r="AF349" s="33" t="n"/>
      <c r="AG349" s="33" t="n"/>
      <c r="AH349" s="35" t="inlineStr"/>
    </row>
    <row r="350" ht="18" customHeight="1">
      <c r="A350" s="25" t="inlineStr">
        <is>
          <t>2425007090199</t>
        </is>
      </c>
      <c r="B350" s="6" t="inlineStr">
        <is>
          <t>餐厅-柜</t>
        </is>
      </c>
      <c r="C350" s="5" t="inlineStr">
        <is>
          <t>榉木餐边柜</t>
        </is>
      </c>
      <c r="D350" s="5" t="inlineStr">
        <is>
          <t>榉木餐边柜-下柜-2.0米</t>
        </is>
      </c>
      <c r="E350" s="6" t="inlineStr">
        <is>
          <t>德国进口AA级榉木</t>
        </is>
      </c>
      <c r="F350" s="6" t="inlineStr">
        <is>
          <t xml:space="preserve">抽屉围板：实木多层板
台面：白色岩板
背板：实木多层板
电力轨道：xpower 挂架式电力轨道
顶柜玻璃：灰玻
</t>
        </is>
      </c>
      <c r="G350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0" s="26" t="n">
        <v>0</v>
      </c>
      <c r="I350" s="26" t="n">
        <v>0</v>
      </c>
      <c r="J350" s="27" t="n">
        <v>0.48</v>
      </c>
      <c r="K350" s="28">
        <f>IFERROR(H350,0)</f>
        <v/>
      </c>
      <c r="L350" s="29" t="n"/>
      <c r="M350" s="29" t="n"/>
      <c r="N350" s="29" t="n"/>
      <c r="O350" s="29" t="n"/>
      <c r="P350" s="30">
        <f>IFERROR(IF(K350=0,"待填成本",ROUND(K350/(1-L350),0)),"" )</f>
        <v/>
      </c>
      <c r="Q350" s="30">
        <f>IFERROR(IF(K350=0,"待填成本",ROUND(K350/(1-M350),0)),"" )</f>
        <v/>
      </c>
      <c r="R350" s="30">
        <f>IFERROR(IF(K350=0,"待填成本",ROUND(K350/(1-N350),0)),"" )</f>
        <v/>
      </c>
      <c r="S350" s="30">
        <f>IFERROR(IF(K350=0,"待填成本",ROUND(K350/(1-O350),0)),"" )</f>
        <v/>
      </c>
      <c r="T350" s="31">
        <f>IFERROR(IF(K350=0,"",(P350-K350)/P350),"" )</f>
        <v/>
      </c>
      <c r="U350" s="31">
        <f>IFERROR(IF(K350=0,"",(Q350-K350)/Q350),"" )</f>
        <v/>
      </c>
      <c r="V350" s="31">
        <f>IFERROR(IF(K350=0,"",(R350-K350)/R350),"" )</f>
        <v/>
      </c>
      <c r="W350" s="31">
        <f>IFERROR(IF(K350=0,"",(S350-K350)/S350),"" )</f>
        <v/>
      </c>
      <c r="X350" s="32" t="n"/>
      <c r="Y350" s="32" t="n"/>
      <c r="Z350" s="32" t="n"/>
      <c r="AA350" s="32" t="n"/>
      <c r="AB350" s="32" t="n"/>
      <c r="AC350" s="37" t="n">
        <v>17.894</v>
      </c>
      <c r="AD350" s="37" t="n">
        <v>300</v>
      </c>
      <c r="AE350" s="32" t="n"/>
      <c r="AF350" s="33" t="n"/>
      <c r="AG350" s="33" t="n"/>
      <c r="AH350" s="5" t="inlineStr"/>
    </row>
    <row r="351" ht="18" customHeight="1">
      <c r="A351" s="25" t="inlineStr">
        <is>
          <t>2425007090199</t>
        </is>
      </c>
      <c r="B351" s="34" t="inlineStr">
        <is>
          <t>餐厅-柜</t>
        </is>
      </c>
      <c r="C351" s="35" t="inlineStr">
        <is>
          <t>榉木餐边柜</t>
        </is>
      </c>
      <c r="D351" s="35" t="inlineStr">
        <is>
          <t>榉木餐边柜-下柜-1.9米</t>
        </is>
      </c>
      <c r="E351" s="34" t="inlineStr">
        <is>
          <t>德国进口AA级榉木</t>
        </is>
      </c>
      <c r="F351" s="34" t="inlineStr">
        <is>
          <t xml:space="preserve">抽屉围板：实木多层板
台面：白色岩板
背板：实木多层板
电力轨道：xpower 挂架式电力轨道
顶柜玻璃：灰玻
</t>
        </is>
      </c>
      <c r="G351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1" s="26" t="n">
        <v>0</v>
      </c>
      <c r="I351" s="26" t="n">
        <v>0</v>
      </c>
      <c r="J351" s="27" t="n">
        <v>0.48</v>
      </c>
      <c r="K351" s="28">
        <f>IFERROR(H351,0)</f>
        <v/>
      </c>
      <c r="L351" s="29" t="n"/>
      <c r="M351" s="29" t="n"/>
      <c r="N351" s="29" t="n"/>
      <c r="O351" s="29" t="n"/>
      <c r="P351" s="30">
        <f>IFERROR(IF(K351=0,"待填成本",ROUND(K351/(1-L351),0)),"" )</f>
        <v/>
      </c>
      <c r="Q351" s="30">
        <f>IFERROR(IF(K351=0,"待填成本",ROUND(K351/(1-M351),0)),"" )</f>
        <v/>
      </c>
      <c r="R351" s="30">
        <f>IFERROR(IF(K351=0,"待填成本",ROUND(K351/(1-N351),0)),"" )</f>
        <v/>
      </c>
      <c r="S351" s="30">
        <f>IFERROR(IF(K351=0,"待填成本",ROUND(K351/(1-O351),0)),"" )</f>
        <v/>
      </c>
      <c r="T351" s="31">
        <f>IFERROR(IF(K351=0,"",(P351-K351)/P351),"" )</f>
        <v/>
      </c>
      <c r="U351" s="31">
        <f>IFERROR(IF(K351=0,"",(Q351-K351)/Q351),"" )</f>
        <v/>
      </c>
      <c r="V351" s="31">
        <f>IFERROR(IF(K351=0,"",(R351-K351)/R351),"" )</f>
        <v/>
      </c>
      <c r="W351" s="31">
        <f>IFERROR(IF(K351=0,"",(S351-K351)/S351),"" )</f>
        <v/>
      </c>
      <c r="X351" s="36" t="n"/>
      <c r="Y351" s="36" t="n"/>
      <c r="Z351" s="36" t="n"/>
      <c r="AA351" s="36" t="n"/>
      <c r="AB351" s="36" t="n"/>
      <c r="AC351" s="37" t="n">
        <v>17.6065</v>
      </c>
      <c r="AD351" s="37" t="n">
        <v>300</v>
      </c>
      <c r="AE351" s="36" t="n"/>
      <c r="AF351" s="33" t="n"/>
      <c r="AG351" s="33" t="n"/>
      <c r="AH351" s="35" t="inlineStr"/>
    </row>
    <row r="352" ht="18" customHeight="1">
      <c r="A352" s="25" t="inlineStr">
        <is>
          <t>2425007090199</t>
        </is>
      </c>
      <c r="B352" s="6" t="inlineStr">
        <is>
          <t>餐厅-柜</t>
        </is>
      </c>
      <c r="C352" s="5" t="inlineStr">
        <is>
          <t>榉木餐边柜</t>
        </is>
      </c>
      <c r="D352" s="5" t="inlineStr">
        <is>
          <t>榉木餐边柜-下柜-1.8米</t>
        </is>
      </c>
      <c r="E352" s="6" t="inlineStr">
        <is>
          <t>德国进口AA级榉木</t>
        </is>
      </c>
      <c r="F352" s="6" t="inlineStr">
        <is>
          <t xml:space="preserve">抽屉围板：实木多层板
台面：白色岩板
背板：实木多层板
电力轨道：xpower 挂架式电力轨道
顶柜玻璃：灰玻
</t>
        </is>
      </c>
      <c r="G352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2" s="26" t="n">
        <v>0</v>
      </c>
      <c r="I352" s="26" t="n">
        <v>0</v>
      </c>
      <c r="J352" s="27" t="n">
        <v>0.48</v>
      </c>
      <c r="K352" s="28">
        <f>IFERROR(H352,0)</f>
        <v/>
      </c>
      <c r="L352" s="29" t="n"/>
      <c r="M352" s="29" t="n"/>
      <c r="N352" s="29" t="n"/>
      <c r="O352" s="29" t="n"/>
      <c r="P352" s="30">
        <f>IFERROR(IF(K352=0,"待填成本",ROUND(K352/(1-L352),0)),"" )</f>
        <v/>
      </c>
      <c r="Q352" s="30">
        <f>IFERROR(IF(K352=0,"待填成本",ROUND(K352/(1-M352),0)),"" )</f>
        <v/>
      </c>
      <c r="R352" s="30">
        <f>IFERROR(IF(K352=0,"待填成本",ROUND(K352/(1-N352),0)),"" )</f>
        <v/>
      </c>
      <c r="S352" s="30">
        <f>IFERROR(IF(K352=0,"待填成本",ROUND(K352/(1-O352),0)),"" )</f>
        <v/>
      </c>
      <c r="T352" s="31">
        <f>IFERROR(IF(K352=0,"",(P352-K352)/P352),"" )</f>
        <v/>
      </c>
      <c r="U352" s="31">
        <f>IFERROR(IF(K352=0,"",(Q352-K352)/Q352),"" )</f>
        <v/>
      </c>
      <c r="V352" s="31">
        <f>IFERROR(IF(K352=0,"",(R352-K352)/R352),"" )</f>
        <v/>
      </c>
      <c r="W352" s="31">
        <f>IFERROR(IF(K352=0,"",(S352-K352)/S352),"" )</f>
        <v/>
      </c>
      <c r="X352" s="32" t="n"/>
      <c r="Y352" s="32" t="n"/>
      <c r="Z352" s="32" t="n"/>
      <c r="AA352" s="32" t="n"/>
      <c r="AB352" s="32" t="n"/>
      <c r="AC352" s="37" t="n">
        <v>17.319</v>
      </c>
      <c r="AD352" s="37" t="n">
        <v>300</v>
      </c>
      <c r="AE352" s="37" t="n">
        <v>150</v>
      </c>
      <c r="AF352" s="33" t="n"/>
      <c r="AG352" s="33" t="n"/>
      <c r="AH352" s="5" t="inlineStr"/>
    </row>
    <row r="353" ht="18" customHeight="1">
      <c r="A353" s="25" t="inlineStr">
        <is>
          <t>2425007090199</t>
        </is>
      </c>
      <c r="B353" s="34" t="inlineStr">
        <is>
          <t>餐厅-柜</t>
        </is>
      </c>
      <c r="C353" s="35" t="inlineStr">
        <is>
          <t>榉木餐边柜</t>
        </is>
      </c>
      <c r="D353" s="35" t="inlineStr">
        <is>
          <t>榉木餐边柜-下柜-1.7米</t>
        </is>
      </c>
      <c r="E353" s="34" t="inlineStr">
        <is>
          <t>德国进口AA级榉木</t>
        </is>
      </c>
      <c r="F353" s="34" t="inlineStr">
        <is>
          <t xml:space="preserve">抽屉围板：实木多层板
台面：白色岩板
背板：实木多层板
电力轨道：xpower 挂架式电力轨道
顶柜玻璃：灰玻
</t>
        </is>
      </c>
      <c r="G353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3" s="26" t="n">
        <v>0</v>
      </c>
      <c r="I353" s="26" t="n">
        <v>0</v>
      </c>
      <c r="J353" s="27" t="n">
        <v>0.48</v>
      </c>
      <c r="K353" s="28">
        <f>IFERROR(H353,0)</f>
        <v/>
      </c>
      <c r="L353" s="29" t="n"/>
      <c r="M353" s="29" t="n"/>
      <c r="N353" s="29" t="n"/>
      <c r="O353" s="29" t="n"/>
      <c r="P353" s="30">
        <f>IFERROR(IF(K353=0,"待填成本",ROUND(K353/(1-L353),0)),"" )</f>
        <v/>
      </c>
      <c r="Q353" s="30">
        <f>IFERROR(IF(K353=0,"待填成本",ROUND(K353/(1-M353),0)),"" )</f>
        <v/>
      </c>
      <c r="R353" s="30">
        <f>IFERROR(IF(K353=0,"待填成本",ROUND(K353/(1-N353),0)),"" )</f>
        <v/>
      </c>
      <c r="S353" s="30">
        <f>IFERROR(IF(K353=0,"待填成本",ROUND(K353/(1-O353),0)),"" )</f>
        <v/>
      </c>
      <c r="T353" s="31">
        <f>IFERROR(IF(K353=0,"",(P353-K353)/P353),"" )</f>
        <v/>
      </c>
      <c r="U353" s="31">
        <f>IFERROR(IF(K353=0,"",(Q353-K353)/Q353),"" )</f>
        <v/>
      </c>
      <c r="V353" s="31">
        <f>IFERROR(IF(K353=0,"",(R353-K353)/R353),"" )</f>
        <v/>
      </c>
      <c r="W353" s="31">
        <f>IFERROR(IF(K353=0,"",(S353-K353)/S353),"" )</f>
        <v/>
      </c>
      <c r="X353" s="36" t="n"/>
      <c r="Y353" s="36" t="n"/>
      <c r="Z353" s="36" t="n"/>
      <c r="AA353" s="36" t="n"/>
      <c r="AB353" s="36" t="n"/>
      <c r="AC353" s="37" t="n">
        <v>17.0315</v>
      </c>
      <c r="AD353" s="37" t="n">
        <v>300</v>
      </c>
      <c r="AE353" s="37" t="n">
        <v>150</v>
      </c>
      <c r="AF353" s="33" t="n"/>
      <c r="AG353" s="33" t="n"/>
      <c r="AH353" s="35" t="inlineStr"/>
    </row>
    <row r="354" ht="18" customHeight="1">
      <c r="A354" s="25" t="inlineStr">
        <is>
          <t>2425007090199</t>
        </is>
      </c>
      <c r="B354" s="6" t="inlineStr">
        <is>
          <t>餐厅-柜</t>
        </is>
      </c>
      <c r="C354" s="5" t="inlineStr">
        <is>
          <t>榉木餐边柜</t>
        </is>
      </c>
      <c r="D354" s="5" t="inlineStr">
        <is>
          <t>榉木餐边柜-下柜-1.6米</t>
        </is>
      </c>
      <c r="E354" s="6" t="inlineStr">
        <is>
          <t>德国进口AA级榉木</t>
        </is>
      </c>
      <c r="F354" s="6" t="inlineStr">
        <is>
          <t xml:space="preserve">抽屉围板：实木多层板
台面：白色岩板
背板：实木多层板
电力轨道：xpower 挂架式电力轨道
顶柜玻璃：灰玻
</t>
        </is>
      </c>
      <c r="G354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4" s="26" t="n">
        <v>0</v>
      </c>
      <c r="I354" s="26" t="n">
        <v>0</v>
      </c>
      <c r="J354" s="27" t="n">
        <v>0.48</v>
      </c>
      <c r="K354" s="28">
        <f>IFERROR(H354,0)</f>
        <v/>
      </c>
      <c r="L354" s="29" t="n"/>
      <c r="M354" s="29" t="n"/>
      <c r="N354" s="29" t="n"/>
      <c r="O354" s="29" t="n"/>
      <c r="P354" s="30">
        <f>IFERROR(IF(K354=0,"待填成本",ROUND(K354/(1-L354),0)),"" )</f>
        <v/>
      </c>
      <c r="Q354" s="30">
        <f>IFERROR(IF(K354=0,"待填成本",ROUND(K354/(1-M354),0)),"" )</f>
        <v/>
      </c>
      <c r="R354" s="30">
        <f>IFERROR(IF(K354=0,"待填成本",ROUND(K354/(1-N354),0)),"" )</f>
        <v/>
      </c>
      <c r="S354" s="30">
        <f>IFERROR(IF(K354=0,"待填成本",ROUND(K354/(1-O354),0)),"" )</f>
        <v/>
      </c>
      <c r="T354" s="31">
        <f>IFERROR(IF(K354=0,"",(P354-K354)/P354),"" )</f>
        <v/>
      </c>
      <c r="U354" s="31">
        <f>IFERROR(IF(K354=0,"",(Q354-K354)/Q354),"" )</f>
        <v/>
      </c>
      <c r="V354" s="31">
        <f>IFERROR(IF(K354=0,"",(R354-K354)/R354),"" )</f>
        <v/>
      </c>
      <c r="W354" s="31">
        <f>IFERROR(IF(K354=0,"",(S354-K354)/S354),"" )</f>
        <v/>
      </c>
      <c r="X354" s="32" t="n"/>
      <c r="Y354" s="32" t="n"/>
      <c r="Z354" s="32" t="n"/>
      <c r="AA354" s="32" t="n"/>
      <c r="AB354" s="32" t="n"/>
      <c r="AC354" s="37" t="n">
        <v>16.744</v>
      </c>
      <c r="AD354" s="37" t="n">
        <v>300</v>
      </c>
      <c r="AE354" s="37" t="n">
        <v>150</v>
      </c>
      <c r="AF354" s="33" t="n"/>
      <c r="AG354" s="33" t="n"/>
      <c r="AH354" s="5" t="inlineStr"/>
    </row>
    <row r="355" ht="18" customHeight="1">
      <c r="A355" s="25" t="inlineStr">
        <is>
          <t>2425007090199</t>
        </is>
      </c>
      <c r="B355" s="34" t="inlineStr">
        <is>
          <t>餐厅-柜</t>
        </is>
      </c>
      <c r="C355" s="35" t="inlineStr">
        <is>
          <t>榉木餐边柜</t>
        </is>
      </c>
      <c r="D355" s="35" t="inlineStr">
        <is>
          <t>榉木餐边柜-下柜-1.5米</t>
        </is>
      </c>
      <c r="E355" s="34" t="inlineStr">
        <is>
          <t>德国进口AA级榉木</t>
        </is>
      </c>
      <c r="F355" s="34" t="inlineStr">
        <is>
          <t xml:space="preserve">抽屉围板：实木多层板
台面：白色岩板
背板：实木多层板
电力轨道：xpower 挂架式电力轨道
顶柜玻璃：灰玻
</t>
        </is>
      </c>
      <c r="G355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5" s="26" t="n">
        <v>0</v>
      </c>
      <c r="I355" s="26" t="n">
        <v>0</v>
      </c>
      <c r="J355" s="27" t="n">
        <v>0.48</v>
      </c>
      <c r="K355" s="28">
        <f>IFERROR(H355,0)</f>
        <v/>
      </c>
      <c r="L355" s="29" t="n"/>
      <c r="M355" s="29" t="n"/>
      <c r="N355" s="29" t="n"/>
      <c r="O355" s="29" t="n"/>
      <c r="P355" s="30">
        <f>IFERROR(IF(K355=0,"待填成本",ROUND(K355/(1-L355),0)),"" )</f>
        <v/>
      </c>
      <c r="Q355" s="30">
        <f>IFERROR(IF(K355=0,"待填成本",ROUND(K355/(1-M355),0)),"" )</f>
        <v/>
      </c>
      <c r="R355" s="30">
        <f>IFERROR(IF(K355=0,"待填成本",ROUND(K355/(1-N355),0)),"" )</f>
        <v/>
      </c>
      <c r="S355" s="30">
        <f>IFERROR(IF(K355=0,"待填成本",ROUND(K355/(1-O355),0)),"" )</f>
        <v/>
      </c>
      <c r="T355" s="31">
        <f>IFERROR(IF(K355=0,"",(P355-K355)/P355),"" )</f>
        <v/>
      </c>
      <c r="U355" s="31">
        <f>IFERROR(IF(K355=0,"",(Q355-K355)/Q355),"" )</f>
        <v/>
      </c>
      <c r="V355" s="31">
        <f>IFERROR(IF(K355=0,"",(R355-K355)/R355),"" )</f>
        <v/>
      </c>
      <c r="W355" s="31">
        <f>IFERROR(IF(K355=0,"",(S355-K355)/S355),"" )</f>
        <v/>
      </c>
      <c r="X355" s="36" t="n"/>
      <c r="Y355" s="36" t="n"/>
      <c r="Z355" s="36" t="n"/>
      <c r="AA355" s="36" t="n"/>
      <c r="AB355" s="36" t="n"/>
      <c r="AC355" s="37" t="n">
        <v>16.4565</v>
      </c>
      <c r="AD355" s="37" t="n">
        <v>300</v>
      </c>
      <c r="AE355" s="37" t="n">
        <v>150</v>
      </c>
      <c r="AF355" s="33" t="n"/>
      <c r="AG355" s="33" t="n"/>
      <c r="AH355" s="35" t="inlineStr"/>
    </row>
    <row r="356" ht="18" customHeight="1">
      <c r="A356" s="25" t="inlineStr">
        <is>
          <t>2425007090199</t>
        </is>
      </c>
      <c r="B356" s="6" t="inlineStr">
        <is>
          <t>餐厅-柜</t>
        </is>
      </c>
      <c r="C356" s="5" t="inlineStr">
        <is>
          <t>榉木餐边柜</t>
        </is>
      </c>
      <c r="D356" s="5" t="inlineStr">
        <is>
          <t>榉木餐边柜-下柜-1.4米</t>
        </is>
      </c>
      <c r="E356" s="6" t="inlineStr">
        <is>
          <t>德国进口AA级榉木</t>
        </is>
      </c>
      <c r="F356" s="6" t="inlineStr">
        <is>
          <t xml:space="preserve">抽屉围板：实木多层板
台面：白色岩板
背板：实木多层板
电力轨道：xpower 挂架式电力轨道
顶柜玻璃：灰玻
</t>
        </is>
      </c>
      <c r="G356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6" s="26" t="n">
        <v>0</v>
      </c>
      <c r="I356" s="26" t="n">
        <v>0</v>
      </c>
      <c r="J356" s="27" t="n">
        <v>0.48</v>
      </c>
      <c r="K356" s="28">
        <f>IFERROR(H356,0)</f>
        <v/>
      </c>
      <c r="L356" s="29" t="n"/>
      <c r="M356" s="29" t="n"/>
      <c r="N356" s="29" t="n"/>
      <c r="O356" s="29" t="n"/>
      <c r="P356" s="30">
        <f>IFERROR(IF(K356=0,"待填成本",ROUND(K356/(1-L356),0)),"" )</f>
        <v/>
      </c>
      <c r="Q356" s="30">
        <f>IFERROR(IF(K356=0,"待填成本",ROUND(K356/(1-M356),0)),"" )</f>
        <v/>
      </c>
      <c r="R356" s="30">
        <f>IFERROR(IF(K356=0,"待填成本",ROUND(K356/(1-N356),0)),"" )</f>
        <v/>
      </c>
      <c r="S356" s="30">
        <f>IFERROR(IF(K356=0,"待填成本",ROUND(K356/(1-O356),0)),"" )</f>
        <v/>
      </c>
      <c r="T356" s="31">
        <f>IFERROR(IF(K356=0,"",(P356-K356)/P356),"" )</f>
        <v/>
      </c>
      <c r="U356" s="31">
        <f>IFERROR(IF(K356=0,"",(Q356-K356)/Q356),"" )</f>
        <v/>
      </c>
      <c r="V356" s="31">
        <f>IFERROR(IF(K356=0,"",(R356-K356)/R356),"" )</f>
        <v/>
      </c>
      <c r="W356" s="31">
        <f>IFERROR(IF(K356=0,"",(S356-K356)/S356),"" )</f>
        <v/>
      </c>
      <c r="X356" s="32" t="n"/>
      <c r="Y356" s="32" t="n"/>
      <c r="Z356" s="32" t="n"/>
      <c r="AA356" s="32" t="n"/>
      <c r="AB356" s="32" t="n"/>
      <c r="AC356" s="37" t="n">
        <v>16.169</v>
      </c>
      <c r="AD356" s="37" t="n">
        <v>300</v>
      </c>
      <c r="AE356" s="37" t="n">
        <v>150</v>
      </c>
      <c r="AF356" s="33" t="n"/>
      <c r="AG356" s="33" t="n"/>
      <c r="AH356" s="5" t="inlineStr"/>
    </row>
    <row r="357" ht="18" customHeight="1">
      <c r="A357" s="25" t="inlineStr">
        <is>
          <t>2425007090199</t>
        </is>
      </c>
      <c r="B357" s="34" t="inlineStr">
        <is>
          <t>餐厅-柜</t>
        </is>
      </c>
      <c r="C357" s="35" t="inlineStr">
        <is>
          <t>榉木餐边柜</t>
        </is>
      </c>
      <c r="D357" s="35" t="inlineStr">
        <is>
          <t>榉木餐边柜-下柜-1.3米</t>
        </is>
      </c>
      <c r="E357" s="34" t="inlineStr">
        <is>
          <t>德国进口AA级榉木</t>
        </is>
      </c>
      <c r="F357" s="34" t="inlineStr">
        <is>
          <t xml:space="preserve">抽屉围板：实木多层板
台面：白色岩板
背板：实木多层板
电力轨道：xpower 挂架式电力轨道
顶柜玻璃：灰玻
</t>
        </is>
      </c>
      <c r="G357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7" s="26" t="n">
        <v>0</v>
      </c>
      <c r="I357" s="26" t="n">
        <v>0</v>
      </c>
      <c r="J357" s="27" t="n">
        <v>0.48</v>
      </c>
      <c r="K357" s="28">
        <f>IFERROR(H357,0)</f>
        <v/>
      </c>
      <c r="L357" s="29" t="n"/>
      <c r="M357" s="29" t="n"/>
      <c r="N357" s="29" t="n"/>
      <c r="O357" s="29" t="n"/>
      <c r="P357" s="30">
        <f>IFERROR(IF(K357=0,"待填成本",ROUND(K357/(1-L357),0)),"" )</f>
        <v/>
      </c>
      <c r="Q357" s="30">
        <f>IFERROR(IF(K357=0,"待填成本",ROUND(K357/(1-M357),0)),"" )</f>
        <v/>
      </c>
      <c r="R357" s="30">
        <f>IFERROR(IF(K357=0,"待填成本",ROUND(K357/(1-N357),0)),"" )</f>
        <v/>
      </c>
      <c r="S357" s="30">
        <f>IFERROR(IF(K357=0,"待填成本",ROUND(K357/(1-O357),0)),"" )</f>
        <v/>
      </c>
      <c r="T357" s="31">
        <f>IFERROR(IF(K357=0,"",(P357-K357)/P357),"" )</f>
        <v/>
      </c>
      <c r="U357" s="31">
        <f>IFERROR(IF(K357=0,"",(Q357-K357)/Q357),"" )</f>
        <v/>
      </c>
      <c r="V357" s="31">
        <f>IFERROR(IF(K357=0,"",(R357-K357)/R357),"" )</f>
        <v/>
      </c>
      <c r="W357" s="31">
        <f>IFERROR(IF(K357=0,"",(S357-K357)/S357),"" )</f>
        <v/>
      </c>
      <c r="X357" s="36" t="n"/>
      <c r="Y357" s="36" t="n"/>
      <c r="Z357" s="36" t="n"/>
      <c r="AA357" s="36" t="n"/>
      <c r="AB357" s="36" t="n"/>
      <c r="AC357" s="37" t="n">
        <v>15.8815</v>
      </c>
      <c r="AD357" s="37" t="n">
        <v>300</v>
      </c>
      <c r="AE357" s="37" t="n">
        <v>150</v>
      </c>
      <c r="AF357" s="33" t="n"/>
      <c r="AG357" s="33" t="n"/>
      <c r="AH357" s="35" t="inlineStr"/>
    </row>
    <row r="358" ht="18" customHeight="1">
      <c r="A358" s="25" t="inlineStr">
        <is>
          <t>2425007090199</t>
        </is>
      </c>
      <c r="B358" s="6" t="inlineStr">
        <is>
          <t>餐厅-柜</t>
        </is>
      </c>
      <c r="C358" s="5" t="inlineStr">
        <is>
          <t>榉木餐边柜</t>
        </is>
      </c>
      <c r="D358" s="5" t="inlineStr">
        <is>
          <t>榉木餐边柜-下柜-1.2米</t>
        </is>
      </c>
      <c r="E358" s="6" t="inlineStr">
        <is>
          <t>德国进口AA级榉木</t>
        </is>
      </c>
      <c r="F358" s="6" t="inlineStr">
        <is>
          <t xml:space="preserve">抽屉围板：实木多层板
台面：白色岩板
背板：实木多层板
电力轨道：xpower 挂架式电力轨道
顶柜玻璃：灰玻
</t>
        </is>
      </c>
      <c r="G358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8" s="26" t="n">
        <v>0</v>
      </c>
      <c r="I358" s="26" t="n">
        <v>0</v>
      </c>
      <c r="J358" s="27" t="n">
        <v>0.48</v>
      </c>
      <c r="K358" s="28">
        <f>IFERROR(H358,0)</f>
        <v/>
      </c>
      <c r="L358" s="29" t="n"/>
      <c r="M358" s="29" t="n"/>
      <c r="N358" s="29" t="n"/>
      <c r="O358" s="29" t="n"/>
      <c r="P358" s="30">
        <f>IFERROR(IF(K358=0,"待填成本",ROUND(K358/(1-L358),0)),"" )</f>
        <v/>
      </c>
      <c r="Q358" s="30">
        <f>IFERROR(IF(K358=0,"待填成本",ROUND(K358/(1-M358),0)),"" )</f>
        <v/>
      </c>
      <c r="R358" s="30">
        <f>IFERROR(IF(K358=0,"待填成本",ROUND(K358/(1-N358),0)),"" )</f>
        <v/>
      </c>
      <c r="S358" s="30">
        <f>IFERROR(IF(K358=0,"待填成本",ROUND(K358/(1-O358),0)),"" )</f>
        <v/>
      </c>
      <c r="T358" s="31">
        <f>IFERROR(IF(K358=0,"",(P358-K358)/P358),"" )</f>
        <v/>
      </c>
      <c r="U358" s="31">
        <f>IFERROR(IF(K358=0,"",(Q358-K358)/Q358),"" )</f>
        <v/>
      </c>
      <c r="V358" s="31">
        <f>IFERROR(IF(K358=0,"",(R358-K358)/R358),"" )</f>
        <v/>
      </c>
      <c r="W358" s="31">
        <f>IFERROR(IF(K358=0,"",(S358-K358)/S358),"" )</f>
        <v/>
      </c>
      <c r="X358" s="32" t="n"/>
      <c r="Y358" s="32" t="n"/>
      <c r="Z358" s="32" t="n"/>
      <c r="AA358" s="32" t="n"/>
      <c r="AB358" s="32" t="n"/>
      <c r="AC358" s="37" t="n">
        <v>15.594</v>
      </c>
      <c r="AD358" s="37" t="n">
        <v>300</v>
      </c>
      <c r="AE358" s="37" t="n">
        <v>150</v>
      </c>
      <c r="AF358" s="33" t="n"/>
      <c r="AG358" s="33" t="n"/>
      <c r="AH358" s="5" t="inlineStr"/>
    </row>
    <row r="359" ht="18" customHeight="1">
      <c r="A359" s="25" t="inlineStr">
        <is>
          <t>2425007090199</t>
        </is>
      </c>
      <c r="B359" s="34" t="inlineStr">
        <is>
          <t>餐厅-柜</t>
        </is>
      </c>
      <c r="C359" s="35" t="inlineStr">
        <is>
          <t>榉木餐边柜</t>
        </is>
      </c>
      <c r="D359" s="35" t="inlineStr">
        <is>
          <t>榉木餐边柜-下柜-1.1米</t>
        </is>
      </c>
      <c r="E359" s="34" t="inlineStr">
        <is>
          <t>德国进口AA级榉木</t>
        </is>
      </c>
      <c r="F359" s="34" t="inlineStr">
        <is>
          <t xml:space="preserve">抽屉围板：实木多层板
台面：白色岩板
背板：实木多层板
电力轨道：xpower 挂架式电力轨道
顶柜玻璃：灰玻
</t>
        </is>
      </c>
      <c r="G359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59" s="26" t="n">
        <v>0</v>
      </c>
      <c r="I359" s="26" t="n">
        <v>0</v>
      </c>
      <c r="J359" s="27" t="n">
        <v>0.48</v>
      </c>
      <c r="K359" s="28">
        <f>IFERROR(H359,0)</f>
        <v/>
      </c>
      <c r="L359" s="29" t="n"/>
      <c r="M359" s="29" t="n"/>
      <c r="N359" s="29" t="n"/>
      <c r="O359" s="29" t="n"/>
      <c r="P359" s="30">
        <f>IFERROR(IF(K359=0,"待填成本",ROUND(K359/(1-L359),0)),"" )</f>
        <v/>
      </c>
      <c r="Q359" s="30">
        <f>IFERROR(IF(K359=0,"待填成本",ROUND(K359/(1-M359),0)),"" )</f>
        <v/>
      </c>
      <c r="R359" s="30">
        <f>IFERROR(IF(K359=0,"待填成本",ROUND(K359/(1-N359),0)),"" )</f>
        <v/>
      </c>
      <c r="S359" s="30">
        <f>IFERROR(IF(K359=0,"待填成本",ROUND(K359/(1-O359),0)),"" )</f>
        <v/>
      </c>
      <c r="T359" s="31">
        <f>IFERROR(IF(K359=0,"",(P359-K359)/P359),"" )</f>
        <v/>
      </c>
      <c r="U359" s="31">
        <f>IFERROR(IF(K359=0,"",(Q359-K359)/Q359),"" )</f>
        <v/>
      </c>
      <c r="V359" s="31">
        <f>IFERROR(IF(K359=0,"",(R359-K359)/R359),"" )</f>
        <v/>
      </c>
      <c r="W359" s="31">
        <f>IFERROR(IF(K359=0,"",(S359-K359)/S359),"" )</f>
        <v/>
      </c>
      <c r="X359" s="36" t="n"/>
      <c r="Y359" s="36" t="n"/>
      <c r="Z359" s="36" t="n"/>
      <c r="AA359" s="36" t="n"/>
      <c r="AB359" s="36" t="n"/>
      <c r="AC359" s="37" t="n">
        <v>15.3065</v>
      </c>
      <c r="AD359" s="37" t="n">
        <v>300</v>
      </c>
      <c r="AE359" s="37" t="n">
        <v>150</v>
      </c>
      <c r="AF359" s="33" t="n"/>
      <c r="AG359" s="33" t="n"/>
      <c r="AH359" s="35" t="inlineStr"/>
    </row>
    <row r="360" ht="18" customHeight="1">
      <c r="A360" s="25" t="inlineStr">
        <is>
          <t>2425007090199</t>
        </is>
      </c>
      <c r="B360" s="6" t="inlineStr">
        <is>
          <t>餐厅-柜</t>
        </is>
      </c>
      <c r="C360" s="5" t="inlineStr">
        <is>
          <t>榉木餐边柜</t>
        </is>
      </c>
      <c r="D360" s="5" t="inlineStr">
        <is>
          <t>榉木餐边柜-下柜-1.0米</t>
        </is>
      </c>
      <c r="E360" s="6" t="inlineStr">
        <is>
          <t>德国进口AA级榉木</t>
        </is>
      </c>
      <c r="F360" s="6" t="inlineStr">
        <is>
          <t xml:space="preserve">抽屉围板：实木多层板
台面：白色岩板
背板：实木多层板
电力轨道：xpower 挂架式电力轨道
顶柜玻璃：灰玻
</t>
        </is>
      </c>
      <c r="G360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0" s="26" t="n">
        <v>0</v>
      </c>
      <c r="I360" s="26" t="n">
        <v>0</v>
      </c>
      <c r="J360" s="27" t="n">
        <v>0.48</v>
      </c>
      <c r="K360" s="28">
        <f>IFERROR(H360,0)</f>
        <v/>
      </c>
      <c r="L360" s="29" t="n"/>
      <c r="M360" s="29" t="n"/>
      <c r="N360" s="29" t="n"/>
      <c r="O360" s="29" t="n"/>
      <c r="P360" s="30">
        <f>IFERROR(IF(K360=0,"待填成本",ROUND(K360/(1-L360),0)),"" )</f>
        <v/>
      </c>
      <c r="Q360" s="30">
        <f>IFERROR(IF(K360=0,"待填成本",ROUND(K360/(1-M360),0)),"" )</f>
        <v/>
      </c>
      <c r="R360" s="30">
        <f>IFERROR(IF(K360=0,"待填成本",ROUND(K360/(1-N360),0)),"" )</f>
        <v/>
      </c>
      <c r="S360" s="30">
        <f>IFERROR(IF(K360=0,"待填成本",ROUND(K360/(1-O360),0)),"" )</f>
        <v/>
      </c>
      <c r="T360" s="31">
        <f>IFERROR(IF(K360=0,"",(P360-K360)/P360),"" )</f>
        <v/>
      </c>
      <c r="U360" s="31">
        <f>IFERROR(IF(K360=0,"",(Q360-K360)/Q360),"" )</f>
        <v/>
      </c>
      <c r="V360" s="31">
        <f>IFERROR(IF(K360=0,"",(R360-K360)/R360),"" )</f>
        <v/>
      </c>
      <c r="W360" s="31">
        <f>IFERROR(IF(K360=0,"",(S360-K360)/S360),"" )</f>
        <v/>
      </c>
      <c r="X360" s="32" t="n"/>
      <c r="Y360" s="32" t="n"/>
      <c r="Z360" s="32" t="n"/>
      <c r="AA360" s="32" t="n"/>
      <c r="AB360" s="32" t="n"/>
      <c r="AC360" s="37" t="n">
        <v>15.019</v>
      </c>
      <c r="AD360" s="37" t="n">
        <v>300</v>
      </c>
      <c r="AE360" s="37" t="n">
        <v>150</v>
      </c>
      <c r="AF360" s="33" t="n"/>
      <c r="AG360" s="33" t="n"/>
      <c r="AH360" s="5" t="inlineStr"/>
    </row>
    <row r="361" ht="18" customHeight="1">
      <c r="A361" s="25" t="inlineStr">
        <is>
          <t>2425007090199</t>
        </is>
      </c>
      <c r="B361" s="34" t="inlineStr">
        <is>
          <t>餐厅-柜</t>
        </is>
      </c>
      <c r="C361" s="35" t="inlineStr">
        <is>
          <t>榉木餐边柜</t>
        </is>
      </c>
      <c r="D361" s="35" t="inlineStr">
        <is>
          <t>榉木餐边柜-整柜实木背板-2.1米</t>
        </is>
      </c>
      <c r="E361" s="34" t="inlineStr">
        <is>
          <t>德国进口AA级榉木</t>
        </is>
      </c>
      <c r="F361" s="34" t="inlineStr">
        <is>
          <t xml:space="preserve">抽屉围板：实木多层板
台面：白色岩板
背板：实木多层板
电力轨道：xpower 挂架式电力轨道
顶柜玻璃：灰玻
</t>
        </is>
      </c>
      <c r="G361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1" s="26" t="n">
        <v>6449.95</v>
      </c>
      <c r="I361" s="26" t="n">
        <v>4000</v>
      </c>
      <c r="J361" s="27" t="n">
        <v>0.48</v>
      </c>
      <c r="K361" s="28">
        <f>IFERROR(H361,0)</f>
        <v/>
      </c>
      <c r="L361" s="29" t="n">
        <v>0.4669</v>
      </c>
      <c r="M361" s="29" t="n">
        <v>0.1708</v>
      </c>
      <c r="N361" s="29" t="n">
        <v>0.1505</v>
      </c>
      <c r="O361" s="29" t="n">
        <v>0.1109</v>
      </c>
      <c r="P361" s="30">
        <f>IFERROR(IF(K361=0,"待填成本",ROUND(K361/(1-L361),0)),"" )</f>
        <v/>
      </c>
      <c r="Q361" s="30">
        <f>IFERROR(IF(K361=0,"待填成本",ROUND(K361/(1-M361),0)),"" )</f>
        <v/>
      </c>
      <c r="R361" s="30">
        <f>IFERROR(IF(K361=0,"待填成本",ROUND(K361/(1-N361),0)),"" )</f>
        <v/>
      </c>
      <c r="S361" s="30">
        <f>IFERROR(IF(K361=0,"待填成本",ROUND(K361/(1-O361),0)),"" )</f>
        <v/>
      </c>
      <c r="T361" s="31">
        <f>IFERROR(IF(K361=0,"",(P361-K361)/P361),"" )</f>
        <v/>
      </c>
      <c r="U361" s="31">
        <f>IFERROR(IF(K361=0,"",(Q361-K361)/Q361),"" )</f>
        <v/>
      </c>
      <c r="V361" s="31">
        <f>IFERROR(IF(K361=0,"",(R361-K361)/R361),"" )</f>
        <v/>
      </c>
      <c r="W361" s="31">
        <f>IFERROR(IF(K361=0,"",(S361-K361)/S361),"" )</f>
        <v/>
      </c>
      <c r="X361" s="36" t="n"/>
      <c r="Y361" s="36" t="n"/>
      <c r="Z361" s="36" t="n"/>
      <c r="AA361" s="37" t="n">
        <v>15.8125</v>
      </c>
      <c r="AB361" s="37" t="n">
        <v>8.71125</v>
      </c>
      <c r="AC361" s="37" t="n">
        <v>18.1815</v>
      </c>
      <c r="AD361" s="37" t="n">
        <v>300</v>
      </c>
      <c r="AE361" s="37" t="n">
        <v>150</v>
      </c>
      <c r="AF361" s="33" t="n"/>
      <c r="AG361" s="33" t="n"/>
      <c r="AH361" s="35" t="inlineStr"/>
    </row>
    <row r="362" ht="18" customHeight="1">
      <c r="A362" s="25" t="inlineStr">
        <is>
          <t>2425007090199</t>
        </is>
      </c>
      <c r="B362" s="6" t="inlineStr">
        <is>
          <t>餐厅-柜</t>
        </is>
      </c>
      <c r="C362" s="5" t="inlineStr">
        <is>
          <t>榉木餐边柜</t>
        </is>
      </c>
      <c r="D362" s="5" t="inlineStr">
        <is>
          <t>榉木餐边柜-整柜实木背板-2.0米</t>
        </is>
      </c>
      <c r="E362" s="6" t="inlineStr">
        <is>
          <t>德国进口AA级榉木</t>
        </is>
      </c>
      <c r="F362" s="6" t="inlineStr">
        <is>
          <t xml:space="preserve">抽屉围板：实木多层板
台面：白色岩板
背板：实木多层板
电力轨道：xpower 挂架式电力轨道
顶柜玻璃：灰玻
</t>
        </is>
      </c>
      <c r="G362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2" s="26" t="n">
        <v>6299.283333333333</v>
      </c>
      <c r="I362" s="26" t="n">
        <v>3933.333333333333</v>
      </c>
      <c r="J362" s="27" t="n">
        <v>0.48</v>
      </c>
      <c r="K362" s="28">
        <f>IFERROR(H362,0)</f>
        <v/>
      </c>
      <c r="L362" s="29" t="n">
        <v>0.4669</v>
      </c>
      <c r="M362" s="29" t="n">
        <v>0.1707</v>
      </c>
      <c r="N362" s="29" t="n">
        <v>0.1538</v>
      </c>
      <c r="O362" s="29" t="n">
        <v>0.114</v>
      </c>
      <c r="P362" s="30">
        <f>IFERROR(IF(K362=0,"待填成本",ROUND(K362/(1-L362),0)),"" )</f>
        <v/>
      </c>
      <c r="Q362" s="30">
        <f>IFERROR(IF(K362=0,"待填成本",ROUND(K362/(1-M362),0)),"" )</f>
        <v/>
      </c>
      <c r="R362" s="30">
        <f>IFERROR(IF(K362=0,"待填成本",ROUND(K362/(1-N362),0)),"" )</f>
        <v/>
      </c>
      <c r="S362" s="30">
        <f>IFERROR(IF(K362=0,"待填成本",ROUND(K362/(1-O362),0)),"" )</f>
        <v/>
      </c>
      <c r="T362" s="31">
        <f>IFERROR(IF(K362=0,"",(P362-K362)/P362),"" )</f>
        <v/>
      </c>
      <c r="U362" s="31">
        <f>IFERROR(IF(K362=0,"",(Q362-K362)/Q362),"" )</f>
        <v/>
      </c>
      <c r="V362" s="31">
        <f>IFERROR(IF(K362=0,"",(R362-K362)/R362),"" )</f>
        <v/>
      </c>
      <c r="W362" s="31">
        <f>IFERROR(IF(K362=0,"",(S362-K362)/S362),"" )</f>
        <v/>
      </c>
      <c r="X362" s="32" t="n"/>
      <c r="Y362" s="32" t="n"/>
      <c r="Z362" s="32" t="n"/>
      <c r="AA362" s="37" t="n">
        <v>15.25666666666667</v>
      </c>
      <c r="AB362" s="37" t="n">
        <v>8.395</v>
      </c>
      <c r="AC362" s="37" t="n">
        <v>17.894</v>
      </c>
      <c r="AD362" s="37" t="n">
        <v>300</v>
      </c>
      <c r="AE362" s="37" t="n">
        <v>150</v>
      </c>
      <c r="AF362" s="33" t="n"/>
      <c r="AG362" s="33" t="n"/>
      <c r="AH362" s="5" t="inlineStr"/>
    </row>
    <row r="363" ht="18" customHeight="1">
      <c r="A363" s="25" t="inlineStr">
        <is>
          <t>2425007090199</t>
        </is>
      </c>
      <c r="B363" s="34" t="inlineStr">
        <is>
          <t>餐厅-柜</t>
        </is>
      </c>
      <c r="C363" s="35" t="inlineStr">
        <is>
          <t>榉木餐边柜</t>
        </is>
      </c>
      <c r="D363" s="35" t="inlineStr">
        <is>
          <t>榉木餐边柜-整柜实木背板-1.9米</t>
        </is>
      </c>
      <c r="E363" s="34" t="inlineStr">
        <is>
          <t>德国进口AA级榉木</t>
        </is>
      </c>
      <c r="F363" s="34" t="inlineStr">
        <is>
          <t xml:space="preserve">抽屉围板：实木多层板
台面：白色岩板
背板：实木多层板
电力轨道：xpower 挂架式电力轨道
顶柜玻璃：灰玻
</t>
        </is>
      </c>
      <c r="G363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3" s="26" t="n">
        <v>6148.616666666666</v>
      </c>
      <c r="I363" s="26" t="n">
        <v>3866.666666666667</v>
      </c>
      <c r="J363" s="27" t="n">
        <v>0.48</v>
      </c>
      <c r="K363" s="28">
        <f>IFERROR(H363,0)</f>
        <v/>
      </c>
      <c r="L363" s="29" t="n">
        <v>0.4669</v>
      </c>
      <c r="M363" s="29" t="n">
        <v>0.1706</v>
      </c>
      <c r="N363" s="29" t="n">
        <v>0.1572</v>
      </c>
      <c r="O363" s="29" t="n">
        <v>0.1171</v>
      </c>
      <c r="P363" s="30">
        <f>IFERROR(IF(K363=0,"待填成本",ROUND(K363/(1-L363),0)),"" )</f>
        <v/>
      </c>
      <c r="Q363" s="30">
        <f>IFERROR(IF(K363=0,"待填成本",ROUND(K363/(1-M363),0)),"" )</f>
        <v/>
      </c>
      <c r="R363" s="30">
        <f>IFERROR(IF(K363=0,"待填成本",ROUND(K363/(1-N363),0)),"" )</f>
        <v/>
      </c>
      <c r="S363" s="30">
        <f>IFERROR(IF(K363=0,"待填成本",ROUND(K363/(1-O363),0)),"" )</f>
        <v/>
      </c>
      <c r="T363" s="31">
        <f>IFERROR(IF(K363=0,"",(P363-K363)/P363),"" )</f>
        <v/>
      </c>
      <c r="U363" s="31">
        <f>IFERROR(IF(K363=0,"",(Q363-K363)/Q363),"" )</f>
        <v/>
      </c>
      <c r="V363" s="31">
        <f>IFERROR(IF(K363=0,"",(R363-K363)/R363),"" )</f>
        <v/>
      </c>
      <c r="W363" s="31">
        <f>IFERROR(IF(K363=0,"",(S363-K363)/S363),"" )</f>
        <v/>
      </c>
      <c r="X363" s="36" t="n"/>
      <c r="Y363" s="36" t="n"/>
      <c r="Z363" s="36" t="n"/>
      <c r="AA363" s="37" t="n">
        <v>14.70083333333333</v>
      </c>
      <c r="AB363" s="37" t="n">
        <v>8.078749999999999</v>
      </c>
      <c r="AC363" s="37" t="n">
        <v>17.6065</v>
      </c>
      <c r="AD363" s="37" t="n">
        <v>300</v>
      </c>
      <c r="AE363" s="37" t="n">
        <v>150</v>
      </c>
      <c r="AF363" s="33" t="n"/>
      <c r="AG363" s="33" t="n"/>
      <c r="AH363" s="35" t="inlineStr"/>
    </row>
    <row r="364" ht="18" customHeight="1">
      <c r="A364" s="25" t="inlineStr">
        <is>
          <t>2425007090199</t>
        </is>
      </c>
      <c r="B364" s="6" t="inlineStr">
        <is>
          <t>餐厅-柜</t>
        </is>
      </c>
      <c r="C364" s="5" t="inlineStr">
        <is>
          <t>榉木餐边柜</t>
        </is>
      </c>
      <c r="D364" s="5" t="inlineStr">
        <is>
          <t>榉木餐边柜-整柜实木背板-1.8米</t>
        </is>
      </c>
      <c r="E364" s="6" t="inlineStr">
        <is>
          <t>德国进口AA级榉木</t>
        </is>
      </c>
      <c r="F364" s="6" t="inlineStr">
        <is>
          <t xml:space="preserve">抽屉围板：实木多层板
台面：白色岩板
背板：实木多层板
电力轨道：xpower 挂架式电力轨道
顶柜玻璃：灰玻
</t>
        </is>
      </c>
      <c r="G364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4" s="26" t="n">
        <v>5997.95</v>
      </c>
      <c r="I364" s="26" t="n">
        <v>3800</v>
      </c>
      <c r="J364" s="27" t="n">
        <v>0.48</v>
      </c>
      <c r="K364" s="28">
        <f>IFERROR(H364,0)</f>
        <v/>
      </c>
      <c r="L364" s="29" t="n">
        <v>0.4669</v>
      </c>
      <c r="M364" s="29" t="n">
        <v>0.1705</v>
      </c>
      <c r="N364" s="29" t="n">
        <v>0.1608</v>
      </c>
      <c r="O364" s="29" t="n">
        <v>0.1204</v>
      </c>
      <c r="P364" s="30">
        <f>IFERROR(IF(K364=0,"待填成本",ROUND(K364/(1-L364),0)),"" )</f>
        <v/>
      </c>
      <c r="Q364" s="30">
        <f>IFERROR(IF(K364=0,"待填成本",ROUND(K364/(1-M364),0)),"" )</f>
        <v/>
      </c>
      <c r="R364" s="30">
        <f>IFERROR(IF(K364=0,"待填成本",ROUND(K364/(1-N364),0)),"" )</f>
        <v/>
      </c>
      <c r="S364" s="30">
        <f>IFERROR(IF(K364=0,"待填成本",ROUND(K364/(1-O364),0)),"" )</f>
        <v/>
      </c>
      <c r="T364" s="31">
        <f>IFERROR(IF(K364=0,"",(P364-K364)/P364),"" )</f>
        <v/>
      </c>
      <c r="U364" s="31">
        <f>IFERROR(IF(K364=0,"",(Q364-K364)/Q364),"" )</f>
        <v/>
      </c>
      <c r="V364" s="31">
        <f>IFERROR(IF(K364=0,"",(R364-K364)/R364),"" )</f>
        <v/>
      </c>
      <c r="W364" s="31">
        <f>IFERROR(IF(K364=0,"",(S364-K364)/S364),"" )</f>
        <v/>
      </c>
      <c r="X364" s="32" t="n"/>
      <c r="Y364" s="32" t="n"/>
      <c r="Z364" s="32" t="n"/>
      <c r="AA364" s="37" t="n">
        <v>14.145</v>
      </c>
      <c r="AB364" s="37" t="n">
        <v>7.762499999999999</v>
      </c>
      <c r="AC364" s="37" t="n">
        <v>17.319</v>
      </c>
      <c r="AD364" s="37" t="n">
        <v>300</v>
      </c>
      <c r="AE364" s="37" t="n">
        <v>150</v>
      </c>
      <c r="AF364" s="33" t="n"/>
      <c r="AG364" s="33" t="n"/>
      <c r="AH364" s="5" t="inlineStr"/>
    </row>
    <row r="365" ht="18" customHeight="1">
      <c r="A365" s="25" t="inlineStr">
        <is>
          <t>2425007090199</t>
        </is>
      </c>
      <c r="B365" s="34" t="inlineStr">
        <is>
          <t>餐厅-柜</t>
        </is>
      </c>
      <c r="C365" s="35" t="inlineStr">
        <is>
          <t>榉木餐边柜</t>
        </is>
      </c>
      <c r="D365" s="35" t="inlineStr">
        <is>
          <t>榉木餐边柜-整柜实木背板-1.7米</t>
        </is>
      </c>
      <c r="E365" s="34" t="inlineStr">
        <is>
          <t>德国进口AA级榉木</t>
        </is>
      </c>
      <c r="F365" s="34" t="inlineStr">
        <is>
          <t xml:space="preserve">抽屉围板：实木多层板
台面：白色岩板
背板：实木多层板
电力轨道：xpower 挂架式电力轨道
顶柜玻璃：灰玻
</t>
        </is>
      </c>
      <c r="G365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5" s="26" t="n">
        <v>5843.283333333333</v>
      </c>
      <c r="I365" s="26" t="n">
        <v>3733.333333333333</v>
      </c>
      <c r="J365" s="27" t="n">
        <v>0.48</v>
      </c>
      <c r="K365" s="28">
        <f>IFERROR(H365,0)</f>
        <v/>
      </c>
      <c r="L365" s="29" t="n">
        <v>0.4668</v>
      </c>
      <c r="M365" s="29" t="n">
        <v>0.1705</v>
      </c>
      <c r="N365" s="29" t="n">
        <v>0.1607</v>
      </c>
      <c r="O365" s="29" t="n">
        <v>0.1173</v>
      </c>
      <c r="P365" s="30">
        <f>IFERROR(IF(K365=0,"待填成本",ROUND(K365/(1-L365),0)),"" )</f>
        <v/>
      </c>
      <c r="Q365" s="30">
        <f>IFERROR(IF(K365=0,"待填成本",ROUND(K365/(1-M365),0)),"" )</f>
        <v/>
      </c>
      <c r="R365" s="30">
        <f>IFERROR(IF(K365=0,"待填成本",ROUND(K365/(1-N365),0)),"" )</f>
        <v/>
      </c>
      <c r="S365" s="30">
        <f>IFERROR(IF(K365=0,"待填成本",ROUND(K365/(1-O365),0)),"" )</f>
        <v/>
      </c>
      <c r="T365" s="31">
        <f>IFERROR(IF(K365=0,"",(P365-K365)/P365),"" )</f>
        <v/>
      </c>
      <c r="U365" s="31">
        <f>IFERROR(IF(K365=0,"",(Q365-K365)/Q365),"" )</f>
        <v/>
      </c>
      <c r="V365" s="31">
        <f>IFERROR(IF(K365=0,"",(R365-K365)/R365),"" )</f>
        <v/>
      </c>
      <c r="W365" s="31">
        <f>IFERROR(IF(K365=0,"",(S365-K365)/S365),"" )</f>
        <v/>
      </c>
      <c r="X365" s="36" t="n"/>
      <c r="Y365" s="36" t="n"/>
      <c r="Z365" s="36" t="n"/>
      <c r="AA365" s="37" t="n">
        <v>13.58916666666667</v>
      </c>
      <c r="AB365" s="37" t="n">
        <v>7.44625</v>
      </c>
      <c r="AC365" s="37" t="n">
        <v>17.0315</v>
      </c>
      <c r="AD365" s="37" t="n">
        <v>300</v>
      </c>
      <c r="AE365" s="37" t="n">
        <v>150</v>
      </c>
      <c r="AF365" s="33" t="n"/>
      <c r="AG365" s="33" t="n"/>
      <c r="AH365" s="35" t="inlineStr"/>
    </row>
    <row r="366" ht="18" customHeight="1">
      <c r="A366" s="25" t="inlineStr">
        <is>
          <t>2425007090199</t>
        </is>
      </c>
      <c r="B366" s="6" t="inlineStr">
        <is>
          <t>餐厅-柜</t>
        </is>
      </c>
      <c r="C366" s="5" t="inlineStr">
        <is>
          <t>榉木餐边柜</t>
        </is>
      </c>
      <c r="D366" s="5" t="inlineStr">
        <is>
          <t>榉木餐边柜-整柜实木背板-1.6米</t>
        </is>
      </c>
      <c r="E366" s="6" t="inlineStr">
        <is>
          <t>德国进口AA级榉木</t>
        </is>
      </c>
      <c r="F366" s="6" t="inlineStr">
        <is>
          <t xml:space="preserve">抽屉围板：实木多层板
台面：白色岩板
背板：实木多层板
电力轨道：xpower 挂架式电力轨道
顶柜玻璃：灰玻
</t>
        </is>
      </c>
      <c r="G366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6" s="26" t="n">
        <v>5688.616666666666</v>
      </c>
      <c r="I366" s="26" t="n">
        <v>3666.666666666667</v>
      </c>
      <c r="J366" s="27" t="n">
        <v>0.48</v>
      </c>
      <c r="K366" s="28">
        <f>IFERROR(H366,0)</f>
        <v/>
      </c>
      <c r="L366" s="29" t="n">
        <v>0.4667</v>
      </c>
      <c r="M366" s="29" t="n">
        <v>0.1704</v>
      </c>
      <c r="N366" s="29" t="n">
        <v>0.1606</v>
      </c>
      <c r="O366" s="29" t="n">
        <v>0.1139</v>
      </c>
      <c r="P366" s="30">
        <f>IFERROR(IF(K366=0,"待填成本",ROUND(K366/(1-L366),0)),"" )</f>
        <v/>
      </c>
      <c r="Q366" s="30">
        <f>IFERROR(IF(K366=0,"待填成本",ROUND(K366/(1-M366),0)),"" )</f>
        <v/>
      </c>
      <c r="R366" s="30">
        <f>IFERROR(IF(K366=0,"待填成本",ROUND(K366/(1-N366),0)),"" )</f>
        <v/>
      </c>
      <c r="S366" s="30">
        <f>IFERROR(IF(K366=0,"待填成本",ROUND(K366/(1-O366),0)),"" )</f>
        <v/>
      </c>
      <c r="T366" s="31">
        <f>IFERROR(IF(K366=0,"",(P366-K366)/P366),"" )</f>
        <v/>
      </c>
      <c r="U366" s="31">
        <f>IFERROR(IF(K366=0,"",(Q366-K366)/Q366),"" )</f>
        <v/>
      </c>
      <c r="V366" s="31">
        <f>IFERROR(IF(K366=0,"",(R366-K366)/R366),"" )</f>
        <v/>
      </c>
      <c r="W366" s="31">
        <f>IFERROR(IF(K366=0,"",(S366-K366)/S366),"" )</f>
        <v/>
      </c>
      <c r="X366" s="32" t="n"/>
      <c r="Y366" s="32" t="n"/>
      <c r="Z366" s="32" t="n"/>
      <c r="AA366" s="37" t="n">
        <v>13.03333333333333</v>
      </c>
      <c r="AB366" s="37" t="n">
        <v>7.130000000000001</v>
      </c>
      <c r="AC366" s="37" t="n">
        <v>16.744</v>
      </c>
      <c r="AD366" s="37" t="n">
        <v>300</v>
      </c>
      <c r="AE366" s="37" t="n">
        <v>150</v>
      </c>
      <c r="AF366" s="33" t="n"/>
      <c r="AG366" s="33" t="n"/>
      <c r="AH366" s="5" t="inlineStr"/>
    </row>
    <row r="367" ht="18" customHeight="1">
      <c r="A367" s="25" t="inlineStr">
        <is>
          <t>2425007090199</t>
        </is>
      </c>
      <c r="B367" s="34" t="inlineStr">
        <is>
          <t>餐厅-柜</t>
        </is>
      </c>
      <c r="C367" s="35" t="inlineStr">
        <is>
          <t>榉木餐边柜</t>
        </is>
      </c>
      <c r="D367" s="35" t="inlineStr">
        <is>
          <t>榉木餐边柜-整柜实木背板-1.5米</t>
        </is>
      </c>
      <c r="E367" s="34" t="inlineStr">
        <is>
          <t>德国进口AA级榉木</t>
        </is>
      </c>
      <c r="F367" s="34" t="inlineStr">
        <is>
          <t xml:space="preserve">抽屉围板：实木多层板
台面：白色岩板
背板：实木多层板
电力轨道：xpower 挂架式电力轨道
顶柜玻璃：灰玻
</t>
        </is>
      </c>
      <c r="G367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7" s="26" t="n">
        <v>5533.95</v>
      </c>
      <c r="I367" s="26" t="n">
        <v>3600</v>
      </c>
      <c r="J367" s="27" t="n">
        <v>0.48</v>
      </c>
      <c r="K367" s="28">
        <f>IFERROR(H367,0)</f>
        <v/>
      </c>
      <c r="L367" s="29" t="n">
        <v>0.4667</v>
      </c>
      <c r="M367" s="29" t="n">
        <v>0.1704</v>
      </c>
      <c r="N367" s="29" t="n">
        <v>0.1605</v>
      </c>
      <c r="O367" s="29" t="n">
        <v>0.1102</v>
      </c>
      <c r="P367" s="30">
        <f>IFERROR(IF(K367=0,"待填成本",ROUND(K367/(1-L367),0)),"" )</f>
        <v/>
      </c>
      <c r="Q367" s="30">
        <f>IFERROR(IF(K367=0,"待填成本",ROUND(K367/(1-M367),0)),"" )</f>
        <v/>
      </c>
      <c r="R367" s="30">
        <f>IFERROR(IF(K367=0,"待填成本",ROUND(K367/(1-N367),0)),"" )</f>
        <v/>
      </c>
      <c r="S367" s="30">
        <f>IFERROR(IF(K367=0,"待填成本",ROUND(K367/(1-O367),0)),"" )</f>
        <v/>
      </c>
      <c r="T367" s="31">
        <f>IFERROR(IF(K367=0,"",(P367-K367)/P367),"" )</f>
        <v/>
      </c>
      <c r="U367" s="31">
        <f>IFERROR(IF(K367=0,"",(Q367-K367)/Q367),"" )</f>
        <v/>
      </c>
      <c r="V367" s="31">
        <f>IFERROR(IF(K367=0,"",(R367-K367)/R367),"" )</f>
        <v/>
      </c>
      <c r="W367" s="31">
        <f>IFERROR(IF(K367=0,"",(S367-K367)/S367),"" )</f>
        <v/>
      </c>
      <c r="X367" s="36" t="n"/>
      <c r="Y367" s="36" t="n"/>
      <c r="Z367" s="36" t="n"/>
      <c r="AA367" s="37" t="n">
        <v>12.4775</v>
      </c>
      <c r="AB367" s="37" t="n">
        <v>6.813750000000001</v>
      </c>
      <c r="AC367" s="37" t="n">
        <v>16.4565</v>
      </c>
      <c r="AD367" s="37" t="n">
        <v>300</v>
      </c>
      <c r="AE367" s="37" t="n">
        <v>150</v>
      </c>
      <c r="AF367" s="33" t="n"/>
      <c r="AG367" s="33" t="n"/>
      <c r="AH367" s="35" t="inlineStr"/>
    </row>
    <row r="368" ht="18" customHeight="1">
      <c r="A368" s="25" t="inlineStr">
        <is>
          <t>2425007090199</t>
        </is>
      </c>
      <c r="B368" s="6" t="inlineStr">
        <is>
          <t>餐厅-柜</t>
        </is>
      </c>
      <c r="C368" s="5" t="inlineStr">
        <is>
          <t>榉木餐边柜</t>
        </is>
      </c>
      <c r="D368" s="5" t="inlineStr">
        <is>
          <t>榉木餐边柜-整柜实木背板-1.4米</t>
        </is>
      </c>
      <c r="E368" s="6" t="inlineStr">
        <is>
          <t>德国进口AA级榉木</t>
        </is>
      </c>
      <c r="F368" s="6" t="inlineStr">
        <is>
          <t xml:space="preserve">抽屉围板：实木多层板
台面：白色岩板
背板：实木多层板
电力轨道：xpower 挂架式电力轨道
顶柜玻璃：灰玻
</t>
        </is>
      </c>
      <c r="G368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8" s="26" t="n">
        <v>5373.283333333333</v>
      </c>
      <c r="I368" s="26" t="n">
        <v>3533.333333333333</v>
      </c>
      <c r="J368" s="27" t="n">
        <v>0.48</v>
      </c>
      <c r="K368" s="28">
        <f>IFERROR(H368,0)</f>
        <v/>
      </c>
      <c r="L368" s="29" t="n">
        <v>0.4667</v>
      </c>
      <c r="M368" s="29" t="n">
        <v>0.1705</v>
      </c>
      <c r="N368" s="29" t="n">
        <v>0.1604</v>
      </c>
      <c r="O368" s="29" t="n">
        <v>0.1136</v>
      </c>
      <c r="P368" s="30">
        <f>IFERROR(IF(K368=0,"待填成本",ROUND(K368/(1-L368),0)),"" )</f>
        <v/>
      </c>
      <c r="Q368" s="30">
        <f>IFERROR(IF(K368=0,"待填成本",ROUND(K368/(1-M368),0)),"" )</f>
        <v/>
      </c>
      <c r="R368" s="30">
        <f>IFERROR(IF(K368=0,"待填成本",ROUND(K368/(1-N368),0)),"" )</f>
        <v/>
      </c>
      <c r="S368" s="30">
        <f>IFERROR(IF(K368=0,"待填成本",ROUND(K368/(1-O368),0)),"" )</f>
        <v/>
      </c>
      <c r="T368" s="31">
        <f>IFERROR(IF(K368=0,"",(P368-K368)/P368),"" )</f>
        <v/>
      </c>
      <c r="U368" s="31">
        <f>IFERROR(IF(K368=0,"",(Q368-K368)/Q368),"" )</f>
        <v/>
      </c>
      <c r="V368" s="31">
        <f>IFERROR(IF(K368=0,"",(R368-K368)/R368),"" )</f>
        <v/>
      </c>
      <c r="W368" s="31">
        <f>IFERROR(IF(K368=0,"",(S368-K368)/S368),"" )</f>
        <v/>
      </c>
      <c r="X368" s="32" t="n"/>
      <c r="Y368" s="32" t="n"/>
      <c r="Z368" s="32" t="n"/>
      <c r="AA368" s="37" t="n">
        <v>12.16125</v>
      </c>
      <c r="AB368" s="37" t="n">
        <v>6.4975</v>
      </c>
      <c r="AC368" s="37" t="n">
        <v>16.169</v>
      </c>
      <c r="AD368" s="37" t="n">
        <v>300</v>
      </c>
      <c r="AE368" s="37" t="n">
        <v>150</v>
      </c>
      <c r="AF368" s="33" t="n"/>
      <c r="AG368" s="33" t="n"/>
      <c r="AH368" s="5" t="inlineStr"/>
    </row>
    <row r="369" ht="18" customHeight="1">
      <c r="A369" s="25" t="inlineStr">
        <is>
          <t>2425007090199</t>
        </is>
      </c>
      <c r="B369" s="34" t="inlineStr">
        <is>
          <t>餐厅-柜</t>
        </is>
      </c>
      <c r="C369" s="35" t="inlineStr">
        <is>
          <t>榉木餐边柜</t>
        </is>
      </c>
      <c r="D369" s="35" t="inlineStr">
        <is>
          <t>榉木餐边柜-整柜实木背板-1.3米</t>
        </is>
      </c>
      <c r="E369" s="34" t="inlineStr">
        <is>
          <t>德国进口AA级榉木</t>
        </is>
      </c>
      <c r="F369" s="34" t="inlineStr">
        <is>
          <t xml:space="preserve">抽屉围板：实木多层板
台面：白色岩板
背板：实木多层板
电力轨道：xpower 挂架式电力轨道
顶柜玻璃：灰玻
</t>
        </is>
      </c>
      <c r="G369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69" s="26" t="n">
        <v>5212.616666666666</v>
      </c>
      <c r="I369" s="26" t="n">
        <v>3466.666666666667</v>
      </c>
      <c r="J369" s="27" t="n">
        <v>0.48</v>
      </c>
      <c r="K369" s="28">
        <f>IFERROR(H369,0)</f>
        <v/>
      </c>
      <c r="L369" s="29" t="n">
        <v>0.4668</v>
      </c>
      <c r="M369" s="29" t="n">
        <v>0.1706</v>
      </c>
      <c r="N369" s="29" t="n">
        <v>0.1603</v>
      </c>
      <c r="O369" s="29" t="n">
        <v>0.1172</v>
      </c>
      <c r="P369" s="30">
        <f>IFERROR(IF(K369=0,"待填成本",ROUND(K369/(1-L369),0)),"" )</f>
        <v/>
      </c>
      <c r="Q369" s="30">
        <f>IFERROR(IF(K369=0,"待填成本",ROUND(K369/(1-M369),0)),"" )</f>
        <v/>
      </c>
      <c r="R369" s="30">
        <f>IFERROR(IF(K369=0,"待填成本",ROUND(K369/(1-N369),0)),"" )</f>
        <v/>
      </c>
      <c r="S369" s="30">
        <f>IFERROR(IF(K369=0,"待填成本",ROUND(K369/(1-O369),0)),"" )</f>
        <v/>
      </c>
      <c r="T369" s="31">
        <f>IFERROR(IF(K369=0,"",(P369-K369)/P369),"" )</f>
        <v/>
      </c>
      <c r="U369" s="31">
        <f>IFERROR(IF(K369=0,"",(Q369-K369)/Q369),"" )</f>
        <v/>
      </c>
      <c r="V369" s="31">
        <f>IFERROR(IF(K369=0,"",(R369-K369)/R369),"" )</f>
        <v/>
      </c>
      <c r="W369" s="31">
        <f>IFERROR(IF(K369=0,"",(S369-K369)/S369),"" )</f>
        <v/>
      </c>
      <c r="X369" s="36" t="n"/>
      <c r="Y369" s="36" t="n"/>
      <c r="Z369" s="36" t="n"/>
      <c r="AA369" s="37" t="n">
        <v>11.845</v>
      </c>
      <c r="AB369" s="37" t="n">
        <v>6.18125</v>
      </c>
      <c r="AC369" s="37" t="n">
        <v>15.8815</v>
      </c>
      <c r="AD369" s="37" t="n">
        <v>300</v>
      </c>
      <c r="AE369" s="37" t="n">
        <v>150</v>
      </c>
      <c r="AF369" s="33" t="n"/>
      <c r="AG369" s="33" t="n"/>
      <c r="AH369" s="35" t="inlineStr"/>
    </row>
    <row r="370" ht="18" customHeight="1">
      <c r="A370" s="25" t="inlineStr">
        <is>
          <t>2425007090199</t>
        </is>
      </c>
      <c r="B370" s="6" t="inlineStr">
        <is>
          <t>餐厅-柜</t>
        </is>
      </c>
      <c r="C370" s="5" t="inlineStr">
        <is>
          <t>榉木餐边柜</t>
        </is>
      </c>
      <c r="D370" s="5" t="inlineStr">
        <is>
          <t>榉木餐边柜-整柜实木背板-1.2米</t>
        </is>
      </c>
      <c r="E370" s="6" t="inlineStr">
        <is>
          <t>德国进口AA级榉木</t>
        </is>
      </c>
      <c r="F370" s="6" t="inlineStr">
        <is>
          <t xml:space="preserve">抽屉围板：实木多层板
台面：白色岩板
背板：实木多层板
电力轨道：xpower 挂架式电力轨道
顶柜玻璃：灰玻
</t>
        </is>
      </c>
      <c r="G370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0" s="26" t="n">
        <v>5051.95</v>
      </c>
      <c r="I370" s="26" t="n">
        <v>3400</v>
      </c>
      <c r="J370" s="27" t="n">
        <v>0.48</v>
      </c>
      <c r="K370" s="28">
        <f>IFERROR(H370,0)</f>
        <v/>
      </c>
      <c r="L370" s="29" t="n">
        <v>0.4668</v>
      </c>
      <c r="M370" s="29" t="n">
        <v>0.1708</v>
      </c>
      <c r="N370" s="29" t="n">
        <v>0.1601</v>
      </c>
      <c r="O370" s="29" t="n">
        <v>0.121</v>
      </c>
      <c r="P370" s="30">
        <f>IFERROR(IF(K370=0,"待填成本",ROUND(K370/(1-L370),0)),"" )</f>
        <v/>
      </c>
      <c r="Q370" s="30">
        <f>IFERROR(IF(K370=0,"待填成本",ROUND(K370/(1-M370),0)),"" )</f>
        <v/>
      </c>
      <c r="R370" s="30">
        <f>IFERROR(IF(K370=0,"待填成本",ROUND(K370/(1-N370),0)),"" )</f>
        <v/>
      </c>
      <c r="S370" s="30">
        <f>IFERROR(IF(K370=0,"待填成本",ROUND(K370/(1-O370),0)),"" )</f>
        <v/>
      </c>
      <c r="T370" s="31">
        <f>IFERROR(IF(K370=0,"",(P370-K370)/P370),"" )</f>
        <v/>
      </c>
      <c r="U370" s="31">
        <f>IFERROR(IF(K370=0,"",(Q370-K370)/Q370),"" )</f>
        <v/>
      </c>
      <c r="V370" s="31">
        <f>IFERROR(IF(K370=0,"",(R370-K370)/R370),"" )</f>
        <v/>
      </c>
      <c r="W370" s="31">
        <f>IFERROR(IF(K370=0,"",(S370-K370)/S370),"" )</f>
        <v/>
      </c>
      <c r="X370" s="32" t="n"/>
      <c r="Y370" s="32" t="n"/>
      <c r="Z370" s="32" t="n"/>
      <c r="AA370" s="37" t="n">
        <v>11.52875</v>
      </c>
      <c r="AB370" s="37" t="n">
        <v>5.864999999999999</v>
      </c>
      <c r="AC370" s="37" t="n">
        <v>15.594</v>
      </c>
      <c r="AD370" s="37" t="n">
        <v>300</v>
      </c>
      <c r="AE370" s="37" t="n">
        <v>150</v>
      </c>
      <c r="AF370" s="33" t="n"/>
      <c r="AG370" s="33" t="n"/>
      <c r="AH370" s="5" t="inlineStr"/>
    </row>
    <row r="371" ht="18" customHeight="1">
      <c r="A371" s="25" t="inlineStr">
        <is>
          <t>2425007090199</t>
        </is>
      </c>
      <c r="B371" s="34" t="inlineStr">
        <is>
          <t>餐厅-柜</t>
        </is>
      </c>
      <c r="C371" s="35" t="inlineStr">
        <is>
          <t>榉木餐边柜</t>
        </is>
      </c>
      <c r="D371" s="35" t="inlineStr">
        <is>
          <t>榉木餐边柜-整柜实木背板-1.1米</t>
        </is>
      </c>
      <c r="E371" s="34" t="inlineStr">
        <is>
          <t>德国进口AA级榉木</t>
        </is>
      </c>
      <c r="F371" s="34" t="inlineStr">
        <is>
          <t xml:space="preserve">抽屉围板：实木多层板
台面：白色岩板
背板：实木多层板
电力轨道：xpower 挂架式电力轨道
顶柜玻璃：灰玻
</t>
        </is>
      </c>
      <c r="G371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1" s="26" t="n">
        <v>4891.283333333333</v>
      </c>
      <c r="I371" s="26" t="n">
        <v>3333.333333333333</v>
      </c>
      <c r="J371" s="27" t="n">
        <v>0.48</v>
      </c>
      <c r="K371" s="28">
        <f>IFERROR(H371,0)</f>
        <v/>
      </c>
      <c r="L371" s="29" t="n">
        <v>0.4669</v>
      </c>
      <c r="M371" s="29" t="n">
        <v>0.171</v>
      </c>
      <c r="N371" s="29" t="n">
        <v>0.1599</v>
      </c>
      <c r="O371" s="29" t="n">
        <v>0.125</v>
      </c>
      <c r="P371" s="30">
        <f>IFERROR(IF(K371=0,"待填成本",ROUND(K371/(1-L371),0)),"" )</f>
        <v/>
      </c>
      <c r="Q371" s="30">
        <f>IFERROR(IF(K371=0,"待填成本",ROUND(K371/(1-M371),0)),"" )</f>
        <v/>
      </c>
      <c r="R371" s="30">
        <f>IFERROR(IF(K371=0,"待填成本",ROUND(K371/(1-N371),0)),"" )</f>
        <v/>
      </c>
      <c r="S371" s="30">
        <f>IFERROR(IF(K371=0,"待填成本",ROUND(K371/(1-O371),0)),"" )</f>
        <v/>
      </c>
      <c r="T371" s="31">
        <f>IFERROR(IF(K371=0,"",(P371-K371)/P371),"" )</f>
        <v/>
      </c>
      <c r="U371" s="31">
        <f>IFERROR(IF(K371=0,"",(Q371-K371)/Q371),"" )</f>
        <v/>
      </c>
      <c r="V371" s="31">
        <f>IFERROR(IF(K371=0,"",(R371-K371)/R371),"" )</f>
        <v/>
      </c>
      <c r="W371" s="31">
        <f>IFERROR(IF(K371=0,"",(S371-K371)/S371),"" )</f>
        <v/>
      </c>
      <c r="X371" s="36" t="n"/>
      <c r="Y371" s="36" t="n"/>
      <c r="Z371" s="36" t="n"/>
      <c r="AA371" s="37" t="n">
        <v>11.2125</v>
      </c>
      <c r="AB371" s="37" t="n">
        <v>5.548749999999999</v>
      </c>
      <c r="AC371" s="37" t="n">
        <v>15.3065</v>
      </c>
      <c r="AD371" s="37" t="n">
        <v>300</v>
      </c>
      <c r="AE371" s="37" t="n">
        <v>150</v>
      </c>
      <c r="AF371" s="33" t="n"/>
      <c r="AG371" s="33" t="n"/>
      <c r="AH371" s="35" t="inlineStr"/>
    </row>
    <row r="372" ht="18" customHeight="1">
      <c r="A372" s="25" t="inlineStr">
        <is>
          <t>2425007090199</t>
        </is>
      </c>
      <c r="B372" s="6" t="inlineStr">
        <is>
          <t>餐厅-柜</t>
        </is>
      </c>
      <c r="C372" s="5" t="inlineStr">
        <is>
          <t>榉木餐边柜</t>
        </is>
      </c>
      <c r="D372" s="5" t="inlineStr">
        <is>
          <t>榉木餐边柜-整柜实木背板-1.0米</t>
        </is>
      </c>
      <c r="E372" s="6" t="inlineStr">
        <is>
          <t>德国进口AA级榉木</t>
        </is>
      </c>
      <c r="F372" s="6" t="inlineStr">
        <is>
          <t xml:space="preserve">抽屉围板：实木多层板
台面：白色岩板
背板：实木多层板
电力轨道：xpower 挂架式电力轨道
顶柜玻璃：灰玻
</t>
        </is>
      </c>
      <c r="G372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2" s="26" t="n">
        <v>4730.616666666666</v>
      </c>
      <c r="I372" s="26" t="n">
        <v>3266.666666666667</v>
      </c>
      <c r="J372" s="27" t="n">
        <v>0.48</v>
      </c>
      <c r="K372" s="28">
        <f>IFERROR(H372,0)</f>
        <v/>
      </c>
      <c r="L372" s="29" t="n">
        <v>0.467</v>
      </c>
      <c r="M372" s="29" t="n">
        <v>0.1711</v>
      </c>
      <c r="N372" s="29" t="n">
        <v>0.1597</v>
      </c>
      <c r="O372" s="29" t="n">
        <v>0.1292</v>
      </c>
      <c r="P372" s="30">
        <f>IFERROR(IF(K372=0,"待填成本",ROUND(K372/(1-L372),0)),"" )</f>
        <v/>
      </c>
      <c r="Q372" s="30">
        <f>IFERROR(IF(K372=0,"待填成本",ROUND(K372/(1-M372),0)),"" )</f>
        <v/>
      </c>
      <c r="R372" s="30">
        <f>IFERROR(IF(K372=0,"待填成本",ROUND(K372/(1-N372),0)),"" )</f>
        <v/>
      </c>
      <c r="S372" s="30">
        <f>IFERROR(IF(K372=0,"待填成本",ROUND(K372/(1-O372),0)),"" )</f>
        <v/>
      </c>
      <c r="T372" s="31">
        <f>IFERROR(IF(K372=0,"",(P372-K372)/P372),"" )</f>
        <v/>
      </c>
      <c r="U372" s="31">
        <f>IFERROR(IF(K372=0,"",(Q372-K372)/Q372),"" )</f>
        <v/>
      </c>
      <c r="V372" s="31">
        <f>IFERROR(IF(K372=0,"",(R372-K372)/R372),"" )</f>
        <v/>
      </c>
      <c r="W372" s="31">
        <f>IFERROR(IF(K372=0,"",(S372-K372)/S372),"" )</f>
        <v/>
      </c>
      <c r="X372" s="32" t="n"/>
      <c r="Y372" s="32" t="n"/>
      <c r="Z372" s="32" t="n"/>
      <c r="AA372" s="37" t="n">
        <v>10.89625</v>
      </c>
      <c r="AB372" s="37" t="n">
        <v>5.232499999999999</v>
      </c>
      <c r="AC372" s="37" t="n">
        <v>15.019</v>
      </c>
      <c r="AD372" s="37" t="n">
        <v>300</v>
      </c>
      <c r="AE372" s="37" t="n">
        <v>150</v>
      </c>
      <c r="AF372" s="33" t="n"/>
      <c r="AG372" s="33" t="n"/>
      <c r="AH372" s="5" t="inlineStr"/>
    </row>
    <row r="373" ht="18" customHeight="1">
      <c r="A373" s="25" t="inlineStr">
        <is>
          <t>2425007090199</t>
        </is>
      </c>
      <c r="B373" s="34" t="inlineStr">
        <is>
          <t>餐厅-柜</t>
        </is>
      </c>
      <c r="C373" s="35" t="inlineStr">
        <is>
          <t>榉木餐边柜</t>
        </is>
      </c>
      <c r="D373" s="35" t="inlineStr">
        <is>
          <t>榉木餐边柜-整柜洞洞板背板-2.1米</t>
        </is>
      </c>
      <c r="E373" s="34" t="inlineStr">
        <is>
          <t>德国进口AA级榉木</t>
        </is>
      </c>
      <c r="F373" s="34" t="inlineStr">
        <is>
          <t xml:space="preserve">抽屉围板：实木多层板
台面：白色岩板
背板：实木多层板
电力轨道：xpower 挂架式电力轨道
顶柜玻璃：灰玻
</t>
        </is>
      </c>
      <c r="G373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3" s="26" t="n">
        <v>5671.95</v>
      </c>
      <c r="I373" s="26" t="n">
        <v>4100</v>
      </c>
      <c r="J373" s="27" t="n">
        <v>0.48</v>
      </c>
      <c r="K373" s="28">
        <f>IFERROR(H373,0)</f>
        <v/>
      </c>
      <c r="L373" s="29" t="n">
        <v>0.4669</v>
      </c>
      <c r="M373" s="29" t="n">
        <v>0.1702</v>
      </c>
      <c r="N373" s="29" t="n">
        <v>0.1506</v>
      </c>
      <c r="O373" s="29" t="n">
        <v>0.161</v>
      </c>
      <c r="P373" s="30">
        <f>IFERROR(IF(K373=0,"待填成本",ROUND(K373/(1-L373),0)),"" )</f>
        <v/>
      </c>
      <c r="Q373" s="30">
        <f>IFERROR(IF(K373=0,"待填成本",ROUND(K373/(1-M373),0)),"" )</f>
        <v/>
      </c>
      <c r="R373" s="30">
        <f>IFERROR(IF(K373=0,"待填成本",ROUND(K373/(1-N373),0)),"" )</f>
        <v/>
      </c>
      <c r="S373" s="30">
        <f>IFERROR(IF(K373=0,"待填成本",ROUND(K373/(1-O373),0)),"" )</f>
        <v/>
      </c>
      <c r="T373" s="31">
        <f>IFERROR(IF(K373=0,"",(P373-K373)/P373),"" )</f>
        <v/>
      </c>
      <c r="U373" s="31">
        <f>IFERROR(IF(K373=0,"",(Q373-K373)/Q373),"" )</f>
        <v/>
      </c>
      <c r="V373" s="31">
        <f>IFERROR(IF(K373=0,"",(R373-K373)/R373),"" )</f>
        <v/>
      </c>
      <c r="W373" s="31">
        <f>IFERROR(IF(K373=0,"",(S373-K373)/S373),"" )</f>
        <v/>
      </c>
      <c r="X373" s="36" t="n"/>
      <c r="Y373" s="36" t="n"/>
      <c r="Z373" s="36" t="n"/>
      <c r="AA373" s="37" t="n">
        <v>15.8125</v>
      </c>
      <c r="AB373" s="37" t="n">
        <v>11.12625</v>
      </c>
      <c r="AC373" s="37" t="n">
        <v>18.1815</v>
      </c>
      <c r="AD373" s="37" t="n">
        <v>300</v>
      </c>
      <c r="AE373" s="37" t="n">
        <v>150</v>
      </c>
      <c r="AF373" s="33" t="n"/>
      <c r="AG373" s="33" t="n"/>
      <c r="AH373" s="35" t="inlineStr"/>
    </row>
    <row r="374" ht="18" customHeight="1">
      <c r="A374" s="25" t="inlineStr">
        <is>
          <t>2425007090199</t>
        </is>
      </c>
      <c r="B374" s="6" t="inlineStr">
        <is>
          <t>餐厅-柜</t>
        </is>
      </c>
      <c r="C374" s="5" t="inlineStr">
        <is>
          <t>榉木餐边柜</t>
        </is>
      </c>
      <c r="D374" s="5" t="inlineStr">
        <is>
          <t>榉木餐边柜-整柜洞洞板背板-2.0米</t>
        </is>
      </c>
      <c r="E374" s="6" t="inlineStr">
        <is>
          <t>德国进口AA级榉木</t>
        </is>
      </c>
      <c r="F374" s="6" t="inlineStr">
        <is>
          <t xml:space="preserve">抽屉围板：实木多层板
台面：白色岩板
背板：实木多层板
电力轨道：xpower 挂架式电力轨道
顶柜玻璃：灰玻
</t>
        </is>
      </c>
      <c r="G374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4" s="26" t="n">
        <v>5561.95</v>
      </c>
      <c r="I374" s="26" t="n">
        <v>4066.666666666667</v>
      </c>
      <c r="J374" s="27" t="n">
        <v>0.48</v>
      </c>
      <c r="K374" s="28">
        <f>IFERROR(H374,0)</f>
        <v/>
      </c>
      <c r="L374" s="29" t="n">
        <v>0.4668</v>
      </c>
      <c r="M374" s="29" t="n">
        <v>0.1704</v>
      </c>
      <c r="N374" s="29" t="n">
        <v>0.1504</v>
      </c>
      <c r="O374" s="29" t="n">
        <v>0.161</v>
      </c>
      <c r="P374" s="30">
        <f>IFERROR(IF(K374=0,"待填成本",ROUND(K374/(1-L374),0)),"" )</f>
        <v/>
      </c>
      <c r="Q374" s="30">
        <f>IFERROR(IF(K374=0,"待填成本",ROUND(K374/(1-M374),0)),"" )</f>
        <v/>
      </c>
      <c r="R374" s="30">
        <f>IFERROR(IF(K374=0,"待填成本",ROUND(K374/(1-N374),0)),"" )</f>
        <v/>
      </c>
      <c r="S374" s="30">
        <f>IFERROR(IF(K374=0,"待填成本",ROUND(K374/(1-O374),0)),"" )</f>
        <v/>
      </c>
      <c r="T374" s="31">
        <f>IFERROR(IF(K374=0,"",(P374-K374)/P374),"" )</f>
        <v/>
      </c>
      <c r="U374" s="31">
        <f>IFERROR(IF(K374=0,"",(Q374-K374)/Q374),"" )</f>
        <v/>
      </c>
      <c r="V374" s="31">
        <f>IFERROR(IF(K374=0,"",(R374-K374)/R374),"" )</f>
        <v/>
      </c>
      <c r="W374" s="31">
        <f>IFERROR(IF(K374=0,"",(S374-K374)/S374),"" )</f>
        <v/>
      </c>
      <c r="X374" s="32" t="n"/>
      <c r="Y374" s="32" t="n"/>
      <c r="Z374" s="32" t="n"/>
      <c r="AA374" s="37" t="n">
        <v>15.25666666666667</v>
      </c>
      <c r="AB374" s="37" t="n">
        <v>10.695</v>
      </c>
      <c r="AC374" s="37" t="n">
        <v>17.894</v>
      </c>
      <c r="AD374" s="37" t="n">
        <v>300</v>
      </c>
      <c r="AE374" s="37" t="n">
        <v>150</v>
      </c>
      <c r="AF374" s="33" t="n"/>
      <c r="AG374" s="33" t="n"/>
      <c r="AH374" s="5" t="inlineStr"/>
    </row>
    <row r="375" ht="18" customHeight="1">
      <c r="A375" s="25" t="inlineStr">
        <is>
          <t>2425007090199</t>
        </is>
      </c>
      <c r="B375" s="34" t="inlineStr">
        <is>
          <t>餐厅-柜</t>
        </is>
      </c>
      <c r="C375" s="35" t="inlineStr">
        <is>
          <t>榉木餐边柜</t>
        </is>
      </c>
      <c r="D375" s="35" t="inlineStr">
        <is>
          <t>榉木餐边柜-整柜洞洞板背板-1.9米</t>
        </is>
      </c>
      <c r="E375" s="34" t="inlineStr">
        <is>
          <t>德国进口AA级榉木</t>
        </is>
      </c>
      <c r="F375" s="34" t="inlineStr">
        <is>
          <t xml:space="preserve">抽屉围板：实木多层板
台面：白色岩板
背板：实木多层板
电力轨道：xpower 挂架式电力轨道
顶柜玻璃：灰玻
</t>
        </is>
      </c>
      <c r="G375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5" s="26" t="n">
        <v>5451.95</v>
      </c>
      <c r="I375" s="26" t="n">
        <v>4033.333333333333</v>
      </c>
      <c r="J375" s="27" t="n">
        <v>0.48</v>
      </c>
      <c r="K375" s="28">
        <f>IFERROR(H375,0)</f>
        <v/>
      </c>
      <c r="L375" s="29" t="n">
        <v>0.4667</v>
      </c>
      <c r="M375" s="29" t="n">
        <v>0.1705</v>
      </c>
      <c r="N375" s="29" t="n">
        <v>0.1502</v>
      </c>
      <c r="O375" s="29" t="n">
        <v>0.161</v>
      </c>
      <c r="P375" s="30">
        <f>IFERROR(IF(K375=0,"待填成本",ROUND(K375/(1-L375),0)),"" )</f>
        <v/>
      </c>
      <c r="Q375" s="30">
        <f>IFERROR(IF(K375=0,"待填成本",ROUND(K375/(1-M375),0)),"" )</f>
        <v/>
      </c>
      <c r="R375" s="30">
        <f>IFERROR(IF(K375=0,"待填成本",ROUND(K375/(1-N375),0)),"" )</f>
        <v/>
      </c>
      <c r="S375" s="30">
        <f>IFERROR(IF(K375=0,"待填成本",ROUND(K375/(1-O375),0)),"" )</f>
        <v/>
      </c>
      <c r="T375" s="31">
        <f>IFERROR(IF(K375=0,"",(P375-K375)/P375),"" )</f>
        <v/>
      </c>
      <c r="U375" s="31">
        <f>IFERROR(IF(K375=0,"",(Q375-K375)/Q375),"" )</f>
        <v/>
      </c>
      <c r="V375" s="31">
        <f>IFERROR(IF(K375=0,"",(R375-K375)/R375),"" )</f>
        <v/>
      </c>
      <c r="W375" s="31">
        <f>IFERROR(IF(K375=0,"",(S375-K375)/S375),"" )</f>
        <v/>
      </c>
      <c r="X375" s="36" t="n"/>
      <c r="Y375" s="36" t="n"/>
      <c r="Z375" s="36" t="n"/>
      <c r="AA375" s="37" t="n">
        <v>14.70083333333333</v>
      </c>
      <c r="AB375" s="37" t="n">
        <v>10.26375</v>
      </c>
      <c r="AC375" s="37" t="n">
        <v>17.6065</v>
      </c>
      <c r="AD375" s="37" t="n">
        <v>300</v>
      </c>
      <c r="AE375" s="37" t="n">
        <v>150</v>
      </c>
      <c r="AF375" s="33" t="n"/>
      <c r="AG375" s="33" t="n"/>
      <c r="AH375" s="35" t="inlineStr"/>
    </row>
    <row r="376" ht="18" customHeight="1">
      <c r="A376" s="25" t="inlineStr">
        <is>
          <t>2425007090199</t>
        </is>
      </c>
      <c r="B376" s="6" t="inlineStr">
        <is>
          <t>餐厅-柜</t>
        </is>
      </c>
      <c r="C376" s="5" t="inlineStr">
        <is>
          <t>榉木餐边柜</t>
        </is>
      </c>
      <c r="D376" s="5" t="inlineStr">
        <is>
          <t>榉木餐边柜-整柜洞洞板背板-1.8米</t>
        </is>
      </c>
      <c r="E376" s="6" t="inlineStr">
        <is>
          <t>德国进口AA级榉木</t>
        </is>
      </c>
      <c r="F376" s="6" t="inlineStr">
        <is>
          <t xml:space="preserve">抽屉围板：实木多层板
台面：白色岩板
背板：实木多层板
电力轨道：xpower 挂架式电力轨道
顶柜玻璃：灰玻
</t>
        </is>
      </c>
      <c r="G376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6" s="26" t="n">
        <v>5341.95</v>
      </c>
      <c r="I376" s="26" t="n">
        <v>4000</v>
      </c>
      <c r="J376" s="27" t="n">
        <v>0.48</v>
      </c>
      <c r="K376" s="28">
        <f>IFERROR(H376,0)</f>
        <v/>
      </c>
      <c r="L376" s="29" t="n">
        <v>0.4667</v>
      </c>
      <c r="M376" s="29" t="n">
        <v>0.1707</v>
      </c>
      <c r="N376" s="29" t="n">
        <v>0.15</v>
      </c>
      <c r="O376" s="29" t="n">
        <v>0.1611</v>
      </c>
      <c r="P376" s="30">
        <f>IFERROR(IF(K376=0,"待填成本",ROUND(K376/(1-L376),0)),"" )</f>
        <v/>
      </c>
      <c r="Q376" s="30">
        <f>IFERROR(IF(K376=0,"待填成本",ROUND(K376/(1-M376),0)),"" )</f>
        <v/>
      </c>
      <c r="R376" s="30">
        <f>IFERROR(IF(K376=0,"待填成本",ROUND(K376/(1-N376),0)),"" )</f>
        <v/>
      </c>
      <c r="S376" s="30">
        <f>IFERROR(IF(K376=0,"待填成本",ROUND(K376/(1-O376),0)),"" )</f>
        <v/>
      </c>
      <c r="T376" s="31">
        <f>IFERROR(IF(K376=0,"",(P376-K376)/P376),"" )</f>
        <v/>
      </c>
      <c r="U376" s="31">
        <f>IFERROR(IF(K376=0,"",(Q376-K376)/Q376),"" )</f>
        <v/>
      </c>
      <c r="V376" s="31">
        <f>IFERROR(IF(K376=0,"",(R376-K376)/R376),"" )</f>
        <v/>
      </c>
      <c r="W376" s="31">
        <f>IFERROR(IF(K376=0,"",(S376-K376)/S376),"" )</f>
        <v/>
      </c>
      <c r="X376" s="32" t="n"/>
      <c r="Y376" s="32" t="n"/>
      <c r="Z376" s="32" t="n"/>
      <c r="AA376" s="37" t="n">
        <v>14.145</v>
      </c>
      <c r="AB376" s="37" t="n">
        <v>9.8325</v>
      </c>
      <c r="AC376" s="37" t="n">
        <v>17.319</v>
      </c>
      <c r="AD376" s="37" t="n">
        <v>300</v>
      </c>
      <c r="AE376" s="37" t="n">
        <v>150</v>
      </c>
      <c r="AF376" s="33" t="n"/>
      <c r="AG376" s="33" t="n"/>
      <c r="AH376" s="5" t="inlineStr"/>
    </row>
    <row r="377" ht="18" customHeight="1">
      <c r="A377" s="25" t="inlineStr">
        <is>
          <t>2425007090199</t>
        </is>
      </c>
      <c r="B377" s="34" t="inlineStr">
        <is>
          <t>餐厅-柜</t>
        </is>
      </c>
      <c r="C377" s="35" t="inlineStr">
        <is>
          <t>榉木餐边柜</t>
        </is>
      </c>
      <c r="D377" s="35" t="inlineStr">
        <is>
          <t>榉木餐边柜-整柜洞洞板背板-1.7米</t>
        </is>
      </c>
      <c r="E377" s="34" t="inlineStr">
        <is>
          <t>德国进口AA级榉木</t>
        </is>
      </c>
      <c r="F377" s="34" t="inlineStr">
        <is>
          <t xml:space="preserve">抽屉围板：实木多层板
台面：白色岩板
背板：实木多层板
电力轨道：xpower 挂架式电力轨道
顶柜玻璃：灰玻
</t>
        </is>
      </c>
      <c r="G377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7" s="26" t="n">
        <v>5206.283333333333</v>
      </c>
      <c r="I377" s="26" t="n">
        <v>3900</v>
      </c>
      <c r="J377" s="27" t="n">
        <v>0.48</v>
      </c>
      <c r="K377" s="28">
        <f>IFERROR(H377,0)</f>
        <v/>
      </c>
      <c r="L377" s="29" t="n">
        <v>0.4668</v>
      </c>
      <c r="M377" s="29" t="n">
        <v>0.1707</v>
      </c>
      <c r="N377" s="29" t="n">
        <v>0.1503</v>
      </c>
      <c r="O377" s="29" t="n">
        <v>0.161</v>
      </c>
      <c r="P377" s="30">
        <f>IFERROR(IF(K377=0,"待填成本",ROUND(K377/(1-L377),0)),"" )</f>
        <v/>
      </c>
      <c r="Q377" s="30">
        <f>IFERROR(IF(K377=0,"待填成本",ROUND(K377/(1-M377),0)),"" )</f>
        <v/>
      </c>
      <c r="R377" s="30">
        <f>IFERROR(IF(K377=0,"待填成本",ROUND(K377/(1-N377),0)),"" )</f>
        <v/>
      </c>
      <c r="S377" s="30">
        <f>IFERROR(IF(K377=0,"待填成本",ROUND(K377/(1-O377),0)),"" )</f>
        <v/>
      </c>
      <c r="T377" s="31">
        <f>IFERROR(IF(K377=0,"",(P377-K377)/P377),"" )</f>
        <v/>
      </c>
      <c r="U377" s="31">
        <f>IFERROR(IF(K377=0,"",(Q377-K377)/Q377),"" )</f>
        <v/>
      </c>
      <c r="V377" s="31">
        <f>IFERROR(IF(K377=0,"",(R377-K377)/R377),"" )</f>
        <v/>
      </c>
      <c r="W377" s="31">
        <f>IFERROR(IF(K377=0,"",(S377-K377)/S377),"" )</f>
        <v/>
      </c>
      <c r="X377" s="36" t="n"/>
      <c r="Y377" s="36" t="n"/>
      <c r="Z377" s="36" t="n"/>
      <c r="AA377" s="37" t="n">
        <v>13.58916666666667</v>
      </c>
      <c r="AB377" s="37" t="n">
        <v>9.401249999999999</v>
      </c>
      <c r="AC377" s="37" t="n">
        <v>17.0315</v>
      </c>
      <c r="AD377" s="37" t="n">
        <v>300</v>
      </c>
      <c r="AE377" s="37" t="n">
        <v>150</v>
      </c>
      <c r="AF377" s="33" t="n"/>
      <c r="AG377" s="33" t="n"/>
      <c r="AH377" s="35" t="inlineStr"/>
    </row>
    <row r="378" ht="18" customHeight="1">
      <c r="A378" s="25" t="inlineStr">
        <is>
          <t>2425007090199</t>
        </is>
      </c>
      <c r="B378" s="6" t="inlineStr">
        <is>
          <t>餐厅-柜</t>
        </is>
      </c>
      <c r="C378" s="5" t="inlineStr">
        <is>
          <t>榉木餐边柜</t>
        </is>
      </c>
      <c r="D378" s="5" t="inlineStr">
        <is>
          <t>榉木餐边柜-整柜洞洞板背板-1.6米</t>
        </is>
      </c>
      <c r="E378" s="6" t="inlineStr">
        <is>
          <t>德国进口AA级榉木</t>
        </is>
      </c>
      <c r="F378" s="6" t="inlineStr">
        <is>
          <t xml:space="preserve">抽屉围板：实木多层板
台面：白色岩板
背板：实木多层板
电力轨道：xpower 挂架式电力轨道
顶柜玻璃：灰玻
</t>
        </is>
      </c>
      <c r="G378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8" s="26" t="n">
        <v>5070.616666666666</v>
      </c>
      <c r="I378" s="26" t="n">
        <v>3800</v>
      </c>
      <c r="J378" s="27" t="n">
        <v>0.48</v>
      </c>
      <c r="K378" s="28">
        <f>IFERROR(H378,0)</f>
        <v/>
      </c>
      <c r="L378" s="29" t="n">
        <v>0.4669</v>
      </c>
      <c r="M378" s="29" t="n">
        <v>0.1706</v>
      </c>
      <c r="N378" s="29" t="n">
        <v>0.1506</v>
      </c>
      <c r="O378" s="29" t="n">
        <v>0.1609</v>
      </c>
      <c r="P378" s="30">
        <f>IFERROR(IF(K378=0,"待填成本",ROUND(K378/(1-L378),0)),"" )</f>
        <v/>
      </c>
      <c r="Q378" s="30">
        <f>IFERROR(IF(K378=0,"待填成本",ROUND(K378/(1-M378),0)),"" )</f>
        <v/>
      </c>
      <c r="R378" s="30">
        <f>IFERROR(IF(K378=0,"待填成本",ROUND(K378/(1-N378),0)),"" )</f>
        <v/>
      </c>
      <c r="S378" s="30">
        <f>IFERROR(IF(K378=0,"待填成本",ROUND(K378/(1-O378),0)),"" )</f>
        <v/>
      </c>
      <c r="T378" s="31">
        <f>IFERROR(IF(K378=0,"",(P378-K378)/P378),"" )</f>
        <v/>
      </c>
      <c r="U378" s="31">
        <f>IFERROR(IF(K378=0,"",(Q378-K378)/Q378),"" )</f>
        <v/>
      </c>
      <c r="V378" s="31">
        <f>IFERROR(IF(K378=0,"",(R378-K378)/R378),"" )</f>
        <v/>
      </c>
      <c r="W378" s="31">
        <f>IFERROR(IF(K378=0,"",(S378-K378)/S378),"" )</f>
        <v/>
      </c>
      <c r="X378" s="32" t="n"/>
      <c r="Y378" s="32" t="n"/>
      <c r="Z378" s="32" t="n"/>
      <c r="AA378" s="37" t="n">
        <v>13.03333333333333</v>
      </c>
      <c r="AB378" s="37" t="n">
        <v>8.969999999999999</v>
      </c>
      <c r="AC378" s="37" t="n">
        <v>16.744</v>
      </c>
      <c r="AD378" s="37" t="n">
        <v>300</v>
      </c>
      <c r="AE378" s="37" t="n">
        <v>150</v>
      </c>
      <c r="AF378" s="33" t="n"/>
      <c r="AG378" s="33" t="n"/>
      <c r="AH378" s="5" t="inlineStr"/>
    </row>
    <row r="379" ht="18" customHeight="1">
      <c r="A379" s="25" t="inlineStr">
        <is>
          <t>2425007090199</t>
        </is>
      </c>
      <c r="B379" s="34" t="inlineStr">
        <is>
          <t>餐厅-柜</t>
        </is>
      </c>
      <c r="C379" s="35" t="inlineStr">
        <is>
          <t>榉木餐边柜</t>
        </is>
      </c>
      <c r="D379" s="35" t="inlineStr">
        <is>
          <t>榉木餐边柜-整柜洞洞板背板-1.5米</t>
        </is>
      </c>
      <c r="E379" s="34" t="inlineStr">
        <is>
          <t>德国进口AA级榉木</t>
        </is>
      </c>
      <c r="F379" s="34" t="inlineStr">
        <is>
          <t xml:space="preserve">抽屉围板：实木多层板
台面：白色岩板
背板：实木多层板
电力轨道：xpower 挂架式电力轨道
顶柜玻璃：灰玻
</t>
        </is>
      </c>
      <c r="G379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79" s="26" t="n">
        <v>4934.95</v>
      </c>
      <c r="I379" s="26" t="n">
        <v>3700</v>
      </c>
      <c r="J379" s="27" t="n">
        <v>0.48</v>
      </c>
      <c r="K379" s="28">
        <f>IFERROR(H379,0)</f>
        <v/>
      </c>
      <c r="L379" s="29" t="n">
        <v>0.467</v>
      </c>
      <c r="M379" s="29" t="n">
        <v>0.1705</v>
      </c>
      <c r="N379" s="29" t="n">
        <v>0.151</v>
      </c>
      <c r="O379" s="29" t="n">
        <v>0.1609</v>
      </c>
      <c r="P379" s="30">
        <f>IFERROR(IF(K379=0,"待填成本",ROUND(K379/(1-L379),0)),"" )</f>
        <v/>
      </c>
      <c r="Q379" s="30">
        <f>IFERROR(IF(K379=0,"待填成本",ROUND(K379/(1-M379),0)),"" )</f>
        <v/>
      </c>
      <c r="R379" s="30">
        <f>IFERROR(IF(K379=0,"待填成本",ROUND(K379/(1-N379),0)),"" )</f>
        <v/>
      </c>
      <c r="S379" s="30">
        <f>IFERROR(IF(K379=0,"待填成本",ROUND(K379/(1-O379),0)),"" )</f>
        <v/>
      </c>
      <c r="T379" s="31">
        <f>IFERROR(IF(K379=0,"",(P379-K379)/P379),"" )</f>
        <v/>
      </c>
      <c r="U379" s="31">
        <f>IFERROR(IF(K379=0,"",(Q379-K379)/Q379),"" )</f>
        <v/>
      </c>
      <c r="V379" s="31">
        <f>IFERROR(IF(K379=0,"",(R379-K379)/R379),"" )</f>
        <v/>
      </c>
      <c r="W379" s="31">
        <f>IFERROR(IF(K379=0,"",(S379-K379)/S379),"" )</f>
        <v/>
      </c>
      <c r="X379" s="36" t="n"/>
      <c r="Y379" s="36" t="n"/>
      <c r="Z379" s="36" t="n"/>
      <c r="AA379" s="37" t="n">
        <v>12.4775</v>
      </c>
      <c r="AB379" s="37" t="n">
        <v>8.538749999999999</v>
      </c>
      <c r="AC379" s="37" t="n">
        <v>16.4565</v>
      </c>
      <c r="AD379" s="37" t="n">
        <v>300</v>
      </c>
      <c r="AE379" s="37" t="n">
        <v>150</v>
      </c>
      <c r="AF379" s="33" t="n"/>
      <c r="AG379" s="33" t="n"/>
      <c r="AH379" s="35" t="inlineStr"/>
    </row>
    <row r="380" ht="18" customHeight="1">
      <c r="A380" s="25" t="inlineStr">
        <is>
          <t>2425007090199</t>
        </is>
      </c>
      <c r="B380" s="6" t="inlineStr">
        <is>
          <t>餐厅-柜</t>
        </is>
      </c>
      <c r="C380" s="5" t="inlineStr">
        <is>
          <t>榉木餐边柜</t>
        </is>
      </c>
      <c r="D380" s="5" t="inlineStr">
        <is>
          <t>榉木餐边柜-整柜洞洞板背板-1.4米</t>
        </is>
      </c>
      <c r="E380" s="6" t="inlineStr">
        <is>
          <t>德国进口AA级榉木</t>
        </is>
      </c>
      <c r="F380" s="6" t="inlineStr">
        <is>
          <t xml:space="preserve">抽屉围板：实木多层板
台面：白色岩板
背板：实木多层板
电力轨道：xpower 挂架式电力轨道
顶柜玻璃：灰玻
</t>
        </is>
      </c>
      <c r="G380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80" s="26" t="n">
        <v>4778.95</v>
      </c>
      <c r="I380" s="26" t="n">
        <v>3600</v>
      </c>
      <c r="J380" s="27" t="n">
        <v>0.48</v>
      </c>
      <c r="K380" s="28">
        <f>IFERROR(H380,0)</f>
        <v/>
      </c>
      <c r="L380" s="29" t="n">
        <v>0.4669</v>
      </c>
      <c r="M380" s="29" t="n">
        <v>0.1704</v>
      </c>
      <c r="N380" s="29" t="n">
        <v>0.1511</v>
      </c>
      <c r="O380" s="29" t="n">
        <v>0.1608</v>
      </c>
      <c r="P380" s="30">
        <f>IFERROR(IF(K380=0,"待填成本",ROUND(K380/(1-L380),0)),"" )</f>
        <v/>
      </c>
      <c r="Q380" s="30">
        <f>IFERROR(IF(K380=0,"待填成本",ROUND(K380/(1-M380),0)),"" )</f>
        <v/>
      </c>
      <c r="R380" s="30">
        <f>IFERROR(IF(K380=0,"待填成本",ROUND(K380/(1-N380),0)),"" )</f>
        <v/>
      </c>
      <c r="S380" s="30">
        <f>IFERROR(IF(K380=0,"待填成本",ROUND(K380/(1-O380),0)),"" )</f>
        <v/>
      </c>
      <c r="T380" s="31">
        <f>IFERROR(IF(K380=0,"",(P380-K380)/P380),"" )</f>
        <v/>
      </c>
      <c r="U380" s="31">
        <f>IFERROR(IF(K380=0,"",(Q380-K380)/Q380),"" )</f>
        <v/>
      </c>
      <c r="V380" s="31">
        <f>IFERROR(IF(K380=0,"",(R380-K380)/R380),"" )</f>
        <v/>
      </c>
      <c r="W380" s="31">
        <f>IFERROR(IF(K380=0,"",(S380-K380)/S380),"" )</f>
        <v/>
      </c>
      <c r="X380" s="32" t="n"/>
      <c r="Y380" s="32" t="n"/>
      <c r="Z380" s="32" t="n"/>
      <c r="AA380" s="37" t="n">
        <v>12.16125</v>
      </c>
      <c r="AB380" s="37" t="n">
        <v>8.107499999999998</v>
      </c>
      <c r="AC380" s="37" t="n">
        <v>16.169</v>
      </c>
      <c r="AD380" s="37" t="n">
        <v>300</v>
      </c>
      <c r="AE380" s="37" t="n">
        <v>150</v>
      </c>
      <c r="AF380" s="33" t="n"/>
      <c r="AG380" s="33" t="n"/>
      <c r="AH380" s="5" t="inlineStr"/>
    </row>
    <row r="381" ht="18" customHeight="1">
      <c r="A381" s="25" t="inlineStr">
        <is>
          <t>2425007090199</t>
        </is>
      </c>
      <c r="B381" s="34" t="inlineStr">
        <is>
          <t>餐厅-柜</t>
        </is>
      </c>
      <c r="C381" s="35" t="inlineStr">
        <is>
          <t>榉木餐边柜</t>
        </is>
      </c>
      <c r="D381" s="35" t="inlineStr">
        <is>
          <t>榉木餐边柜-整柜洞洞板背板-1.3米</t>
        </is>
      </c>
      <c r="E381" s="34" t="inlineStr">
        <is>
          <t>德国进口AA级榉木</t>
        </is>
      </c>
      <c r="F381" s="34" t="inlineStr">
        <is>
          <t xml:space="preserve">抽屉围板：实木多层板
台面：白色岩板
背板：实木多层板
电力轨道：xpower 挂架式电力轨道
顶柜玻璃：灰玻
</t>
        </is>
      </c>
      <c r="G381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81" s="26" t="n">
        <v>4622.95</v>
      </c>
      <c r="I381" s="26" t="n">
        <v>3500</v>
      </c>
      <c r="J381" s="27" t="n">
        <v>0.48</v>
      </c>
      <c r="K381" s="28">
        <f>IFERROR(H381,0)</f>
        <v/>
      </c>
      <c r="L381" s="29" t="n">
        <v>0.4669</v>
      </c>
      <c r="M381" s="29" t="n">
        <v>0.1702</v>
      </c>
      <c r="N381" s="29" t="n">
        <v>0.1512</v>
      </c>
      <c r="O381" s="29" t="n">
        <v>0.1608</v>
      </c>
      <c r="P381" s="30">
        <f>IFERROR(IF(K381=0,"待填成本",ROUND(K381/(1-L381),0)),"" )</f>
        <v/>
      </c>
      <c r="Q381" s="30">
        <f>IFERROR(IF(K381=0,"待填成本",ROUND(K381/(1-M381),0)),"" )</f>
        <v/>
      </c>
      <c r="R381" s="30">
        <f>IFERROR(IF(K381=0,"待填成本",ROUND(K381/(1-N381),0)),"" )</f>
        <v/>
      </c>
      <c r="S381" s="30">
        <f>IFERROR(IF(K381=0,"待填成本",ROUND(K381/(1-O381),0)),"" )</f>
        <v/>
      </c>
      <c r="T381" s="31">
        <f>IFERROR(IF(K381=0,"",(P381-K381)/P381),"" )</f>
        <v/>
      </c>
      <c r="U381" s="31">
        <f>IFERROR(IF(K381=0,"",(Q381-K381)/Q381),"" )</f>
        <v/>
      </c>
      <c r="V381" s="31">
        <f>IFERROR(IF(K381=0,"",(R381-K381)/R381),"" )</f>
        <v/>
      </c>
      <c r="W381" s="31">
        <f>IFERROR(IF(K381=0,"",(S381-K381)/S381),"" )</f>
        <v/>
      </c>
      <c r="X381" s="36" t="n"/>
      <c r="Y381" s="36" t="n"/>
      <c r="Z381" s="36" t="n"/>
      <c r="AA381" s="37" t="n">
        <v>11.845</v>
      </c>
      <c r="AB381" s="37" t="n">
        <v>7.676249999999999</v>
      </c>
      <c r="AC381" s="37" t="n">
        <v>15.8815</v>
      </c>
      <c r="AD381" s="37" t="n">
        <v>300</v>
      </c>
      <c r="AE381" s="37" t="n">
        <v>150</v>
      </c>
      <c r="AF381" s="33" t="n"/>
      <c r="AG381" s="33" t="n"/>
      <c r="AH381" s="35" t="inlineStr"/>
    </row>
    <row r="382" ht="18" customHeight="1">
      <c r="A382" s="25" t="inlineStr">
        <is>
          <t>2425007090199</t>
        </is>
      </c>
      <c r="B382" s="6" t="inlineStr">
        <is>
          <t>餐厅-柜</t>
        </is>
      </c>
      <c r="C382" s="5" t="inlineStr">
        <is>
          <t>榉木餐边柜</t>
        </is>
      </c>
      <c r="D382" s="5" t="inlineStr">
        <is>
          <t>榉木餐边柜-整柜洞洞板背板-1.2米</t>
        </is>
      </c>
      <c r="E382" s="6" t="inlineStr">
        <is>
          <t>德国进口AA级榉木</t>
        </is>
      </c>
      <c r="F382" s="6" t="inlineStr">
        <is>
          <t xml:space="preserve">抽屉围板：实木多层板
台面：白色岩板
背板：实木多层板
电力轨道：xpower 挂架式电力轨道
顶柜玻璃：灰玻
</t>
        </is>
      </c>
      <c r="G382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82" s="26" t="n">
        <v>4466.95</v>
      </c>
      <c r="I382" s="26" t="n">
        <v>3400</v>
      </c>
      <c r="J382" s="27" t="n">
        <v>0.48</v>
      </c>
      <c r="K382" s="28">
        <f>IFERROR(H382,0)</f>
        <v/>
      </c>
      <c r="L382" s="29" t="n">
        <v>0.4669</v>
      </c>
      <c r="M382" s="29" t="n">
        <v>0.1701</v>
      </c>
      <c r="N382" s="29" t="n">
        <v>0.1513</v>
      </c>
      <c r="O382" s="29" t="n">
        <v>0.1608</v>
      </c>
      <c r="P382" s="30">
        <f>IFERROR(IF(K382=0,"待填成本",ROUND(K382/(1-L382),0)),"" )</f>
        <v/>
      </c>
      <c r="Q382" s="30">
        <f>IFERROR(IF(K382=0,"待填成本",ROUND(K382/(1-M382),0)),"" )</f>
        <v/>
      </c>
      <c r="R382" s="30">
        <f>IFERROR(IF(K382=0,"待填成本",ROUND(K382/(1-N382),0)),"" )</f>
        <v/>
      </c>
      <c r="S382" s="30">
        <f>IFERROR(IF(K382=0,"待填成本",ROUND(K382/(1-O382),0)),"" )</f>
        <v/>
      </c>
      <c r="T382" s="31">
        <f>IFERROR(IF(K382=0,"",(P382-K382)/P382),"" )</f>
        <v/>
      </c>
      <c r="U382" s="31">
        <f>IFERROR(IF(K382=0,"",(Q382-K382)/Q382),"" )</f>
        <v/>
      </c>
      <c r="V382" s="31">
        <f>IFERROR(IF(K382=0,"",(R382-K382)/R382),"" )</f>
        <v/>
      </c>
      <c r="W382" s="31">
        <f>IFERROR(IF(K382=0,"",(S382-K382)/S382),"" )</f>
        <v/>
      </c>
      <c r="X382" s="32" t="n"/>
      <c r="Y382" s="32" t="n"/>
      <c r="Z382" s="32" t="n"/>
      <c r="AA382" s="37" t="n">
        <v>11.52875</v>
      </c>
      <c r="AB382" s="37" t="n">
        <v>7.244999999999999</v>
      </c>
      <c r="AC382" s="37" t="n">
        <v>15.594</v>
      </c>
      <c r="AD382" s="37" t="n">
        <v>300</v>
      </c>
      <c r="AE382" s="37" t="n">
        <v>150</v>
      </c>
      <c r="AF382" s="33" t="n"/>
      <c r="AG382" s="33" t="n"/>
      <c r="AH382" s="5" t="inlineStr"/>
    </row>
    <row r="383" ht="18" customHeight="1">
      <c r="A383" s="25" t="inlineStr">
        <is>
          <t>2425007090199</t>
        </is>
      </c>
      <c r="B383" s="34" t="inlineStr">
        <is>
          <t>餐厅-柜</t>
        </is>
      </c>
      <c r="C383" s="35" t="inlineStr">
        <is>
          <t>榉木餐边柜</t>
        </is>
      </c>
      <c r="D383" s="35" t="inlineStr">
        <is>
          <t>榉木餐边柜-整柜洞洞板背板-1.1米</t>
        </is>
      </c>
      <c r="E383" s="34" t="inlineStr">
        <is>
          <t>德国进口AA级榉木</t>
        </is>
      </c>
      <c r="F383" s="34" t="inlineStr">
        <is>
          <t xml:space="preserve">抽屉围板：实木多层板
台面：白色岩板
背板：实木多层板
电力轨道：xpower 挂架式电力轨道
顶柜玻璃：灰玻
</t>
        </is>
      </c>
      <c r="G383" s="3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83" s="26" t="n">
        <v>4310.95</v>
      </c>
      <c r="I383" s="26" t="n">
        <v>3300</v>
      </c>
      <c r="J383" s="27" t="n">
        <v>0.48</v>
      </c>
      <c r="K383" s="28">
        <f>IFERROR(H383,0)</f>
        <v/>
      </c>
      <c r="L383" s="29" t="n">
        <v>0.4669</v>
      </c>
      <c r="M383" s="29" t="n">
        <v>0.1699</v>
      </c>
      <c r="N383" s="29" t="n">
        <v>0.1514</v>
      </c>
      <c r="O383" s="29" t="n">
        <v>0.1607</v>
      </c>
      <c r="P383" s="30">
        <f>IFERROR(IF(K383=0,"待填成本",ROUND(K383/(1-L383),0)),"" )</f>
        <v/>
      </c>
      <c r="Q383" s="30">
        <f>IFERROR(IF(K383=0,"待填成本",ROUND(K383/(1-M383),0)),"" )</f>
        <v/>
      </c>
      <c r="R383" s="30">
        <f>IFERROR(IF(K383=0,"待填成本",ROUND(K383/(1-N383),0)),"" )</f>
        <v/>
      </c>
      <c r="S383" s="30">
        <f>IFERROR(IF(K383=0,"待填成本",ROUND(K383/(1-O383),0)),"" )</f>
        <v/>
      </c>
      <c r="T383" s="31">
        <f>IFERROR(IF(K383=0,"",(P383-K383)/P383),"" )</f>
        <v/>
      </c>
      <c r="U383" s="31">
        <f>IFERROR(IF(K383=0,"",(Q383-K383)/Q383),"" )</f>
        <v/>
      </c>
      <c r="V383" s="31">
        <f>IFERROR(IF(K383=0,"",(R383-K383)/R383),"" )</f>
        <v/>
      </c>
      <c r="W383" s="31">
        <f>IFERROR(IF(K383=0,"",(S383-K383)/S383),"" )</f>
        <v/>
      </c>
      <c r="X383" s="36" t="n"/>
      <c r="Y383" s="36" t="n"/>
      <c r="Z383" s="36" t="n"/>
      <c r="AA383" s="37" t="n">
        <v>11.2125</v>
      </c>
      <c r="AB383" s="37" t="n">
        <v>6.81375</v>
      </c>
      <c r="AC383" s="37" t="n">
        <v>15.3065</v>
      </c>
      <c r="AD383" s="37" t="n">
        <v>300</v>
      </c>
      <c r="AE383" s="37" t="n">
        <v>150</v>
      </c>
      <c r="AF383" s="33" t="n"/>
      <c r="AG383" s="33" t="n"/>
      <c r="AH383" s="35" t="inlineStr"/>
    </row>
    <row r="384" ht="18" customHeight="1">
      <c r="A384" s="25" t="inlineStr">
        <is>
          <t>2425007090199</t>
        </is>
      </c>
      <c r="B384" s="6" t="inlineStr">
        <is>
          <t>餐厅-柜</t>
        </is>
      </c>
      <c r="C384" s="5" t="inlineStr">
        <is>
          <t>榉木餐边柜</t>
        </is>
      </c>
      <c r="D384" s="5" t="inlineStr">
        <is>
          <t>榉木餐边柜-整柜洞洞板背板-1.0米</t>
        </is>
      </c>
      <c r="E384" s="6" t="inlineStr">
        <is>
          <t>德国进口AA级榉木</t>
        </is>
      </c>
      <c r="F384" s="6" t="inlineStr">
        <is>
          <t xml:space="preserve">抽屉围板：实木多层板
台面：白色岩板
背板：实木多层板
电力轨道：xpower 挂架式电力轨道
顶柜玻璃：灰玻
</t>
        </is>
      </c>
      <c r="G384" s="5" t="inlineStr">
        <is>
          <t xml:space="preserve">整体长度：2100mm/1800mm/1500mm/1200mm
整体深度：450mm
整体高度：1980mm
顶柜长度：2100mm/1800mm/1500mm/1200mm
顶柜深度：312mm
顶柜高度：350mm
立体收纳长度：2100mm/1800mm/1500mm/1200mm
立体收纳深度：312mm
立体收纳高度：635mm
下柜长度：2100mm/1800mm/1500mm/1200mm
下柜深度：450mm
下柜高度：880mm
</t>
        </is>
      </c>
      <c r="H384" s="26" t="n">
        <v>4154.95</v>
      </c>
      <c r="I384" s="26" t="n">
        <v>3200</v>
      </c>
      <c r="J384" s="27" t="n">
        <v>0.48</v>
      </c>
      <c r="K384" s="28">
        <f>IFERROR(H384,0)</f>
        <v/>
      </c>
      <c r="L384" s="29" t="n">
        <v>0.4669</v>
      </c>
      <c r="M384" s="29" t="n">
        <v>0.1697</v>
      </c>
      <c r="N384" s="29" t="n">
        <v>0.1515</v>
      </c>
      <c r="O384" s="29" t="n">
        <v>0.1607</v>
      </c>
      <c r="P384" s="30">
        <f>IFERROR(IF(K384=0,"待填成本",ROUND(K384/(1-L384),0)),"" )</f>
        <v/>
      </c>
      <c r="Q384" s="30">
        <f>IFERROR(IF(K384=0,"待填成本",ROUND(K384/(1-M384),0)),"" )</f>
        <v/>
      </c>
      <c r="R384" s="30">
        <f>IFERROR(IF(K384=0,"待填成本",ROUND(K384/(1-N384),0)),"" )</f>
        <v/>
      </c>
      <c r="S384" s="30">
        <f>IFERROR(IF(K384=0,"待填成本",ROUND(K384/(1-O384),0)),"" )</f>
        <v/>
      </c>
      <c r="T384" s="31">
        <f>IFERROR(IF(K384=0,"",(P384-K384)/P384),"" )</f>
        <v/>
      </c>
      <c r="U384" s="31">
        <f>IFERROR(IF(K384=0,"",(Q384-K384)/Q384),"" )</f>
        <v/>
      </c>
      <c r="V384" s="31">
        <f>IFERROR(IF(K384=0,"",(R384-K384)/R384),"" )</f>
        <v/>
      </c>
      <c r="W384" s="31">
        <f>IFERROR(IF(K384=0,"",(S384-K384)/S384),"" )</f>
        <v/>
      </c>
      <c r="X384" s="32" t="n"/>
      <c r="Y384" s="32" t="n"/>
      <c r="Z384" s="32" t="n"/>
      <c r="AA384" s="37" t="n">
        <v>10.89625</v>
      </c>
      <c r="AB384" s="37" t="n">
        <v>6.3825</v>
      </c>
      <c r="AC384" s="37" t="n">
        <v>15.019</v>
      </c>
      <c r="AD384" s="37" t="n">
        <v>300</v>
      </c>
      <c r="AE384" s="37" t="n">
        <v>150</v>
      </c>
      <c r="AF384" s="33" t="n"/>
      <c r="AG384" s="33" t="n"/>
      <c r="AH384" s="5" t="inlineStr"/>
    </row>
    <row r="385" ht="18" customHeight="1">
      <c r="A385" s="25" t="inlineStr">
        <is>
          <t>2425008080199</t>
        </is>
      </c>
      <c r="B385" s="34" t="inlineStr">
        <is>
          <t>餐厅-柜</t>
        </is>
      </c>
      <c r="C385" s="35" t="inlineStr">
        <is>
          <t>洞石餐边柜 |樱桃木洞石餐边大柜 |樱桃木洞石模块餐边柜</t>
        </is>
      </c>
      <c r="D385" s="35" t="inlineStr">
        <is>
          <t>洞石餐边柜-下柜-大师柜-110cm</t>
        </is>
      </c>
      <c r="E385" s="34" t="inlineStr">
        <is>
          <t>北美进口FAS级樱桃木</t>
        </is>
      </c>
      <c r="F385" s="34" t="inlineStr">
        <is>
          <t xml:space="preserve">抽屉围板：新西兰进口松木
台面：洞石岩板
背板：洞石背板/实木多层板
电力轨道：xpower 挂架式电力轨道
顶柜玻璃：灰玻
</t>
        </is>
      </c>
      <c r="G38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85" s="26" t="n">
        <v>2075.235</v>
      </c>
      <c r="I385" s="26" t="n">
        <v>1925.235</v>
      </c>
      <c r="J385" s="27" t="n">
        <v>0.48</v>
      </c>
      <c r="K385" s="28">
        <f>IFERROR(H385,0)</f>
        <v/>
      </c>
      <c r="L385" s="29" t="n">
        <v>0.4551</v>
      </c>
      <c r="M385" s="29" t="n">
        <v>0.2428</v>
      </c>
      <c r="N385" s="29" t="n">
        <v>0.2907</v>
      </c>
      <c r="O385" s="29" t="n">
        <v>0.2615</v>
      </c>
      <c r="P385" s="30">
        <f>IFERROR(IF(K385=0,"待填成本",ROUND(K385/(1-L385),0)),"" )</f>
        <v/>
      </c>
      <c r="Q385" s="30">
        <f>IFERROR(IF(K385=0,"待填成本",ROUND(K385/(1-M385),0)),"" )</f>
        <v/>
      </c>
      <c r="R385" s="30">
        <f>IFERROR(IF(K385=0,"待填成本",ROUND(K385/(1-N385),0)),"" )</f>
        <v/>
      </c>
      <c r="S385" s="30">
        <f>IFERROR(IF(K385=0,"待填成本",ROUND(K385/(1-O385),0)),"" )</f>
        <v/>
      </c>
      <c r="T385" s="31">
        <f>IFERROR(IF(K385=0,"",(P385-K385)/P385),"" )</f>
        <v/>
      </c>
      <c r="U385" s="31">
        <f>IFERROR(IF(K385=0,"",(Q385-K385)/Q385),"" )</f>
        <v/>
      </c>
      <c r="V385" s="31">
        <f>IFERROR(IF(K385=0,"",(R385-K385)/R385),"" )</f>
        <v/>
      </c>
      <c r="W385" s="31">
        <f>IFERROR(IF(K385=0,"",(S385-K385)/S385),"" )</f>
        <v/>
      </c>
      <c r="X385" s="36" t="n"/>
      <c r="Y385" s="36" t="n"/>
      <c r="Z385" s="36" t="n"/>
      <c r="AA385" s="36" t="n"/>
      <c r="AB385" s="36" t="n"/>
      <c r="AC385" s="37" t="n">
        <v>19.54425</v>
      </c>
      <c r="AD385" s="36" t="n"/>
      <c r="AE385" s="36" t="n"/>
      <c r="AF385" s="33" t="n"/>
      <c r="AG385" s="33" t="n"/>
      <c r="AH385" s="35" t="inlineStr"/>
    </row>
    <row r="386" ht="18" customHeight="1">
      <c r="A386" s="25" t="inlineStr">
        <is>
          <t>2425008080199</t>
        </is>
      </c>
      <c r="B386" s="6" t="inlineStr">
        <is>
          <t>餐厅-柜</t>
        </is>
      </c>
      <c r="C386" s="5" t="inlineStr">
        <is>
          <t>洞石餐边柜 |樱桃木洞石餐边大柜 |樱桃木洞石模块餐边柜</t>
        </is>
      </c>
      <c r="D386" s="5" t="inlineStr">
        <is>
          <t>洞石餐边柜-下柜-大师柜-100cm</t>
        </is>
      </c>
      <c r="E386" s="6" t="inlineStr">
        <is>
          <t>北美进口FAS级樱桃木</t>
        </is>
      </c>
      <c r="F386" s="6" t="inlineStr">
        <is>
          <t xml:space="preserve">抽屉围板：新西兰进口松木
台面：洞石岩板
背板：洞石背板/实木多层板
电力轨道：xpower 挂架式电力轨道
顶柜玻璃：灰玻
</t>
        </is>
      </c>
      <c r="G38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86" s="26" t="n">
        <v>2012.6175</v>
      </c>
      <c r="I386" s="26" t="n">
        <v>1862.6175</v>
      </c>
      <c r="J386" s="27" t="n">
        <v>0.48</v>
      </c>
      <c r="K386" s="28">
        <f>IFERROR(H386,0)</f>
        <v/>
      </c>
      <c r="L386" s="29" t="n">
        <v>0.4609</v>
      </c>
      <c r="M386" s="29" t="n">
        <v>0.2472</v>
      </c>
      <c r="N386" s="29" t="n">
        <v>0.2956</v>
      </c>
      <c r="O386" s="29" t="n">
        <v>0.2661</v>
      </c>
      <c r="P386" s="30">
        <f>IFERROR(IF(K386=0,"待填成本",ROUND(K386/(1-L386),0)),"" )</f>
        <v/>
      </c>
      <c r="Q386" s="30">
        <f>IFERROR(IF(K386=0,"待填成本",ROUND(K386/(1-M386),0)),"" )</f>
        <v/>
      </c>
      <c r="R386" s="30">
        <f>IFERROR(IF(K386=0,"待填成本",ROUND(K386/(1-N386),0)),"" )</f>
        <v/>
      </c>
      <c r="S386" s="30">
        <f>IFERROR(IF(K386=0,"待填成本",ROUND(K386/(1-O386),0)),"" )</f>
        <v/>
      </c>
      <c r="T386" s="31">
        <f>IFERROR(IF(K386=0,"",(P386-K386)/P386),"" )</f>
        <v/>
      </c>
      <c r="U386" s="31">
        <f>IFERROR(IF(K386=0,"",(Q386-K386)/Q386),"" )</f>
        <v/>
      </c>
      <c r="V386" s="31">
        <f>IFERROR(IF(K386=0,"",(R386-K386)/R386),"" )</f>
        <v/>
      </c>
      <c r="W386" s="31">
        <f>IFERROR(IF(K386=0,"",(S386-K386)/S386),"" )</f>
        <v/>
      </c>
      <c r="X386" s="32" t="n"/>
      <c r="Y386" s="32" t="n"/>
      <c r="Z386" s="32" t="n"/>
      <c r="AA386" s="32" t="n"/>
      <c r="AB386" s="32" t="n"/>
      <c r="AC386" s="37" t="n">
        <v>18.5955</v>
      </c>
      <c r="AD386" s="32" t="n"/>
      <c r="AE386" s="32" t="n"/>
      <c r="AF386" s="33" t="n"/>
      <c r="AG386" s="33" t="n"/>
      <c r="AH386" s="5" t="inlineStr"/>
    </row>
    <row r="387" ht="18" customHeight="1">
      <c r="A387" s="25" t="inlineStr">
        <is>
          <t>2425008080199</t>
        </is>
      </c>
      <c r="B387" s="34" t="inlineStr">
        <is>
          <t>餐厅-柜</t>
        </is>
      </c>
      <c r="C387" s="35" t="inlineStr">
        <is>
          <t>洞石餐边柜 |樱桃木洞石餐边大柜 |樱桃木洞石模块餐边柜</t>
        </is>
      </c>
      <c r="D387" s="35" t="inlineStr">
        <is>
          <t>洞石餐边柜-下柜-大师柜-90cm</t>
        </is>
      </c>
      <c r="E387" s="34" t="inlineStr">
        <is>
          <t>北美进口FAS级樱桃木</t>
        </is>
      </c>
      <c r="F387" s="34" t="inlineStr">
        <is>
          <t xml:space="preserve">抽屉围板：新西兰进口松木
台面：洞石岩板
背板：洞石背板/实木多层板
电力轨道：xpower 挂架式电力轨道
顶柜玻璃：灰玻
</t>
        </is>
      </c>
      <c r="G38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87" s="26" t="n">
        <v>1950</v>
      </c>
      <c r="I387" s="26" t="n">
        <v>1800</v>
      </c>
      <c r="J387" s="27" t="n">
        <v>0.48</v>
      </c>
      <c r="K387" s="28">
        <f>IFERROR(H387,0)</f>
        <v/>
      </c>
      <c r="L387" s="29" t="n">
        <v>0.4669</v>
      </c>
      <c r="M387" s="29" t="n">
        <v>0.2517</v>
      </c>
      <c r="N387" s="29" t="n">
        <v>0.3006</v>
      </c>
      <c r="O387" s="29" t="n">
        <v>0.2708</v>
      </c>
      <c r="P387" s="30">
        <f>IFERROR(IF(K387=0,"待填成本",ROUND(K387/(1-L387),0)),"" )</f>
        <v/>
      </c>
      <c r="Q387" s="30">
        <f>IFERROR(IF(K387=0,"待填成本",ROUND(K387/(1-M387),0)),"" )</f>
        <v/>
      </c>
      <c r="R387" s="30">
        <f>IFERROR(IF(K387=0,"待填成本",ROUND(K387/(1-N387),0)),"" )</f>
        <v/>
      </c>
      <c r="S387" s="30">
        <f>IFERROR(IF(K387=0,"待填成本",ROUND(K387/(1-O387),0)),"" )</f>
        <v/>
      </c>
      <c r="T387" s="31">
        <f>IFERROR(IF(K387=0,"",(P387-K387)/P387),"" )</f>
        <v/>
      </c>
      <c r="U387" s="31">
        <f>IFERROR(IF(K387=0,"",(Q387-K387)/Q387),"" )</f>
        <v/>
      </c>
      <c r="V387" s="31">
        <f>IFERROR(IF(K387=0,"",(R387-K387)/R387),"" )</f>
        <v/>
      </c>
      <c r="W387" s="31">
        <f>IFERROR(IF(K387=0,"",(S387-K387)/S387),"" )</f>
        <v/>
      </c>
      <c r="X387" s="36" t="n"/>
      <c r="Y387" s="36" t="n"/>
      <c r="Z387" s="36" t="n"/>
      <c r="AA387" s="36" t="n"/>
      <c r="AB387" s="36" t="n"/>
      <c r="AC387" s="37" t="n">
        <v>17.64675</v>
      </c>
      <c r="AD387" s="36" t="n"/>
      <c r="AE387" s="36" t="n"/>
      <c r="AF387" s="33" t="n"/>
      <c r="AG387" s="33" t="n"/>
      <c r="AH387" s="35" t="inlineStr"/>
    </row>
    <row r="388" ht="18" customHeight="1">
      <c r="A388" s="25" t="inlineStr">
        <is>
          <t>2425008080199</t>
        </is>
      </c>
      <c r="B388" s="6" t="inlineStr">
        <is>
          <t>餐厅-柜</t>
        </is>
      </c>
      <c r="C388" s="5" t="inlineStr">
        <is>
          <t>洞石餐边柜 |樱桃木洞石餐边大柜 |樱桃木洞石模块餐边柜</t>
        </is>
      </c>
      <c r="D388" s="5" t="inlineStr">
        <is>
          <t>洞石餐边柜-下柜-大师柜-80cm</t>
        </is>
      </c>
      <c r="E388" s="6" t="inlineStr">
        <is>
          <t>北美进口FAS级樱桃木</t>
        </is>
      </c>
      <c r="F388" s="6" t="inlineStr">
        <is>
          <t xml:space="preserve">抽屉围板：新西兰进口松木
台面：洞石岩板
背板：洞石背板/实木多层板
电力轨道：xpower 挂架式电力轨道
顶柜玻璃：灰玻
</t>
        </is>
      </c>
      <c r="G38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88" s="26" t="n">
        <v>1887.3825</v>
      </c>
      <c r="I388" s="26" t="n">
        <v>1737.3825</v>
      </c>
      <c r="J388" s="27" t="n">
        <v>0.48</v>
      </c>
      <c r="K388" s="28">
        <f>IFERROR(H388,0)</f>
        <v/>
      </c>
      <c r="L388" s="29" t="n">
        <v>0.4731</v>
      </c>
      <c r="M388" s="29" t="n">
        <v>0.2564</v>
      </c>
      <c r="N388" s="29" t="n">
        <v>0.3058</v>
      </c>
      <c r="O388" s="29" t="n">
        <v>0.2757</v>
      </c>
      <c r="P388" s="30">
        <f>IFERROR(IF(K388=0,"待填成本",ROUND(K388/(1-L388),0)),"" )</f>
        <v/>
      </c>
      <c r="Q388" s="30">
        <f>IFERROR(IF(K388=0,"待填成本",ROUND(K388/(1-M388),0)),"" )</f>
        <v/>
      </c>
      <c r="R388" s="30">
        <f>IFERROR(IF(K388=0,"待填成本",ROUND(K388/(1-N388),0)),"" )</f>
        <v/>
      </c>
      <c r="S388" s="30">
        <f>IFERROR(IF(K388=0,"待填成本",ROUND(K388/(1-O388),0)),"" )</f>
        <v/>
      </c>
      <c r="T388" s="31">
        <f>IFERROR(IF(K388=0,"",(P388-K388)/P388),"" )</f>
        <v/>
      </c>
      <c r="U388" s="31">
        <f>IFERROR(IF(K388=0,"",(Q388-K388)/Q388),"" )</f>
        <v/>
      </c>
      <c r="V388" s="31">
        <f>IFERROR(IF(K388=0,"",(R388-K388)/R388),"" )</f>
        <v/>
      </c>
      <c r="W388" s="31">
        <f>IFERROR(IF(K388=0,"",(S388-K388)/S388),"" )</f>
        <v/>
      </c>
      <c r="X388" s="32" t="n"/>
      <c r="Y388" s="32" t="n"/>
      <c r="Z388" s="32" t="n"/>
      <c r="AA388" s="32" t="n"/>
      <c r="AB388" s="32" t="n"/>
      <c r="AC388" s="37" t="n">
        <v>16.698</v>
      </c>
      <c r="AD388" s="32" t="n"/>
      <c r="AE388" s="32" t="n"/>
      <c r="AF388" s="33" t="n"/>
      <c r="AG388" s="33" t="n"/>
      <c r="AH388" s="5" t="inlineStr"/>
    </row>
    <row r="389" ht="18" customHeight="1">
      <c r="A389" s="25" t="inlineStr">
        <is>
          <t>2425008080199</t>
        </is>
      </c>
      <c r="B389" s="34" t="inlineStr">
        <is>
          <t>餐厅-柜</t>
        </is>
      </c>
      <c r="C389" s="35" t="inlineStr">
        <is>
          <t>洞石餐边柜 |樱桃木洞石餐边大柜 |樱桃木洞石模块餐边柜</t>
        </is>
      </c>
      <c r="D389" s="35" t="inlineStr">
        <is>
          <t>洞石餐边柜-下柜-大师柜-70cm</t>
        </is>
      </c>
      <c r="E389" s="34" t="inlineStr">
        <is>
          <t>北美进口FAS级樱桃木</t>
        </is>
      </c>
      <c r="F389" s="34" t="inlineStr">
        <is>
          <t xml:space="preserve">抽屉围板：新西兰进口松木
台面：洞石岩板
背板：洞石背板/实木多层板
电力轨道：xpower 挂架式电力轨道
顶柜玻璃：灰玻
</t>
        </is>
      </c>
      <c r="G38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89" s="26" t="n">
        <v>1824.765</v>
      </c>
      <c r="I389" s="26" t="n">
        <v>1674.765</v>
      </c>
      <c r="J389" s="27" t="n">
        <v>0.48</v>
      </c>
      <c r="K389" s="28">
        <f>IFERROR(H389,0)</f>
        <v/>
      </c>
      <c r="L389" s="29" t="n">
        <v>0.4794</v>
      </c>
      <c r="M389" s="29" t="n">
        <v>0.2612</v>
      </c>
      <c r="N389" s="29" t="n">
        <v>0.3112</v>
      </c>
      <c r="O389" s="29" t="n">
        <v>0.2808</v>
      </c>
      <c r="P389" s="30">
        <f>IFERROR(IF(K389=0,"待填成本",ROUND(K389/(1-L389),0)),"" )</f>
        <v/>
      </c>
      <c r="Q389" s="30">
        <f>IFERROR(IF(K389=0,"待填成本",ROUND(K389/(1-M389),0)),"" )</f>
        <v/>
      </c>
      <c r="R389" s="30">
        <f>IFERROR(IF(K389=0,"待填成本",ROUND(K389/(1-N389),0)),"" )</f>
        <v/>
      </c>
      <c r="S389" s="30">
        <f>IFERROR(IF(K389=0,"待填成本",ROUND(K389/(1-O389),0)),"" )</f>
        <v/>
      </c>
      <c r="T389" s="31">
        <f>IFERROR(IF(K389=0,"",(P389-K389)/P389),"" )</f>
        <v/>
      </c>
      <c r="U389" s="31">
        <f>IFERROR(IF(K389=0,"",(Q389-K389)/Q389),"" )</f>
        <v/>
      </c>
      <c r="V389" s="31">
        <f>IFERROR(IF(K389=0,"",(R389-K389)/R389),"" )</f>
        <v/>
      </c>
      <c r="W389" s="31">
        <f>IFERROR(IF(K389=0,"",(S389-K389)/S389),"" )</f>
        <v/>
      </c>
      <c r="X389" s="36" t="n"/>
      <c r="Y389" s="36" t="n"/>
      <c r="Z389" s="36" t="n"/>
      <c r="AA389" s="36" t="n"/>
      <c r="AB389" s="36" t="n"/>
      <c r="AC389" s="37" t="n">
        <v>15.74925</v>
      </c>
      <c r="AD389" s="36" t="n"/>
      <c r="AE389" s="36" t="n"/>
      <c r="AF389" s="33" t="n"/>
      <c r="AG389" s="33" t="n"/>
      <c r="AH389" s="35" t="inlineStr"/>
    </row>
    <row r="390" ht="18" customHeight="1">
      <c r="A390" s="25" t="inlineStr">
        <is>
          <t>2425008080199</t>
        </is>
      </c>
      <c r="B390" s="6" t="inlineStr">
        <is>
          <t>餐厅-柜</t>
        </is>
      </c>
      <c r="C390" s="5" t="inlineStr">
        <is>
          <t>洞石餐边柜 |樱桃木洞石餐边大柜 |樱桃木洞石模块餐边柜</t>
        </is>
      </c>
      <c r="D390" s="5" t="inlineStr">
        <is>
          <t>洞石餐边柜-下柜-大师柜-60cm</t>
        </is>
      </c>
      <c r="E390" s="6" t="inlineStr">
        <is>
          <t>北美进口FAS级樱桃木</t>
        </is>
      </c>
      <c r="F390" s="6" t="inlineStr">
        <is>
          <t xml:space="preserve">抽屉围板：新西兰进口松木
台面：洞石岩板
背板：洞石背板/实木多层板
电力轨道：xpower 挂架式电力轨道
顶柜玻璃：灰玻
</t>
        </is>
      </c>
      <c r="G39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0" s="26" t="n">
        <v>1762.1475</v>
      </c>
      <c r="I390" s="26" t="n">
        <v>1612.1475</v>
      </c>
      <c r="J390" s="27" t="n">
        <v>0.48</v>
      </c>
      <c r="K390" s="28">
        <f>IFERROR(H390,0)</f>
        <v/>
      </c>
      <c r="L390" s="29" t="n">
        <v>0.4859</v>
      </c>
      <c r="M390" s="29" t="n">
        <v>0.2663</v>
      </c>
      <c r="N390" s="29" t="n">
        <v>0.3168</v>
      </c>
      <c r="O390" s="29" t="n">
        <v>0.2861</v>
      </c>
      <c r="P390" s="30">
        <f>IFERROR(IF(K390=0,"待填成本",ROUND(K390/(1-L390),0)),"" )</f>
        <v/>
      </c>
      <c r="Q390" s="30">
        <f>IFERROR(IF(K390=0,"待填成本",ROUND(K390/(1-M390),0)),"" )</f>
        <v/>
      </c>
      <c r="R390" s="30">
        <f>IFERROR(IF(K390=0,"待填成本",ROUND(K390/(1-N390),0)),"" )</f>
        <v/>
      </c>
      <c r="S390" s="30">
        <f>IFERROR(IF(K390=0,"待填成本",ROUND(K390/(1-O390),0)),"" )</f>
        <v/>
      </c>
      <c r="T390" s="31">
        <f>IFERROR(IF(K390=0,"",(P390-K390)/P390),"" )</f>
        <v/>
      </c>
      <c r="U390" s="31">
        <f>IFERROR(IF(K390=0,"",(Q390-K390)/Q390),"" )</f>
        <v/>
      </c>
      <c r="V390" s="31">
        <f>IFERROR(IF(K390=0,"",(R390-K390)/R390),"" )</f>
        <v/>
      </c>
      <c r="W390" s="31">
        <f>IFERROR(IF(K390=0,"",(S390-K390)/S390),"" )</f>
        <v/>
      </c>
      <c r="X390" s="32" t="n"/>
      <c r="Y390" s="32" t="n"/>
      <c r="Z390" s="32" t="n"/>
      <c r="AA390" s="32" t="n"/>
      <c r="AB390" s="32" t="n"/>
      <c r="AC390" s="37" t="n">
        <v>14.8005</v>
      </c>
      <c r="AD390" s="32" t="n"/>
      <c r="AE390" s="32" t="n"/>
      <c r="AF390" s="33" t="n"/>
      <c r="AG390" s="33" t="n"/>
      <c r="AH390" s="5" t="inlineStr"/>
    </row>
    <row r="391" ht="18" customHeight="1">
      <c r="A391" s="25" t="inlineStr">
        <is>
          <t>2425008080199</t>
        </is>
      </c>
      <c r="B391" s="34" t="inlineStr">
        <is>
          <t>餐厅-柜</t>
        </is>
      </c>
      <c r="C391" s="35" t="inlineStr">
        <is>
          <t>洞石餐边柜 |樱桃木洞石餐边大柜 |樱桃木洞石模块餐边柜</t>
        </is>
      </c>
      <c r="D391" s="35" t="inlineStr">
        <is>
          <t>洞石餐边柜-下柜-大师柜-50cm</t>
        </is>
      </c>
      <c r="E391" s="34" t="inlineStr">
        <is>
          <t>北美进口FAS级樱桃木</t>
        </is>
      </c>
      <c r="F391" s="34" t="inlineStr">
        <is>
          <t xml:space="preserve">抽屉围板：新西兰进口松木
台面：洞石岩板
背板：洞石背板/实木多层板
电力轨道：xpower 挂架式电力轨道
顶柜玻璃：灰玻
</t>
        </is>
      </c>
      <c r="G39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1" s="26" t="n">
        <v>1699.53</v>
      </c>
      <c r="I391" s="26" t="n">
        <v>1549.53</v>
      </c>
      <c r="J391" s="27" t="n">
        <v>0.48</v>
      </c>
      <c r="K391" s="28">
        <f>IFERROR(H391,0)</f>
        <v/>
      </c>
      <c r="L391" s="29" t="n">
        <v>0.4926</v>
      </c>
      <c r="M391" s="29" t="n">
        <v>0.2715</v>
      </c>
      <c r="N391" s="29" t="n">
        <v>0.3226</v>
      </c>
      <c r="O391" s="29" t="n">
        <v>0.2916</v>
      </c>
      <c r="P391" s="30">
        <f>IFERROR(IF(K391=0,"待填成本",ROUND(K391/(1-L391),0)),"" )</f>
        <v/>
      </c>
      <c r="Q391" s="30">
        <f>IFERROR(IF(K391=0,"待填成本",ROUND(K391/(1-M391),0)),"" )</f>
        <v/>
      </c>
      <c r="R391" s="30">
        <f>IFERROR(IF(K391=0,"待填成本",ROUND(K391/(1-N391),0)),"" )</f>
        <v/>
      </c>
      <c r="S391" s="30">
        <f>IFERROR(IF(K391=0,"待填成本",ROUND(K391/(1-O391),0)),"" )</f>
        <v/>
      </c>
      <c r="T391" s="31">
        <f>IFERROR(IF(K391=0,"",(P391-K391)/P391),"" )</f>
        <v/>
      </c>
      <c r="U391" s="31">
        <f>IFERROR(IF(K391=0,"",(Q391-K391)/Q391),"" )</f>
        <v/>
      </c>
      <c r="V391" s="31">
        <f>IFERROR(IF(K391=0,"",(R391-K391)/R391),"" )</f>
        <v/>
      </c>
      <c r="W391" s="31">
        <f>IFERROR(IF(K391=0,"",(S391-K391)/S391),"" )</f>
        <v/>
      </c>
      <c r="X391" s="36" t="n"/>
      <c r="Y391" s="36" t="n"/>
      <c r="Z391" s="36" t="n"/>
      <c r="AA391" s="36" t="n"/>
      <c r="AB391" s="36" t="n"/>
      <c r="AC391" s="37" t="n">
        <v>13.85175</v>
      </c>
      <c r="AD391" s="36" t="n"/>
      <c r="AE391" s="36" t="n"/>
      <c r="AF391" s="33" t="n"/>
      <c r="AG391" s="33" t="n"/>
      <c r="AH391" s="35" t="inlineStr"/>
    </row>
    <row r="392" ht="18" customHeight="1">
      <c r="A392" s="25" t="inlineStr">
        <is>
          <t>2425008080199</t>
        </is>
      </c>
      <c r="B392" s="6" t="inlineStr">
        <is>
          <t>餐厅-柜</t>
        </is>
      </c>
      <c r="C392" s="5" t="inlineStr">
        <is>
          <t>洞石餐边柜 |樱桃木洞石餐边大柜 |樱桃木洞石模块餐边柜</t>
        </is>
      </c>
      <c r="D392" s="5" t="inlineStr">
        <is>
          <t>洞石餐边柜-下柜-抽屉柜-90cm</t>
        </is>
      </c>
      <c r="E392" s="6" t="inlineStr">
        <is>
          <t>北美进口FAS级樱桃木</t>
        </is>
      </c>
      <c r="F392" s="6" t="inlineStr">
        <is>
          <t xml:space="preserve">抽屉围板：新西兰进口松木
台面：洞石岩板
背板：洞石背板/实木多层板
电力轨道：xpower 挂架式电力轨道
顶柜玻璃：灰玻
</t>
        </is>
      </c>
      <c r="G39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2" s="26" t="n">
        <v>1847.34</v>
      </c>
      <c r="I392" s="26" t="n">
        <v>1697.34</v>
      </c>
      <c r="J392" s="27" t="n">
        <v>0.48</v>
      </c>
      <c r="K392" s="28">
        <f>IFERROR(H392,0)</f>
        <v/>
      </c>
      <c r="L392" s="29" t="n">
        <v>0.4462</v>
      </c>
      <c r="M392" s="29" t="n">
        <v>0.2366</v>
      </c>
      <c r="N392" s="29" t="n">
        <v>0.2834</v>
      </c>
      <c r="O392" s="29" t="n">
        <v>0.2551</v>
      </c>
      <c r="P392" s="30">
        <f>IFERROR(IF(K392=0,"待填成本",ROUND(K392/(1-L392),0)),"" )</f>
        <v/>
      </c>
      <c r="Q392" s="30">
        <f>IFERROR(IF(K392=0,"待填成本",ROUND(K392/(1-M392),0)),"" )</f>
        <v/>
      </c>
      <c r="R392" s="30">
        <f>IFERROR(IF(K392=0,"待填成本",ROUND(K392/(1-N392),0)),"" )</f>
        <v/>
      </c>
      <c r="S392" s="30">
        <f>IFERROR(IF(K392=0,"待填成本",ROUND(K392/(1-O392),0)),"" )</f>
        <v/>
      </c>
      <c r="T392" s="31">
        <f>IFERROR(IF(K392=0,"",(P392-K392)/P392),"" )</f>
        <v/>
      </c>
      <c r="U392" s="31">
        <f>IFERROR(IF(K392=0,"",(Q392-K392)/Q392),"" )</f>
        <v/>
      </c>
      <c r="V392" s="31">
        <f>IFERROR(IF(K392=0,"",(R392-K392)/R392),"" )</f>
        <v/>
      </c>
      <c r="W392" s="31">
        <f>IFERROR(IF(K392=0,"",(S392-K392)/S392),"" )</f>
        <v/>
      </c>
      <c r="X392" s="32" t="n"/>
      <c r="Y392" s="32" t="n"/>
      <c r="Z392" s="32" t="n"/>
      <c r="AA392" s="32" t="n"/>
      <c r="AB392" s="32" t="n"/>
      <c r="AC392" s="37" t="n">
        <v>14.61075</v>
      </c>
      <c r="AD392" s="32" t="n"/>
      <c r="AE392" s="32" t="n"/>
      <c r="AF392" s="33" t="n"/>
      <c r="AG392" s="33" t="n"/>
      <c r="AH392" s="5" t="inlineStr"/>
    </row>
    <row r="393" ht="18" customHeight="1">
      <c r="A393" s="25" t="inlineStr">
        <is>
          <t>2425008080199</t>
        </is>
      </c>
      <c r="B393" s="34" t="inlineStr">
        <is>
          <t>餐厅-柜</t>
        </is>
      </c>
      <c r="C393" s="35" t="inlineStr">
        <is>
          <t>洞石餐边柜 |樱桃木洞石餐边大柜 |樱桃木洞石模块餐边柜</t>
        </is>
      </c>
      <c r="D393" s="35" t="inlineStr">
        <is>
          <t>洞石餐边柜-下柜-抽屉柜-80cm</t>
        </is>
      </c>
      <c r="E393" s="34" t="inlineStr">
        <is>
          <t>北美进口FAS级樱桃木</t>
        </is>
      </c>
      <c r="F393" s="34" t="inlineStr">
        <is>
          <t xml:space="preserve">抽屉围板：新西兰进口松木
台面：洞石岩板
背板：洞石背板/实木多层板
电力轨道：xpower 挂架式电力轨道
顶柜玻璃：灰玻
</t>
        </is>
      </c>
      <c r="G39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3" s="26" t="n">
        <v>1781.56</v>
      </c>
      <c r="I393" s="26" t="n">
        <v>1631.56</v>
      </c>
      <c r="J393" s="27" t="n">
        <v>0.48</v>
      </c>
      <c r="K393" s="28">
        <f>IFERROR(H393,0)</f>
        <v/>
      </c>
      <c r="L393" s="29" t="n">
        <v>0.4529</v>
      </c>
      <c r="M393" s="29" t="n">
        <v>0.2416</v>
      </c>
      <c r="N393" s="29" t="n">
        <v>0.2889</v>
      </c>
      <c r="O393" s="29" t="n">
        <v>0.2603</v>
      </c>
      <c r="P393" s="30">
        <f>IFERROR(IF(K393=0,"待填成本",ROUND(K393/(1-L393),0)),"" )</f>
        <v/>
      </c>
      <c r="Q393" s="30">
        <f>IFERROR(IF(K393=0,"待填成本",ROUND(K393/(1-M393),0)),"" )</f>
        <v/>
      </c>
      <c r="R393" s="30">
        <f>IFERROR(IF(K393=0,"待填成本",ROUND(K393/(1-N393),0)),"" )</f>
        <v/>
      </c>
      <c r="S393" s="30">
        <f>IFERROR(IF(K393=0,"待填成本",ROUND(K393/(1-O393),0)),"" )</f>
        <v/>
      </c>
      <c r="T393" s="31">
        <f>IFERROR(IF(K393=0,"",(P393-K393)/P393),"" )</f>
        <v/>
      </c>
      <c r="U393" s="31">
        <f>IFERROR(IF(K393=0,"",(Q393-K393)/Q393),"" )</f>
        <v/>
      </c>
      <c r="V393" s="31">
        <f>IFERROR(IF(K393=0,"",(R393-K393)/R393),"" )</f>
        <v/>
      </c>
      <c r="W393" s="31">
        <f>IFERROR(IF(K393=0,"",(S393-K393)/S393),"" )</f>
        <v/>
      </c>
      <c r="X393" s="36" t="n"/>
      <c r="Y393" s="36" t="n"/>
      <c r="Z393" s="36" t="n"/>
      <c r="AA393" s="36" t="n"/>
      <c r="AB393" s="36" t="n"/>
      <c r="AC393" s="37" t="n">
        <v>14.61075</v>
      </c>
      <c r="AD393" s="36" t="n"/>
      <c r="AE393" s="36" t="n"/>
      <c r="AF393" s="33" t="n"/>
      <c r="AG393" s="33" t="n"/>
      <c r="AH393" s="35" t="inlineStr"/>
    </row>
    <row r="394" ht="18" customHeight="1">
      <c r="A394" s="25" t="inlineStr">
        <is>
          <t>2425008080199</t>
        </is>
      </c>
      <c r="B394" s="6" t="inlineStr">
        <is>
          <t>餐厅-柜</t>
        </is>
      </c>
      <c r="C394" s="5" t="inlineStr">
        <is>
          <t>洞石餐边柜 |樱桃木洞石餐边大柜 |樱桃木洞石模块餐边柜</t>
        </is>
      </c>
      <c r="D394" s="5" t="inlineStr">
        <is>
          <t>洞石餐边柜-下柜-抽屉柜-70cm</t>
        </is>
      </c>
      <c r="E394" s="6" t="inlineStr">
        <is>
          <t>北美进口FAS级樱桃木</t>
        </is>
      </c>
      <c r="F394" s="6" t="inlineStr">
        <is>
          <t xml:space="preserve">抽屉围板：新西兰进口松木
台面：洞石岩板
背板：洞石背板/实木多层板
电力轨道：xpower 挂架式电力轨道
顶柜玻璃：灰玻
</t>
        </is>
      </c>
      <c r="G39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4" s="26" t="n">
        <v>1715.78</v>
      </c>
      <c r="I394" s="26" t="n">
        <v>1565.78</v>
      </c>
      <c r="J394" s="27" t="n">
        <v>0.48</v>
      </c>
      <c r="K394" s="28">
        <f>IFERROR(H394,0)</f>
        <v/>
      </c>
      <c r="L394" s="29" t="n">
        <v>0.4598</v>
      </c>
      <c r="M394" s="29" t="n">
        <v>0.2467</v>
      </c>
      <c r="N394" s="29" t="n">
        <v>0.2947</v>
      </c>
      <c r="O394" s="29" t="n">
        <v>0.2657</v>
      </c>
      <c r="P394" s="30">
        <f>IFERROR(IF(K394=0,"待填成本",ROUND(K394/(1-L394),0)),"" )</f>
        <v/>
      </c>
      <c r="Q394" s="30">
        <f>IFERROR(IF(K394=0,"待填成本",ROUND(K394/(1-M394),0)),"" )</f>
        <v/>
      </c>
      <c r="R394" s="30">
        <f>IFERROR(IF(K394=0,"待填成本",ROUND(K394/(1-N394),0)),"" )</f>
        <v/>
      </c>
      <c r="S394" s="30">
        <f>IFERROR(IF(K394=0,"待填成本",ROUND(K394/(1-O394),0)),"" )</f>
        <v/>
      </c>
      <c r="T394" s="31">
        <f>IFERROR(IF(K394=0,"",(P394-K394)/P394),"" )</f>
        <v/>
      </c>
      <c r="U394" s="31">
        <f>IFERROR(IF(K394=0,"",(Q394-K394)/Q394),"" )</f>
        <v/>
      </c>
      <c r="V394" s="31">
        <f>IFERROR(IF(K394=0,"",(R394-K394)/R394),"" )</f>
        <v/>
      </c>
      <c r="W394" s="31">
        <f>IFERROR(IF(K394=0,"",(S394-K394)/S394),"" )</f>
        <v/>
      </c>
      <c r="X394" s="32" t="n"/>
      <c r="Y394" s="32" t="n"/>
      <c r="Z394" s="32" t="n"/>
      <c r="AA394" s="32" t="n"/>
      <c r="AB394" s="32" t="n"/>
      <c r="AC394" s="37" t="n">
        <v>14.61075</v>
      </c>
      <c r="AD394" s="32" t="n"/>
      <c r="AE394" s="32" t="n"/>
      <c r="AF394" s="33" t="n"/>
      <c r="AG394" s="33" t="n"/>
      <c r="AH394" s="5" t="inlineStr"/>
    </row>
    <row r="395" ht="18" customHeight="1">
      <c r="A395" s="25" t="inlineStr">
        <is>
          <t>2425008080199</t>
        </is>
      </c>
      <c r="B395" s="34" t="inlineStr">
        <is>
          <t>餐厅-柜</t>
        </is>
      </c>
      <c r="C395" s="35" t="inlineStr">
        <is>
          <t>洞石餐边柜 |樱桃木洞石餐边大柜 |樱桃木洞石模块餐边柜</t>
        </is>
      </c>
      <c r="D395" s="35" t="inlineStr">
        <is>
          <t>洞石餐边柜-下柜-抽屉柜-60cm</t>
        </is>
      </c>
      <c r="E395" s="34" t="inlineStr">
        <is>
          <t>北美进口FAS级樱桃木</t>
        </is>
      </c>
      <c r="F395" s="34" t="inlineStr">
        <is>
          <t xml:space="preserve">抽屉围板：新西兰进口松木
台面：洞石岩板
背板：洞石背板/实木多层板
电力轨道：xpower 挂架式电力轨道
顶柜玻璃：灰玻
</t>
        </is>
      </c>
      <c r="G39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5" s="26" t="n">
        <v>1650</v>
      </c>
      <c r="I395" s="26" t="n">
        <v>1500</v>
      </c>
      <c r="J395" s="27" t="n">
        <v>0.48</v>
      </c>
      <c r="K395" s="28">
        <f>IFERROR(H395,0)</f>
        <v/>
      </c>
      <c r="L395" s="29" t="n">
        <v>0.467</v>
      </c>
      <c r="M395" s="29" t="n">
        <v>0.2521</v>
      </c>
      <c r="N395" s="29" t="n">
        <v>0.3007</v>
      </c>
      <c r="O395" s="29" t="n">
        <v>0.2714</v>
      </c>
      <c r="P395" s="30">
        <f>IFERROR(IF(K395=0,"待填成本",ROUND(K395/(1-L395),0)),"" )</f>
        <v/>
      </c>
      <c r="Q395" s="30">
        <f>IFERROR(IF(K395=0,"待填成本",ROUND(K395/(1-M395),0)),"" )</f>
        <v/>
      </c>
      <c r="R395" s="30">
        <f>IFERROR(IF(K395=0,"待填成本",ROUND(K395/(1-N395),0)),"" )</f>
        <v/>
      </c>
      <c r="S395" s="30">
        <f>IFERROR(IF(K395=0,"待填成本",ROUND(K395/(1-O395),0)),"" )</f>
        <v/>
      </c>
      <c r="T395" s="31">
        <f>IFERROR(IF(K395=0,"",(P395-K395)/P395),"" )</f>
        <v/>
      </c>
      <c r="U395" s="31">
        <f>IFERROR(IF(K395=0,"",(Q395-K395)/Q395),"" )</f>
        <v/>
      </c>
      <c r="V395" s="31">
        <f>IFERROR(IF(K395=0,"",(R395-K395)/R395),"" )</f>
        <v/>
      </c>
      <c r="W395" s="31">
        <f>IFERROR(IF(K395=0,"",(S395-K395)/S395),"" )</f>
        <v/>
      </c>
      <c r="X395" s="36" t="n"/>
      <c r="Y395" s="36" t="n"/>
      <c r="Z395" s="36" t="n"/>
      <c r="AA395" s="36" t="n"/>
      <c r="AB395" s="36" t="n"/>
      <c r="AC395" s="37" t="n">
        <v>14.61075</v>
      </c>
      <c r="AD395" s="36" t="n"/>
      <c r="AE395" s="36" t="n"/>
      <c r="AF395" s="33" t="n"/>
      <c r="AG395" s="33" t="n"/>
      <c r="AH395" s="35" t="inlineStr"/>
    </row>
    <row r="396" ht="18" customHeight="1">
      <c r="A396" s="25" t="inlineStr">
        <is>
          <t>2425008080199</t>
        </is>
      </c>
      <c r="B396" s="6" t="inlineStr">
        <is>
          <t>餐厅-柜</t>
        </is>
      </c>
      <c r="C396" s="5" t="inlineStr">
        <is>
          <t>洞石餐边柜 |樱桃木洞石餐边大柜 |樱桃木洞石模块餐边柜</t>
        </is>
      </c>
      <c r="D396" s="5" t="inlineStr">
        <is>
          <t>洞石餐边柜-下柜-抽屉柜-50cm</t>
        </is>
      </c>
      <c r="E396" s="6" t="inlineStr">
        <is>
          <t>北美进口FAS级樱桃木</t>
        </is>
      </c>
      <c r="F396" s="6" t="inlineStr">
        <is>
          <t xml:space="preserve">抽屉围板：新西兰进口松木
台面：洞石岩板
背板：洞石背板/实木多层板
电力轨道：xpower 挂架式电力轨道
顶柜玻璃：灰玻
</t>
        </is>
      </c>
      <c r="G39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6" s="26" t="n">
        <v>1584.22</v>
      </c>
      <c r="I396" s="26" t="n">
        <v>1434.22</v>
      </c>
      <c r="J396" s="27" t="n">
        <v>0.48</v>
      </c>
      <c r="K396" s="28">
        <f>IFERROR(H396,0)</f>
        <v/>
      </c>
      <c r="L396" s="29" t="n">
        <v>0.4743</v>
      </c>
      <c r="M396" s="29" t="n">
        <v>0.2577</v>
      </c>
      <c r="N396" s="29" t="n">
        <v>0.307</v>
      </c>
      <c r="O396" s="29" t="n">
        <v>0.2773</v>
      </c>
      <c r="P396" s="30">
        <f>IFERROR(IF(K396=0,"待填成本",ROUND(K396/(1-L396),0)),"" )</f>
        <v/>
      </c>
      <c r="Q396" s="30">
        <f>IFERROR(IF(K396=0,"待填成本",ROUND(K396/(1-M396),0)),"" )</f>
        <v/>
      </c>
      <c r="R396" s="30">
        <f>IFERROR(IF(K396=0,"待填成本",ROUND(K396/(1-N396),0)),"" )</f>
        <v/>
      </c>
      <c r="S396" s="30">
        <f>IFERROR(IF(K396=0,"待填成本",ROUND(K396/(1-O396),0)),"" )</f>
        <v/>
      </c>
      <c r="T396" s="31">
        <f>IFERROR(IF(K396=0,"",(P396-K396)/P396),"" )</f>
        <v/>
      </c>
      <c r="U396" s="31">
        <f>IFERROR(IF(K396=0,"",(Q396-K396)/Q396),"" )</f>
        <v/>
      </c>
      <c r="V396" s="31">
        <f>IFERROR(IF(K396=0,"",(R396-K396)/R396),"" )</f>
        <v/>
      </c>
      <c r="W396" s="31">
        <f>IFERROR(IF(K396=0,"",(S396-K396)/S396),"" )</f>
        <v/>
      </c>
      <c r="X396" s="32" t="n"/>
      <c r="Y396" s="32" t="n"/>
      <c r="Z396" s="32" t="n"/>
      <c r="AA396" s="32" t="n"/>
      <c r="AB396" s="32" t="n"/>
      <c r="AC396" s="37" t="n">
        <v>14.61075</v>
      </c>
      <c r="AD396" s="32" t="n"/>
      <c r="AE396" s="32" t="n"/>
      <c r="AF396" s="33" t="n"/>
      <c r="AG396" s="33" t="n"/>
      <c r="AH396" s="5" t="inlineStr"/>
    </row>
    <row r="397" ht="18" customHeight="1">
      <c r="A397" s="25" t="inlineStr">
        <is>
          <t>2425008080199</t>
        </is>
      </c>
      <c r="B397" s="34" t="inlineStr">
        <is>
          <t>餐厅-柜</t>
        </is>
      </c>
      <c r="C397" s="35" t="inlineStr">
        <is>
          <t>洞石餐边柜 |樱桃木洞石餐边大柜 |樱桃木洞石模块餐边柜</t>
        </is>
      </c>
      <c r="D397" s="35" t="inlineStr">
        <is>
          <t>洞石餐边柜-下柜-全景玻璃抽屉柜-90cm</t>
        </is>
      </c>
      <c r="E397" s="34" t="inlineStr">
        <is>
          <t>北美进口FAS级樱桃木</t>
        </is>
      </c>
      <c r="F397" s="34" t="inlineStr">
        <is>
          <t xml:space="preserve">抽屉围板：新西兰进口松木
台面：洞石岩板
背板：洞石背板/实木多层板
电力轨道：xpower 挂架式电力轨道
顶柜玻璃：灰玻
</t>
        </is>
      </c>
      <c r="G39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7" s="26" t="n">
        <v>1537.8525</v>
      </c>
      <c r="I397" s="26" t="n">
        <v>1387.8525</v>
      </c>
      <c r="J397" s="27" t="n">
        <v>0.48</v>
      </c>
      <c r="K397" s="28">
        <f>IFERROR(H397,0)</f>
        <v/>
      </c>
      <c r="L397" s="29" t="n">
        <v>0.4442</v>
      </c>
      <c r="M397" s="29" t="n">
        <v>0.2356</v>
      </c>
      <c r="N397" s="29" t="n">
        <v>0.2818</v>
      </c>
      <c r="O397" s="29" t="n">
        <v>0.2543</v>
      </c>
      <c r="P397" s="30">
        <f>IFERROR(IF(K397=0,"待填成本",ROUND(K397/(1-L397),0)),"" )</f>
        <v/>
      </c>
      <c r="Q397" s="30">
        <f>IFERROR(IF(K397=0,"待填成本",ROUND(K397/(1-M397),0)),"" )</f>
        <v/>
      </c>
      <c r="R397" s="30">
        <f>IFERROR(IF(K397=0,"待填成本",ROUND(K397/(1-N397),0)),"" )</f>
        <v/>
      </c>
      <c r="S397" s="30">
        <f>IFERROR(IF(K397=0,"待填成本",ROUND(K397/(1-O397),0)),"" )</f>
        <v/>
      </c>
      <c r="T397" s="31">
        <f>IFERROR(IF(K397=0,"",(P397-K397)/P397),"" )</f>
        <v/>
      </c>
      <c r="U397" s="31">
        <f>IFERROR(IF(K397=0,"",(Q397-K397)/Q397),"" )</f>
        <v/>
      </c>
      <c r="V397" s="31">
        <f>IFERROR(IF(K397=0,"",(R397-K397)/R397),"" )</f>
        <v/>
      </c>
      <c r="W397" s="31">
        <f>IFERROR(IF(K397=0,"",(S397-K397)/S397),"" )</f>
        <v/>
      </c>
      <c r="X397" s="36" t="n"/>
      <c r="Y397" s="36" t="n"/>
      <c r="Z397" s="36" t="n"/>
      <c r="AA397" s="36" t="n"/>
      <c r="AB397" s="36" t="n"/>
      <c r="AC397" s="37" t="n">
        <v>14.61075</v>
      </c>
      <c r="AD397" s="36" t="n"/>
      <c r="AE397" s="36" t="n"/>
      <c r="AF397" s="33" t="n"/>
      <c r="AG397" s="33" t="n"/>
      <c r="AH397" s="35" t="inlineStr"/>
    </row>
    <row r="398" ht="18" customHeight="1">
      <c r="A398" s="25" t="inlineStr">
        <is>
          <t>2425008080199</t>
        </is>
      </c>
      <c r="B398" s="6" t="inlineStr">
        <is>
          <t>餐厅-柜</t>
        </is>
      </c>
      <c r="C398" s="5" t="inlineStr">
        <is>
          <t>洞石餐边柜 |樱桃木洞石餐边大柜 |樱桃木洞石模块餐边柜</t>
        </is>
      </c>
      <c r="D398" s="5" t="inlineStr">
        <is>
          <t>洞石餐边柜-下柜-全景玻璃抽屉柜-80cm</t>
        </is>
      </c>
      <c r="E398" s="6" t="inlineStr">
        <is>
          <t>北美进口FAS级樱桃木</t>
        </is>
      </c>
      <c r="F398" s="6" t="inlineStr">
        <is>
          <t xml:space="preserve">抽屉围板：新西兰进口松木
台面：洞石岩板
背板：洞石背板/实木多层板
电力轨道：xpower 挂架式电力轨道
顶柜玻璃：灰玻
</t>
        </is>
      </c>
      <c r="G39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8" s="26" t="n">
        <v>1475.235</v>
      </c>
      <c r="I398" s="26" t="n">
        <v>1325.235</v>
      </c>
      <c r="J398" s="27" t="n">
        <v>0.48</v>
      </c>
      <c r="K398" s="28">
        <f>IFERROR(H398,0)</f>
        <v/>
      </c>
      <c r="L398" s="29" t="n">
        <v>0.4516</v>
      </c>
      <c r="M398" s="29" t="n">
        <v>0.241</v>
      </c>
      <c r="N398" s="29" t="n">
        <v>0.2879</v>
      </c>
      <c r="O398" s="29" t="n">
        <v>0.26</v>
      </c>
      <c r="P398" s="30">
        <f>IFERROR(IF(K398=0,"待填成本",ROUND(K398/(1-L398),0)),"" )</f>
        <v/>
      </c>
      <c r="Q398" s="30">
        <f>IFERROR(IF(K398=0,"待填成本",ROUND(K398/(1-M398),0)),"" )</f>
        <v/>
      </c>
      <c r="R398" s="30">
        <f>IFERROR(IF(K398=0,"待填成本",ROUND(K398/(1-N398),0)),"" )</f>
        <v/>
      </c>
      <c r="S398" s="30">
        <f>IFERROR(IF(K398=0,"待填成本",ROUND(K398/(1-O398),0)),"" )</f>
        <v/>
      </c>
      <c r="T398" s="31">
        <f>IFERROR(IF(K398=0,"",(P398-K398)/P398),"" )</f>
        <v/>
      </c>
      <c r="U398" s="31">
        <f>IFERROR(IF(K398=0,"",(Q398-K398)/Q398),"" )</f>
        <v/>
      </c>
      <c r="V398" s="31">
        <f>IFERROR(IF(K398=0,"",(R398-K398)/R398),"" )</f>
        <v/>
      </c>
      <c r="W398" s="31">
        <f>IFERROR(IF(K398=0,"",(S398-K398)/S398),"" )</f>
        <v/>
      </c>
      <c r="X398" s="32" t="n"/>
      <c r="Y398" s="32" t="n"/>
      <c r="Z398" s="32" t="n"/>
      <c r="AA398" s="32" t="n"/>
      <c r="AB398" s="32" t="n"/>
      <c r="AC398" s="37" t="n">
        <v>14.61075</v>
      </c>
      <c r="AD398" s="32" t="n"/>
      <c r="AE398" s="32" t="n"/>
      <c r="AF398" s="33" t="n"/>
      <c r="AG398" s="33" t="n"/>
      <c r="AH398" s="5" t="inlineStr"/>
    </row>
    <row r="399" ht="18" customHeight="1">
      <c r="A399" s="25" t="inlineStr">
        <is>
          <t>2425008080199</t>
        </is>
      </c>
      <c r="B399" s="34" t="inlineStr">
        <is>
          <t>餐厅-柜</t>
        </is>
      </c>
      <c r="C399" s="35" t="inlineStr">
        <is>
          <t>洞石餐边柜 |樱桃木洞石餐边大柜 |樱桃木洞石模块餐边柜</t>
        </is>
      </c>
      <c r="D399" s="35" t="inlineStr">
        <is>
          <t>洞石餐边柜-下柜-全景玻璃抽屉柜-70cm</t>
        </is>
      </c>
      <c r="E399" s="34" t="inlineStr">
        <is>
          <t>北美进口FAS级樱桃木</t>
        </is>
      </c>
      <c r="F399" s="34" t="inlineStr">
        <is>
          <t xml:space="preserve">抽屉围板：新西兰进口松木
台面：洞石岩板
背板：洞石背板/实木多层板
电力轨道：xpower 挂架式电力轨道
顶柜玻璃：灰玻
</t>
        </is>
      </c>
      <c r="G39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399" s="26" t="n">
        <v>1412.6175</v>
      </c>
      <c r="I399" s="26" t="n">
        <v>1262.6175</v>
      </c>
      <c r="J399" s="27" t="n">
        <v>0.48</v>
      </c>
      <c r="K399" s="28">
        <f>IFERROR(H399,0)</f>
        <v/>
      </c>
      <c r="L399" s="29" t="n">
        <v>0.4592</v>
      </c>
      <c r="M399" s="29" t="n">
        <v>0.2467</v>
      </c>
      <c r="N399" s="29" t="n">
        <v>0.2942</v>
      </c>
      <c r="O399" s="29" t="n">
        <v>0.2659</v>
      </c>
      <c r="P399" s="30">
        <f>IFERROR(IF(K399=0,"待填成本",ROUND(K399/(1-L399),0)),"" )</f>
        <v/>
      </c>
      <c r="Q399" s="30">
        <f>IFERROR(IF(K399=0,"待填成本",ROUND(K399/(1-M399),0)),"" )</f>
        <v/>
      </c>
      <c r="R399" s="30">
        <f>IFERROR(IF(K399=0,"待填成本",ROUND(K399/(1-N399),0)),"" )</f>
        <v/>
      </c>
      <c r="S399" s="30">
        <f>IFERROR(IF(K399=0,"待填成本",ROUND(K399/(1-O399),0)),"" )</f>
        <v/>
      </c>
      <c r="T399" s="31">
        <f>IFERROR(IF(K399=0,"",(P399-K399)/P399),"" )</f>
        <v/>
      </c>
      <c r="U399" s="31">
        <f>IFERROR(IF(K399=0,"",(Q399-K399)/Q399),"" )</f>
        <v/>
      </c>
      <c r="V399" s="31">
        <f>IFERROR(IF(K399=0,"",(R399-K399)/R399),"" )</f>
        <v/>
      </c>
      <c r="W399" s="31">
        <f>IFERROR(IF(K399=0,"",(S399-K399)/S399),"" )</f>
        <v/>
      </c>
      <c r="X399" s="36" t="n"/>
      <c r="Y399" s="36" t="n"/>
      <c r="Z399" s="36" t="n"/>
      <c r="AA399" s="36" t="n"/>
      <c r="AB399" s="36" t="n"/>
      <c r="AC399" s="37" t="n">
        <v>14.61075</v>
      </c>
      <c r="AD399" s="36" t="n"/>
      <c r="AE399" s="36" t="n"/>
      <c r="AF399" s="33" t="n"/>
      <c r="AG399" s="33" t="n"/>
      <c r="AH399" s="35" t="inlineStr"/>
    </row>
    <row r="400" ht="18" customHeight="1">
      <c r="A400" s="25" t="inlineStr">
        <is>
          <t>2425008080199</t>
        </is>
      </c>
      <c r="B400" s="6" t="inlineStr">
        <is>
          <t>餐厅-柜</t>
        </is>
      </c>
      <c r="C400" s="5" t="inlineStr">
        <is>
          <t>洞石餐边柜 |樱桃木洞石餐边大柜 |樱桃木洞石模块餐边柜</t>
        </is>
      </c>
      <c r="D400" s="5" t="inlineStr">
        <is>
          <t>洞石餐边柜-下柜-全景玻璃抽屉柜-60cm</t>
        </is>
      </c>
      <c r="E400" s="6" t="inlineStr">
        <is>
          <t>北美进口FAS级樱桃木</t>
        </is>
      </c>
      <c r="F400" s="6" t="inlineStr">
        <is>
          <t xml:space="preserve">抽屉围板：新西兰进口松木
台面：洞石岩板
背板：洞石背板/实木多层板
电力轨道：xpower 挂架式电力轨道
顶柜玻璃：灰玻
</t>
        </is>
      </c>
      <c r="G40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0" s="26" t="n">
        <v>1350</v>
      </c>
      <c r="I400" s="26" t="n">
        <v>1200</v>
      </c>
      <c r="J400" s="27" t="n">
        <v>0.48</v>
      </c>
      <c r="K400" s="28">
        <f>IFERROR(H400,0)</f>
        <v/>
      </c>
      <c r="L400" s="29" t="n">
        <v>0.467</v>
      </c>
      <c r="M400" s="29" t="n">
        <v>0.2526</v>
      </c>
      <c r="N400" s="29" t="n">
        <v>0.3008</v>
      </c>
      <c r="O400" s="29" t="n">
        <v>0.2721</v>
      </c>
      <c r="P400" s="30">
        <f>IFERROR(IF(K400=0,"待填成本",ROUND(K400/(1-L400),0)),"" )</f>
        <v/>
      </c>
      <c r="Q400" s="30">
        <f>IFERROR(IF(K400=0,"待填成本",ROUND(K400/(1-M400),0)),"" )</f>
        <v/>
      </c>
      <c r="R400" s="30">
        <f>IFERROR(IF(K400=0,"待填成本",ROUND(K400/(1-N400),0)),"" )</f>
        <v/>
      </c>
      <c r="S400" s="30">
        <f>IFERROR(IF(K400=0,"待填成本",ROUND(K400/(1-O400),0)),"" )</f>
        <v/>
      </c>
      <c r="T400" s="31">
        <f>IFERROR(IF(K400=0,"",(P400-K400)/P400),"" )</f>
        <v/>
      </c>
      <c r="U400" s="31">
        <f>IFERROR(IF(K400=0,"",(Q400-K400)/Q400),"" )</f>
        <v/>
      </c>
      <c r="V400" s="31">
        <f>IFERROR(IF(K400=0,"",(R400-K400)/R400),"" )</f>
        <v/>
      </c>
      <c r="W400" s="31">
        <f>IFERROR(IF(K400=0,"",(S400-K400)/S400),"" )</f>
        <v/>
      </c>
      <c r="X400" s="32" t="n"/>
      <c r="Y400" s="32" t="n"/>
      <c r="Z400" s="32" t="n"/>
      <c r="AA400" s="32" t="n"/>
      <c r="AB400" s="32" t="n"/>
      <c r="AC400" s="37" t="n">
        <v>14.61075</v>
      </c>
      <c r="AD400" s="32" t="n"/>
      <c r="AE400" s="32" t="n"/>
      <c r="AF400" s="33" t="n"/>
      <c r="AG400" s="33" t="n"/>
      <c r="AH400" s="5" t="inlineStr"/>
    </row>
    <row r="401" ht="18" customHeight="1">
      <c r="A401" s="25" t="inlineStr">
        <is>
          <t>2425008080199</t>
        </is>
      </c>
      <c r="B401" s="34" t="inlineStr">
        <is>
          <t>餐厅-柜</t>
        </is>
      </c>
      <c r="C401" s="35" t="inlineStr">
        <is>
          <t>洞石餐边柜 |樱桃木洞石餐边大柜 |樱桃木洞石模块餐边柜</t>
        </is>
      </c>
      <c r="D401" s="35" t="inlineStr">
        <is>
          <t>洞石餐边柜-下柜-全景玻璃抽屉柜-50cm</t>
        </is>
      </c>
      <c r="E401" s="34" t="inlineStr">
        <is>
          <t>北美进口FAS级樱桃木</t>
        </is>
      </c>
      <c r="F401" s="34" t="inlineStr">
        <is>
          <t xml:space="preserve">抽屉围板：新西兰进口松木
台面：洞石岩板
背板：洞石背板/实木多层板
电力轨道：xpower 挂架式电力轨道
顶柜玻璃：灰玻
</t>
        </is>
      </c>
      <c r="G40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1" s="26" t="n">
        <v>1287.3825</v>
      </c>
      <c r="I401" s="26" t="n">
        <v>1137.3825</v>
      </c>
      <c r="J401" s="27" t="n">
        <v>0.48</v>
      </c>
      <c r="K401" s="28">
        <f>IFERROR(H401,0)</f>
        <v/>
      </c>
      <c r="L401" s="29" t="n">
        <v>0.4751</v>
      </c>
      <c r="M401" s="29" t="n">
        <v>0.2588</v>
      </c>
      <c r="N401" s="29" t="n">
        <v>0.3077</v>
      </c>
      <c r="O401" s="29" t="n">
        <v>0.2786</v>
      </c>
      <c r="P401" s="30">
        <f>IFERROR(IF(K401=0,"待填成本",ROUND(K401/(1-L401),0)),"" )</f>
        <v/>
      </c>
      <c r="Q401" s="30">
        <f>IFERROR(IF(K401=0,"待填成本",ROUND(K401/(1-M401),0)),"" )</f>
        <v/>
      </c>
      <c r="R401" s="30">
        <f>IFERROR(IF(K401=0,"待填成本",ROUND(K401/(1-N401),0)),"" )</f>
        <v/>
      </c>
      <c r="S401" s="30">
        <f>IFERROR(IF(K401=0,"待填成本",ROUND(K401/(1-O401),0)),"" )</f>
        <v/>
      </c>
      <c r="T401" s="31">
        <f>IFERROR(IF(K401=0,"",(P401-K401)/P401),"" )</f>
        <v/>
      </c>
      <c r="U401" s="31">
        <f>IFERROR(IF(K401=0,"",(Q401-K401)/Q401),"" )</f>
        <v/>
      </c>
      <c r="V401" s="31">
        <f>IFERROR(IF(K401=0,"",(R401-K401)/R401),"" )</f>
        <v/>
      </c>
      <c r="W401" s="31">
        <f>IFERROR(IF(K401=0,"",(S401-K401)/S401),"" )</f>
        <v/>
      </c>
      <c r="X401" s="36" t="n"/>
      <c r="Y401" s="36" t="n"/>
      <c r="Z401" s="36" t="n"/>
      <c r="AA401" s="36" t="n"/>
      <c r="AB401" s="36" t="n"/>
      <c r="AC401" s="37" t="n">
        <v>14.61075</v>
      </c>
      <c r="AD401" s="36" t="n"/>
      <c r="AE401" s="36" t="n"/>
      <c r="AF401" s="33" t="n"/>
      <c r="AG401" s="33" t="n"/>
      <c r="AH401" s="35" t="inlineStr"/>
    </row>
    <row r="402" ht="18" customHeight="1">
      <c r="A402" s="25" t="inlineStr">
        <is>
          <t>2425008080199</t>
        </is>
      </c>
      <c r="B402" s="6" t="inlineStr">
        <is>
          <t>餐厅-柜</t>
        </is>
      </c>
      <c r="C402" s="5" t="inlineStr">
        <is>
          <t>洞石餐边柜 |樱桃木洞石餐边大柜 |樱桃木洞石模块餐边柜</t>
        </is>
      </c>
      <c r="D402" s="5" t="inlineStr">
        <is>
          <t>洞石餐边柜-下柜-玻璃开门柜-110cm</t>
        </is>
      </c>
      <c r="E402" s="6" t="inlineStr">
        <is>
          <t>北美进口FAS级樱桃木</t>
        </is>
      </c>
      <c r="F402" s="6" t="inlineStr">
        <is>
          <t xml:space="preserve">抽屉围板：新西兰进口松木
台面：洞石岩板
背板：洞石背板/实木多层板
电力轨道：xpower 挂架式电力轨道
顶柜玻璃：灰玻
</t>
        </is>
      </c>
      <c r="G40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2" s="26" t="n">
        <v>1825.235</v>
      </c>
      <c r="I402" s="26" t="n">
        <v>1675.235</v>
      </c>
      <c r="J402" s="27" t="n">
        <v>0.48</v>
      </c>
      <c r="K402" s="28">
        <f>IFERROR(H402,0)</f>
        <v/>
      </c>
      <c r="L402" s="29" t="n">
        <v>0.454</v>
      </c>
      <c r="M402" s="29" t="n">
        <v>0.2426</v>
      </c>
      <c r="N402" s="29" t="n">
        <v>0.2911</v>
      </c>
      <c r="O402" s="29" t="n">
        <v>0.261</v>
      </c>
      <c r="P402" s="30">
        <f>IFERROR(IF(K402=0,"待填成本",ROUND(K402/(1-L402),0)),"" )</f>
        <v/>
      </c>
      <c r="Q402" s="30">
        <f>IFERROR(IF(K402=0,"待填成本",ROUND(K402/(1-M402),0)),"" )</f>
        <v/>
      </c>
      <c r="R402" s="30">
        <f>IFERROR(IF(K402=0,"待填成本",ROUND(K402/(1-N402),0)),"" )</f>
        <v/>
      </c>
      <c r="S402" s="30">
        <f>IFERROR(IF(K402=0,"待填成本",ROUND(K402/(1-O402),0)),"" )</f>
        <v/>
      </c>
      <c r="T402" s="31">
        <f>IFERROR(IF(K402=0,"",(P402-K402)/P402),"" )</f>
        <v/>
      </c>
      <c r="U402" s="31">
        <f>IFERROR(IF(K402=0,"",(Q402-K402)/Q402),"" )</f>
        <v/>
      </c>
      <c r="V402" s="31">
        <f>IFERROR(IF(K402=0,"",(R402-K402)/R402),"" )</f>
        <v/>
      </c>
      <c r="W402" s="31">
        <f>IFERROR(IF(K402=0,"",(S402-K402)/S402),"" )</f>
        <v/>
      </c>
      <c r="X402" s="32" t="n"/>
      <c r="Y402" s="32" t="n"/>
      <c r="Z402" s="32" t="n"/>
      <c r="AA402" s="32" t="n"/>
      <c r="AB402" s="32" t="n"/>
      <c r="AC402" s="37" t="n">
        <v>17.64675</v>
      </c>
      <c r="AD402" s="32" t="n"/>
      <c r="AE402" s="32" t="n"/>
      <c r="AF402" s="33" t="n"/>
      <c r="AG402" s="33" t="n"/>
      <c r="AH402" s="5" t="inlineStr"/>
    </row>
    <row r="403" ht="18" customHeight="1">
      <c r="A403" s="25" t="inlineStr">
        <is>
          <t>2425008080199</t>
        </is>
      </c>
      <c r="B403" s="34" t="inlineStr">
        <is>
          <t>餐厅-柜</t>
        </is>
      </c>
      <c r="C403" s="35" t="inlineStr">
        <is>
          <t>洞石餐边柜 |樱桃木洞石餐边大柜 |樱桃木洞石模块餐边柜</t>
        </is>
      </c>
      <c r="D403" s="35" t="inlineStr">
        <is>
          <t>洞石餐边柜-下柜-玻璃开门柜-100cm</t>
        </is>
      </c>
      <c r="E403" s="34" t="inlineStr">
        <is>
          <t>北美进口FAS级樱桃木</t>
        </is>
      </c>
      <c r="F403" s="34" t="inlineStr">
        <is>
          <t xml:space="preserve">抽屉围板：新西兰进口松木
台面：洞石岩板
背板：洞石背板/实木多层板
电力轨道：xpower 挂架式电力轨道
顶柜玻璃：灰玻
</t>
        </is>
      </c>
      <c r="G40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3" s="26" t="n">
        <v>1762.6175</v>
      </c>
      <c r="I403" s="26" t="n">
        <v>1612.6175</v>
      </c>
      <c r="J403" s="27" t="n">
        <v>0.48</v>
      </c>
      <c r="K403" s="28">
        <f>IFERROR(H403,0)</f>
        <v/>
      </c>
      <c r="L403" s="29" t="n">
        <v>0.4605</v>
      </c>
      <c r="M403" s="29" t="n">
        <v>0.2474</v>
      </c>
      <c r="N403" s="29" t="n">
        <v>0.2965</v>
      </c>
      <c r="O403" s="29" t="n">
        <v>0.266</v>
      </c>
      <c r="P403" s="30">
        <f>IFERROR(IF(K403=0,"待填成本",ROUND(K403/(1-L403),0)),"" )</f>
        <v/>
      </c>
      <c r="Q403" s="30">
        <f>IFERROR(IF(K403=0,"待填成本",ROUND(K403/(1-M403),0)),"" )</f>
        <v/>
      </c>
      <c r="R403" s="30">
        <f>IFERROR(IF(K403=0,"待填成本",ROUND(K403/(1-N403),0)),"" )</f>
        <v/>
      </c>
      <c r="S403" s="30">
        <f>IFERROR(IF(K403=0,"待填成本",ROUND(K403/(1-O403),0)),"" )</f>
        <v/>
      </c>
      <c r="T403" s="31">
        <f>IFERROR(IF(K403=0,"",(P403-K403)/P403),"" )</f>
        <v/>
      </c>
      <c r="U403" s="31">
        <f>IFERROR(IF(K403=0,"",(Q403-K403)/Q403),"" )</f>
        <v/>
      </c>
      <c r="V403" s="31">
        <f>IFERROR(IF(K403=0,"",(R403-K403)/R403),"" )</f>
        <v/>
      </c>
      <c r="W403" s="31">
        <f>IFERROR(IF(K403=0,"",(S403-K403)/S403),"" )</f>
        <v/>
      </c>
      <c r="X403" s="36" t="n"/>
      <c r="Y403" s="36" t="n"/>
      <c r="Z403" s="36" t="n"/>
      <c r="AA403" s="36" t="n"/>
      <c r="AB403" s="36" t="n"/>
      <c r="AC403" s="37" t="n">
        <v>17.64675</v>
      </c>
      <c r="AD403" s="36" t="n"/>
      <c r="AE403" s="36" t="n"/>
      <c r="AF403" s="33" t="n"/>
      <c r="AG403" s="33" t="n"/>
      <c r="AH403" s="35" t="inlineStr"/>
    </row>
    <row r="404" ht="18" customHeight="1">
      <c r="A404" s="25" t="inlineStr">
        <is>
          <t>2425008080199</t>
        </is>
      </c>
      <c r="B404" s="6" t="inlineStr">
        <is>
          <t>餐厅-柜</t>
        </is>
      </c>
      <c r="C404" s="5" t="inlineStr">
        <is>
          <t>洞石餐边柜 |樱桃木洞石餐边大柜 |樱桃木洞石模块餐边柜</t>
        </is>
      </c>
      <c r="D404" s="5" t="inlineStr">
        <is>
          <t>洞石餐边柜-下柜-玻璃开门柜-90cm</t>
        </is>
      </c>
      <c r="E404" s="6" t="inlineStr">
        <is>
          <t>北美进口FAS级樱桃木</t>
        </is>
      </c>
      <c r="F404" s="6" t="inlineStr">
        <is>
          <t xml:space="preserve">抽屉围板：新西兰进口松木
台面：洞石岩板
背板：洞石背板/实木多层板
电力轨道：xpower 挂架式电力轨道
顶柜玻璃：灰玻
</t>
        </is>
      </c>
      <c r="G40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4" s="26" t="n">
        <v>1700</v>
      </c>
      <c r="I404" s="26" t="n">
        <v>1550</v>
      </c>
      <c r="J404" s="27" t="n">
        <v>0.48</v>
      </c>
      <c r="K404" s="28">
        <f>IFERROR(H404,0)</f>
        <v/>
      </c>
      <c r="L404" s="29" t="n">
        <v>0.4671</v>
      </c>
      <c r="M404" s="29" t="n">
        <v>0.2524</v>
      </c>
      <c r="N404" s="29" t="n">
        <v>0.3021</v>
      </c>
      <c r="O404" s="29" t="n">
        <v>0.2713</v>
      </c>
      <c r="P404" s="30">
        <f>IFERROR(IF(K404=0,"待填成本",ROUND(K404/(1-L404),0)),"" )</f>
        <v/>
      </c>
      <c r="Q404" s="30">
        <f>IFERROR(IF(K404=0,"待填成本",ROUND(K404/(1-M404),0)),"" )</f>
        <v/>
      </c>
      <c r="R404" s="30">
        <f>IFERROR(IF(K404=0,"待填成本",ROUND(K404/(1-N404),0)),"" )</f>
        <v/>
      </c>
      <c r="S404" s="30">
        <f>IFERROR(IF(K404=0,"待填成本",ROUND(K404/(1-O404),0)),"" )</f>
        <v/>
      </c>
      <c r="T404" s="31">
        <f>IFERROR(IF(K404=0,"",(P404-K404)/P404),"" )</f>
        <v/>
      </c>
      <c r="U404" s="31">
        <f>IFERROR(IF(K404=0,"",(Q404-K404)/Q404),"" )</f>
        <v/>
      </c>
      <c r="V404" s="31">
        <f>IFERROR(IF(K404=0,"",(R404-K404)/R404),"" )</f>
        <v/>
      </c>
      <c r="W404" s="31">
        <f>IFERROR(IF(K404=0,"",(S404-K404)/S404),"" )</f>
        <v/>
      </c>
      <c r="X404" s="32" t="n"/>
      <c r="Y404" s="32" t="n"/>
      <c r="Z404" s="32" t="n"/>
      <c r="AA404" s="32" t="n"/>
      <c r="AB404" s="32" t="n"/>
      <c r="AC404" s="37" t="n">
        <v>17.64675</v>
      </c>
      <c r="AD404" s="32" t="n"/>
      <c r="AE404" s="32" t="n"/>
      <c r="AF404" s="33" t="n"/>
      <c r="AG404" s="33" t="n"/>
      <c r="AH404" s="5" t="inlineStr"/>
    </row>
    <row r="405" ht="18" customHeight="1">
      <c r="A405" s="25" t="inlineStr">
        <is>
          <t>2425008080199</t>
        </is>
      </c>
      <c r="B405" s="34" t="inlineStr">
        <is>
          <t>餐厅-柜</t>
        </is>
      </c>
      <c r="C405" s="35" t="inlineStr">
        <is>
          <t>洞石餐边柜 |樱桃木洞石餐边大柜 |樱桃木洞石模块餐边柜</t>
        </is>
      </c>
      <c r="D405" s="35" t="inlineStr">
        <is>
          <t>洞石餐边柜-下柜-玻璃开门柜-80cm</t>
        </is>
      </c>
      <c r="E405" s="34" t="inlineStr">
        <is>
          <t>北美进口FAS级樱桃木</t>
        </is>
      </c>
      <c r="F405" s="34" t="inlineStr">
        <is>
          <t xml:space="preserve">抽屉围板：新西兰进口松木
台面：洞石岩板
背板：洞石背板/实木多层板
电力轨道：xpower 挂架式电力轨道
顶柜玻璃：灰玻
</t>
        </is>
      </c>
      <c r="G40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5" s="26" t="n">
        <v>1637.3825</v>
      </c>
      <c r="I405" s="26" t="n">
        <v>1487.3825</v>
      </c>
      <c r="J405" s="27" t="n">
        <v>0.48</v>
      </c>
      <c r="K405" s="28">
        <f>IFERROR(H405,0)</f>
        <v/>
      </c>
      <c r="L405" s="29" t="n">
        <v>0.474</v>
      </c>
      <c r="M405" s="29" t="n">
        <v>0.2576</v>
      </c>
      <c r="N405" s="29" t="n">
        <v>0.3079</v>
      </c>
      <c r="O405" s="29" t="n">
        <v>0.2767</v>
      </c>
      <c r="P405" s="30">
        <f>IFERROR(IF(K405=0,"待填成本",ROUND(K405/(1-L405),0)),"" )</f>
        <v/>
      </c>
      <c r="Q405" s="30">
        <f>IFERROR(IF(K405=0,"待填成本",ROUND(K405/(1-M405),0)),"" )</f>
        <v/>
      </c>
      <c r="R405" s="30">
        <f>IFERROR(IF(K405=0,"待填成本",ROUND(K405/(1-N405),0)),"" )</f>
        <v/>
      </c>
      <c r="S405" s="30">
        <f>IFERROR(IF(K405=0,"待填成本",ROUND(K405/(1-O405),0)),"" )</f>
        <v/>
      </c>
      <c r="T405" s="31">
        <f>IFERROR(IF(K405=0,"",(P405-K405)/P405),"" )</f>
        <v/>
      </c>
      <c r="U405" s="31">
        <f>IFERROR(IF(K405=0,"",(Q405-K405)/Q405),"" )</f>
        <v/>
      </c>
      <c r="V405" s="31">
        <f>IFERROR(IF(K405=0,"",(R405-K405)/R405),"" )</f>
        <v/>
      </c>
      <c r="W405" s="31">
        <f>IFERROR(IF(K405=0,"",(S405-K405)/S405),"" )</f>
        <v/>
      </c>
      <c r="X405" s="36" t="n"/>
      <c r="Y405" s="36" t="n"/>
      <c r="Z405" s="36" t="n"/>
      <c r="AA405" s="36" t="n"/>
      <c r="AB405" s="36" t="n"/>
      <c r="AC405" s="37" t="n">
        <v>17.64675</v>
      </c>
      <c r="AD405" s="36" t="n"/>
      <c r="AE405" s="36" t="n"/>
      <c r="AF405" s="33" t="n"/>
      <c r="AG405" s="33" t="n"/>
      <c r="AH405" s="35" t="inlineStr"/>
    </row>
    <row r="406" ht="18" customHeight="1">
      <c r="A406" s="25" t="inlineStr">
        <is>
          <t>2425008080199</t>
        </is>
      </c>
      <c r="B406" s="6" t="inlineStr">
        <is>
          <t>餐厅-柜</t>
        </is>
      </c>
      <c r="C406" s="5" t="inlineStr">
        <is>
          <t>洞石餐边柜 |樱桃木洞石餐边大柜 |樱桃木洞石模块餐边柜</t>
        </is>
      </c>
      <c r="D406" s="5" t="inlineStr">
        <is>
          <t>洞石餐边柜-下柜-玻璃开门柜-70cm</t>
        </is>
      </c>
      <c r="E406" s="6" t="inlineStr">
        <is>
          <t>北美进口FAS级樱桃木</t>
        </is>
      </c>
      <c r="F406" s="6" t="inlineStr">
        <is>
          <t xml:space="preserve">抽屉围板：新西兰进口松木
台面：洞石岩板
背板：洞石背板/实木多层板
电力轨道：xpower 挂架式电力轨道
顶柜玻璃：灰玻
</t>
        </is>
      </c>
      <c r="G40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6" s="26" t="n">
        <v>1574.765</v>
      </c>
      <c r="I406" s="26" t="n">
        <v>1424.765</v>
      </c>
      <c r="J406" s="27" t="n">
        <v>0.48</v>
      </c>
      <c r="K406" s="28">
        <f>IFERROR(H406,0)</f>
        <v/>
      </c>
      <c r="L406" s="29" t="n">
        <v>0.481</v>
      </c>
      <c r="M406" s="29" t="n">
        <v>0.2631</v>
      </c>
      <c r="N406" s="29" t="n">
        <v>0.314</v>
      </c>
      <c r="O406" s="29" t="n">
        <v>0.2824</v>
      </c>
      <c r="P406" s="30">
        <f>IFERROR(IF(K406=0,"待填成本",ROUND(K406/(1-L406),0)),"" )</f>
        <v/>
      </c>
      <c r="Q406" s="30">
        <f>IFERROR(IF(K406=0,"待填成本",ROUND(K406/(1-M406),0)),"" )</f>
        <v/>
      </c>
      <c r="R406" s="30">
        <f>IFERROR(IF(K406=0,"待填成本",ROUND(K406/(1-N406),0)),"" )</f>
        <v/>
      </c>
      <c r="S406" s="30">
        <f>IFERROR(IF(K406=0,"待填成本",ROUND(K406/(1-O406),0)),"" )</f>
        <v/>
      </c>
      <c r="T406" s="31">
        <f>IFERROR(IF(K406=0,"",(P406-K406)/P406),"" )</f>
        <v/>
      </c>
      <c r="U406" s="31">
        <f>IFERROR(IF(K406=0,"",(Q406-K406)/Q406),"" )</f>
        <v/>
      </c>
      <c r="V406" s="31">
        <f>IFERROR(IF(K406=0,"",(R406-K406)/R406),"" )</f>
        <v/>
      </c>
      <c r="W406" s="31">
        <f>IFERROR(IF(K406=0,"",(S406-K406)/S406),"" )</f>
        <v/>
      </c>
      <c r="X406" s="32" t="n"/>
      <c r="Y406" s="32" t="n"/>
      <c r="Z406" s="32" t="n"/>
      <c r="AA406" s="32" t="n"/>
      <c r="AB406" s="32" t="n"/>
      <c r="AC406" s="37" t="n">
        <v>17.64675</v>
      </c>
      <c r="AD406" s="32" t="n"/>
      <c r="AE406" s="32" t="n"/>
      <c r="AF406" s="33" t="n"/>
      <c r="AG406" s="33" t="n"/>
      <c r="AH406" s="5" t="inlineStr"/>
    </row>
    <row r="407" ht="18" customHeight="1">
      <c r="A407" s="25" t="inlineStr">
        <is>
          <t>2425008080199</t>
        </is>
      </c>
      <c r="B407" s="34" t="inlineStr">
        <is>
          <t>餐厅-柜</t>
        </is>
      </c>
      <c r="C407" s="35" t="inlineStr">
        <is>
          <t>洞石餐边柜 |樱桃木洞石餐边大柜 |樱桃木洞石模块餐边柜</t>
        </is>
      </c>
      <c r="D407" s="35" t="inlineStr">
        <is>
          <t>洞石餐边柜-下柜-玻璃开门柜-60cm</t>
        </is>
      </c>
      <c r="E407" s="34" t="inlineStr">
        <is>
          <t>北美进口FAS级樱桃木</t>
        </is>
      </c>
      <c r="F407" s="34" t="inlineStr">
        <is>
          <t xml:space="preserve">抽屉围板：新西兰进口松木
台面：洞石岩板
背板：洞石背板/实木多层板
电力轨道：xpower 挂架式电力轨道
顶柜玻璃：灰玻
</t>
        </is>
      </c>
      <c r="G40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7" s="26" t="n">
        <v>1512.1475</v>
      </c>
      <c r="I407" s="26" t="n">
        <v>1362.1475</v>
      </c>
      <c r="J407" s="27" t="n">
        <v>0.48</v>
      </c>
      <c r="K407" s="28">
        <f>IFERROR(H407,0)</f>
        <v/>
      </c>
      <c r="L407" s="29" t="n">
        <v>0.4883</v>
      </c>
      <c r="M407" s="29" t="n">
        <v>0.2687</v>
      </c>
      <c r="N407" s="29" t="n">
        <v>0.3203</v>
      </c>
      <c r="O407" s="29" t="n">
        <v>0.2884</v>
      </c>
      <c r="P407" s="30">
        <f>IFERROR(IF(K407=0,"待填成本",ROUND(K407/(1-L407),0)),"" )</f>
        <v/>
      </c>
      <c r="Q407" s="30">
        <f>IFERROR(IF(K407=0,"待填成本",ROUND(K407/(1-M407),0)),"" )</f>
        <v/>
      </c>
      <c r="R407" s="30">
        <f>IFERROR(IF(K407=0,"待填成本",ROUND(K407/(1-N407),0)),"" )</f>
        <v/>
      </c>
      <c r="S407" s="30">
        <f>IFERROR(IF(K407=0,"待填成本",ROUND(K407/(1-O407),0)),"" )</f>
        <v/>
      </c>
      <c r="T407" s="31">
        <f>IFERROR(IF(K407=0,"",(P407-K407)/P407),"" )</f>
        <v/>
      </c>
      <c r="U407" s="31">
        <f>IFERROR(IF(K407=0,"",(Q407-K407)/Q407),"" )</f>
        <v/>
      </c>
      <c r="V407" s="31">
        <f>IFERROR(IF(K407=0,"",(R407-K407)/R407),"" )</f>
        <v/>
      </c>
      <c r="W407" s="31">
        <f>IFERROR(IF(K407=0,"",(S407-K407)/S407),"" )</f>
        <v/>
      </c>
      <c r="X407" s="36" t="n"/>
      <c r="Y407" s="36" t="n"/>
      <c r="Z407" s="36" t="n"/>
      <c r="AA407" s="36" t="n"/>
      <c r="AB407" s="36" t="n"/>
      <c r="AC407" s="37" t="n">
        <v>17.64675</v>
      </c>
      <c r="AD407" s="36" t="n"/>
      <c r="AE407" s="36" t="n"/>
      <c r="AF407" s="33" t="n"/>
      <c r="AG407" s="33" t="n"/>
      <c r="AH407" s="35" t="inlineStr"/>
    </row>
    <row r="408" ht="18" customHeight="1">
      <c r="A408" s="25" t="inlineStr">
        <is>
          <t>2425008080199</t>
        </is>
      </c>
      <c r="B408" s="6" t="inlineStr">
        <is>
          <t>餐厅-柜</t>
        </is>
      </c>
      <c r="C408" s="5" t="inlineStr">
        <is>
          <t>洞石餐边柜 |樱桃木洞石餐边大柜 |樱桃木洞石模块餐边柜</t>
        </is>
      </c>
      <c r="D408" s="5" t="inlineStr">
        <is>
          <t>洞石餐边柜-下柜-开门柜-90cm</t>
        </is>
      </c>
      <c r="E408" s="6" t="inlineStr">
        <is>
          <t>北美进口FAS级樱桃木</t>
        </is>
      </c>
      <c r="F408" s="6" t="inlineStr">
        <is>
          <t xml:space="preserve">抽屉围板：新西兰进口松木
台面：洞石岩板
背板：洞石背板/实木多层板
电力轨道：xpower 挂架式电力轨道
顶柜玻璃：灰玻
</t>
        </is>
      </c>
      <c r="G40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8" s="26" t="n">
        <v>1447.34</v>
      </c>
      <c r="I408" s="26" t="n">
        <v>1297.34</v>
      </c>
      <c r="J408" s="27" t="n">
        <v>0.48</v>
      </c>
      <c r="K408" s="28">
        <f>IFERROR(H408,0)</f>
        <v/>
      </c>
      <c r="L408" s="29" t="n">
        <v>0.4426</v>
      </c>
      <c r="M408" s="29" t="n">
        <v>0.2332</v>
      </c>
      <c r="N408" s="29" t="n">
        <v>0.2816</v>
      </c>
      <c r="O408" s="29" t="n">
        <v>0.2528</v>
      </c>
      <c r="P408" s="30">
        <f>IFERROR(IF(K408=0,"待填成本",ROUND(K408/(1-L408),0)),"" )</f>
        <v/>
      </c>
      <c r="Q408" s="30">
        <f>IFERROR(IF(K408=0,"待填成本",ROUND(K408/(1-M408),0)),"" )</f>
        <v/>
      </c>
      <c r="R408" s="30">
        <f>IFERROR(IF(K408=0,"待填成本",ROUND(K408/(1-N408),0)),"" )</f>
        <v/>
      </c>
      <c r="S408" s="30">
        <f>IFERROR(IF(K408=0,"待填成本",ROUND(K408/(1-O408),0)),"" )</f>
        <v/>
      </c>
      <c r="T408" s="31">
        <f>IFERROR(IF(K408=0,"",(P408-K408)/P408),"" )</f>
        <v/>
      </c>
      <c r="U408" s="31">
        <f>IFERROR(IF(K408=0,"",(Q408-K408)/Q408),"" )</f>
        <v/>
      </c>
      <c r="V408" s="31">
        <f>IFERROR(IF(K408=0,"",(R408-K408)/R408),"" )</f>
        <v/>
      </c>
      <c r="W408" s="31">
        <f>IFERROR(IF(K408=0,"",(S408-K408)/S408),"" )</f>
        <v/>
      </c>
      <c r="X408" s="32" t="n"/>
      <c r="Y408" s="32" t="n"/>
      <c r="Z408" s="32" t="n"/>
      <c r="AA408" s="32" t="n"/>
      <c r="AB408" s="32" t="n"/>
      <c r="AC408" s="37" t="n">
        <v>14.61075</v>
      </c>
      <c r="AD408" s="32" t="n"/>
      <c r="AE408" s="32" t="n"/>
      <c r="AF408" s="33" t="n"/>
      <c r="AG408" s="33" t="n"/>
      <c r="AH408" s="5" t="inlineStr"/>
    </row>
    <row r="409" ht="18" customHeight="1">
      <c r="A409" s="25" t="inlineStr">
        <is>
          <t>2425008080199</t>
        </is>
      </c>
      <c r="B409" s="34" t="inlineStr">
        <is>
          <t>餐厅-柜</t>
        </is>
      </c>
      <c r="C409" s="35" t="inlineStr">
        <is>
          <t>洞石餐边柜 |樱桃木洞石餐边大柜 |樱桃木洞石模块餐边柜</t>
        </is>
      </c>
      <c r="D409" s="35" t="inlineStr">
        <is>
          <t>洞石餐边柜-下柜-开门柜-80cm</t>
        </is>
      </c>
      <c r="E409" s="34" t="inlineStr">
        <is>
          <t>北美进口FAS级樱桃木</t>
        </is>
      </c>
      <c r="F409" s="34" t="inlineStr">
        <is>
          <t xml:space="preserve">抽屉围板：新西兰进口松木
台面：洞石岩板
背板：洞石背板/实木多层板
电力轨道：xpower 挂架式电力轨道
顶柜玻璃：灰玻
</t>
        </is>
      </c>
      <c r="G40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09" s="26" t="n">
        <v>1381.56</v>
      </c>
      <c r="I409" s="26" t="n">
        <v>1231.56</v>
      </c>
      <c r="J409" s="27" t="n">
        <v>0.48</v>
      </c>
      <c r="K409" s="28">
        <f>IFERROR(H409,0)</f>
        <v/>
      </c>
      <c r="L409" s="29" t="n">
        <v>0.4507</v>
      </c>
      <c r="M409" s="29" t="n">
        <v>0.2391</v>
      </c>
      <c r="N409" s="29" t="n">
        <v>0.2883</v>
      </c>
      <c r="O409" s="29" t="n">
        <v>0.259</v>
      </c>
      <c r="P409" s="30">
        <f>IFERROR(IF(K409=0,"待填成本",ROUND(K409/(1-L409),0)),"" )</f>
        <v/>
      </c>
      <c r="Q409" s="30">
        <f>IFERROR(IF(K409=0,"待填成本",ROUND(K409/(1-M409),0)),"" )</f>
        <v/>
      </c>
      <c r="R409" s="30">
        <f>IFERROR(IF(K409=0,"待填成本",ROUND(K409/(1-N409),0)),"" )</f>
        <v/>
      </c>
      <c r="S409" s="30">
        <f>IFERROR(IF(K409=0,"待填成本",ROUND(K409/(1-O409),0)),"" )</f>
        <v/>
      </c>
      <c r="T409" s="31">
        <f>IFERROR(IF(K409=0,"",(P409-K409)/P409),"" )</f>
        <v/>
      </c>
      <c r="U409" s="31">
        <f>IFERROR(IF(K409=0,"",(Q409-K409)/Q409),"" )</f>
        <v/>
      </c>
      <c r="V409" s="31">
        <f>IFERROR(IF(K409=0,"",(R409-K409)/R409),"" )</f>
        <v/>
      </c>
      <c r="W409" s="31">
        <f>IFERROR(IF(K409=0,"",(S409-K409)/S409),"" )</f>
        <v/>
      </c>
      <c r="X409" s="36" t="n"/>
      <c r="Y409" s="36" t="n"/>
      <c r="Z409" s="36" t="n"/>
      <c r="AA409" s="36" t="n"/>
      <c r="AB409" s="36" t="n"/>
      <c r="AC409" s="37" t="n">
        <v>14.61075</v>
      </c>
      <c r="AD409" s="36" t="n"/>
      <c r="AE409" s="36" t="n"/>
      <c r="AF409" s="33" t="n"/>
      <c r="AG409" s="33" t="n"/>
      <c r="AH409" s="35" t="inlineStr"/>
    </row>
    <row r="410" ht="18" customHeight="1">
      <c r="A410" s="25" t="inlineStr">
        <is>
          <t>2425008080199</t>
        </is>
      </c>
      <c r="B410" s="6" t="inlineStr">
        <is>
          <t>餐厅-柜</t>
        </is>
      </c>
      <c r="C410" s="5" t="inlineStr">
        <is>
          <t>洞石餐边柜 |樱桃木洞石餐边大柜 |樱桃木洞石模块餐边柜</t>
        </is>
      </c>
      <c r="D410" s="5" t="inlineStr">
        <is>
          <t>洞石餐边柜-下柜-开门柜-70cm</t>
        </is>
      </c>
      <c r="E410" s="6" t="inlineStr">
        <is>
          <t>北美进口FAS级樱桃木</t>
        </is>
      </c>
      <c r="F410" s="6" t="inlineStr">
        <is>
          <t xml:space="preserve">抽屉围板：新西兰进口松木
台面：洞石岩板
背板：洞石背板/实木多层板
电力轨道：xpower 挂架式电力轨道
顶柜玻璃：灰玻
</t>
        </is>
      </c>
      <c r="G41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0" s="26" t="n">
        <v>1315.78</v>
      </c>
      <c r="I410" s="26" t="n">
        <v>1165.78</v>
      </c>
      <c r="J410" s="27" t="n">
        <v>0.48</v>
      </c>
      <c r="K410" s="28">
        <f>IFERROR(H410,0)</f>
        <v/>
      </c>
      <c r="L410" s="29" t="n">
        <v>0.4591</v>
      </c>
      <c r="M410" s="29" t="n">
        <v>0.2453</v>
      </c>
      <c r="N410" s="29" t="n">
        <v>0.2953</v>
      </c>
      <c r="O410" s="29" t="n">
        <v>0.2655</v>
      </c>
      <c r="P410" s="30">
        <f>IFERROR(IF(K410=0,"待填成本",ROUND(K410/(1-L410),0)),"" )</f>
        <v/>
      </c>
      <c r="Q410" s="30">
        <f>IFERROR(IF(K410=0,"待填成本",ROUND(K410/(1-M410),0)),"" )</f>
        <v/>
      </c>
      <c r="R410" s="30">
        <f>IFERROR(IF(K410=0,"待填成本",ROUND(K410/(1-N410),0)),"" )</f>
        <v/>
      </c>
      <c r="S410" s="30">
        <f>IFERROR(IF(K410=0,"待填成本",ROUND(K410/(1-O410),0)),"" )</f>
        <v/>
      </c>
      <c r="T410" s="31">
        <f>IFERROR(IF(K410=0,"",(P410-K410)/P410),"" )</f>
        <v/>
      </c>
      <c r="U410" s="31">
        <f>IFERROR(IF(K410=0,"",(Q410-K410)/Q410),"" )</f>
        <v/>
      </c>
      <c r="V410" s="31">
        <f>IFERROR(IF(K410=0,"",(R410-K410)/R410),"" )</f>
        <v/>
      </c>
      <c r="W410" s="31">
        <f>IFERROR(IF(K410=0,"",(S410-K410)/S410),"" )</f>
        <v/>
      </c>
      <c r="X410" s="32" t="n"/>
      <c r="Y410" s="32" t="n"/>
      <c r="Z410" s="32" t="n"/>
      <c r="AA410" s="32" t="n"/>
      <c r="AB410" s="32" t="n"/>
      <c r="AC410" s="37" t="n">
        <v>14.61075</v>
      </c>
      <c r="AD410" s="32" t="n"/>
      <c r="AE410" s="32" t="n"/>
      <c r="AF410" s="33" t="n"/>
      <c r="AG410" s="33" t="n"/>
      <c r="AH410" s="5" t="inlineStr"/>
    </row>
    <row r="411" ht="18" customHeight="1">
      <c r="A411" s="25" t="inlineStr">
        <is>
          <t>2425008080199</t>
        </is>
      </c>
      <c r="B411" s="34" t="inlineStr">
        <is>
          <t>餐厅-柜</t>
        </is>
      </c>
      <c r="C411" s="35" t="inlineStr">
        <is>
          <t>洞石餐边柜 |樱桃木洞石餐边大柜 |樱桃木洞石模块餐边柜</t>
        </is>
      </c>
      <c r="D411" s="35" t="inlineStr">
        <is>
          <t>洞石餐边柜-下柜-开门柜-60cm</t>
        </is>
      </c>
      <c r="E411" s="34" t="inlineStr">
        <is>
          <t>北美进口FAS级樱桃木</t>
        </is>
      </c>
      <c r="F411" s="34" t="inlineStr">
        <is>
          <t xml:space="preserve">抽屉围板：新西兰进口松木
台面：洞石岩板
背板：洞石背板/实木多层板
电力轨道：xpower 挂架式电力轨道
顶柜玻璃：灰玻
</t>
        </is>
      </c>
      <c r="G41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1" s="26" t="n">
        <v>1250</v>
      </c>
      <c r="I411" s="26" t="n">
        <v>1100</v>
      </c>
      <c r="J411" s="27" t="n">
        <v>0.48</v>
      </c>
      <c r="K411" s="28">
        <f>IFERROR(H411,0)</f>
        <v/>
      </c>
      <c r="L411" s="29" t="n">
        <v>0.4678</v>
      </c>
      <c r="M411" s="29" t="n">
        <v>0.2518</v>
      </c>
      <c r="N411" s="29" t="n">
        <v>0.3026</v>
      </c>
      <c r="O411" s="29" t="n">
        <v>0.2724</v>
      </c>
      <c r="P411" s="30">
        <f>IFERROR(IF(K411=0,"待填成本",ROUND(K411/(1-L411),0)),"" )</f>
        <v/>
      </c>
      <c r="Q411" s="30">
        <f>IFERROR(IF(K411=0,"待填成本",ROUND(K411/(1-M411),0)),"" )</f>
        <v/>
      </c>
      <c r="R411" s="30">
        <f>IFERROR(IF(K411=0,"待填成本",ROUND(K411/(1-N411),0)),"" )</f>
        <v/>
      </c>
      <c r="S411" s="30">
        <f>IFERROR(IF(K411=0,"待填成本",ROUND(K411/(1-O411),0)),"" )</f>
        <v/>
      </c>
      <c r="T411" s="31">
        <f>IFERROR(IF(K411=0,"",(P411-K411)/P411),"" )</f>
        <v/>
      </c>
      <c r="U411" s="31">
        <f>IFERROR(IF(K411=0,"",(Q411-K411)/Q411),"" )</f>
        <v/>
      </c>
      <c r="V411" s="31">
        <f>IFERROR(IF(K411=0,"",(R411-K411)/R411),"" )</f>
        <v/>
      </c>
      <c r="W411" s="31">
        <f>IFERROR(IF(K411=0,"",(S411-K411)/S411),"" )</f>
        <v/>
      </c>
      <c r="X411" s="36" t="n"/>
      <c r="Y411" s="36" t="n"/>
      <c r="Z411" s="36" t="n"/>
      <c r="AA411" s="36" t="n"/>
      <c r="AB411" s="36" t="n"/>
      <c r="AC411" s="37" t="n">
        <v>14.61075</v>
      </c>
      <c r="AD411" s="36" t="n"/>
      <c r="AE411" s="36" t="n"/>
      <c r="AF411" s="33" t="n"/>
      <c r="AG411" s="33" t="n"/>
      <c r="AH411" s="35" t="inlineStr"/>
    </row>
    <row r="412" ht="18" customHeight="1">
      <c r="A412" s="25" t="inlineStr">
        <is>
          <t>2425008080199</t>
        </is>
      </c>
      <c r="B412" s="6" t="inlineStr">
        <is>
          <t>餐厅-柜</t>
        </is>
      </c>
      <c r="C412" s="5" t="inlineStr">
        <is>
          <t>洞石餐边柜 |樱桃木洞石餐边大柜 |樱桃木洞石模块餐边柜</t>
        </is>
      </c>
      <c r="D412" s="5" t="inlineStr">
        <is>
          <t>洞石餐边柜-下柜-开门柜-50cm</t>
        </is>
      </c>
      <c r="E412" s="6" t="inlineStr">
        <is>
          <t>北美进口FAS级樱桃木</t>
        </is>
      </c>
      <c r="F412" s="6" t="inlineStr">
        <is>
          <t xml:space="preserve">抽屉围板：新西兰进口松木
台面：洞石岩板
背板：洞石背板/实木多层板
电力轨道：xpower 挂架式电力轨道
顶柜玻璃：灰玻
</t>
        </is>
      </c>
      <c r="G41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2" s="26" t="n">
        <v>1184.22</v>
      </c>
      <c r="I412" s="26" t="n">
        <v>1034.22</v>
      </c>
      <c r="J412" s="27" t="n">
        <v>0.48</v>
      </c>
      <c r="K412" s="28">
        <f>IFERROR(H412,0)</f>
        <v/>
      </c>
      <c r="L412" s="29" t="n">
        <v>0.4768</v>
      </c>
      <c r="M412" s="29" t="n">
        <v>0.2587</v>
      </c>
      <c r="N412" s="29" t="n">
        <v>0.3103</v>
      </c>
      <c r="O412" s="29" t="n">
        <v>0.2797</v>
      </c>
      <c r="P412" s="30">
        <f>IFERROR(IF(K412=0,"待填成本",ROUND(K412/(1-L412),0)),"" )</f>
        <v/>
      </c>
      <c r="Q412" s="30">
        <f>IFERROR(IF(K412=0,"待填成本",ROUND(K412/(1-M412),0)),"" )</f>
        <v/>
      </c>
      <c r="R412" s="30">
        <f>IFERROR(IF(K412=0,"待填成本",ROUND(K412/(1-N412),0)),"" )</f>
        <v/>
      </c>
      <c r="S412" s="30">
        <f>IFERROR(IF(K412=0,"待填成本",ROUND(K412/(1-O412),0)),"" )</f>
        <v/>
      </c>
      <c r="T412" s="31">
        <f>IFERROR(IF(K412=0,"",(P412-K412)/P412),"" )</f>
        <v/>
      </c>
      <c r="U412" s="31">
        <f>IFERROR(IF(K412=0,"",(Q412-K412)/Q412),"" )</f>
        <v/>
      </c>
      <c r="V412" s="31">
        <f>IFERROR(IF(K412=0,"",(R412-K412)/R412),"" )</f>
        <v/>
      </c>
      <c r="W412" s="31">
        <f>IFERROR(IF(K412=0,"",(S412-K412)/S412),"" )</f>
        <v/>
      </c>
      <c r="X412" s="32" t="n"/>
      <c r="Y412" s="32" t="n"/>
      <c r="Z412" s="32" t="n"/>
      <c r="AA412" s="32" t="n"/>
      <c r="AB412" s="32" t="n"/>
      <c r="AC412" s="37" t="n">
        <v>16.12875</v>
      </c>
      <c r="AD412" s="32" t="n"/>
      <c r="AE412" s="32" t="n"/>
      <c r="AF412" s="33" t="n"/>
      <c r="AG412" s="33" t="n"/>
      <c r="AH412" s="5" t="inlineStr"/>
    </row>
    <row r="413" ht="18" customHeight="1">
      <c r="A413" s="25" t="inlineStr">
        <is>
          <t>2425008080199</t>
        </is>
      </c>
      <c r="B413" s="34" t="inlineStr">
        <is>
          <t>餐厅-柜</t>
        </is>
      </c>
      <c r="C413" s="35" t="inlineStr">
        <is>
          <t>洞石餐边柜 |樱桃木洞石餐边大柜 |樱桃木洞石模块餐边柜</t>
        </is>
      </c>
      <c r="D413" s="35" t="inlineStr">
        <is>
          <t>洞石餐边柜-上柜-多层板背板-2.1米</t>
        </is>
      </c>
      <c r="E413" s="34" t="inlineStr">
        <is>
          <t>北美进口FAS级樱桃木</t>
        </is>
      </c>
      <c r="F413" s="34" t="inlineStr">
        <is>
          <t xml:space="preserve">抽屉围板：新西兰进口松木
台面：洞石岩板
背板：洞石背板/实木多层板
电力轨道：xpower 挂架式电力轨道
顶柜玻璃：灰玻
</t>
        </is>
      </c>
      <c r="G41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3" s="26" t="n">
        <v>2500</v>
      </c>
      <c r="I413" s="26" t="n">
        <v>2300</v>
      </c>
      <c r="J413" s="27" t="n">
        <v>0.48</v>
      </c>
      <c r="K413" s="28">
        <f>IFERROR(H413,0)</f>
        <v/>
      </c>
      <c r="L413" s="29" t="n">
        <v>0.4668</v>
      </c>
      <c r="M413" s="29" t="n">
        <v>0.2509</v>
      </c>
      <c r="N413" s="29" t="n">
        <v>0.301</v>
      </c>
      <c r="O413" s="29" t="n">
        <v>0.2701</v>
      </c>
      <c r="P413" s="30">
        <f>IFERROR(IF(K413=0,"待填成本",ROUND(K413/(1-L413),0)),"" )</f>
        <v/>
      </c>
      <c r="Q413" s="30">
        <f>IFERROR(IF(K413=0,"待填成本",ROUND(K413/(1-M413),0)),"" )</f>
        <v/>
      </c>
      <c r="R413" s="30">
        <f>IFERROR(IF(K413=0,"待填成本",ROUND(K413/(1-N413),0)),"" )</f>
        <v/>
      </c>
      <c r="S413" s="30">
        <f>IFERROR(IF(K413=0,"待填成本",ROUND(K413/(1-O413),0)),"" )</f>
        <v/>
      </c>
      <c r="T413" s="31">
        <f>IFERROR(IF(K413=0,"",(P413-K413)/P413),"" )</f>
        <v/>
      </c>
      <c r="U413" s="31">
        <f>IFERROR(IF(K413=0,"",(Q413-K413)/Q413),"" )</f>
        <v/>
      </c>
      <c r="V413" s="31">
        <f>IFERROR(IF(K413=0,"",(R413-K413)/R413),"" )</f>
        <v/>
      </c>
      <c r="W413" s="31">
        <f>IFERROR(IF(K413=0,"",(S413-K413)/S413),"" )</f>
        <v/>
      </c>
      <c r="X413" s="36" t="n"/>
      <c r="Y413" s="36" t="n"/>
      <c r="Z413" s="36" t="n"/>
      <c r="AA413" s="37" t="n">
        <v>16.8475</v>
      </c>
      <c r="AB413" s="37" t="n">
        <v>9.22875</v>
      </c>
      <c r="AC413" s="36" t="n"/>
      <c r="AD413" s="37" t="n">
        <v>300</v>
      </c>
      <c r="AE413" s="36" t="n"/>
      <c r="AF413" s="33" t="n"/>
      <c r="AG413" s="33" t="n"/>
      <c r="AH413" s="35" t="inlineStr"/>
    </row>
    <row r="414" ht="18" customHeight="1">
      <c r="A414" s="25" t="inlineStr">
        <is>
          <t>2425008080199</t>
        </is>
      </c>
      <c r="B414" s="6" t="inlineStr">
        <is>
          <t>餐厅-柜</t>
        </is>
      </c>
      <c r="C414" s="5" t="inlineStr">
        <is>
          <t>洞石餐边柜 |樱桃木洞石餐边大柜 |樱桃木洞石模块餐边柜</t>
        </is>
      </c>
      <c r="D414" s="5" t="inlineStr">
        <is>
          <t>洞石餐边柜-上柜-多层板背板-2.0米</t>
        </is>
      </c>
      <c r="E414" s="6" t="inlineStr">
        <is>
          <t>北美进口FAS级樱桃木</t>
        </is>
      </c>
      <c r="F414" s="6" t="inlineStr">
        <is>
          <t xml:space="preserve">抽屉围板：新西兰进口松木
台面：洞石岩板
背板：洞石背板/实木多层板
电力轨道：xpower 挂架式电力轨道
顶柜玻璃：灰玻
</t>
        </is>
      </c>
      <c r="G41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4" s="26" t="n">
        <v>2466.666666666667</v>
      </c>
      <c r="I414" s="26" t="n">
        <v>2266.666666666667</v>
      </c>
      <c r="J414" s="27" t="n">
        <v>0.48</v>
      </c>
      <c r="K414" s="28">
        <f>IFERROR(H414,0)</f>
        <v/>
      </c>
      <c r="L414" s="29" t="n">
        <v>0.4669</v>
      </c>
      <c r="M414" s="29" t="n">
        <v>0.2507</v>
      </c>
      <c r="N414" s="29" t="n">
        <v>0.3009</v>
      </c>
      <c r="O414" s="29" t="n">
        <v>0.2701</v>
      </c>
      <c r="P414" s="30">
        <f>IFERROR(IF(K414=0,"待填成本",ROUND(K414/(1-L414),0)),"" )</f>
        <v/>
      </c>
      <c r="Q414" s="30">
        <f>IFERROR(IF(K414=0,"待填成本",ROUND(K414/(1-M414),0)),"" )</f>
        <v/>
      </c>
      <c r="R414" s="30">
        <f>IFERROR(IF(K414=0,"待填成本",ROUND(K414/(1-N414),0)),"" )</f>
        <v/>
      </c>
      <c r="S414" s="30">
        <f>IFERROR(IF(K414=0,"待填成本",ROUND(K414/(1-O414),0)),"" )</f>
        <v/>
      </c>
      <c r="T414" s="31">
        <f>IFERROR(IF(K414=0,"",(P414-K414)/P414),"" )</f>
        <v/>
      </c>
      <c r="U414" s="31">
        <f>IFERROR(IF(K414=0,"",(Q414-K414)/Q414),"" )</f>
        <v/>
      </c>
      <c r="V414" s="31">
        <f>IFERROR(IF(K414=0,"",(R414-K414)/R414),"" )</f>
        <v/>
      </c>
      <c r="W414" s="31">
        <f>IFERROR(IF(K414=0,"",(S414-K414)/S414),"" )</f>
        <v/>
      </c>
      <c r="X414" s="32" t="n"/>
      <c r="Y414" s="32" t="n"/>
      <c r="Z414" s="32" t="n"/>
      <c r="AA414" s="37" t="n">
        <v>16.29166666666666</v>
      </c>
      <c r="AB414" s="37" t="n">
        <v>8.9125</v>
      </c>
      <c r="AC414" s="32" t="n"/>
      <c r="AD414" s="37" t="n">
        <v>300</v>
      </c>
      <c r="AE414" s="32" t="n"/>
      <c r="AF414" s="33" t="n"/>
      <c r="AG414" s="33" t="n"/>
      <c r="AH414" s="5" t="inlineStr"/>
    </row>
    <row r="415" ht="18" customHeight="1">
      <c r="A415" s="25" t="inlineStr">
        <is>
          <t>2425008080199</t>
        </is>
      </c>
      <c r="B415" s="34" t="inlineStr">
        <is>
          <t>餐厅-柜</t>
        </is>
      </c>
      <c r="C415" s="35" t="inlineStr">
        <is>
          <t>洞石餐边柜 |樱桃木洞石餐边大柜 |樱桃木洞石模块餐边柜</t>
        </is>
      </c>
      <c r="D415" s="35" t="inlineStr">
        <is>
          <t>洞石餐边柜-上柜-多层板背板-1.9米</t>
        </is>
      </c>
      <c r="E415" s="34" t="inlineStr">
        <is>
          <t>北美进口FAS级樱桃木</t>
        </is>
      </c>
      <c r="F415" s="34" t="inlineStr">
        <is>
          <t xml:space="preserve">抽屉围板：新西兰进口松木
台面：洞石岩板
背板：洞石背板/实木多层板
电力轨道：xpower 挂架式电力轨道
顶柜玻璃：灰玻
</t>
        </is>
      </c>
      <c r="G41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5" s="26" t="n">
        <v>2433.333333333333</v>
      </c>
      <c r="I415" s="26" t="n">
        <v>2233.333333333333</v>
      </c>
      <c r="J415" s="27" t="n">
        <v>0.48</v>
      </c>
      <c r="K415" s="28">
        <f>IFERROR(H415,0)</f>
        <v/>
      </c>
      <c r="L415" s="29" t="n">
        <v>0.4671</v>
      </c>
      <c r="M415" s="29" t="n">
        <v>0.2505</v>
      </c>
      <c r="N415" s="29" t="n">
        <v>0.3007</v>
      </c>
      <c r="O415" s="29" t="n">
        <v>0.2701</v>
      </c>
      <c r="P415" s="30">
        <f>IFERROR(IF(K415=0,"待填成本",ROUND(K415/(1-L415),0)),"" )</f>
        <v/>
      </c>
      <c r="Q415" s="30">
        <f>IFERROR(IF(K415=0,"待填成本",ROUND(K415/(1-M415),0)),"" )</f>
        <v/>
      </c>
      <c r="R415" s="30">
        <f>IFERROR(IF(K415=0,"待填成本",ROUND(K415/(1-N415),0)),"" )</f>
        <v/>
      </c>
      <c r="S415" s="30">
        <f>IFERROR(IF(K415=0,"待填成本",ROUND(K415/(1-O415),0)),"" )</f>
        <v/>
      </c>
      <c r="T415" s="31">
        <f>IFERROR(IF(K415=0,"",(P415-K415)/P415),"" )</f>
        <v/>
      </c>
      <c r="U415" s="31">
        <f>IFERROR(IF(K415=0,"",(Q415-K415)/Q415),"" )</f>
        <v/>
      </c>
      <c r="V415" s="31">
        <f>IFERROR(IF(K415=0,"",(R415-K415)/R415),"" )</f>
        <v/>
      </c>
      <c r="W415" s="31">
        <f>IFERROR(IF(K415=0,"",(S415-K415)/S415),"" )</f>
        <v/>
      </c>
      <c r="X415" s="36" t="n"/>
      <c r="Y415" s="36" t="n"/>
      <c r="Z415" s="36" t="n"/>
      <c r="AA415" s="37" t="n">
        <v>15.73583333333333</v>
      </c>
      <c r="AB415" s="37" t="n">
        <v>8.59625</v>
      </c>
      <c r="AC415" s="36" t="n"/>
      <c r="AD415" s="37" t="n">
        <v>300</v>
      </c>
      <c r="AE415" s="36" t="n"/>
      <c r="AF415" s="33" t="n"/>
      <c r="AG415" s="33" t="n"/>
      <c r="AH415" s="35" t="inlineStr"/>
    </row>
    <row r="416" ht="18" customHeight="1">
      <c r="A416" s="25" t="inlineStr">
        <is>
          <t>2425008080199</t>
        </is>
      </c>
      <c r="B416" s="6" t="inlineStr">
        <is>
          <t>餐厅-柜</t>
        </is>
      </c>
      <c r="C416" s="5" t="inlineStr">
        <is>
          <t>洞石餐边柜 |樱桃木洞石餐边大柜 |樱桃木洞石模块餐边柜</t>
        </is>
      </c>
      <c r="D416" s="5" t="inlineStr">
        <is>
          <t>洞石餐边柜-上柜-多层板背板-1.8米</t>
        </is>
      </c>
      <c r="E416" s="6" t="inlineStr">
        <is>
          <t>北美进口FAS级樱桃木</t>
        </is>
      </c>
      <c r="F416" s="6" t="inlineStr">
        <is>
          <t xml:space="preserve">抽屉围板：新西兰进口松木
台面：洞石岩板
背板：洞石背板/实木多层板
电力轨道：xpower 挂架式电力轨道
顶柜玻璃：灰玻
</t>
        </is>
      </c>
      <c r="G41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6" s="26" t="n">
        <v>2400</v>
      </c>
      <c r="I416" s="26" t="n">
        <v>2200</v>
      </c>
      <c r="J416" s="27" t="n">
        <v>0.48</v>
      </c>
      <c r="K416" s="28">
        <f>IFERROR(H416,0)</f>
        <v/>
      </c>
      <c r="L416" s="29" t="n">
        <v>0.4672</v>
      </c>
      <c r="M416" s="29" t="n">
        <v>0.2503</v>
      </c>
      <c r="N416" s="29" t="n">
        <v>0.3005</v>
      </c>
      <c r="O416" s="29" t="n">
        <v>0.2702</v>
      </c>
      <c r="P416" s="30">
        <f>IFERROR(IF(K416=0,"待填成本",ROUND(K416/(1-L416),0)),"" )</f>
        <v/>
      </c>
      <c r="Q416" s="30">
        <f>IFERROR(IF(K416=0,"待填成本",ROUND(K416/(1-M416),0)),"" )</f>
        <v/>
      </c>
      <c r="R416" s="30">
        <f>IFERROR(IF(K416=0,"待填成本",ROUND(K416/(1-N416),0)),"" )</f>
        <v/>
      </c>
      <c r="S416" s="30">
        <f>IFERROR(IF(K416=0,"待填成本",ROUND(K416/(1-O416),0)),"" )</f>
        <v/>
      </c>
      <c r="T416" s="31">
        <f>IFERROR(IF(K416=0,"",(P416-K416)/P416),"" )</f>
        <v/>
      </c>
      <c r="U416" s="31">
        <f>IFERROR(IF(K416=0,"",(Q416-K416)/Q416),"" )</f>
        <v/>
      </c>
      <c r="V416" s="31">
        <f>IFERROR(IF(K416=0,"",(R416-K416)/R416),"" )</f>
        <v/>
      </c>
      <c r="W416" s="31">
        <f>IFERROR(IF(K416=0,"",(S416-K416)/S416),"" )</f>
        <v/>
      </c>
      <c r="X416" s="32" t="n"/>
      <c r="Y416" s="32" t="n"/>
      <c r="Z416" s="32" t="n"/>
      <c r="AA416" s="37" t="n">
        <v>15.18</v>
      </c>
      <c r="AB416" s="37" t="n">
        <v>8.280000000000001</v>
      </c>
      <c r="AC416" s="32" t="n"/>
      <c r="AD416" s="37" t="n">
        <v>300</v>
      </c>
      <c r="AE416" s="32" t="n"/>
      <c r="AF416" s="33" t="n"/>
      <c r="AG416" s="33" t="n"/>
      <c r="AH416" s="5" t="inlineStr"/>
    </row>
    <row r="417" ht="18" customHeight="1">
      <c r="A417" s="25" t="inlineStr">
        <is>
          <t>2425008080199</t>
        </is>
      </c>
      <c r="B417" s="34" t="inlineStr">
        <is>
          <t>餐厅-柜</t>
        </is>
      </c>
      <c r="C417" s="35" t="inlineStr">
        <is>
          <t>洞石餐边柜 |樱桃木洞石餐边大柜 |樱桃木洞石模块餐边柜</t>
        </is>
      </c>
      <c r="D417" s="35" t="inlineStr">
        <is>
          <t>洞石餐边柜-上柜-多层板背板-1.7米</t>
        </is>
      </c>
      <c r="E417" s="34" t="inlineStr">
        <is>
          <t>北美进口FAS级樱桃木</t>
        </is>
      </c>
      <c r="F417" s="34" t="inlineStr">
        <is>
          <t xml:space="preserve">抽屉围板：新西兰进口松木
台面：洞石岩板
背板：洞石背板/实木多层板
电力轨道：xpower 挂架式电力轨道
顶柜玻璃：灰玻
</t>
        </is>
      </c>
      <c r="G41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7" s="26" t="n">
        <v>2366.666666666667</v>
      </c>
      <c r="I417" s="26" t="n">
        <v>2166.666666666667</v>
      </c>
      <c r="J417" s="27" t="n">
        <v>0.48</v>
      </c>
      <c r="K417" s="28">
        <f>IFERROR(H417,0)</f>
        <v/>
      </c>
      <c r="L417" s="29" t="n">
        <v>0.4672</v>
      </c>
      <c r="M417" s="29" t="n">
        <v>0.2507</v>
      </c>
      <c r="N417" s="29" t="n">
        <v>0.3009</v>
      </c>
      <c r="O417" s="29" t="n">
        <v>0.2702</v>
      </c>
      <c r="P417" s="30">
        <f>IFERROR(IF(K417=0,"待填成本",ROUND(K417/(1-L417),0)),"" )</f>
        <v/>
      </c>
      <c r="Q417" s="30">
        <f>IFERROR(IF(K417=0,"待填成本",ROUND(K417/(1-M417),0)),"" )</f>
        <v/>
      </c>
      <c r="R417" s="30">
        <f>IFERROR(IF(K417=0,"待填成本",ROUND(K417/(1-N417),0)),"" )</f>
        <v/>
      </c>
      <c r="S417" s="30">
        <f>IFERROR(IF(K417=0,"待填成本",ROUND(K417/(1-O417),0)),"" )</f>
        <v/>
      </c>
      <c r="T417" s="31">
        <f>IFERROR(IF(K417=0,"",(P417-K417)/P417),"" )</f>
        <v/>
      </c>
      <c r="U417" s="31">
        <f>IFERROR(IF(K417=0,"",(Q417-K417)/Q417),"" )</f>
        <v/>
      </c>
      <c r="V417" s="31">
        <f>IFERROR(IF(K417=0,"",(R417-K417)/R417),"" )</f>
        <v/>
      </c>
      <c r="W417" s="31">
        <f>IFERROR(IF(K417=0,"",(S417-K417)/S417),"" )</f>
        <v/>
      </c>
      <c r="X417" s="36" t="n"/>
      <c r="Y417" s="36" t="n"/>
      <c r="Z417" s="36" t="n"/>
      <c r="AA417" s="37" t="n">
        <v>14.62416666666667</v>
      </c>
      <c r="AB417" s="37" t="n">
        <v>7.963750000000001</v>
      </c>
      <c r="AC417" s="36" t="n"/>
      <c r="AD417" s="37" t="n">
        <v>300</v>
      </c>
      <c r="AE417" s="36" t="n"/>
      <c r="AF417" s="33" t="n"/>
      <c r="AG417" s="33" t="n"/>
      <c r="AH417" s="35" t="inlineStr"/>
    </row>
    <row r="418" ht="18" customHeight="1">
      <c r="A418" s="25" t="inlineStr">
        <is>
          <t>2425008080199</t>
        </is>
      </c>
      <c r="B418" s="6" t="inlineStr">
        <is>
          <t>餐厅-柜</t>
        </is>
      </c>
      <c r="C418" s="5" t="inlineStr">
        <is>
          <t>洞石餐边柜 |樱桃木洞石餐边大柜 |樱桃木洞石模块餐边柜</t>
        </is>
      </c>
      <c r="D418" s="5" t="inlineStr">
        <is>
          <t>洞石餐边柜-上柜-多层板背板-1.6米</t>
        </is>
      </c>
      <c r="E418" s="6" t="inlineStr">
        <is>
          <t>北美进口FAS级樱桃木</t>
        </is>
      </c>
      <c r="F418" s="6" t="inlineStr">
        <is>
          <t xml:space="preserve">抽屉围板：新西兰进口松木
台面：洞石岩板
背板：洞石背板/实木多层板
电力轨道：xpower 挂架式电力轨道
顶柜玻璃：灰玻
</t>
        </is>
      </c>
      <c r="G41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8" s="26" t="n">
        <v>2333.333333333333</v>
      </c>
      <c r="I418" s="26" t="n">
        <v>2133.333333333333</v>
      </c>
      <c r="J418" s="27" t="n">
        <v>0.48</v>
      </c>
      <c r="K418" s="28">
        <f>IFERROR(H418,0)</f>
        <v/>
      </c>
      <c r="L418" s="29" t="n">
        <v>0.4671</v>
      </c>
      <c r="M418" s="29" t="n">
        <v>0.2512</v>
      </c>
      <c r="N418" s="29" t="n">
        <v>0.3013</v>
      </c>
      <c r="O418" s="29" t="n">
        <v>0.2703</v>
      </c>
      <c r="P418" s="30">
        <f>IFERROR(IF(K418=0,"待填成本",ROUND(K418/(1-L418),0)),"" )</f>
        <v/>
      </c>
      <c r="Q418" s="30">
        <f>IFERROR(IF(K418=0,"待填成本",ROUND(K418/(1-M418),0)),"" )</f>
        <v/>
      </c>
      <c r="R418" s="30">
        <f>IFERROR(IF(K418=0,"待填成本",ROUND(K418/(1-N418),0)),"" )</f>
        <v/>
      </c>
      <c r="S418" s="30">
        <f>IFERROR(IF(K418=0,"待填成本",ROUND(K418/(1-O418),0)),"" )</f>
        <v/>
      </c>
      <c r="T418" s="31">
        <f>IFERROR(IF(K418=0,"",(P418-K418)/P418),"" )</f>
        <v/>
      </c>
      <c r="U418" s="31">
        <f>IFERROR(IF(K418=0,"",(Q418-K418)/Q418),"" )</f>
        <v/>
      </c>
      <c r="V418" s="31">
        <f>IFERROR(IF(K418=0,"",(R418-K418)/R418),"" )</f>
        <v/>
      </c>
      <c r="W418" s="31">
        <f>IFERROR(IF(K418=0,"",(S418-K418)/S418),"" )</f>
        <v/>
      </c>
      <c r="X418" s="32" t="n"/>
      <c r="Y418" s="32" t="n"/>
      <c r="Z418" s="32" t="n"/>
      <c r="AA418" s="37" t="n">
        <v>14.06833333333333</v>
      </c>
      <c r="AB418" s="37" t="n">
        <v>7.647500000000001</v>
      </c>
      <c r="AC418" s="32" t="n"/>
      <c r="AD418" s="37" t="n">
        <v>300</v>
      </c>
      <c r="AE418" s="32" t="n"/>
      <c r="AF418" s="33" t="n"/>
      <c r="AG418" s="33" t="n"/>
      <c r="AH418" s="5" t="inlineStr"/>
    </row>
    <row r="419" ht="18" customHeight="1">
      <c r="A419" s="25" t="inlineStr">
        <is>
          <t>2425008080199</t>
        </is>
      </c>
      <c r="B419" s="34" t="inlineStr">
        <is>
          <t>餐厅-柜</t>
        </is>
      </c>
      <c r="C419" s="35" t="inlineStr">
        <is>
          <t>洞石餐边柜 |樱桃木洞石餐边大柜 |樱桃木洞石模块餐边柜</t>
        </is>
      </c>
      <c r="D419" s="35" t="inlineStr">
        <is>
          <t>洞石餐边柜-上柜-多层板背板-1.5米</t>
        </is>
      </c>
      <c r="E419" s="34" t="inlineStr">
        <is>
          <t>北美进口FAS级樱桃木</t>
        </is>
      </c>
      <c r="F419" s="34" t="inlineStr">
        <is>
          <t xml:space="preserve">抽屉围板：新西兰进口松木
台面：洞石岩板
背板：洞石背板/实木多层板
电力轨道：xpower 挂架式电力轨道
顶柜玻璃：灰玻
</t>
        </is>
      </c>
      <c r="G41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19" s="26" t="n">
        <v>2300</v>
      </c>
      <c r="I419" s="26" t="n">
        <v>2100</v>
      </c>
      <c r="J419" s="27" t="n">
        <v>0.48</v>
      </c>
      <c r="K419" s="28">
        <f>IFERROR(H419,0)</f>
        <v/>
      </c>
      <c r="L419" s="29" t="n">
        <v>0.467</v>
      </c>
      <c r="M419" s="29" t="n">
        <v>0.2516</v>
      </c>
      <c r="N419" s="29" t="n">
        <v>0.3017</v>
      </c>
      <c r="O419" s="29" t="n">
        <v>0.2703</v>
      </c>
      <c r="P419" s="30">
        <f>IFERROR(IF(K419=0,"待填成本",ROUND(K419/(1-L419),0)),"" )</f>
        <v/>
      </c>
      <c r="Q419" s="30">
        <f>IFERROR(IF(K419=0,"待填成本",ROUND(K419/(1-M419),0)),"" )</f>
        <v/>
      </c>
      <c r="R419" s="30">
        <f>IFERROR(IF(K419=0,"待填成本",ROUND(K419/(1-N419),0)),"" )</f>
        <v/>
      </c>
      <c r="S419" s="30">
        <f>IFERROR(IF(K419=0,"待填成本",ROUND(K419/(1-O419),0)),"" )</f>
        <v/>
      </c>
      <c r="T419" s="31">
        <f>IFERROR(IF(K419=0,"",(P419-K419)/P419),"" )</f>
        <v/>
      </c>
      <c r="U419" s="31">
        <f>IFERROR(IF(K419=0,"",(Q419-K419)/Q419),"" )</f>
        <v/>
      </c>
      <c r="V419" s="31">
        <f>IFERROR(IF(K419=0,"",(R419-K419)/R419),"" )</f>
        <v/>
      </c>
      <c r="W419" s="31">
        <f>IFERROR(IF(K419=0,"",(S419-K419)/S419),"" )</f>
        <v/>
      </c>
      <c r="X419" s="36" t="n"/>
      <c r="Y419" s="36" t="n"/>
      <c r="Z419" s="36" t="n"/>
      <c r="AA419" s="37" t="n">
        <v>13.5125</v>
      </c>
      <c r="AB419" s="37" t="n">
        <v>7.33125</v>
      </c>
      <c r="AC419" s="36" t="n"/>
      <c r="AD419" s="37" t="n">
        <v>300</v>
      </c>
      <c r="AE419" s="36" t="n"/>
      <c r="AF419" s="33" t="n"/>
      <c r="AG419" s="33" t="n"/>
      <c r="AH419" s="35" t="inlineStr"/>
    </row>
    <row r="420" ht="18" customHeight="1">
      <c r="A420" s="25" t="inlineStr">
        <is>
          <t>2425008080199</t>
        </is>
      </c>
      <c r="B420" s="6" t="inlineStr">
        <is>
          <t>餐厅-柜</t>
        </is>
      </c>
      <c r="C420" s="5" t="inlineStr">
        <is>
          <t>洞石餐边柜 |樱桃木洞石餐边大柜 |樱桃木洞石模块餐边柜</t>
        </is>
      </c>
      <c r="D420" s="5" t="inlineStr">
        <is>
          <t>洞石餐边柜-上柜-多层板背板-1.4米</t>
        </is>
      </c>
      <c r="E420" s="6" t="inlineStr">
        <is>
          <t>北美进口FAS级樱桃木</t>
        </is>
      </c>
      <c r="F420" s="6" t="inlineStr">
        <is>
          <t xml:space="preserve">抽屉围板：新西兰进口松木
台面：洞石岩板
背板：洞石背板/实木多层板
电力轨道：xpower 挂架式电力轨道
顶柜玻璃：灰玻
</t>
        </is>
      </c>
      <c r="G42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0" s="26" t="n">
        <v>2200</v>
      </c>
      <c r="I420" s="26" t="n">
        <v>2066.666666666667</v>
      </c>
      <c r="J420" s="27" t="n">
        <v>0.48</v>
      </c>
      <c r="K420" s="28">
        <f>IFERROR(H420,0)</f>
        <v/>
      </c>
      <c r="L420" s="29" t="n">
        <v>0.467</v>
      </c>
      <c r="M420" s="29" t="n">
        <v>0.2517</v>
      </c>
      <c r="N420" s="29" t="n">
        <v>0.3017</v>
      </c>
      <c r="O420" s="29" t="n">
        <v>0.2704</v>
      </c>
      <c r="P420" s="30">
        <f>IFERROR(IF(K420=0,"待填成本",ROUND(K420/(1-L420),0)),"" )</f>
        <v/>
      </c>
      <c r="Q420" s="30">
        <f>IFERROR(IF(K420=0,"待填成本",ROUND(K420/(1-M420),0)),"" )</f>
        <v/>
      </c>
      <c r="R420" s="30">
        <f>IFERROR(IF(K420=0,"待填成本",ROUND(K420/(1-N420),0)),"" )</f>
        <v/>
      </c>
      <c r="S420" s="30">
        <f>IFERROR(IF(K420=0,"待填成本",ROUND(K420/(1-O420),0)),"" )</f>
        <v/>
      </c>
      <c r="T420" s="31">
        <f>IFERROR(IF(K420=0,"",(P420-K420)/P420),"" )</f>
        <v/>
      </c>
      <c r="U420" s="31">
        <f>IFERROR(IF(K420=0,"",(Q420-K420)/Q420),"" )</f>
        <v/>
      </c>
      <c r="V420" s="31">
        <f>IFERROR(IF(K420=0,"",(R420-K420)/R420),"" )</f>
        <v/>
      </c>
      <c r="W420" s="31">
        <f>IFERROR(IF(K420=0,"",(S420-K420)/S420),"" )</f>
        <v/>
      </c>
      <c r="X420" s="32" t="n"/>
      <c r="Y420" s="32" t="n"/>
      <c r="Z420" s="32" t="n"/>
      <c r="AA420" s="37" t="n">
        <v>13.19625</v>
      </c>
      <c r="AB420" s="37" t="n">
        <v>7.015</v>
      </c>
      <c r="AC420" s="32" t="n"/>
      <c r="AD420" s="37" t="n">
        <v>300</v>
      </c>
      <c r="AE420" s="32" t="n"/>
      <c r="AF420" s="33" t="n"/>
      <c r="AG420" s="33" t="n"/>
      <c r="AH420" s="5" t="inlineStr"/>
    </row>
    <row r="421" ht="18" customHeight="1">
      <c r="A421" s="25" t="inlineStr">
        <is>
          <t>2425008080199</t>
        </is>
      </c>
      <c r="B421" s="34" t="inlineStr">
        <is>
          <t>餐厅-柜</t>
        </is>
      </c>
      <c r="C421" s="35" t="inlineStr">
        <is>
          <t>洞石餐边柜 |樱桃木洞石餐边大柜 |樱桃木洞石模块餐边柜</t>
        </is>
      </c>
      <c r="D421" s="35" t="inlineStr">
        <is>
          <t>洞石餐边柜-上柜-多层板背板-1.3米</t>
        </is>
      </c>
      <c r="E421" s="34" t="inlineStr">
        <is>
          <t>北美进口FAS级樱桃木</t>
        </is>
      </c>
      <c r="F421" s="34" t="inlineStr">
        <is>
          <t xml:space="preserve">抽屉围板：新西兰进口松木
台面：洞石岩板
背板：洞石背板/实木多层板
电力轨道：xpower 挂架式电力轨道
顶柜玻璃：灰玻
</t>
        </is>
      </c>
      <c r="G42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1" s="26" t="n">
        <v>2100</v>
      </c>
      <c r="I421" s="26" t="n">
        <v>2033.333333333333</v>
      </c>
      <c r="J421" s="27" t="n">
        <v>0.48</v>
      </c>
      <c r="K421" s="28">
        <f>IFERROR(H421,0)</f>
        <v/>
      </c>
      <c r="L421" s="29" t="n">
        <v>0.467</v>
      </c>
      <c r="M421" s="29" t="n">
        <v>0.2519</v>
      </c>
      <c r="N421" s="29" t="n">
        <v>0.3018</v>
      </c>
      <c r="O421" s="29" t="n">
        <v>0.2706</v>
      </c>
      <c r="P421" s="30">
        <f>IFERROR(IF(K421=0,"待填成本",ROUND(K421/(1-L421),0)),"" )</f>
        <v/>
      </c>
      <c r="Q421" s="30">
        <f>IFERROR(IF(K421=0,"待填成本",ROUND(K421/(1-M421),0)),"" )</f>
        <v/>
      </c>
      <c r="R421" s="30">
        <f>IFERROR(IF(K421=0,"待填成本",ROUND(K421/(1-N421),0)),"" )</f>
        <v/>
      </c>
      <c r="S421" s="30">
        <f>IFERROR(IF(K421=0,"待填成本",ROUND(K421/(1-O421),0)),"" )</f>
        <v/>
      </c>
      <c r="T421" s="31">
        <f>IFERROR(IF(K421=0,"",(P421-K421)/P421),"" )</f>
        <v/>
      </c>
      <c r="U421" s="31">
        <f>IFERROR(IF(K421=0,"",(Q421-K421)/Q421),"" )</f>
        <v/>
      </c>
      <c r="V421" s="31">
        <f>IFERROR(IF(K421=0,"",(R421-K421)/R421),"" )</f>
        <v/>
      </c>
      <c r="W421" s="31">
        <f>IFERROR(IF(K421=0,"",(S421-K421)/S421),"" )</f>
        <v/>
      </c>
      <c r="X421" s="36" t="n"/>
      <c r="Y421" s="36" t="n"/>
      <c r="Z421" s="36" t="n"/>
      <c r="AA421" s="37" t="n">
        <v>12.88</v>
      </c>
      <c r="AB421" s="37" t="n">
        <v>6.69875</v>
      </c>
      <c r="AC421" s="36" t="n"/>
      <c r="AD421" s="37" t="n">
        <v>300</v>
      </c>
      <c r="AE421" s="36" t="n"/>
      <c r="AF421" s="33" t="n"/>
      <c r="AG421" s="33" t="n"/>
      <c r="AH421" s="35" t="inlineStr"/>
    </row>
    <row r="422" ht="18" customHeight="1">
      <c r="A422" s="25" t="inlineStr">
        <is>
          <t>2425008080199</t>
        </is>
      </c>
      <c r="B422" s="6" t="inlineStr">
        <is>
          <t>餐厅-柜</t>
        </is>
      </c>
      <c r="C422" s="5" t="inlineStr">
        <is>
          <t>洞石餐边柜 |樱桃木洞石餐边大柜 |樱桃木洞石模块餐边柜</t>
        </is>
      </c>
      <c r="D422" s="5" t="inlineStr">
        <is>
          <t>洞石餐边柜-上柜-多层板背板-1.2米</t>
        </is>
      </c>
      <c r="E422" s="6" t="inlineStr">
        <is>
          <t>北美进口FAS级樱桃木</t>
        </is>
      </c>
      <c r="F422" s="6" t="inlineStr">
        <is>
          <t xml:space="preserve">抽屉围板：新西兰进口松木
台面：洞石岩板
背板：洞石背板/实木多层板
电力轨道：xpower 挂架式电力轨道
顶柜玻璃：灰玻
</t>
        </is>
      </c>
      <c r="G42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2" s="26" t="n">
        <v>2000</v>
      </c>
      <c r="I422" s="26" t="n">
        <v>2000</v>
      </c>
      <c r="J422" s="27" t="n">
        <v>0.48</v>
      </c>
      <c r="K422" s="28">
        <f>IFERROR(H422,0)</f>
        <v/>
      </c>
      <c r="L422" s="29" t="n">
        <v>0.4671</v>
      </c>
      <c r="M422" s="29" t="n">
        <v>0.252</v>
      </c>
      <c r="N422" s="29" t="n">
        <v>0.3018</v>
      </c>
      <c r="O422" s="29" t="n">
        <v>0.2707</v>
      </c>
      <c r="P422" s="30">
        <f>IFERROR(IF(K422=0,"待填成本",ROUND(K422/(1-L422),0)),"" )</f>
        <v/>
      </c>
      <c r="Q422" s="30">
        <f>IFERROR(IF(K422=0,"待填成本",ROUND(K422/(1-M422),0)),"" )</f>
        <v/>
      </c>
      <c r="R422" s="30">
        <f>IFERROR(IF(K422=0,"待填成本",ROUND(K422/(1-N422),0)),"" )</f>
        <v/>
      </c>
      <c r="S422" s="30">
        <f>IFERROR(IF(K422=0,"待填成本",ROUND(K422/(1-O422),0)),"" )</f>
        <v/>
      </c>
      <c r="T422" s="31">
        <f>IFERROR(IF(K422=0,"",(P422-K422)/P422),"" )</f>
        <v/>
      </c>
      <c r="U422" s="31">
        <f>IFERROR(IF(K422=0,"",(Q422-K422)/Q422),"" )</f>
        <v/>
      </c>
      <c r="V422" s="31">
        <f>IFERROR(IF(K422=0,"",(R422-K422)/R422),"" )</f>
        <v/>
      </c>
      <c r="W422" s="31">
        <f>IFERROR(IF(K422=0,"",(S422-K422)/S422),"" )</f>
        <v/>
      </c>
      <c r="X422" s="32" t="n"/>
      <c r="Y422" s="32" t="n"/>
      <c r="Z422" s="32" t="n"/>
      <c r="AA422" s="37" t="n">
        <v>12.56375</v>
      </c>
      <c r="AB422" s="37" t="n">
        <v>6.3825</v>
      </c>
      <c r="AC422" s="32" t="n"/>
      <c r="AD422" s="37" t="n">
        <v>300</v>
      </c>
      <c r="AE422" s="32" t="n"/>
      <c r="AF422" s="33" t="n"/>
      <c r="AG422" s="33" t="n"/>
      <c r="AH422" s="5" t="inlineStr"/>
    </row>
    <row r="423" ht="18" customHeight="1">
      <c r="A423" s="25" t="inlineStr">
        <is>
          <t>2425008080199</t>
        </is>
      </c>
      <c r="B423" s="34" t="inlineStr">
        <is>
          <t>餐厅-柜</t>
        </is>
      </c>
      <c r="C423" s="35" t="inlineStr">
        <is>
          <t>洞石餐边柜 |樱桃木洞石餐边大柜 |樱桃木洞石模块餐边柜</t>
        </is>
      </c>
      <c r="D423" s="35" t="inlineStr">
        <is>
          <t>洞石餐边柜-上柜-多层板背板-1.1米</t>
        </is>
      </c>
      <c r="E423" s="34" t="inlineStr">
        <is>
          <t>北美进口FAS级樱桃木</t>
        </is>
      </c>
      <c r="F423" s="34" t="inlineStr">
        <is>
          <t xml:space="preserve">抽屉围板：新西兰进口松木
台面：洞石岩板
背板：洞石背板/实木多层板
电力轨道：xpower 挂架式电力轨道
顶柜玻璃：灰玻
</t>
        </is>
      </c>
      <c r="G42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3" s="26" t="n">
        <v>1900</v>
      </c>
      <c r="I423" s="26" t="n">
        <v>1966.666666666667</v>
      </c>
      <c r="J423" s="27" t="n">
        <v>0.48</v>
      </c>
      <c r="K423" s="28">
        <f>IFERROR(H423,0)</f>
        <v/>
      </c>
      <c r="L423" s="29" t="n">
        <v>0.4671</v>
      </c>
      <c r="M423" s="29" t="n">
        <v>0.2521</v>
      </c>
      <c r="N423" s="29" t="n">
        <v>0.3019</v>
      </c>
      <c r="O423" s="29" t="n">
        <v>0.2709</v>
      </c>
      <c r="P423" s="30">
        <f>IFERROR(IF(K423=0,"待填成本",ROUND(K423/(1-L423),0)),"" )</f>
        <v/>
      </c>
      <c r="Q423" s="30">
        <f>IFERROR(IF(K423=0,"待填成本",ROUND(K423/(1-M423),0)),"" )</f>
        <v/>
      </c>
      <c r="R423" s="30">
        <f>IFERROR(IF(K423=0,"待填成本",ROUND(K423/(1-N423),0)),"" )</f>
        <v/>
      </c>
      <c r="S423" s="30">
        <f>IFERROR(IF(K423=0,"待填成本",ROUND(K423/(1-O423),0)),"" )</f>
        <v/>
      </c>
      <c r="T423" s="31">
        <f>IFERROR(IF(K423=0,"",(P423-K423)/P423),"" )</f>
        <v/>
      </c>
      <c r="U423" s="31">
        <f>IFERROR(IF(K423=0,"",(Q423-K423)/Q423),"" )</f>
        <v/>
      </c>
      <c r="V423" s="31">
        <f>IFERROR(IF(K423=0,"",(R423-K423)/R423),"" )</f>
        <v/>
      </c>
      <c r="W423" s="31">
        <f>IFERROR(IF(K423=0,"",(S423-K423)/S423),"" )</f>
        <v/>
      </c>
      <c r="X423" s="36" t="n"/>
      <c r="Y423" s="36" t="n"/>
      <c r="Z423" s="36" t="n"/>
      <c r="AA423" s="37" t="n">
        <v>12.2475</v>
      </c>
      <c r="AB423" s="37" t="n">
        <v>6.06625</v>
      </c>
      <c r="AC423" s="36" t="n"/>
      <c r="AD423" s="37" t="n">
        <v>300</v>
      </c>
      <c r="AE423" s="36" t="n"/>
      <c r="AF423" s="33" t="n"/>
      <c r="AG423" s="33" t="n"/>
      <c r="AH423" s="35" t="inlineStr"/>
    </row>
    <row r="424" ht="18" customHeight="1">
      <c r="A424" s="25" t="inlineStr">
        <is>
          <t>2425008080199</t>
        </is>
      </c>
      <c r="B424" s="6" t="inlineStr">
        <is>
          <t>餐厅-柜</t>
        </is>
      </c>
      <c r="C424" s="5" t="inlineStr">
        <is>
          <t>洞石餐边柜 |樱桃木洞石餐边大柜 |樱桃木洞石模块餐边柜</t>
        </is>
      </c>
      <c r="D424" s="5" t="inlineStr">
        <is>
          <t>洞石餐边柜-上柜-多层板背板-1.0米</t>
        </is>
      </c>
      <c r="E424" s="6" t="inlineStr">
        <is>
          <t>北美进口FAS级樱桃木</t>
        </is>
      </c>
      <c r="F424" s="6" t="inlineStr">
        <is>
          <t xml:space="preserve">抽屉围板：新西兰进口松木
台面：洞石岩板
背板：洞石背板/实木多层板
电力轨道：xpower 挂架式电力轨道
顶柜玻璃：灰玻
</t>
        </is>
      </c>
      <c r="G42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4" s="26" t="n">
        <v>1800</v>
      </c>
      <c r="I424" s="26" t="n">
        <v>1933.333333333333</v>
      </c>
      <c r="J424" s="27" t="n">
        <v>0.48</v>
      </c>
      <c r="K424" s="28">
        <f>IFERROR(H424,0)</f>
        <v/>
      </c>
      <c r="L424" s="29" t="n">
        <v>0.4671</v>
      </c>
      <c r="M424" s="29" t="n">
        <v>0.2523</v>
      </c>
      <c r="N424" s="29" t="n">
        <v>0.302</v>
      </c>
      <c r="O424" s="29" t="n">
        <v>0.2711</v>
      </c>
      <c r="P424" s="30">
        <f>IFERROR(IF(K424=0,"待填成本",ROUND(K424/(1-L424),0)),"" )</f>
        <v/>
      </c>
      <c r="Q424" s="30">
        <f>IFERROR(IF(K424=0,"待填成本",ROUND(K424/(1-M424),0)),"" )</f>
        <v/>
      </c>
      <c r="R424" s="30">
        <f>IFERROR(IF(K424=0,"待填成本",ROUND(K424/(1-N424),0)),"" )</f>
        <v/>
      </c>
      <c r="S424" s="30">
        <f>IFERROR(IF(K424=0,"待填成本",ROUND(K424/(1-O424),0)),"" )</f>
        <v/>
      </c>
      <c r="T424" s="31">
        <f>IFERROR(IF(K424=0,"",(P424-K424)/P424),"" )</f>
        <v/>
      </c>
      <c r="U424" s="31">
        <f>IFERROR(IF(K424=0,"",(Q424-K424)/Q424),"" )</f>
        <v/>
      </c>
      <c r="V424" s="31">
        <f>IFERROR(IF(K424=0,"",(R424-K424)/R424),"" )</f>
        <v/>
      </c>
      <c r="W424" s="31">
        <f>IFERROR(IF(K424=0,"",(S424-K424)/S424),"" )</f>
        <v/>
      </c>
      <c r="X424" s="32" t="n"/>
      <c r="Y424" s="32" t="n"/>
      <c r="Z424" s="32" t="n"/>
      <c r="AA424" s="37" t="n">
        <v>11.93125</v>
      </c>
      <c r="AB424" s="37" t="n">
        <v>5.75</v>
      </c>
      <c r="AC424" s="32" t="n"/>
      <c r="AD424" s="37" t="n">
        <v>300</v>
      </c>
      <c r="AE424" s="32" t="n"/>
      <c r="AF424" s="33" t="n"/>
      <c r="AG424" s="33" t="n"/>
      <c r="AH424" s="5" t="inlineStr"/>
    </row>
    <row r="425" ht="18" customHeight="1">
      <c r="A425" s="25" t="inlineStr">
        <is>
          <t>2425008080199</t>
        </is>
      </c>
      <c r="B425" s="34" t="inlineStr">
        <is>
          <t>餐厅-柜</t>
        </is>
      </c>
      <c r="C425" s="35" t="inlineStr">
        <is>
          <t>洞石餐边柜 |樱桃木洞石餐边大柜 |樱桃木洞石模块餐边柜</t>
        </is>
      </c>
      <c r="D425" s="35" t="inlineStr">
        <is>
          <t>洞石餐边柜-上柜-洞石背板-2.1米</t>
        </is>
      </c>
      <c r="E425" s="34" t="inlineStr">
        <is>
          <t>北美进口FAS级樱桃木</t>
        </is>
      </c>
      <c r="F425" s="34" t="inlineStr">
        <is>
          <t xml:space="preserve">抽屉围板：新西兰进口松木
台面：洞石岩板
背板：洞石背板/实木多层板
电力轨道：xpower 挂架式电力轨道
顶柜玻璃：灰玻
</t>
        </is>
      </c>
      <c r="G42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5" s="26" t="n">
        <v>2500</v>
      </c>
      <c r="I425" s="26" t="n">
        <v>2300</v>
      </c>
      <c r="J425" s="27" t="n">
        <v>0.48</v>
      </c>
      <c r="K425" s="28">
        <f>IFERROR(H425,0)</f>
        <v/>
      </c>
      <c r="L425" s="29" t="n">
        <v>0.4668</v>
      </c>
      <c r="M425" s="29" t="n">
        <v>0.2509</v>
      </c>
      <c r="N425" s="29" t="n">
        <v>0.301</v>
      </c>
      <c r="O425" s="29" t="n">
        <v>0.2701</v>
      </c>
      <c r="P425" s="30">
        <f>IFERROR(IF(K425=0,"待填成本",ROUND(K425/(1-L425),0)),"" )</f>
        <v/>
      </c>
      <c r="Q425" s="30">
        <f>IFERROR(IF(K425=0,"待填成本",ROUND(K425/(1-M425),0)),"" )</f>
        <v/>
      </c>
      <c r="R425" s="30">
        <f>IFERROR(IF(K425=0,"待填成本",ROUND(K425/(1-N425),0)),"" )</f>
        <v/>
      </c>
      <c r="S425" s="30">
        <f>IFERROR(IF(K425=0,"待填成本",ROUND(K425/(1-O425),0)),"" )</f>
        <v/>
      </c>
      <c r="T425" s="31">
        <f>IFERROR(IF(K425=0,"",(P425-K425)/P425),"" )</f>
        <v/>
      </c>
      <c r="U425" s="31">
        <f>IFERROR(IF(K425=0,"",(Q425-K425)/Q425),"" )</f>
        <v/>
      </c>
      <c r="V425" s="31">
        <f>IFERROR(IF(K425=0,"",(R425-K425)/R425),"" )</f>
        <v/>
      </c>
      <c r="W425" s="31">
        <f>IFERROR(IF(K425=0,"",(S425-K425)/S425),"" )</f>
        <v/>
      </c>
      <c r="X425" s="36" t="n"/>
      <c r="Y425" s="36" t="n"/>
      <c r="Z425" s="36" t="n"/>
      <c r="AA425" s="37" t="n">
        <v>16.8475</v>
      </c>
      <c r="AB425" s="37" t="n">
        <v>12.0965625</v>
      </c>
      <c r="AC425" s="36" t="n"/>
      <c r="AD425" s="37" t="n">
        <v>300</v>
      </c>
      <c r="AE425" s="36" t="n"/>
      <c r="AF425" s="33" t="n"/>
      <c r="AG425" s="33" t="n"/>
      <c r="AH425" s="35" t="inlineStr"/>
    </row>
    <row r="426" ht="18" customHeight="1">
      <c r="A426" s="25" t="inlineStr">
        <is>
          <t>2425008080199</t>
        </is>
      </c>
      <c r="B426" s="6" t="inlineStr">
        <is>
          <t>餐厅-柜</t>
        </is>
      </c>
      <c r="C426" s="5" t="inlineStr">
        <is>
          <t>洞石餐边柜 |樱桃木洞石餐边大柜 |樱桃木洞石模块餐边柜</t>
        </is>
      </c>
      <c r="D426" s="5" t="inlineStr">
        <is>
          <t>洞石餐边柜-上柜-洞石背板-2.0米</t>
        </is>
      </c>
      <c r="E426" s="6" t="inlineStr">
        <is>
          <t>北美进口FAS级樱桃木</t>
        </is>
      </c>
      <c r="F426" s="6" t="inlineStr">
        <is>
          <t xml:space="preserve">抽屉围板：新西兰进口松木
台面：洞石岩板
背板：洞石背板/实木多层板
电力轨道：xpower 挂架式电力轨道
顶柜玻璃：灰玻
</t>
        </is>
      </c>
      <c r="G42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6" s="26" t="n">
        <v>2466.666666666667</v>
      </c>
      <c r="I426" s="26" t="n">
        <v>2266.666666666667</v>
      </c>
      <c r="J426" s="27" t="n">
        <v>0.48</v>
      </c>
      <c r="K426" s="28">
        <f>IFERROR(H426,0)</f>
        <v/>
      </c>
      <c r="L426" s="29" t="n">
        <v>0.4669</v>
      </c>
      <c r="M426" s="29" t="n">
        <v>0.2507</v>
      </c>
      <c r="N426" s="29" t="n">
        <v>0.3009</v>
      </c>
      <c r="O426" s="29" t="n">
        <v>0.2701</v>
      </c>
      <c r="P426" s="30">
        <f>IFERROR(IF(K426=0,"待填成本",ROUND(K426/(1-L426),0)),"" )</f>
        <v/>
      </c>
      <c r="Q426" s="30">
        <f>IFERROR(IF(K426=0,"待填成本",ROUND(K426/(1-M426),0)),"" )</f>
        <v/>
      </c>
      <c r="R426" s="30">
        <f>IFERROR(IF(K426=0,"待填成本",ROUND(K426/(1-N426),0)),"" )</f>
        <v/>
      </c>
      <c r="S426" s="30">
        <f>IFERROR(IF(K426=0,"待填成本",ROUND(K426/(1-O426),0)),"" )</f>
        <v/>
      </c>
      <c r="T426" s="31">
        <f>IFERROR(IF(K426=0,"",(P426-K426)/P426),"" )</f>
        <v/>
      </c>
      <c r="U426" s="31">
        <f>IFERROR(IF(K426=0,"",(Q426-K426)/Q426),"" )</f>
        <v/>
      </c>
      <c r="V426" s="31">
        <f>IFERROR(IF(K426=0,"",(R426-K426)/R426),"" )</f>
        <v/>
      </c>
      <c r="W426" s="31">
        <f>IFERROR(IF(K426=0,"",(S426-K426)/S426),"" )</f>
        <v/>
      </c>
      <c r="X426" s="32" t="n"/>
      <c r="Y426" s="32" t="n"/>
      <c r="Z426" s="32" t="n"/>
      <c r="AA426" s="37" t="n">
        <v>16.29166666666666</v>
      </c>
      <c r="AB426" s="37" t="n">
        <v>11.64375</v>
      </c>
      <c r="AC426" s="32" t="n"/>
      <c r="AD426" s="37" t="n">
        <v>300</v>
      </c>
      <c r="AE426" s="32" t="n"/>
      <c r="AF426" s="33" t="n"/>
      <c r="AG426" s="33" t="n"/>
      <c r="AH426" s="5" t="inlineStr"/>
    </row>
    <row r="427" ht="18" customHeight="1">
      <c r="A427" s="25" t="inlineStr">
        <is>
          <t>2425008080199</t>
        </is>
      </c>
      <c r="B427" s="34" t="inlineStr">
        <is>
          <t>餐厅-柜</t>
        </is>
      </c>
      <c r="C427" s="35" t="inlineStr">
        <is>
          <t>洞石餐边柜 |樱桃木洞石餐边大柜 |樱桃木洞石模块餐边柜</t>
        </is>
      </c>
      <c r="D427" s="35" t="inlineStr">
        <is>
          <t>洞石餐边柜-上柜-洞石背板-1.9米</t>
        </is>
      </c>
      <c r="E427" s="34" t="inlineStr">
        <is>
          <t>北美进口FAS级樱桃木</t>
        </is>
      </c>
      <c r="F427" s="34" t="inlineStr">
        <is>
          <t xml:space="preserve">抽屉围板：新西兰进口松木
台面：洞石岩板
背板：洞石背板/实木多层板
电力轨道：xpower 挂架式电力轨道
顶柜玻璃：灰玻
</t>
        </is>
      </c>
      <c r="G42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7" s="26" t="n">
        <v>2433.333333333333</v>
      </c>
      <c r="I427" s="26" t="n">
        <v>2233.333333333333</v>
      </c>
      <c r="J427" s="27" t="n">
        <v>0.48</v>
      </c>
      <c r="K427" s="28">
        <f>IFERROR(H427,0)</f>
        <v/>
      </c>
      <c r="L427" s="29" t="n">
        <v>0.4671</v>
      </c>
      <c r="M427" s="29" t="n">
        <v>0.2505</v>
      </c>
      <c r="N427" s="29" t="n">
        <v>0.3007</v>
      </c>
      <c r="O427" s="29" t="n">
        <v>0.2701</v>
      </c>
      <c r="P427" s="30">
        <f>IFERROR(IF(K427=0,"待填成本",ROUND(K427/(1-L427),0)),"" )</f>
        <v/>
      </c>
      <c r="Q427" s="30">
        <f>IFERROR(IF(K427=0,"待填成本",ROUND(K427/(1-M427),0)),"" )</f>
        <v/>
      </c>
      <c r="R427" s="30">
        <f>IFERROR(IF(K427=0,"待填成本",ROUND(K427/(1-N427),0)),"" )</f>
        <v/>
      </c>
      <c r="S427" s="30">
        <f>IFERROR(IF(K427=0,"待填成本",ROUND(K427/(1-O427),0)),"" )</f>
        <v/>
      </c>
      <c r="T427" s="31">
        <f>IFERROR(IF(K427=0,"",(P427-K427)/P427),"" )</f>
        <v/>
      </c>
      <c r="U427" s="31">
        <f>IFERROR(IF(K427=0,"",(Q427-K427)/Q427),"" )</f>
        <v/>
      </c>
      <c r="V427" s="31">
        <f>IFERROR(IF(K427=0,"",(R427-K427)/R427),"" )</f>
        <v/>
      </c>
      <c r="W427" s="31">
        <f>IFERROR(IF(K427=0,"",(S427-K427)/S427),"" )</f>
        <v/>
      </c>
      <c r="X427" s="36" t="n"/>
      <c r="Y427" s="36" t="n"/>
      <c r="Z427" s="36" t="n"/>
      <c r="AA427" s="37" t="n">
        <v>15.73583333333333</v>
      </c>
      <c r="AB427" s="37" t="n">
        <v>11.1909375</v>
      </c>
      <c r="AC427" s="36" t="n"/>
      <c r="AD427" s="37" t="n">
        <v>300</v>
      </c>
      <c r="AE427" s="36" t="n"/>
      <c r="AF427" s="33" t="n"/>
      <c r="AG427" s="33" t="n"/>
      <c r="AH427" s="35" t="inlineStr"/>
    </row>
    <row r="428" ht="18" customHeight="1">
      <c r="A428" s="25" t="inlineStr">
        <is>
          <t>2425008080199</t>
        </is>
      </c>
      <c r="B428" s="6" t="inlineStr">
        <is>
          <t>餐厅-柜</t>
        </is>
      </c>
      <c r="C428" s="5" t="inlineStr">
        <is>
          <t>洞石餐边柜 |樱桃木洞石餐边大柜 |樱桃木洞石模块餐边柜</t>
        </is>
      </c>
      <c r="D428" s="5" t="inlineStr">
        <is>
          <t>洞石餐边柜-上柜-洞石背板-1.8米</t>
        </is>
      </c>
      <c r="E428" s="6" t="inlineStr">
        <is>
          <t>北美进口FAS级樱桃木</t>
        </is>
      </c>
      <c r="F428" s="6" t="inlineStr">
        <is>
          <t xml:space="preserve">抽屉围板：新西兰进口松木
台面：洞石岩板
背板：洞石背板/实木多层板
电力轨道：xpower 挂架式电力轨道
顶柜玻璃：灰玻
</t>
        </is>
      </c>
      <c r="G42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8" s="26" t="n">
        <v>2400</v>
      </c>
      <c r="I428" s="26" t="n">
        <v>2200</v>
      </c>
      <c r="J428" s="27" t="n">
        <v>0.48</v>
      </c>
      <c r="K428" s="28">
        <f>IFERROR(H428,0)</f>
        <v/>
      </c>
      <c r="L428" s="29" t="n">
        <v>0.4672</v>
      </c>
      <c r="M428" s="29" t="n">
        <v>0.2503</v>
      </c>
      <c r="N428" s="29" t="n">
        <v>0.3005</v>
      </c>
      <c r="O428" s="29" t="n">
        <v>0.2702</v>
      </c>
      <c r="P428" s="30">
        <f>IFERROR(IF(K428=0,"待填成本",ROUND(K428/(1-L428),0)),"" )</f>
        <v/>
      </c>
      <c r="Q428" s="30">
        <f>IFERROR(IF(K428=0,"待填成本",ROUND(K428/(1-M428),0)),"" )</f>
        <v/>
      </c>
      <c r="R428" s="30">
        <f>IFERROR(IF(K428=0,"待填成本",ROUND(K428/(1-N428),0)),"" )</f>
        <v/>
      </c>
      <c r="S428" s="30">
        <f>IFERROR(IF(K428=0,"待填成本",ROUND(K428/(1-O428),0)),"" )</f>
        <v/>
      </c>
      <c r="T428" s="31">
        <f>IFERROR(IF(K428=0,"",(P428-K428)/P428),"" )</f>
        <v/>
      </c>
      <c r="U428" s="31">
        <f>IFERROR(IF(K428=0,"",(Q428-K428)/Q428),"" )</f>
        <v/>
      </c>
      <c r="V428" s="31">
        <f>IFERROR(IF(K428=0,"",(R428-K428)/R428),"" )</f>
        <v/>
      </c>
      <c r="W428" s="31">
        <f>IFERROR(IF(K428=0,"",(S428-K428)/S428),"" )</f>
        <v/>
      </c>
      <c r="X428" s="32" t="n"/>
      <c r="Y428" s="32" t="n"/>
      <c r="Z428" s="32" t="n"/>
      <c r="AA428" s="37" t="n">
        <v>15.18</v>
      </c>
      <c r="AB428" s="37" t="n">
        <v>10.738125</v>
      </c>
      <c r="AC428" s="32" t="n"/>
      <c r="AD428" s="37" t="n">
        <v>300</v>
      </c>
      <c r="AE428" s="32" t="n"/>
      <c r="AF428" s="33" t="n"/>
      <c r="AG428" s="33" t="n"/>
      <c r="AH428" s="5" t="inlineStr"/>
    </row>
    <row r="429" ht="18" customHeight="1">
      <c r="A429" s="25" t="inlineStr">
        <is>
          <t>2425008080199</t>
        </is>
      </c>
      <c r="B429" s="34" t="inlineStr">
        <is>
          <t>餐厅-柜</t>
        </is>
      </c>
      <c r="C429" s="35" t="inlineStr">
        <is>
          <t>洞石餐边柜 |樱桃木洞石餐边大柜 |樱桃木洞石模块餐边柜</t>
        </is>
      </c>
      <c r="D429" s="35" t="inlineStr">
        <is>
          <t>洞石餐边柜-上柜-洞石背板-1.7米</t>
        </is>
      </c>
      <c r="E429" s="34" t="inlineStr">
        <is>
          <t>北美进口FAS级樱桃木</t>
        </is>
      </c>
      <c r="F429" s="34" t="inlineStr">
        <is>
          <t xml:space="preserve">抽屉围板：新西兰进口松木
台面：洞石岩板
背板：洞石背板/实木多层板
电力轨道：xpower 挂架式电力轨道
顶柜玻璃：灰玻
</t>
        </is>
      </c>
      <c r="G42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29" s="26" t="n">
        <v>2366.666666666667</v>
      </c>
      <c r="I429" s="26" t="n">
        <v>2166.666666666667</v>
      </c>
      <c r="J429" s="27" t="n">
        <v>0.48</v>
      </c>
      <c r="K429" s="28">
        <f>IFERROR(H429,0)</f>
        <v/>
      </c>
      <c r="L429" s="29" t="n">
        <v>0.4672</v>
      </c>
      <c r="M429" s="29" t="n">
        <v>0.2507</v>
      </c>
      <c r="N429" s="29" t="n">
        <v>0.3009</v>
      </c>
      <c r="O429" s="29" t="n">
        <v>0.2702</v>
      </c>
      <c r="P429" s="30">
        <f>IFERROR(IF(K429=0,"待填成本",ROUND(K429/(1-L429),0)),"" )</f>
        <v/>
      </c>
      <c r="Q429" s="30">
        <f>IFERROR(IF(K429=0,"待填成本",ROUND(K429/(1-M429),0)),"" )</f>
        <v/>
      </c>
      <c r="R429" s="30">
        <f>IFERROR(IF(K429=0,"待填成本",ROUND(K429/(1-N429),0)),"" )</f>
        <v/>
      </c>
      <c r="S429" s="30">
        <f>IFERROR(IF(K429=0,"待填成本",ROUND(K429/(1-O429),0)),"" )</f>
        <v/>
      </c>
      <c r="T429" s="31">
        <f>IFERROR(IF(K429=0,"",(P429-K429)/P429),"" )</f>
        <v/>
      </c>
      <c r="U429" s="31">
        <f>IFERROR(IF(K429=0,"",(Q429-K429)/Q429),"" )</f>
        <v/>
      </c>
      <c r="V429" s="31">
        <f>IFERROR(IF(K429=0,"",(R429-K429)/R429),"" )</f>
        <v/>
      </c>
      <c r="W429" s="31">
        <f>IFERROR(IF(K429=0,"",(S429-K429)/S429),"" )</f>
        <v/>
      </c>
      <c r="X429" s="36" t="n"/>
      <c r="Y429" s="36" t="n"/>
      <c r="Z429" s="36" t="n"/>
      <c r="AA429" s="37" t="n">
        <v>14.62416666666667</v>
      </c>
      <c r="AB429" s="37" t="n">
        <v>10.2853125</v>
      </c>
      <c r="AC429" s="36" t="n"/>
      <c r="AD429" s="37" t="n">
        <v>300</v>
      </c>
      <c r="AE429" s="36" t="n"/>
      <c r="AF429" s="33" t="n"/>
      <c r="AG429" s="33" t="n"/>
      <c r="AH429" s="35" t="inlineStr"/>
    </row>
    <row r="430" ht="18" customHeight="1">
      <c r="A430" s="25" t="inlineStr">
        <is>
          <t>2425008080199</t>
        </is>
      </c>
      <c r="B430" s="6" t="inlineStr">
        <is>
          <t>餐厅-柜</t>
        </is>
      </c>
      <c r="C430" s="5" t="inlineStr">
        <is>
          <t>洞石餐边柜 |樱桃木洞石餐边大柜 |樱桃木洞石模块餐边柜</t>
        </is>
      </c>
      <c r="D430" s="5" t="inlineStr">
        <is>
          <t>洞石餐边柜-上柜-洞石背板-1.6米</t>
        </is>
      </c>
      <c r="E430" s="6" t="inlineStr">
        <is>
          <t>北美进口FAS级樱桃木</t>
        </is>
      </c>
      <c r="F430" s="6" t="inlineStr">
        <is>
          <t xml:space="preserve">抽屉围板：新西兰进口松木
台面：洞石岩板
背板：洞石背板/实木多层板
电力轨道：xpower 挂架式电力轨道
顶柜玻璃：灰玻
</t>
        </is>
      </c>
      <c r="G43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0" s="26" t="n">
        <v>2333.333333333333</v>
      </c>
      <c r="I430" s="26" t="n">
        <v>2133.333333333333</v>
      </c>
      <c r="J430" s="27" t="n">
        <v>0.48</v>
      </c>
      <c r="K430" s="28">
        <f>IFERROR(H430,0)</f>
        <v/>
      </c>
      <c r="L430" s="29" t="n">
        <v>0.4671</v>
      </c>
      <c r="M430" s="29" t="n">
        <v>0.2512</v>
      </c>
      <c r="N430" s="29" t="n">
        <v>0.3013</v>
      </c>
      <c r="O430" s="29" t="n">
        <v>0.2703</v>
      </c>
      <c r="P430" s="30">
        <f>IFERROR(IF(K430=0,"待填成本",ROUND(K430/(1-L430),0)),"" )</f>
        <v/>
      </c>
      <c r="Q430" s="30">
        <f>IFERROR(IF(K430=0,"待填成本",ROUND(K430/(1-M430),0)),"" )</f>
        <v/>
      </c>
      <c r="R430" s="30">
        <f>IFERROR(IF(K430=0,"待填成本",ROUND(K430/(1-N430),0)),"" )</f>
        <v/>
      </c>
      <c r="S430" s="30">
        <f>IFERROR(IF(K430=0,"待填成本",ROUND(K430/(1-O430),0)),"" )</f>
        <v/>
      </c>
      <c r="T430" s="31">
        <f>IFERROR(IF(K430=0,"",(P430-K430)/P430),"" )</f>
        <v/>
      </c>
      <c r="U430" s="31">
        <f>IFERROR(IF(K430=0,"",(Q430-K430)/Q430),"" )</f>
        <v/>
      </c>
      <c r="V430" s="31">
        <f>IFERROR(IF(K430=0,"",(R430-K430)/R430),"" )</f>
        <v/>
      </c>
      <c r="W430" s="31">
        <f>IFERROR(IF(K430=0,"",(S430-K430)/S430),"" )</f>
        <v/>
      </c>
      <c r="X430" s="32" t="n"/>
      <c r="Y430" s="32" t="n"/>
      <c r="Z430" s="32" t="n"/>
      <c r="AA430" s="37" t="n">
        <v>14.06833333333333</v>
      </c>
      <c r="AB430" s="37" t="n">
        <v>9.8325</v>
      </c>
      <c r="AC430" s="32" t="n"/>
      <c r="AD430" s="37" t="n">
        <v>300</v>
      </c>
      <c r="AE430" s="32" t="n"/>
      <c r="AF430" s="33" t="n"/>
      <c r="AG430" s="33" t="n"/>
      <c r="AH430" s="5" t="inlineStr"/>
    </row>
    <row r="431" ht="18" customHeight="1">
      <c r="A431" s="25" t="inlineStr">
        <is>
          <t>2425008080199</t>
        </is>
      </c>
      <c r="B431" s="34" t="inlineStr">
        <is>
          <t>餐厅-柜</t>
        </is>
      </c>
      <c r="C431" s="35" t="inlineStr">
        <is>
          <t>洞石餐边柜 |樱桃木洞石餐边大柜 |樱桃木洞石模块餐边柜</t>
        </is>
      </c>
      <c r="D431" s="35" t="inlineStr">
        <is>
          <t>洞石餐边柜-上柜-洞石背板-1.5米</t>
        </is>
      </c>
      <c r="E431" s="34" t="inlineStr">
        <is>
          <t>北美进口FAS级樱桃木</t>
        </is>
      </c>
      <c r="F431" s="34" t="inlineStr">
        <is>
          <t xml:space="preserve">抽屉围板：新西兰进口松木
台面：洞石岩板
背板：洞石背板/实木多层板
电力轨道：xpower 挂架式电力轨道
顶柜玻璃：灰玻
</t>
        </is>
      </c>
      <c r="G43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1" s="26" t="n">
        <v>2300</v>
      </c>
      <c r="I431" s="26" t="n">
        <v>2100</v>
      </c>
      <c r="J431" s="27" t="n">
        <v>0.48</v>
      </c>
      <c r="K431" s="28">
        <f>IFERROR(H431,0)</f>
        <v/>
      </c>
      <c r="L431" s="29" t="n">
        <v>0.467</v>
      </c>
      <c r="M431" s="29" t="n">
        <v>0.2516</v>
      </c>
      <c r="N431" s="29" t="n">
        <v>0.3017</v>
      </c>
      <c r="O431" s="29" t="n">
        <v>0.2703</v>
      </c>
      <c r="P431" s="30">
        <f>IFERROR(IF(K431=0,"待填成本",ROUND(K431/(1-L431),0)),"" )</f>
        <v/>
      </c>
      <c r="Q431" s="30">
        <f>IFERROR(IF(K431=0,"待填成本",ROUND(K431/(1-M431),0)),"" )</f>
        <v/>
      </c>
      <c r="R431" s="30">
        <f>IFERROR(IF(K431=0,"待填成本",ROUND(K431/(1-N431),0)),"" )</f>
        <v/>
      </c>
      <c r="S431" s="30">
        <f>IFERROR(IF(K431=0,"待填成本",ROUND(K431/(1-O431),0)),"" )</f>
        <v/>
      </c>
      <c r="T431" s="31">
        <f>IFERROR(IF(K431=0,"",(P431-K431)/P431),"" )</f>
        <v/>
      </c>
      <c r="U431" s="31">
        <f>IFERROR(IF(K431=0,"",(Q431-K431)/Q431),"" )</f>
        <v/>
      </c>
      <c r="V431" s="31">
        <f>IFERROR(IF(K431=0,"",(R431-K431)/R431),"" )</f>
        <v/>
      </c>
      <c r="W431" s="31">
        <f>IFERROR(IF(K431=0,"",(S431-K431)/S431),"" )</f>
        <v/>
      </c>
      <c r="X431" s="36" t="n"/>
      <c r="Y431" s="36" t="n"/>
      <c r="Z431" s="36" t="n"/>
      <c r="AA431" s="37" t="n">
        <v>13.5125</v>
      </c>
      <c r="AB431" s="37" t="n">
        <v>9.379687499999999</v>
      </c>
      <c r="AC431" s="36" t="n"/>
      <c r="AD431" s="37" t="n">
        <v>300</v>
      </c>
      <c r="AE431" s="36" t="n"/>
      <c r="AF431" s="33" t="n"/>
      <c r="AG431" s="33" t="n"/>
      <c r="AH431" s="35" t="inlineStr"/>
    </row>
    <row r="432" ht="18" customHeight="1">
      <c r="A432" s="25" t="inlineStr">
        <is>
          <t>2425008080199</t>
        </is>
      </c>
      <c r="B432" s="6" t="inlineStr">
        <is>
          <t>餐厅-柜</t>
        </is>
      </c>
      <c r="C432" s="5" t="inlineStr">
        <is>
          <t>洞石餐边柜 |樱桃木洞石餐边大柜 |樱桃木洞石模块餐边柜</t>
        </is>
      </c>
      <c r="D432" s="5" t="inlineStr">
        <is>
          <t>洞石餐边柜-上柜-洞石背板-1.4米</t>
        </is>
      </c>
      <c r="E432" s="6" t="inlineStr">
        <is>
          <t>北美进口FAS级樱桃木</t>
        </is>
      </c>
      <c r="F432" s="6" t="inlineStr">
        <is>
          <t xml:space="preserve">抽屉围板：新西兰进口松木
台面：洞石岩板
背板：洞石背板/实木多层板
电力轨道：xpower 挂架式电力轨道
顶柜玻璃：灰玻
</t>
        </is>
      </c>
      <c r="G43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2" s="26" t="n">
        <v>2266.666666666667</v>
      </c>
      <c r="I432" s="26" t="n">
        <v>2066.666666666667</v>
      </c>
      <c r="J432" s="27" t="n">
        <v>0.48</v>
      </c>
      <c r="K432" s="28">
        <f>IFERROR(H432,0)</f>
        <v/>
      </c>
      <c r="L432" s="29" t="n">
        <v>0.4669</v>
      </c>
      <c r="M432" s="29" t="n">
        <v>0.2515</v>
      </c>
      <c r="N432" s="29" t="n">
        <v>0.3015</v>
      </c>
      <c r="O432" s="29" t="n">
        <v>0.2703</v>
      </c>
      <c r="P432" s="30">
        <f>IFERROR(IF(K432=0,"待填成本",ROUND(K432/(1-L432),0)),"" )</f>
        <v/>
      </c>
      <c r="Q432" s="30">
        <f>IFERROR(IF(K432=0,"待填成本",ROUND(K432/(1-M432),0)),"" )</f>
        <v/>
      </c>
      <c r="R432" s="30">
        <f>IFERROR(IF(K432=0,"待填成本",ROUND(K432/(1-N432),0)),"" )</f>
        <v/>
      </c>
      <c r="S432" s="30">
        <f>IFERROR(IF(K432=0,"待填成本",ROUND(K432/(1-O432),0)),"" )</f>
        <v/>
      </c>
      <c r="T432" s="31">
        <f>IFERROR(IF(K432=0,"",(P432-K432)/P432),"" )</f>
        <v/>
      </c>
      <c r="U432" s="31">
        <f>IFERROR(IF(K432=0,"",(Q432-K432)/Q432),"" )</f>
        <v/>
      </c>
      <c r="V432" s="31">
        <f>IFERROR(IF(K432=0,"",(R432-K432)/R432),"" )</f>
        <v/>
      </c>
      <c r="W432" s="31">
        <f>IFERROR(IF(K432=0,"",(S432-K432)/S432),"" )</f>
        <v/>
      </c>
      <c r="X432" s="32" t="n"/>
      <c r="Y432" s="32" t="n"/>
      <c r="Z432" s="32" t="n"/>
      <c r="AA432" s="37" t="n">
        <v>13.19625</v>
      </c>
      <c r="AB432" s="37" t="n">
        <v>8.926874999999999</v>
      </c>
      <c r="AC432" s="32" t="n"/>
      <c r="AD432" s="37" t="n">
        <v>300</v>
      </c>
      <c r="AE432" s="32" t="n"/>
      <c r="AF432" s="33" t="n"/>
      <c r="AG432" s="33" t="n"/>
      <c r="AH432" s="5" t="inlineStr"/>
    </row>
    <row r="433" ht="18" customHeight="1">
      <c r="A433" s="25" t="inlineStr">
        <is>
          <t>2425008080199</t>
        </is>
      </c>
      <c r="B433" s="34" t="inlineStr">
        <is>
          <t>餐厅-柜</t>
        </is>
      </c>
      <c r="C433" s="35" t="inlineStr">
        <is>
          <t>洞石餐边柜 |樱桃木洞石餐边大柜 |樱桃木洞石模块餐边柜</t>
        </is>
      </c>
      <c r="D433" s="35" t="inlineStr">
        <is>
          <t>洞石餐边柜-上柜-洞石背板-1.3米</t>
        </is>
      </c>
      <c r="E433" s="34" t="inlineStr">
        <is>
          <t>北美进口FAS级樱桃木</t>
        </is>
      </c>
      <c r="F433" s="34" t="inlineStr">
        <is>
          <t xml:space="preserve">抽屉围板：新西兰进口松木
台面：洞石岩板
背板：洞石背板/实木多层板
电力轨道：xpower 挂架式电力轨道
顶柜玻璃：灰玻
</t>
        </is>
      </c>
      <c r="G43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3" s="26" t="n">
        <v>2233.333333333333</v>
      </c>
      <c r="I433" s="26" t="n">
        <v>2033.333333333333</v>
      </c>
      <c r="J433" s="27" t="n">
        <v>0.48</v>
      </c>
      <c r="K433" s="28">
        <f>IFERROR(H433,0)</f>
        <v/>
      </c>
      <c r="L433" s="29" t="n">
        <v>0.4669</v>
      </c>
      <c r="M433" s="29" t="n">
        <v>0.2513</v>
      </c>
      <c r="N433" s="29" t="n">
        <v>0.3013</v>
      </c>
      <c r="O433" s="29" t="n">
        <v>0.2704</v>
      </c>
      <c r="P433" s="30">
        <f>IFERROR(IF(K433=0,"待填成本",ROUND(K433/(1-L433),0)),"" )</f>
        <v/>
      </c>
      <c r="Q433" s="30">
        <f>IFERROR(IF(K433=0,"待填成本",ROUND(K433/(1-M433),0)),"" )</f>
        <v/>
      </c>
      <c r="R433" s="30">
        <f>IFERROR(IF(K433=0,"待填成本",ROUND(K433/(1-N433),0)),"" )</f>
        <v/>
      </c>
      <c r="S433" s="30">
        <f>IFERROR(IF(K433=0,"待填成本",ROUND(K433/(1-O433),0)),"" )</f>
        <v/>
      </c>
      <c r="T433" s="31">
        <f>IFERROR(IF(K433=0,"",(P433-K433)/P433),"" )</f>
        <v/>
      </c>
      <c r="U433" s="31">
        <f>IFERROR(IF(K433=0,"",(Q433-K433)/Q433),"" )</f>
        <v/>
      </c>
      <c r="V433" s="31">
        <f>IFERROR(IF(K433=0,"",(R433-K433)/R433),"" )</f>
        <v/>
      </c>
      <c r="W433" s="31">
        <f>IFERROR(IF(K433=0,"",(S433-K433)/S433),"" )</f>
        <v/>
      </c>
      <c r="X433" s="36" t="n"/>
      <c r="Y433" s="36" t="n"/>
      <c r="Z433" s="36" t="n"/>
      <c r="AA433" s="37" t="n">
        <v>12.88</v>
      </c>
      <c r="AB433" s="37" t="n">
        <v>8.474062499999999</v>
      </c>
      <c r="AC433" s="36" t="n"/>
      <c r="AD433" s="37" t="n">
        <v>300</v>
      </c>
      <c r="AE433" s="36" t="n"/>
      <c r="AF433" s="33" t="n"/>
      <c r="AG433" s="33" t="n"/>
      <c r="AH433" s="35" t="inlineStr"/>
    </row>
    <row r="434" ht="18" customHeight="1">
      <c r="A434" s="25" t="inlineStr">
        <is>
          <t>2425008080199</t>
        </is>
      </c>
      <c r="B434" s="6" t="inlineStr">
        <is>
          <t>餐厅-柜</t>
        </is>
      </c>
      <c r="C434" s="5" t="inlineStr">
        <is>
          <t>洞石餐边柜 |樱桃木洞石餐边大柜 |樱桃木洞石模块餐边柜</t>
        </is>
      </c>
      <c r="D434" s="5" t="inlineStr">
        <is>
          <t>洞石餐边柜-上柜-洞石背板-1.2米</t>
        </is>
      </c>
      <c r="E434" s="6" t="inlineStr">
        <is>
          <t>北美进口FAS级樱桃木</t>
        </is>
      </c>
      <c r="F434" s="6" t="inlineStr">
        <is>
          <t xml:space="preserve">抽屉围板：新西兰进口松木
台面：洞石岩板
背板：洞石背板/实木多层板
电力轨道：xpower 挂架式电力轨道
顶柜玻璃：灰玻
</t>
        </is>
      </c>
      <c r="G43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4" s="26" t="n">
        <v>2200</v>
      </c>
      <c r="I434" s="26" t="n">
        <v>2000</v>
      </c>
      <c r="J434" s="27" t="n">
        <v>0.48</v>
      </c>
      <c r="K434" s="28">
        <f>IFERROR(H434,0)</f>
        <v/>
      </c>
      <c r="L434" s="29" t="n">
        <v>0.4668</v>
      </c>
      <c r="M434" s="29" t="n">
        <v>0.2511</v>
      </c>
      <c r="N434" s="29" t="n">
        <v>0.3011</v>
      </c>
      <c r="O434" s="29" t="n">
        <v>0.2704</v>
      </c>
      <c r="P434" s="30">
        <f>IFERROR(IF(K434=0,"待填成本",ROUND(K434/(1-L434),0)),"" )</f>
        <v/>
      </c>
      <c r="Q434" s="30">
        <f>IFERROR(IF(K434=0,"待填成本",ROUND(K434/(1-M434),0)),"" )</f>
        <v/>
      </c>
      <c r="R434" s="30">
        <f>IFERROR(IF(K434=0,"待填成本",ROUND(K434/(1-N434),0)),"" )</f>
        <v/>
      </c>
      <c r="S434" s="30">
        <f>IFERROR(IF(K434=0,"待填成本",ROUND(K434/(1-O434),0)),"" )</f>
        <v/>
      </c>
      <c r="T434" s="31">
        <f>IFERROR(IF(K434=0,"",(P434-K434)/P434),"" )</f>
        <v/>
      </c>
      <c r="U434" s="31">
        <f>IFERROR(IF(K434=0,"",(Q434-K434)/Q434),"" )</f>
        <v/>
      </c>
      <c r="V434" s="31">
        <f>IFERROR(IF(K434=0,"",(R434-K434)/R434),"" )</f>
        <v/>
      </c>
      <c r="W434" s="31">
        <f>IFERROR(IF(K434=0,"",(S434-K434)/S434),"" )</f>
        <v/>
      </c>
      <c r="X434" s="32" t="n"/>
      <c r="Y434" s="32" t="n"/>
      <c r="Z434" s="32" t="n"/>
      <c r="AA434" s="37" t="n">
        <v>12.56375</v>
      </c>
      <c r="AB434" s="37" t="n">
        <v>8.021249999999998</v>
      </c>
      <c r="AC434" s="32" t="n"/>
      <c r="AD434" s="37" t="n">
        <v>300</v>
      </c>
      <c r="AE434" s="32" t="n"/>
      <c r="AF434" s="33" t="n"/>
      <c r="AG434" s="33" t="n"/>
      <c r="AH434" s="5" t="inlineStr"/>
    </row>
    <row r="435" ht="18" customHeight="1">
      <c r="A435" s="25" t="inlineStr">
        <is>
          <t>2425008080199</t>
        </is>
      </c>
      <c r="B435" s="34" t="inlineStr">
        <is>
          <t>餐厅-柜</t>
        </is>
      </c>
      <c r="C435" s="35" t="inlineStr">
        <is>
          <t>洞石餐边柜 |樱桃木洞石餐边大柜 |樱桃木洞石模块餐边柜</t>
        </is>
      </c>
      <c r="D435" s="35" t="inlineStr">
        <is>
          <t>洞石餐边柜-上柜-洞石背板-1.1米</t>
        </is>
      </c>
      <c r="E435" s="34" t="inlineStr">
        <is>
          <t>北美进口FAS级樱桃木</t>
        </is>
      </c>
      <c r="F435" s="34" t="inlineStr">
        <is>
          <t xml:space="preserve">抽屉围板：新西兰进口松木
台面：洞石岩板
背板：洞石背板/实木多层板
电力轨道：xpower 挂架式电力轨道
顶柜玻璃：灰玻
</t>
        </is>
      </c>
      <c r="G43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5" s="26" t="n">
        <v>2166.666666666667</v>
      </c>
      <c r="I435" s="26" t="n">
        <v>1966.666666666667</v>
      </c>
      <c r="J435" s="27" t="n">
        <v>0.48</v>
      </c>
      <c r="K435" s="28">
        <f>IFERROR(H435,0)</f>
        <v/>
      </c>
      <c r="L435" s="29" t="n">
        <v>0.4667</v>
      </c>
      <c r="M435" s="29" t="n">
        <v>0.2509</v>
      </c>
      <c r="N435" s="29" t="n">
        <v>0.301</v>
      </c>
      <c r="O435" s="29" t="n">
        <v>0.2705</v>
      </c>
      <c r="P435" s="30">
        <f>IFERROR(IF(K435=0,"待填成本",ROUND(K435/(1-L435),0)),"" )</f>
        <v/>
      </c>
      <c r="Q435" s="30">
        <f>IFERROR(IF(K435=0,"待填成本",ROUND(K435/(1-M435),0)),"" )</f>
        <v/>
      </c>
      <c r="R435" s="30">
        <f>IFERROR(IF(K435=0,"待填成本",ROUND(K435/(1-N435),0)),"" )</f>
        <v/>
      </c>
      <c r="S435" s="30">
        <f>IFERROR(IF(K435=0,"待填成本",ROUND(K435/(1-O435),0)),"" )</f>
        <v/>
      </c>
      <c r="T435" s="31">
        <f>IFERROR(IF(K435=0,"",(P435-K435)/P435),"" )</f>
        <v/>
      </c>
      <c r="U435" s="31">
        <f>IFERROR(IF(K435=0,"",(Q435-K435)/Q435),"" )</f>
        <v/>
      </c>
      <c r="V435" s="31">
        <f>IFERROR(IF(K435=0,"",(R435-K435)/R435),"" )</f>
        <v/>
      </c>
      <c r="W435" s="31">
        <f>IFERROR(IF(K435=0,"",(S435-K435)/S435),"" )</f>
        <v/>
      </c>
      <c r="X435" s="36" t="n"/>
      <c r="Y435" s="36" t="n"/>
      <c r="Z435" s="36" t="n"/>
      <c r="AA435" s="37" t="n">
        <v>12.2475</v>
      </c>
      <c r="AB435" s="37" t="n">
        <v>7.568437499999998</v>
      </c>
      <c r="AC435" s="36" t="n"/>
      <c r="AD435" s="37" t="n">
        <v>300</v>
      </c>
      <c r="AE435" s="36" t="n"/>
      <c r="AF435" s="33" t="n"/>
      <c r="AG435" s="33" t="n"/>
      <c r="AH435" s="35" t="inlineStr"/>
    </row>
    <row r="436" ht="18" customHeight="1">
      <c r="A436" s="25" t="inlineStr">
        <is>
          <t>2425008080199</t>
        </is>
      </c>
      <c r="B436" s="6" t="inlineStr">
        <is>
          <t>餐厅-柜</t>
        </is>
      </c>
      <c r="C436" s="5" t="inlineStr">
        <is>
          <t>洞石餐边柜 |樱桃木洞石餐边大柜 |樱桃木洞石模块餐边柜</t>
        </is>
      </c>
      <c r="D436" s="5" t="inlineStr">
        <is>
          <t>洞石餐边柜-上柜-洞石背板-1.0米</t>
        </is>
      </c>
      <c r="E436" s="6" t="inlineStr">
        <is>
          <t>北美进口FAS级樱桃木</t>
        </is>
      </c>
      <c r="F436" s="6" t="inlineStr">
        <is>
          <t xml:space="preserve">抽屉围板：新西兰进口松木
台面：洞石岩板
背板：洞石背板/实木多层板
电力轨道：xpower 挂架式电力轨道
顶柜玻璃：灰玻
</t>
        </is>
      </c>
      <c r="G43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6" s="26" t="n">
        <v>2133.333333333333</v>
      </c>
      <c r="I436" s="26" t="n">
        <v>1933.333333333333</v>
      </c>
      <c r="J436" s="27" t="n">
        <v>0.48</v>
      </c>
      <c r="K436" s="28">
        <f>IFERROR(H436,0)</f>
        <v/>
      </c>
      <c r="L436" s="29" t="n">
        <v>0.4666</v>
      </c>
      <c r="M436" s="29" t="n">
        <v>0.2507</v>
      </c>
      <c r="N436" s="29" t="n">
        <v>0.3008</v>
      </c>
      <c r="O436" s="29" t="n">
        <v>0.2705</v>
      </c>
      <c r="P436" s="30">
        <f>IFERROR(IF(K436=0,"待填成本",ROUND(K436/(1-L436),0)),"" )</f>
        <v/>
      </c>
      <c r="Q436" s="30">
        <f>IFERROR(IF(K436=0,"待填成本",ROUND(K436/(1-M436),0)),"" )</f>
        <v/>
      </c>
      <c r="R436" s="30">
        <f>IFERROR(IF(K436=0,"待填成本",ROUND(K436/(1-N436),0)),"" )</f>
        <v/>
      </c>
      <c r="S436" s="30">
        <f>IFERROR(IF(K436=0,"待填成本",ROUND(K436/(1-O436),0)),"" )</f>
        <v/>
      </c>
      <c r="T436" s="31">
        <f>IFERROR(IF(K436=0,"",(P436-K436)/P436),"" )</f>
        <v/>
      </c>
      <c r="U436" s="31">
        <f>IFERROR(IF(K436=0,"",(Q436-K436)/Q436),"" )</f>
        <v/>
      </c>
      <c r="V436" s="31">
        <f>IFERROR(IF(K436=0,"",(R436-K436)/R436),"" )</f>
        <v/>
      </c>
      <c r="W436" s="31">
        <f>IFERROR(IF(K436=0,"",(S436-K436)/S436),"" )</f>
        <v/>
      </c>
      <c r="X436" s="32" t="n"/>
      <c r="Y436" s="32" t="n"/>
      <c r="Z436" s="32" t="n"/>
      <c r="AA436" s="37" t="n">
        <v>11.93125</v>
      </c>
      <c r="AB436" s="37" t="n">
        <v>7.115624999999998</v>
      </c>
      <c r="AC436" s="32" t="n"/>
      <c r="AD436" s="37" t="n">
        <v>300</v>
      </c>
      <c r="AE436" s="32" t="n"/>
      <c r="AF436" s="33" t="n"/>
      <c r="AG436" s="33" t="n"/>
      <c r="AH436" s="5" t="inlineStr"/>
    </row>
    <row r="437" ht="18" customHeight="1">
      <c r="A437" s="25" t="inlineStr">
        <is>
          <t>2425008080199</t>
        </is>
      </c>
      <c r="B437" s="34" t="inlineStr">
        <is>
          <t>餐厅-柜</t>
        </is>
      </c>
      <c r="C437" s="35" t="inlineStr">
        <is>
          <t>洞石餐边柜 |樱桃木洞石餐边大柜 |樱桃木洞石模块餐边柜</t>
        </is>
      </c>
      <c r="D437" s="35" t="inlineStr">
        <is>
          <t>洞石餐边柜-下挂岩板2.1</t>
        </is>
      </c>
      <c r="E437" s="34" t="inlineStr">
        <is>
          <t>北美进口FAS级樱桃木</t>
        </is>
      </c>
      <c r="F437" s="34" t="inlineStr">
        <is>
          <t xml:space="preserve">抽屉围板：新西兰进口松木
台面：洞石岩板
背板：洞石背板/实木多层板
电力轨道：xpower 挂架式电力轨道
顶柜玻璃：灰玻
</t>
        </is>
      </c>
      <c r="G43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7" s="26" t="n">
        <v>50</v>
      </c>
      <c r="I437" s="26" t="n">
        <v>0</v>
      </c>
      <c r="J437" s="27" t="n">
        <v>0.48</v>
      </c>
      <c r="K437" s="28">
        <f>IFERROR(H437,0)</f>
        <v/>
      </c>
      <c r="L437" s="29" t="n">
        <v>0.4701</v>
      </c>
      <c r="M437" s="29" t="n">
        <v>0.2578</v>
      </c>
      <c r="N437" s="29" t="n">
        <v>0.3078</v>
      </c>
      <c r="O437" s="29" t="n">
        <v>0.2753</v>
      </c>
      <c r="P437" s="30">
        <f>IFERROR(IF(K437=0,"待填成本",ROUND(K437/(1-L437),0)),"" )</f>
        <v/>
      </c>
      <c r="Q437" s="30">
        <f>IFERROR(IF(K437=0,"待填成本",ROUND(K437/(1-M437),0)),"" )</f>
        <v/>
      </c>
      <c r="R437" s="30">
        <f>IFERROR(IF(K437=0,"待填成本",ROUND(K437/(1-N437),0)),"" )</f>
        <v/>
      </c>
      <c r="S437" s="30">
        <f>IFERROR(IF(K437=0,"待填成本",ROUND(K437/(1-O437),0)),"" )</f>
        <v/>
      </c>
      <c r="T437" s="31">
        <f>IFERROR(IF(K437=0,"",(P437-K437)/P437),"" )</f>
        <v/>
      </c>
      <c r="U437" s="31">
        <f>IFERROR(IF(K437=0,"",(Q437-K437)/Q437),"" )</f>
        <v/>
      </c>
      <c r="V437" s="31">
        <f>IFERROR(IF(K437=0,"",(R437-K437)/R437),"" )</f>
        <v/>
      </c>
      <c r="W437" s="31">
        <f>IFERROR(IF(K437=0,"",(S437-K437)/S437),"" )</f>
        <v/>
      </c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3" t="n"/>
      <c r="AG437" s="33" t="n"/>
      <c r="AH437" s="35" t="inlineStr"/>
    </row>
    <row r="438" ht="18" customHeight="1">
      <c r="A438" s="25" t="inlineStr">
        <is>
          <t>2425008080199</t>
        </is>
      </c>
      <c r="B438" s="6" t="inlineStr">
        <is>
          <t>餐厅-柜</t>
        </is>
      </c>
      <c r="C438" s="5" t="inlineStr">
        <is>
          <t>洞石餐边柜 |樱桃木洞石餐边大柜 |樱桃木洞石模块餐边柜</t>
        </is>
      </c>
      <c r="D438" s="5" t="inlineStr">
        <is>
          <t>洞石餐边柜-下挂岩板2.0</t>
        </is>
      </c>
      <c r="E438" s="6" t="inlineStr">
        <is>
          <t>北美进口FAS级樱桃木</t>
        </is>
      </c>
      <c r="F438" s="6" t="inlineStr">
        <is>
          <t xml:space="preserve">抽屉围板：新西兰进口松木
台面：洞石岩板
背板：洞石背板/实木多层板
电力轨道：xpower 挂架式电力轨道
顶柜玻璃：灰玻
</t>
        </is>
      </c>
      <c r="G43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8" s="26" t="n">
        <v>50</v>
      </c>
      <c r="I438" s="26" t="n">
        <v>0</v>
      </c>
      <c r="J438" s="27" t="n">
        <v>0.48</v>
      </c>
      <c r="K438" s="28">
        <f>IFERROR(H438,0)</f>
        <v/>
      </c>
      <c r="L438" s="29" t="n">
        <v>0.4701</v>
      </c>
      <c r="M438" s="29" t="n">
        <v>0.2578</v>
      </c>
      <c r="N438" s="29" t="n">
        <v>0.3078</v>
      </c>
      <c r="O438" s="29" t="n">
        <v>0.2753</v>
      </c>
      <c r="P438" s="30">
        <f>IFERROR(IF(K438=0,"待填成本",ROUND(K438/(1-L438),0)),"" )</f>
        <v/>
      </c>
      <c r="Q438" s="30">
        <f>IFERROR(IF(K438=0,"待填成本",ROUND(K438/(1-M438),0)),"" )</f>
        <v/>
      </c>
      <c r="R438" s="30">
        <f>IFERROR(IF(K438=0,"待填成本",ROUND(K438/(1-N438),0)),"" )</f>
        <v/>
      </c>
      <c r="S438" s="30">
        <f>IFERROR(IF(K438=0,"待填成本",ROUND(K438/(1-O438),0)),"" )</f>
        <v/>
      </c>
      <c r="T438" s="31">
        <f>IFERROR(IF(K438=0,"",(P438-K438)/P438),"" )</f>
        <v/>
      </c>
      <c r="U438" s="31">
        <f>IFERROR(IF(K438=0,"",(Q438-K438)/Q438),"" )</f>
        <v/>
      </c>
      <c r="V438" s="31">
        <f>IFERROR(IF(K438=0,"",(R438-K438)/R438),"" )</f>
        <v/>
      </c>
      <c r="W438" s="31">
        <f>IFERROR(IF(K438=0,"",(S438-K438)/S438),"" )</f>
        <v/>
      </c>
      <c r="X438" s="32" t="n"/>
      <c r="Y438" s="32" t="n"/>
      <c r="Z438" s="32" t="n"/>
      <c r="AA438" s="32" t="n"/>
      <c r="AB438" s="32" t="n"/>
      <c r="AC438" s="32" t="n"/>
      <c r="AD438" s="32" t="n"/>
      <c r="AE438" s="32" t="n"/>
      <c r="AF438" s="33" t="n"/>
      <c r="AG438" s="33" t="n"/>
      <c r="AH438" s="5" t="inlineStr"/>
    </row>
    <row r="439" ht="18" customHeight="1">
      <c r="A439" s="25" t="inlineStr">
        <is>
          <t>2425008080199</t>
        </is>
      </c>
      <c r="B439" s="34" t="inlineStr">
        <is>
          <t>餐厅-柜</t>
        </is>
      </c>
      <c r="C439" s="35" t="inlineStr">
        <is>
          <t>洞石餐边柜 |樱桃木洞石餐边大柜 |樱桃木洞石模块餐边柜</t>
        </is>
      </c>
      <c r="D439" s="35" t="inlineStr">
        <is>
          <t>洞石餐边柜-下挂岩板1.9</t>
        </is>
      </c>
      <c r="E439" s="34" t="inlineStr">
        <is>
          <t>北美进口FAS级樱桃木</t>
        </is>
      </c>
      <c r="F439" s="34" t="inlineStr">
        <is>
          <t xml:space="preserve">抽屉围板：新西兰进口松木
台面：洞石岩板
背板：洞石背板/实木多层板
电力轨道：xpower 挂架式电力轨道
顶柜玻璃：灰玻
</t>
        </is>
      </c>
      <c r="G43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39" s="26" t="n">
        <v>50</v>
      </c>
      <c r="I439" s="26" t="n">
        <v>0</v>
      </c>
      <c r="J439" s="27" t="n">
        <v>0.48</v>
      </c>
      <c r="K439" s="28">
        <f>IFERROR(H439,0)</f>
        <v/>
      </c>
      <c r="L439" s="29" t="n">
        <v>0.4701</v>
      </c>
      <c r="M439" s="29" t="n">
        <v>0.2578</v>
      </c>
      <c r="N439" s="29" t="n">
        <v>0.3078</v>
      </c>
      <c r="O439" s="29" t="n">
        <v>0.2753</v>
      </c>
      <c r="P439" s="30">
        <f>IFERROR(IF(K439=0,"待填成本",ROUND(K439/(1-L439),0)),"" )</f>
        <v/>
      </c>
      <c r="Q439" s="30">
        <f>IFERROR(IF(K439=0,"待填成本",ROUND(K439/(1-M439),0)),"" )</f>
        <v/>
      </c>
      <c r="R439" s="30">
        <f>IFERROR(IF(K439=0,"待填成本",ROUND(K439/(1-N439),0)),"" )</f>
        <v/>
      </c>
      <c r="S439" s="30">
        <f>IFERROR(IF(K439=0,"待填成本",ROUND(K439/(1-O439),0)),"" )</f>
        <v/>
      </c>
      <c r="T439" s="31">
        <f>IFERROR(IF(K439=0,"",(P439-K439)/P439),"" )</f>
        <v/>
      </c>
      <c r="U439" s="31">
        <f>IFERROR(IF(K439=0,"",(Q439-K439)/Q439),"" )</f>
        <v/>
      </c>
      <c r="V439" s="31">
        <f>IFERROR(IF(K439=0,"",(R439-K439)/R439),"" )</f>
        <v/>
      </c>
      <c r="W439" s="31">
        <f>IFERROR(IF(K439=0,"",(S439-K439)/S439),"" )</f>
        <v/>
      </c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3" t="n"/>
      <c r="AG439" s="33" t="n"/>
      <c r="AH439" s="35" t="inlineStr"/>
    </row>
    <row r="440" ht="18" customHeight="1">
      <c r="A440" s="25" t="inlineStr">
        <is>
          <t>2425008080199</t>
        </is>
      </c>
      <c r="B440" s="6" t="inlineStr">
        <is>
          <t>餐厅-柜</t>
        </is>
      </c>
      <c r="C440" s="5" t="inlineStr">
        <is>
          <t>洞石餐边柜 |樱桃木洞石餐边大柜 |樱桃木洞石模块餐边柜</t>
        </is>
      </c>
      <c r="D440" s="5" t="inlineStr">
        <is>
          <t>洞石餐边柜-下挂岩板1.8</t>
        </is>
      </c>
      <c r="E440" s="6" t="inlineStr">
        <is>
          <t>北美进口FAS级樱桃木</t>
        </is>
      </c>
      <c r="F440" s="6" t="inlineStr">
        <is>
          <t xml:space="preserve">抽屉围板：新西兰进口松木
台面：洞石岩板
背板：洞石背板/实木多层板
电力轨道：xpower 挂架式电力轨道
顶柜玻璃：灰玻
</t>
        </is>
      </c>
      <c r="G44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0" s="26" t="n">
        <v>50</v>
      </c>
      <c r="I440" s="26" t="n">
        <v>0</v>
      </c>
      <c r="J440" s="27" t="n">
        <v>0.48</v>
      </c>
      <c r="K440" s="28">
        <f>IFERROR(H440,0)</f>
        <v/>
      </c>
      <c r="L440" s="29" t="n">
        <v>0.4701</v>
      </c>
      <c r="M440" s="29" t="n">
        <v>0.2578</v>
      </c>
      <c r="N440" s="29" t="n">
        <v>0.3078</v>
      </c>
      <c r="O440" s="29" t="n">
        <v>0.2753</v>
      </c>
      <c r="P440" s="30">
        <f>IFERROR(IF(K440=0,"待填成本",ROUND(K440/(1-L440),0)),"" )</f>
        <v/>
      </c>
      <c r="Q440" s="30">
        <f>IFERROR(IF(K440=0,"待填成本",ROUND(K440/(1-M440),0)),"" )</f>
        <v/>
      </c>
      <c r="R440" s="30">
        <f>IFERROR(IF(K440=0,"待填成本",ROUND(K440/(1-N440),0)),"" )</f>
        <v/>
      </c>
      <c r="S440" s="30">
        <f>IFERROR(IF(K440=0,"待填成本",ROUND(K440/(1-O440),0)),"" )</f>
        <v/>
      </c>
      <c r="T440" s="31">
        <f>IFERROR(IF(K440=0,"",(P440-K440)/P440),"" )</f>
        <v/>
      </c>
      <c r="U440" s="31">
        <f>IFERROR(IF(K440=0,"",(Q440-K440)/Q440),"" )</f>
        <v/>
      </c>
      <c r="V440" s="31">
        <f>IFERROR(IF(K440=0,"",(R440-K440)/R440),"" )</f>
        <v/>
      </c>
      <c r="W440" s="31">
        <f>IFERROR(IF(K440=0,"",(S440-K440)/S440),"" )</f>
        <v/>
      </c>
      <c r="X440" s="32" t="n"/>
      <c r="Y440" s="32" t="n"/>
      <c r="Z440" s="32" t="n"/>
      <c r="AA440" s="32" t="n"/>
      <c r="AB440" s="32" t="n"/>
      <c r="AC440" s="32" t="n"/>
      <c r="AD440" s="32" t="n"/>
      <c r="AE440" s="32" t="n"/>
      <c r="AF440" s="33" t="n"/>
      <c r="AG440" s="33" t="n"/>
      <c r="AH440" s="5" t="inlineStr"/>
    </row>
    <row r="441" ht="18" customHeight="1">
      <c r="A441" s="25" t="inlineStr">
        <is>
          <t>2425008080199</t>
        </is>
      </c>
      <c r="B441" s="34" t="inlineStr">
        <is>
          <t>餐厅-柜</t>
        </is>
      </c>
      <c r="C441" s="35" t="inlineStr">
        <is>
          <t>洞石餐边柜 |樱桃木洞石餐边大柜 |樱桃木洞石模块餐边柜</t>
        </is>
      </c>
      <c r="D441" s="35" t="inlineStr">
        <is>
          <t>洞石餐边柜-下挂岩板1.7</t>
        </is>
      </c>
      <c r="E441" s="34" t="inlineStr">
        <is>
          <t>北美进口FAS级樱桃木</t>
        </is>
      </c>
      <c r="F441" s="34" t="inlineStr">
        <is>
          <t xml:space="preserve">抽屉围板：新西兰进口松木
台面：洞石岩板
背板：洞石背板/实木多层板
电力轨道：xpower 挂架式电力轨道
顶柜玻璃：灰玻
</t>
        </is>
      </c>
      <c r="G44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1" s="26" t="n">
        <v>50</v>
      </c>
      <c r="I441" s="26" t="n">
        <v>0</v>
      </c>
      <c r="J441" s="27" t="n">
        <v>0.48</v>
      </c>
      <c r="K441" s="28">
        <f>IFERROR(H441,0)</f>
        <v/>
      </c>
      <c r="L441" s="29" t="n">
        <v>0.4701</v>
      </c>
      <c r="M441" s="29" t="n">
        <v>0.2578</v>
      </c>
      <c r="N441" s="29" t="n">
        <v>0.3078</v>
      </c>
      <c r="O441" s="29" t="n">
        <v>0.2753</v>
      </c>
      <c r="P441" s="30">
        <f>IFERROR(IF(K441=0,"待填成本",ROUND(K441/(1-L441),0)),"" )</f>
        <v/>
      </c>
      <c r="Q441" s="30">
        <f>IFERROR(IF(K441=0,"待填成本",ROUND(K441/(1-M441),0)),"" )</f>
        <v/>
      </c>
      <c r="R441" s="30">
        <f>IFERROR(IF(K441=0,"待填成本",ROUND(K441/(1-N441),0)),"" )</f>
        <v/>
      </c>
      <c r="S441" s="30">
        <f>IFERROR(IF(K441=0,"待填成本",ROUND(K441/(1-O441),0)),"" )</f>
        <v/>
      </c>
      <c r="T441" s="31">
        <f>IFERROR(IF(K441=0,"",(P441-K441)/P441),"" )</f>
        <v/>
      </c>
      <c r="U441" s="31">
        <f>IFERROR(IF(K441=0,"",(Q441-K441)/Q441),"" )</f>
        <v/>
      </c>
      <c r="V441" s="31">
        <f>IFERROR(IF(K441=0,"",(R441-K441)/R441),"" )</f>
        <v/>
      </c>
      <c r="W441" s="31">
        <f>IFERROR(IF(K441=0,"",(S441-K441)/S441),"" )</f>
        <v/>
      </c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3" t="n"/>
      <c r="AG441" s="33" t="n"/>
      <c r="AH441" s="35" t="inlineStr"/>
    </row>
    <row r="442" ht="18" customHeight="1">
      <c r="A442" s="25" t="inlineStr">
        <is>
          <t>2425008080199</t>
        </is>
      </c>
      <c r="B442" s="6" t="inlineStr">
        <is>
          <t>餐厅-柜</t>
        </is>
      </c>
      <c r="C442" s="5" t="inlineStr">
        <is>
          <t>洞石餐边柜 |樱桃木洞石餐边大柜 |樱桃木洞石模块餐边柜</t>
        </is>
      </c>
      <c r="D442" s="5" t="inlineStr">
        <is>
          <t>洞石餐边柜-下挂岩板1.6</t>
        </is>
      </c>
      <c r="E442" s="6" t="inlineStr">
        <is>
          <t>北美进口FAS级樱桃木</t>
        </is>
      </c>
      <c r="F442" s="6" t="inlineStr">
        <is>
          <t xml:space="preserve">抽屉围板：新西兰进口松木
台面：洞石岩板
背板：洞石背板/实木多层板
电力轨道：xpower 挂架式电力轨道
顶柜玻璃：灰玻
</t>
        </is>
      </c>
      <c r="G44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2" s="26" t="n">
        <v>50</v>
      </c>
      <c r="I442" s="26" t="n">
        <v>0</v>
      </c>
      <c r="J442" s="27" t="n">
        <v>0.48</v>
      </c>
      <c r="K442" s="28">
        <f>IFERROR(H442,0)</f>
        <v/>
      </c>
      <c r="L442" s="29" t="n">
        <v>0.4701</v>
      </c>
      <c r="M442" s="29" t="n">
        <v>0.2578</v>
      </c>
      <c r="N442" s="29" t="n">
        <v>0.3078</v>
      </c>
      <c r="O442" s="29" t="n">
        <v>0.2753</v>
      </c>
      <c r="P442" s="30">
        <f>IFERROR(IF(K442=0,"待填成本",ROUND(K442/(1-L442),0)),"" )</f>
        <v/>
      </c>
      <c r="Q442" s="30">
        <f>IFERROR(IF(K442=0,"待填成本",ROUND(K442/(1-M442),0)),"" )</f>
        <v/>
      </c>
      <c r="R442" s="30">
        <f>IFERROR(IF(K442=0,"待填成本",ROUND(K442/(1-N442),0)),"" )</f>
        <v/>
      </c>
      <c r="S442" s="30">
        <f>IFERROR(IF(K442=0,"待填成本",ROUND(K442/(1-O442),0)),"" )</f>
        <v/>
      </c>
      <c r="T442" s="31">
        <f>IFERROR(IF(K442=0,"",(P442-K442)/P442),"" )</f>
        <v/>
      </c>
      <c r="U442" s="31">
        <f>IFERROR(IF(K442=0,"",(Q442-K442)/Q442),"" )</f>
        <v/>
      </c>
      <c r="V442" s="31">
        <f>IFERROR(IF(K442=0,"",(R442-K442)/R442),"" )</f>
        <v/>
      </c>
      <c r="W442" s="31">
        <f>IFERROR(IF(K442=0,"",(S442-K442)/S442),"" )</f>
        <v/>
      </c>
      <c r="X442" s="32" t="n"/>
      <c r="Y442" s="32" t="n"/>
      <c r="Z442" s="32" t="n"/>
      <c r="AA442" s="32" t="n"/>
      <c r="AB442" s="32" t="n"/>
      <c r="AC442" s="32" t="n"/>
      <c r="AD442" s="32" t="n"/>
      <c r="AE442" s="32" t="n"/>
      <c r="AF442" s="33" t="n"/>
      <c r="AG442" s="33" t="n"/>
      <c r="AH442" s="5" t="inlineStr"/>
    </row>
    <row r="443" ht="18" customHeight="1">
      <c r="A443" s="25" t="inlineStr">
        <is>
          <t>2425008080199</t>
        </is>
      </c>
      <c r="B443" s="34" t="inlineStr">
        <is>
          <t>餐厅-柜</t>
        </is>
      </c>
      <c r="C443" s="35" t="inlineStr">
        <is>
          <t>洞石餐边柜 |樱桃木洞石餐边大柜 |樱桃木洞石模块餐边柜</t>
        </is>
      </c>
      <c r="D443" s="35" t="inlineStr">
        <is>
          <t>洞石餐边柜-下挂岩板1.5</t>
        </is>
      </c>
      <c r="E443" s="34" t="inlineStr">
        <is>
          <t>北美进口FAS级樱桃木</t>
        </is>
      </c>
      <c r="F443" s="34" t="inlineStr">
        <is>
          <t xml:space="preserve">抽屉围板：新西兰进口松木
台面：洞石岩板
背板：洞石背板/实木多层板
电力轨道：xpower 挂架式电力轨道
顶柜玻璃：灰玻
</t>
        </is>
      </c>
      <c r="G44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3" s="26" t="n">
        <v>50</v>
      </c>
      <c r="I443" s="26" t="n">
        <v>0</v>
      </c>
      <c r="J443" s="27" t="n">
        <v>0.48</v>
      </c>
      <c r="K443" s="28">
        <f>IFERROR(H443,0)</f>
        <v/>
      </c>
      <c r="L443" s="29" t="n">
        <v>0.4701</v>
      </c>
      <c r="M443" s="29" t="n">
        <v>0.2578</v>
      </c>
      <c r="N443" s="29" t="n">
        <v>0.3078</v>
      </c>
      <c r="O443" s="29" t="n">
        <v>0.2753</v>
      </c>
      <c r="P443" s="30">
        <f>IFERROR(IF(K443=0,"待填成本",ROUND(K443/(1-L443),0)),"" )</f>
        <v/>
      </c>
      <c r="Q443" s="30">
        <f>IFERROR(IF(K443=0,"待填成本",ROUND(K443/(1-M443),0)),"" )</f>
        <v/>
      </c>
      <c r="R443" s="30">
        <f>IFERROR(IF(K443=0,"待填成本",ROUND(K443/(1-N443),0)),"" )</f>
        <v/>
      </c>
      <c r="S443" s="30">
        <f>IFERROR(IF(K443=0,"待填成本",ROUND(K443/(1-O443),0)),"" )</f>
        <v/>
      </c>
      <c r="T443" s="31">
        <f>IFERROR(IF(K443=0,"",(P443-K443)/P443),"" )</f>
        <v/>
      </c>
      <c r="U443" s="31">
        <f>IFERROR(IF(K443=0,"",(Q443-K443)/Q443),"" )</f>
        <v/>
      </c>
      <c r="V443" s="31">
        <f>IFERROR(IF(K443=0,"",(R443-K443)/R443),"" )</f>
        <v/>
      </c>
      <c r="W443" s="31">
        <f>IFERROR(IF(K443=0,"",(S443-K443)/S443),"" )</f>
        <v/>
      </c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3" t="n"/>
      <c r="AG443" s="33" t="n"/>
      <c r="AH443" s="35" t="inlineStr"/>
    </row>
    <row r="444" ht="18" customHeight="1">
      <c r="A444" s="25" t="inlineStr">
        <is>
          <t>2425008080199</t>
        </is>
      </c>
      <c r="B444" s="6" t="inlineStr">
        <is>
          <t>餐厅-柜</t>
        </is>
      </c>
      <c r="C444" s="5" t="inlineStr">
        <is>
          <t>洞石餐边柜 |樱桃木洞石餐边大柜 |樱桃木洞石模块餐边柜</t>
        </is>
      </c>
      <c r="D444" s="5" t="inlineStr">
        <is>
          <t>洞石餐边柜-下挂岩板1.4</t>
        </is>
      </c>
      <c r="E444" s="6" t="inlineStr">
        <is>
          <t>北美进口FAS级樱桃木</t>
        </is>
      </c>
      <c r="F444" s="6" t="inlineStr">
        <is>
          <t xml:space="preserve">抽屉围板：新西兰进口松木
台面：洞石岩板
背板：洞石背板/实木多层板
电力轨道：xpower 挂架式电力轨道
顶柜玻璃：灰玻
</t>
        </is>
      </c>
      <c r="G44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4" s="26" t="n">
        <v>50</v>
      </c>
      <c r="I444" s="26" t="n">
        <v>0</v>
      </c>
      <c r="J444" s="27" t="n">
        <v>0.48</v>
      </c>
      <c r="K444" s="28">
        <f>IFERROR(H444,0)</f>
        <v/>
      </c>
      <c r="L444" s="29" t="n">
        <v>0.4701</v>
      </c>
      <c r="M444" s="29" t="n">
        <v>0.2578</v>
      </c>
      <c r="N444" s="29" t="n">
        <v>0.3078</v>
      </c>
      <c r="O444" s="29" t="n">
        <v>0.2753</v>
      </c>
      <c r="P444" s="30">
        <f>IFERROR(IF(K444=0,"待填成本",ROUND(K444/(1-L444),0)),"" )</f>
        <v/>
      </c>
      <c r="Q444" s="30">
        <f>IFERROR(IF(K444=0,"待填成本",ROUND(K444/(1-M444),0)),"" )</f>
        <v/>
      </c>
      <c r="R444" s="30">
        <f>IFERROR(IF(K444=0,"待填成本",ROUND(K444/(1-N444),0)),"" )</f>
        <v/>
      </c>
      <c r="S444" s="30">
        <f>IFERROR(IF(K444=0,"待填成本",ROUND(K444/(1-O444),0)),"" )</f>
        <v/>
      </c>
      <c r="T444" s="31">
        <f>IFERROR(IF(K444=0,"",(P444-K444)/P444),"" )</f>
        <v/>
      </c>
      <c r="U444" s="31">
        <f>IFERROR(IF(K444=0,"",(Q444-K444)/Q444),"" )</f>
        <v/>
      </c>
      <c r="V444" s="31">
        <f>IFERROR(IF(K444=0,"",(R444-K444)/R444),"" )</f>
        <v/>
      </c>
      <c r="W444" s="31">
        <f>IFERROR(IF(K444=0,"",(S444-K444)/S444),"" )</f>
        <v/>
      </c>
      <c r="X444" s="32" t="n"/>
      <c r="Y444" s="32" t="n"/>
      <c r="Z444" s="32" t="n"/>
      <c r="AA444" s="32" t="n"/>
      <c r="AB444" s="32" t="n"/>
      <c r="AC444" s="32" t="n"/>
      <c r="AD444" s="32" t="n"/>
      <c r="AE444" s="32" t="n"/>
      <c r="AF444" s="33" t="n"/>
      <c r="AG444" s="33" t="n"/>
      <c r="AH444" s="5" t="inlineStr"/>
    </row>
    <row r="445" ht="18" customHeight="1">
      <c r="A445" s="25" t="inlineStr">
        <is>
          <t>2425008080199</t>
        </is>
      </c>
      <c r="B445" s="34" t="inlineStr">
        <is>
          <t>餐厅-柜</t>
        </is>
      </c>
      <c r="C445" s="35" t="inlineStr">
        <is>
          <t>洞石餐边柜 |樱桃木洞石餐边大柜 |樱桃木洞石模块餐边柜</t>
        </is>
      </c>
      <c r="D445" s="35" t="inlineStr">
        <is>
          <t>洞石餐边柜-下挂岩板1.3</t>
        </is>
      </c>
      <c r="E445" s="34" t="inlineStr">
        <is>
          <t>北美进口FAS级樱桃木</t>
        </is>
      </c>
      <c r="F445" s="34" t="inlineStr">
        <is>
          <t xml:space="preserve">抽屉围板：新西兰进口松木
台面：洞石岩板
背板：洞石背板/实木多层板
电力轨道：xpower 挂架式电力轨道
顶柜玻璃：灰玻
</t>
        </is>
      </c>
      <c r="G44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5" s="26" t="n">
        <v>50</v>
      </c>
      <c r="I445" s="26" t="n">
        <v>0</v>
      </c>
      <c r="J445" s="27" t="n">
        <v>0.48</v>
      </c>
      <c r="K445" s="28">
        <f>IFERROR(H445,0)</f>
        <v/>
      </c>
      <c r="L445" s="29" t="n">
        <v>0.4701</v>
      </c>
      <c r="M445" s="29" t="n">
        <v>0.2578</v>
      </c>
      <c r="N445" s="29" t="n">
        <v>0.3078</v>
      </c>
      <c r="O445" s="29" t="n">
        <v>0.2753</v>
      </c>
      <c r="P445" s="30">
        <f>IFERROR(IF(K445=0,"待填成本",ROUND(K445/(1-L445),0)),"" )</f>
        <v/>
      </c>
      <c r="Q445" s="30">
        <f>IFERROR(IF(K445=0,"待填成本",ROUND(K445/(1-M445),0)),"" )</f>
        <v/>
      </c>
      <c r="R445" s="30">
        <f>IFERROR(IF(K445=0,"待填成本",ROUND(K445/(1-N445),0)),"" )</f>
        <v/>
      </c>
      <c r="S445" s="30">
        <f>IFERROR(IF(K445=0,"待填成本",ROUND(K445/(1-O445),0)),"" )</f>
        <v/>
      </c>
      <c r="T445" s="31">
        <f>IFERROR(IF(K445=0,"",(P445-K445)/P445),"" )</f>
        <v/>
      </c>
      <c r="U445" s="31">
        <f>IFERROR(IF(K445=0,"",(Q445-K445)/Q445),"" )</f>
        <v/>
      </c>
      <c r="V445" s="31">
        <f>IFERROR(IF(K445=0,"",(R445-K445)/R445),"" )</f>
        <v/>
      </c>
      <c r="W445" s="31">
        <f>IFERROR(IF(K445=0,"",(S445-K445)/S445),"" )</f>
        <v/>
      </c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3" t="n"/>
      <c r="AG445" s="33" t="n"/>
      <c r="AH445" s="35" t="inlineStr"/>
    </row>
    <row r="446" ht="18" customHeight="1">
      <c r="A446" s="25" t="inlineStr">
        <is>
          <t>2425008080199</t>
        </is>
      </c>
      <c r="B446" s="6" t="inlineStr">
        <is>
          <t>餐厅-柜</t>
        </is>
      </c>
      <c r="C446" s="5" t="inlineStr">
        <is>
          <t>洞石餐边柜 |樱桃木洞石餐边大柜 |樱桃木洞石模块餐边柜</t>
        </is>
      </c>
      <c r="D446" s="5" t="inlineStr">
        <is>
          <t>洞石餐边柜-下挂岩板1.2</t>
        </is>
      </c>
      <c r="E446" s="6" t="inlineStr">
        <is>
          <t>北美进口FAS级樱桃木</t>
        </is>
      </c>
      <c r="F446" s="6" t="inlineStr">
        <is>
          <t xml:space="preserve">抽屉围板：新西兰进口松木
台面：洞石岩板
背板：洞石背板/实木多层板
电力轨道：xpower 挂架式电力轨道
顶柜玻璃：灰玻
</t>
        </is>
      </c>
      <c r="G44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6" s="26" t="n">
        <v>50</v>
      </c>
      <c r="I446" s="26" t="n">
        <v>0</v>
      </c>
      <c r="J446" s="27" t="n">
        <v>0.48</v>
      </c>
      <c r="K446" s="28">
        <f>IFERROR(H446,0)</f>
        <v/>
      </c>
      <c r="L446" s="29" t="n">
        <v>0.4701</v>
      </c>
      <c r="M446" s="29" t="n">
        <v>0.2578</v>
      </c>
      <c r="N446" s="29" t="n">
        <v>0.3078</v>
      </c>
      <c r="O446" s="29" t="n">
        <v>0.2753</v>
      </c>
      <c r="P446" s="30">
        <f>IFERROR(IF(K446=0,"待填成本",ROUND(K446/(1-L446),0)),"" )</f>
        <v/>
      </c>
      <c r="Q446" s="30">
        <f>IFERROR(IF(K446=0,"待填成本",ROUND(K446/(1-M446),0)),"" )</f>
        <v/>
      </c>
      <c r="R446" s="30">
        <f>IFERROR(IF(K446=0,"待填成本",ROUND(K446/(1-N446),0)),"" )</f>
        <v/>
      </c>
      <c r="S446" s="30">
        <f>IFERROR(IF(K446=0,"待填成本",ROUND(K446/(1-O446),0)),"" )</f>
        <v/>
      </c>
      <c r="T446" s="31">
        <f>IFERROR(IF(K446=0,"",(P446-K446)/P446),"" )</f>
        <v/>
      </c>
      <c r="U446" s="31">
        <f>IFERROR(IF(K446=0,"",(Q446-K446)/Q446),"" )</f>
        <v/>
      </c>
      <c r="V446" s="31">
        <f>IFERROR(IF(K446=0,"",(R446-K446)/R446),"" )</f>
        <v/>
      </c>
      <c r="W446" s="31">
        <f>IFERROR(IF(K446=0,"",(S446-K446)/S446),"" )</f>
        <v/>
      </c>
      <c r="X446" s="32" t="n"/>
      <c r="Y446" s="32" t="n"/>
      <c r="Z446" s="32" t="n"/>
      <c r="AA446" s="32" t="n"/>
      <c r="AB446" s="32" t="n"/>
      <c r="AC446" s="32" t="n"/>
      <c r="AD446" s="32" t="n"/>
      <c r="AE446" s="32" t="n"/>
      <c r="AF446" s="33" t="n"/>
      <c r="AG446" s="33" t="n"/>
      <c r="AH446" s="5" t="inlineStr"/>
    </row>
    <row r="447" ht="18" customHeight="1">
      <c r="A447" s="25" t="inlineStr">
        <is>
          <t>2425008080199</t>
        </is>
      </c>
      <c r="B447" s="34" t="inlineStr">
        <is>
          <t>餐厅-柜</t>
        </is>
      </c>
      <c r="C447" s="35" t="inlineStr">
        <is>
          <t>洞石餐边柜 |樱桃木洞石餐边大柜 |樱桃木洞石模块餐边柜</t>
        </is>
      </c>
      <c r="D447" s="35" t="inlineStr">
        <is>
          <t>洞石餐边柜-下挂岩板1.1</t>
        </is>
      </c>
      <c r="E447" s="34" t="inlineStr">
        <is>
          <t>北美进口FAS级樱桃木</t>
        </is>
      </c>
      <c r="F447" s="34" t="inlineStr">
        <is>
          <t xml:space="preserve">抽屉围板：新西兰进口松木
台面：洞石岩板
背板：洞石背板/实木多层板
电力轨道：xpower 挂架式电力轨道
顶柜玻璃：灰玻
</t>
        </is>
      </c>
      <c r="G44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7" s="26" t="n">
        <v>50</v>
      </c>
      <c r="I447" s="26" t="n">
        <v>0</v>
      </c>
      <c r="J447" s="27" t="n">
        <v>0.48</v>
      </c>
      <c r="K447" s="28">
        <f>IFERROR(H447,0)</f>
        <v/>
      </c>
      <c r="L447" s="29" t="n">
        <v>0.4701</v>
      </c>
      <c r="M447" s="29" t="n">
        <v>0.2578</v>
      </c>
      <c r="N447" s="29" t="n">
        <v>0.3078</v>
      </c>
      <c r="O447" s="29" t="n">
        <v>0.2753</v>
      </c>
      <c r="P447" s="30">
        <f>IFERROR(IF(K447=0,"待填成本",ROUND(K447/(1-L447),0)),"" )</f>
        <v/>
      </c>
      <c r="Q447" s="30">
        <f>IFERROR(IF(K447=0,"待填成本",ROUND(K447/(1-M447),0)),"" )</f>
        <v/>
      </c>
      <c r="R447" s="30">
        <f>IFERROR(IF(K447=0,"待填成本",ROUND(K447/(1-N447),0)),"" )</f>
        <v/>
      </c>
      <c r="S447" s="30">
        <f>IFERROR(IF(K447=0,"待填成本",ROUND(K447/(1-O447),0)),"" )</f>
        <v/>
      </c>
      <c r="T447" s="31">
        <f>IFERROR(IF(K447=0,"",(P447-K447)/P447),"" )</f>
        <v/>
      </c>
      <c r="U447" s="31">
        <f>IFERROR(IF(K447=0,"",(Q447-K447)/Q447),"" )</f>
        <v/>
      </c>
      <c r="V447" s="31">
        <f>IFERROR(IF(K447=0,"",(R447-K447)/R447),"" )</f>
        <v/>
      </c>
      <c r="W447" s="31">
        <f>IFERROR(IF(K447=0,"",(S447-K447)/S447),"" )</f>
        <v/>
      </c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3" t="n"/>
      <c r="AG447" s="33" t="n"/>
      <c r="AH447" s="35" t="inlineStr"/>
    </row>
    <row r="448" ht="18" customHeight="1">
      <c r="A448" s="25" t="inlineStr">
        <is>
          <t>2425008080199</t>
        </is>
      </c>
      <c r="B448" s="6" t="inlineStr">
        <is>
          <t>餐厅-柜</t>
        </is>
      </c>
      <c r="C448" s="5" t="inlineStr">
        <is>
          <t>洞石餐边柜 |樱桃木洞石餐边大柜 |樱桃木洞石模块餐边柜</t>
        </is>
      </c>
      <c r="D448" s="5" t="inlineStr">
        <is>
          <t>洞石餐边柜-下挂岩板1.0</t>
        </is>
      </c>
      <c r="E448" s="6" t="inlineStr">
        <is>
          <t>北美进口FAS级樱桃木</t>
        </is>
      </c>
      <c r="F448" s="6" t="inlineStr">
        <is>
          <t xml:space="preserve">抽屉围板：新西兰进口松木
台面：洞石岩板
背板：洞石背板/实木多层板
电力轨道：xpower 挂架式电力轨道
顶柜玻璃：灰玻
</t>
        </is>
      </c>
      <c r="G44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8" s="26" t="n">
        <v>50</v>
      </c>
      <c r="I448" s="26" t="n">
        <v>0</v>
      </c>
      <c r="J448" s="27" t="n">
        <v>0.48</v>
      </c>
      <c r="K448" s="28">
        <f>IFERROR(H448,0)</f>
        <v/>
      </c>
      <c r="L448" s="29" t="n">
        <v>0.4701</v>
      </c>
      <c r="M448" s="29" t="n">
        <v>0.2578</v>
      </c>
      <c r="N448" s="29" t="n">
        <v>0.3078</v>
      </c>
      <c r="O448" s="29" t="n">
        <v>0.2753</v>
      </c>
      <c r="P448" s="30">
        <f>IFERROR(IF(K448=0,"待填成本",ROUND(K448/(1-L448),0)),"" )</f>
        <v/>
      </c>
      <c r="Q448" s="30">
        <f>IFERROR(IF(K448=0,"待填成本",ROUND(K448/(1-M448),0)),"" )</f>
        <v/>
      </c>
      <c r="R448" s="30">
        <f>IFERROR(IF(K448=0,"待填成本",ROUND(K448/(1-N448),0)),"" )</f>
        <v/>
      </c>
      <c r="S448" s="30">
        <f>IFERROR(IF(K448=0,"待填成本",ROUND(K448/(1-O448),0)),"" )</f>
        <v/>
      </c>
      <c r="T448" s="31">
        <f>IFERROR(IF(K448=0,"",(P448-K448)/P448),"" )</f>
        <v/>
      </c>
      <c r="U448" s="31">
        <f>IFERROR(IF(K448=0,"",(Q448-K448)/Q448),"" )</f>
        <v/>
      </c>
      <c r="V448" s="31">
        <f>IFERROR(IF(K448=0,"",(R448-K448)/R448),"" )</f>
        <v/>
      </c>
      <c r="W448" s="31">
        <f>IFERROR(IF(K448=0,"",(S448-K448)/S448),"" )</f>
        <v/>
      </c>
      <c r="X448" s="32" t="n"/>
      <c r="Y448" s="32" t="n"/>
      <c r="Z448" s="32" t="n"/>
      <c r="AA448" s="32" t="n"/>
      <c r="AB448" s="32" t="n"/>
      <c r="AC448" s="32" t="n"/>
      <c r="AD448" s="32" t="n"/>
      <c r="AE448" s="32" t="n"/>
      <c r="AF448" s="33" t="n"/>
      <c r="AG448" s="33" t="n"/>
      <c r="AH448" s="5" t="inlineStr"/>
    </row>
    <row r="449" ht="18" customHeight="1">
      <c r="A449" s="25" t="inlineStr">
        <is>
          <t>2425008080199</t>
        </is>
      </c>
      <c r="B449" s="34" t="inlineStr">
        <is>
          <t>餐厅-柜</t>
        </is>
      </c>
      <c r="C449" s="35" t="inlineStr">
        <is>
          <t>洞石餐边柜 |樱桃木洞石餐边大柜 |樱桃木洞石模块餐边柜</t>
        </is>
      </c>
      <c r="D449" s="35" t="inlineStr">
        <is>
          <t>洞石餐边柜-洞石整柜2.1米（多抽组合）（分类抽屉+玻璃移门+开门）</t>
        </is>
      </c>
      <c r="E449" s="34" t="inlineStr">
        <is>
          <t>北美进口FAS级樱桃木</t>
        </is>
      </c>
      <c r="F449" s="34" t="inlineStr">
        <is>
          <t xml:space="preserve">抽屉围板：新西兰进口松木
台面：洞石岩板
背板：洞石背板/实木多层板
电力轨道：xpower 挂架式电力轨道
顶柜玻璃：灰玻
</t>
        </is>
      </c>
      <c r="G44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49" s="26" t="n">
        <v>7641.046666666667</v>
      </c>
      <c r="I449" s="26" t="n">
        <v>5300</v>
      </c>
      <c r="J449" s="27" t="n">
        <v>0.48</v>
      </c>
      <c r="K449" s="28">
        <f>IFERROR(H449,0)</f>
        <v/>
      </c>
      <c r="L449" s="29" t="n">
        <v>0.4668</v>
      </c>
      <c r="M449" s="29" t="n">
        <v>0.2501</v>
      </c>
      <c r="N449" s="29" t="n">
        <v>0.2703</v>
      </c>
      <c r="O449" s="29" t="n">
        <v>0.2501</v>
      </c>
      <c r="P449" s="30">
        <f>IFERROR(IF(K449=0,"待填成本",ROUND(K449/(1-L449),0)),"" )</f>
        <v/>
      </c>
      <c r="Q449" s="30">
        <f>IFERROR(IF(K449=0,"待填成本",ROUND(K449/(1-M449),0)),"" )</f>
        <v/>
      </c>
      <c r="R449" s="30">
        <f>IFERROR(IF(K449=0,"待填成本",ROUND(K449/(1-N449),0)),"" )</f>
        <v/>
      </c>
      <c r="S449" s="30">
        <f>IFERROR(IF(K449=0,"待填成本",ROUND(K449/(1-O449),0)),"" )</f>
        <v/>
      </c>
      <c r="T449" s="31">
        <f>IFERROR(IF(K449=0,"",(P449-K449)/P449),"" )</f>
        <v/>
      </c>
      <c r="U449" s="31">
        <f>IFERROR(IF(K449=0,"",(Q449-K449)/Q449),"" )</f>
        <v/>
      </c>
      <c r="V449" s="31">
        <f>IFERROR(IF(K449=0,"",(R449-K449)/R449),"" )</f>
        <v/>
      </c>
      <c r="W449" s="31">
        <f>IFERROR(IF(K449=0,"",(S449-K449)/S449),"" )</f>
        <v/>
      </c>
      <c r="X449" s="36" t="n"/>
      <c r="Y449" s="36" t="n"/>
      <c r="Z449" s="36" t="n"/>
      <c r="AA449" s="37" t="n">
        <v>16.8475</v>
      </c>
      <c r="AB449" s="37" t="n">
        <v>12.0965625</v>
      </c>
      <c r="AC449" s="37" t="n">
        <v>35.10375</v>
      </c>
      <c r="AD449" s="37" t="n">
        <v>300</v>
      </c>
      <c r="AE449" s="37" t="n">
        <v>150</v>
      </c>
      <c r="AF449" s="33" t="n"/>
      <c r="AG449" s="33" t="n"/>
      <c r="AH449" s="35" t="inlineStr"/>
    </row>
    <row r="450" ht="18" customHeight="1">
      <c r="A450" s="25" t="inlineStr">
        <is>
          <t>2425008080199</t>
        </is>
      </c>
      <c r="B450" s="6" t="inlineStr">
        <is>
          <t>餐厅-柜</t>
        </is>
      </c>
      <c r="C450" s="5" t="inlineStr">
        <is>
          <t>洞石餐边柜 |樱桃木洞石餐边大柜 |樱桃木洞石模块餐边柜</t>
        </is>
      </c>
      <c r="D450" s="5" t="inlineStr">
        <is>
          <t>洞石餐边柜-普通岩板2.0</t>
        </is>
      </c>
      <c r="E450" s="6" t="inlineStr">
        <is>
          <t>北美进口FAS级樱桃木</t>
        </is>
      </c>
      <c r="F450" s="6" t="inlineStr">
        <is>
          <t xml:space="preserve">抽屉围板：新西兰进口松木
台面：洞石岩板
背板：洞石背板/实木多层板
电力轨道：xpower 挂架式电力轨道
顶柜玻璃：灰玻
</t>
        </is>
      </c>
      <c r="G45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0" s="26" t="n">
        <v>7535.713333333334</v>
      </c>
      <c r="I450" s="26" t="n">
        <v>5266.666666666667</v>
      </c>
      <c r="J450" s="27" t="n">
        <v>0.48</v>
      </c>
      <c r="K450" s="28">
        <f>IFERROR(H450,0)</f>
        <v/>
      </c>
      <c r="L450" s="29" t="n">
        <v>0.4668</v>
      </c>
      <c r="M450" s="29" t="n">
        <v>0.2501</v>
      </c>
      <c r="N450" s="29" t="n">
        <v>0.2702</v>
      </c>
      <c r="O450" s="29" t="n">
        <v>0.2501</v>
      </c>
      <c r="P450" s="30">
        <f>IFERROR(IF(K450=0,"待填成本",ROUND(K450/(1-L450),0)),"" )</f>
        <v/>
      </c>
      <c r="Q450" s="30">
        <f>IFERROR(IF(K450=0,"待填成本",ROUND(K450/(1-M450),0)),"" )</f>
        <v/>
      </c>
      <c r="R450" s="30">
        <f>IFERROR(IF(K450=0,"待填成本",ROUND(K450/(1-N450),0)),"" )</f>
        <v/>
      </c>
      <c r="S450" s="30">
        <f>IFERROR(IF(K450=0,"待填成本",ROUND(K450/(1-O450),0)),"" )</f>
        <v/>
      </c>
      <c r="T450" s="31">
        <f>IFERROR(IF(K450=0,"",(P450-K450)/P450),"" )</f>
        <v/>
      </c>
      <c r="U450" s="31">
        <f>IFERROR(IF(K450=0,"",(Q450-K450)/Q450),"" )</f>
        <v/>
      </c>
      <c r="V450" s="31">
        <f>IFERROR(IF(K450=0,"",(R450-K450)/R450),"" )</f>
        <v/>
      </c>
      <c r="W450" s="31">
        <f>IFERROR(IF(K450=0,"",(S450-K450)/S450),"" )</f>
        <v/>
      </c>
      <c r="X450" s="32" t="n"/>
      <c r="Y450" s="32" t="n"/>
      <c r="Z450" s="32" t="n"/>
      <c r="AA450" s="37" t="n">
        <v>16.29166666666666</v>
      </c>
      <c r="AB450" s="37" t="n">
        <v>11.64375</v>
      </c>
      <c r="AC450" s="37" t="n">
        <v>34.155</v>
      </c>
      <c r="AD450" s="37" t="n">
        <v>300</v>
      </c>
      <c r="AE450" s="37" t="n">
        <v>150</v>
      </c>
      <c r="AF450" s="33" t="n"/>
      <c r="AG450" s="33" t="n"/>
      <c r="AH450" s="5" t="inlineStr"/>
    </row>
    <row r="451" ht="18" customHeight="1">
      <c r="A451" s="25" t="inlineStr">
        <is>
          <t>2425008080199</t>
        </is>
      </c>
      <c r="B451" s="34" t="inlineStr">
        <is>
          <t>餐厅-柜</t>
        </is>
      </c>
      <c r="C451" s="35" t="inlineStr">
        <is>
          <t>洞石餐边柜 |樱桃木洞石餐边大柜 |樱桃木洞石模块餐边柜</t>
        </is>
      </c>
      <c r="D451" s="35" t="inlineStr">
        <is>
          <t>洞石餐边柜-普通岩板1.9</t>
        </is>
      </c>
      <c r="E451" s="34" t="inlineStr">
        <is>
          <t>北美进口FAS级樱桃木</t>
        </is>
      </c>
      <c r="F451" s="34" t="inlineStr">
        <is>
          <t xml:space="preserve">抽屉围板：新西兰进口松木
台面：洞石岩板
背板：洞石背板/实木多层板
电力轨道：xpower 挂架式电力轨道
顶柜玻璃：灰玻
</t>
        </is>
      </c>
      <c r="G45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1" s="26" t="n">
        <v>7430.380000000001</v>
      </c>
      <c r="I451" s="26" t="n">
        <v>5233.333333333334</v>
      </c>
      <c r="J451" s="27" t="n">
        <v>0.48</v>
      </c>
      <c r="K451" s="28">
        <f>IFERROR(H451,0)</f>
        <v/>
      </c>
      <c r="L451" s="29" t="n">
        <v>0.4667</v>
      </c>
      <c r="M451" s="29" t="n">
        <v>0.2502</v>
      </c>
      <c r="N451" s="29" t="n">
        <v>0.2701</v>
      </c>
      <c r="O451" s="29" t="n">
        <v>0.2502</v>
      </c>
      <c r="P451" s="30">
        <f>IFERROR(IF(K451=0,"待填成本",ROUND(K451/(1-L451),0)),"" )</f>
        <v/>
      </c>
      <c r="Q451" s="30">
        <f>IFERROR(IF(K451=0,"待填成本",ROUND(K451/(1-M451),0)),"" )</f>
        <v/>
      </c>
      <c r="R451" s="30">
        <f>IFERROR(IF(K451=0,"待填成本",ROUND(K451/(1-N451),0)),"" )</f>
        <v/>
      </c>
      <c r="S451" s="30">
        <f>IFERROR(IF(K451=0,"待填成本",ROUND(K451/(1-O451),0)),"" )</f>
        <v/>
      </c>
      <c r="T451" s="31">
        <f>IFERROR(IF(K451=0,"",(P451-K451)/P451),"" )</f>
        <v/>
      </c>
      <c r="U451" s="31">
        <f>IFERROR(IF(K451=0,"",(Q451-K451)/Q451),"" )</f>
        <v/>
      </c>
      <c r="V451" s="31">
        <f>IFERROR(IF(K451=0,"",(R451-K451)/R451),"" )</f>
        <v/>
      </c>
      <c r="W451" s="31">
        <f>IFERROR(IF(K451=0,"",(S451-K451)/S451),"" )</f>
        <v/>
      </c>
      <c r="X451" s="36" t="n"/>
      <c r="Y451" s="36" t="n"/>
      <c r="Z451" s="36" t="n"/>
      <c r="AA451" s="37" t="n">
        <v>15.73583333333333</v>
      </c>
      <c r="AB451" s="37" t="n">
        <v>11.1909375</v>
      </c>
      <c r="AC451" s="37" t="n">
        <v>33.20625</v>
      </c>
      <c r="AD451" s="37" t="n">
        <v>300</v>
      </c>
      <c r="AE451" s="37" t="n">
        <v>150</v>
      </c>
      <c r="AF451" s="33" t="n"/>
      <c r="AG451" s="33" t="n"/>
      <c r="AH451" s="35" t="inlineStr"/>
    </row>
    <row r="452" ht="18" customHeight="1">
      <c r="A452" s="25" t="inlineStr">
        <is>
          <t>2425008080199</t>
        </is>
      </c>
      <c r="B452" s="6" t="inlineStr">
        <is>
          <t>餐厅-柜</t>
        </is>
      </c>
      <c r="C452" s="5" t="inlineStr">
        <is>
          <t>洞石餐边柜 |樱桃木洞石餐边大柜 |樱桃木洞石模块餐边柜</t>
        </is>
      </c>
      <c r="D452" s="5" t="inlineStr">
        <is>
          <t>洞石餐边柜-洞石整柜1.8米（多抽组合）（分类抽屉+玻璃移门+开门）</t>
        </is>
      </c>
      <c r="E452" s="6" t="inlineStr">
        <is>
          <t>北美进口FAS级樱桃木</t>
        </is>
      </c>
      <c r="F452" s="6" t="inlineStr">
        <is>
          <t xml:space="preserve">抽屉围板：新西兰进口松木
台面：洞石岩板
背板：洞石背板/实木多层板
电力轨道：xpower 挂架式电力轨道
顶柜玻璃：灰玻
</t>
        </is>
      </c>
      <c r="G45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2" s="26" t="n">
        <v>7325.046666666667</v>
      </c>
      <c r="I452" s="26" t="n">
        <v>5200</v>
      </c>
      <c r="J452" s="27" t="n">
        <v>0.48</v>
      </c>
      <c r="K452" s="28">
        <f>IFERROR(H452,0)</f>
        <v/>
      </c>
      <c r="L452" s="29" t="n">
        <v>0.4667</v>
      </c>
      <c r="M452" s="29" t="n">
        <v>0.2502</v>
      </c>
      <c r="N452" s="29" t="n">
        <v>0.2701</v>
      </c>
      <c r="O452" s="29" t="n">
        <v>0.2502</v>
      </c>
      <c r="P452" s="30">
        <f>IFERROR(IF(K452=0,"待填成本",ROUND(K452/(1-L452),0)),"" )</f>
        <v/>
      </c>
      <c r="Q452" s="30">
        <f>IFERROR(IF(K452=0,"待填成本",ROUND(K452/(1-M452),0)),"" )</f>
        <v/>
      </c>
      <c r="R452" s="30">
        <f>IFERROR(IF(K452=0,"待填成本",ROUND(K452/(1-N452),0)),"" )</f>
        <v/>
      </c>
      <c r="S452" s="30">
        <f>IFERROR(IF(K452=0,"待填成本",ROUND(K452/(1-O452),0)),"" )</f>
        <v/>
      </c>
      <c r="T452" s="31">
        <f>IFERROR(IF(K452=0,"",(P452-K452)/P452),"" )</f>
        <v/>
      </c>
      <c r="U452" s="31">
        <f>IFERROR(IF(K452=0,"",(Q452-K452)/Q452),"" )</f>
        <v/>
      </c>
      <c r="V452" s="31">
        <f>IFERROR(IF(K452=0,"",(R452-K452)/R452),"" )</f>
        <v/>
      </c>
      <c r="W452" s="31">
        <f>IFERROR(IF(K452=0,"",(S452-K452)/S452),"" )</f>
        <v/>
      </c>
      <c r="X452" s="32" t="n"/>
      <c r="Y452" s="32" t="n"/>
      <c r="Z452" s="32" t="n"/>
      <c r="AA452" s="37" t="n">
        <v>15.18</v>
      </c>
      <c r="AB452" s="37" t="n">
        <v>10.738125</v>
      </c>
      <c r="AC452" s="37" t="n">
        <v>32.2575</v>
      </c>
      <c r="AD452" s="37" t="n">
        <v>300</v>
      </c>
      <c r="AE452" s="37" t="n">
        <v>150</v>
      </c>
      <c r="AF452" s="33" t="n"/>
      <c r="AG452" s="33" t="n"/>
      <c r="AH452" s="5" t="inlineStr"/>
    </row>
    <row r="453" ht="18" customHeight="1">
      <c r="A453" s="25" t="inlineStr">
        <is>
          <t>2425008080199</t>
        </is>
      </c>
      <c r="B453" s="34" t="inlineStr">
        <is>
          <t>餐厅-柜</t>
        </is>
      </c>
      <c r="C453" s="35" t="inlineStr">
        <is>
          <t>洞石餐边柜 |樱桃木洞石餐边大柜 |樱桃木洞石模块餐边柜</t>
        </is>
      </c>
      <c r="D453" s="35" t="inlineStr">
        <is>
          <t>洞石餐边柜-普通岩板1.7</t>
        </is>
      </c>
      <c r="E453" s="34" t="inlineStr">
        <is>
          <t>北美进口FAS级樱桃木</t>
        </is>
      </c>
      <c r="F453" s="34" t="inlineStr">
        <is>
          <t xml:space="preserve">抽屉围板：新西兰进口松木
台面：洞石岩板
背板：洞石背板/实木多层板
电力轨道：xpower 挂架式电力轨道
顶柜玻璃：灰玻
</t>
        </is>
      </c>
      <c r="G45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3" s="26" t="n">
        <v>7188.52</v>
      </c>
      <c r="I453" s="26" t="n">
        <v>5133.333333333333</v>
      </c>
      <c r="J453" s="27" t="n">
        <v>0.48</v>
      </c>
      <c r="K453" s="28">
        <f>IFERROR(H453,0)</f>
        <v/>
      </c>
      <c r="L453" s="29" t="n">
        <v>0.4667</v>
      </c>
      <c r="M453" s="29" t="n">
        <v>0.2504</v>
      </c>
      <c r="N453" s="29" t="n">
        <v>0.2702</v>
      </c>
      <c r="O453" s="29" t="n">
        <v>0.2504</v>
      </c>
      <c r="P453" s="30">
        <f>IFERROR(IF(K453=0,"待填成本",ROUND(K453/(1-L453),0)),"" )</f>
        <v/>
      </c>
      <c r="Q453" s="30">
        <f>IFERROR(IF(K453=0,"待填成本",ROUND(K453/(1-M453),0)),"" )</f>
        <v/>
      </c>
      <c r="R453" s="30">
        <f>IFERROR(IF(K453=0,"待填成本",ROUND(K453/(1-N453),0)),"" )</f>
        <v/>
      </c>
      <c r="S453" s="30">
        <f>IFERROR(IF(K453=0,"待填成本",ROUND(K453/(1-O453),0)),"" )</f>
        <v/>
      </c>
      <c r="T453" s="31">
        <f>IFERROR(IF(K453=0,"",(P453-K453)/P453),"" )</f>
        <v/>
      </c>
      <c r="U453" s="31">
        <f>IFERROR(IF(K453=0,"",(Q453-K453)/Q453),"" )</f>
        <v/>
      </c>
      <c r="V453" s="31">
        <f>IFERROR(IF(K453=0,"",(R453-K453)/R453),"" )</f>
        <v/>
      </c>
      <c r="W453" s="31">
        <f>IFERROR(IF(K453=0,"",(S453-K453)/S453),"" )</f>
        <v/>
      </c>
      <c r="X453" s="36" t="n"/>
      <c r="Y453" s="36" t="n"/>
      <c r="Z453" s="36" t="n"/>
      <c r="AA453" s="37" t="n">
        <v>14.62416666666667</v>
      </c>
      <c r="AB453" s="37" t="n">
        <v>10.2853125</v>
      </c>
      <c r="AC453" s="37" t="n">
        <v>31.30875</v>
      </c>
      <c r="AD453" s="37" t="n">
        <v>300</v>
      </c>
      <c r="AE453" s="37" t="n">
        <v>150</v>
      </c>
      <c r="AF453" s="33" t="n"/>
      <c r="AG453" s="33" t="n"/>
      <c r="AH453" s="35" t="inlineStr"/>
    </row>
    <row r="454" ht="18" customHeight="1">
      <c r="A454" s="25" t="inlineStr">
        <is>
          <t>2425008080199</t>
        </is>
      </c>
      <c r="B454" s="6" t="inlineStr">
        <is>
          <t>餐厅-柜</t>
        </is>
      </c>
      <c r="C454" s="5" t="inlineStr">
        <is>
          <t>洞石餐边柜 |樱桃木洞石餐边大柜 |樱桃木洞石模块餐边柜</t>
        </is>
      </c>
      <c r="D454" s="5" t="inlineStr">
        <is>
          <t>洞石餐边柜-普通岩板1.6</t>
        </is>
      </c>
      <c r="E454" s="6" t="inlineStr">
        <is>
          <t>北美进口FAS级樱桃木</t>
        </is>
      </c>
      <c r="F454" s="6" t="inlineStr">
        <is>
          <t xml:space="preserve">抽屉围板：新西兰进口松木
台面：洞石岩板
背板：洞石背板/实木多层板
电力轨道：xpower 挂架式电力轨道
顶柜玻璃：灰玻
</t>
        </is>
      </c>
      <c r="G45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4" s="26" t="n">
        <v>7051.993333333334</v>
      </c>
      <c r="I454" s="26" t="n">
        <v>5066.666666666666</v>
      </c>
      <c r="J454" s="27" t="n">
        <v>0.48</v>
      </c>
      <c r="K454" s="28">
        <f>IFERROR(H454,0)</f>
        <v/>
      </c>
      <c r="L454" s="29" t="n">
        <v>0.4667</v>
      </c>
      <c r="M454" s="29" t="n">
        <v>0.2505</v>
      </c>
      <c r="N454" s="29" t="n">
        <v>0.2703</v>
      </c>
      <c r="O454" s="29" t="n">
        <v>0.2505</v>
      </c>
      <c r="P454" s="30">
        <f>IFERROR(IF(K454=0,"待填成本",ROUND(K454/(1-L454),0)),"" )</f>
        <v/>
      </c>
      <c r="Q454" s="30">
        <f>IFERROR(IF(K454=0,"待填成本",ROUND(K454/(1-M454),0)),"" )</f>
        <v/>
      </c>
      <c r="R454" s="30">
        <f>IFERROR(IF(K454=0,"待填成本",ROUND(K454/(1-N454),0)),"" )</f>
        <v/>
      </c>
      <c r="S454" s="30">
        <f>IFERROR(IF(K454=0,"待填成本",ROUND(K454/(1-O454),0)),"" )</f>
        <v/>
      </c>
      <c r="T454" s="31">
        <f>IFERROR(IF(K454=0,"",(P454-K454)/P454),"" )</f>
        <v/>
      </c>
      <c r="U454" s="31">
        <f>IFERROR(IF(K454=0,"",(Q454-K454)/Q454),"" )</f>
        <v/>
      </c>
      <c r="V454" s="31">
        <f>IFERROR(IF(K454=0,"",(R454-K454)/R454),"" )</f>
        <v/>
      </c>
      <c r="W454" s="31">
        <f>IFERROR(IF(K454=0,"",(S454-K454)/S454),"" )</f>
        <v/>
      </c>
      <c r="X454" s="32" t="n"/>
      <c r="Y454" s="32" t="n"/>
      <c r="Z454" s="32" t="n"/>
      <c r="AA454" s="37" t="n">
        <v>14.06833333333333</v>
      </c>
      <c r="AB454" s="37" t="n">
        <v>9.8325</v>
      </c>
      <c r="AC454" s="37" t="n">
        <v>30.36</v>
      </c>
      <c r="AD454" s="37" t="n">
        <v>300</v>
      </c>
      <c r="AE454" s="37" t="n">
        <v>150</v>
      </c>
      <c r="AF454" s="33" t="n"/>
      <c r="AG454" s="33" t="n"/>
      <c r="AH454" s="5" t="inlineStr"/>
    </row>
    <row r="455" ht="18" customHeight="1">
      <c r="A455" s="25" t="inlineStr">
        <is>
          <t>2425008080199</t>
        </is>
      </c>
      <c r="B455" s="34" t="inlineStr">
        <is>
          <t>餐厅-柜</t>
        </is>
      </c>
      <c r="C455" s="35" t="inlineStr">
        <is>
          <t>洞石餐边柜 |樱桃木洞石餐边大柜 |樱桃木洞石模块餐边柜</t>
        </is>
      </c>
      <c r="D455" s="35" t="inlineStr">
        <is>
          <t>洞石餐边柜-洞石整柜1.5米（多抽组合）（玻璃移门+分类抽屉）</t>
        </is>
      </c>
      <c r="E455" s="34" t="inlineStr">
        <is>
          <t>北美进口FAS级樱桃木</t>
        </is>
      </c>
      <c r="F455" s="34" t="inlineStr">
        <is>
          <t xml:space="preserve">抽屉围板：新西兰进口松木
台面：洞石岩板
背板：洞石背板/实木多层板
电力轨道：xpower 挂架式电力轨道
顶柜玻璃：灰玻
</t>
        </is>
      </c>
      <c r="G45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5" s="26" t="n">
        <v>6915.466666666667</v>
      </c>
      <c r="I455" s="26" t="n">
        <v>5000</v>
      </c>
      <c r="J455" s="27" t="n">
        <v>0.48</v>
      </c>
      <c r="K455" s="28">
        <f>IFERROR(H455,0)</f>
        <v/>
      </c>
      <c r="L455" s="29" t="n">
        <v>0.4667</v>
      </c>
      <c r="M455" s="29" t="n">
        <v>0.2506</v>
      </c>
      <c r="N455" s="29" t="n">
        <v>0.2704</v>
      </c>
      <c r="O455" s="29" t="n">
        <v>0.2506</v>
      </c>
      <c r="P455" s="30">
        <f>IFERROR(IF(K455=0,"待填成本",ROUND(K455/(1-L455),0)),"" )</f>
        <v/>
      </c>
      <c r="Q455" s="30">
        <f>IFERROR(IF(K455=0,"待填成本",ROUND(K455/(1-M455),0)),"" )</f>
        <v/>
      </c>
      <c r="R455" s="30">
        <f>IFERROR(IF(K455=0,"待填成本",ROUND(K455/(1-N455),0)),"" )</f>
        <v/>
      </c>
      <c r="S455" s="30">
        <f>IFERROR(IF(K455=0,"待填成本",ROUND(K455/(1-O455),0)),"" )</f>
        <v/>
      </c>
      <c r="T455" s="31">
        <f>IFERROR(IF(K455=0,"",(P455-K455)/P455),"" )</f>
        <v/>
      </c>
      <c r="U455" s="31">
        <f>IFERROR(IF(K455=0,"",(Q455-K455)/Q455),"" )</f>
        <v/>
      </c>
      <c r="V455" s="31">
        <f>IFERROR(IF(K455=0,"",(R455-K455)/R455),"" )</f>
        <v/>
      </c>
      <c r="W455" s="31">
        <f>IFERROR(IF(K455=0,"",(S455-K455)/S455),"" )</f>
        <v/>
      </c>
      <c r="X455" s="36" t="n"/>
      <c r="Y455" s="36" t="n"/>
      <c r="Z455" s="36" t="n"/>
      <c r="AA455" s="37" t="n">
        <v>13.5125</v>
      </c>
      <c r="AB455" s="37" t="n">
        <v>9.379687499999999</v>
      </c>
      <c r="AC455" s="37" t="n">
        <v>29.41125</v>
      </c>
      <c r="AD455" s="37" t="n">
        <v>300</v>
      </c>
      <c r="AE455" s="37" t="n">
        <v>150</v>
      </c>
      <c r="AF455" s="33" t="n"/>
      <c r="AG455" s="33" t="n"/>
      <c r="AH455" s="35" t="inlineStr"/>
    </row>
    <row r="456" ht="18" customHeight="1">
      <c r="A456" s="25" t="inlineStr">
        <is>
          <t>2425008080199</t>
        </is>
      </c>
      <c r="B456" s="6" t="inlineStr">
        <is>
          <t>餐厅-柜</t>
        </is>
      </c>
      <c r="C456" s="5" t="inlineStr">
        <is>
          <t>洞石餐边柜 |樱桃木洞石餐边大柜 |樱桃木洞石模块餐边柜</t>
        </is>
      </c>
      <c r="D456" s="5" t="inlineStr">
        <is>
          <t>洞石餐边柜-普通岩板1.4</t>
        </is>
      </c>
      <c r="E456" s="6" t="inlineStr">
        <is>
          <t>北美进口FAS级樱桃木</t>
        </is>
      </c>
      <c r="F456" s="6" t="inlineStr">
        <is>
          <t xml:space="preserve">抽屉围板：新西兰进口松木
台面：洞石岩板
背板：洞石背板/实木多层板
电力轨道：xpower 挂架式电力轨道
顶柜玻璃：灰玻
</t>
        </is>
      </c>
      <c r="G45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6" s="26" t="n">
        <v>6829.993333333334</v>
      </c>
      <c r="I456" s="26" t="n">
        <v>5000</v>
      </c>
      <c r="J456" s="27" t="n">
        <v>0.48</v>
      </c>
      <c r="K456" s="28">
        <f>IFERROR(H456,0)</f>
        <v/>
      </c>
      <c r="L456" s="29" t="n">
        <v>0.4667</v>
      </c>
      <c r="M456" s="29" t="n">
        <v>0.2504</v>
      </c>
      <c r="N456" s="29" t="n">
        <v>0.2671</v>
      </c>
      <c r="O456" s="29" t="n">
        <v>0.2379</v>
      </c>
      <c r="P456" s="30">
        <f>IFERROR(IF(K456=0,"待填成本",ROUND(K456/(1-L456),0)),"" )</f>
        <v/>
      </c>
      <c r="Q456" s="30">
        <f>IFERROR(IF(K456=0,"待填成本",ROUND(K456/(1-M456),0)),"" )</f>
        <v/>
      </c>
      <c r="R456" s="30">
        <f>IFERROR(IF(K456=0,"待填成本",ROUND(K456/(1-N456),0)),"" )</f>
        <v/>
      </c>
      <c r="S456" s="30">
        <f>IFERROR(IF(K456=0,"待填成本",ROUND(K456/(1-O456),0)),"" )</f>
        <v/>
      </c>
      <c r="T456" s="31">
        <f>IFERROR(IF(K456=0,"",(P456-K456)/P456),"" )</f>
        <v/>
      </c>
      <c r="U456" s="31">
        <f>IFERROR(IF(K456=0,"",(Q456-K456)/Q456),"" )</f>
        <v/>
      </c>
      <c r="V456" s="31">
        <f>IFERROR(IF(K456=0,"",(R456-K456)/R456),"" )</f>
        <v/>
      </c>
      <c r="W456" s="31">
        <f>IFERROR(IF(K456=0,"",(S456-K456)/S456),"" )</f>
        <v/>
      </c>
      <c r="X456" s="32" t="n"/>
      <c r="Y456" s="32" t="n"/>
      <c r="Z456" s="32" t="n"/>
      <c r="AA456" s="37" t="n">
        <v>13.19625</v>
      </c>
      <c r="AB456" s="37" t="n">
        <v>8.926874999999999</v>
      </c>
      <c r="AC456" s="37" t="n">
        <v>28.4625</v>
      </c>
      <c r="AD456" s="37" t="n">
        <v>300</v>
      </c>
      <c r="AE456" s="37" t="n">
        <v>150</v>
      </c>
      <c r="AF456" s="33" t="n"/>
      <c r="AG456" s="33" t="n"/>
      <c r="AH456" s="5" t="inlineStr"/>
    </row>
    <row r="457" ht="18" customHeight="1">
      <c r="A457" s="25" t="inlineStr">
        <is>
          <t>2425008080199</t>
        </is>
      </c>
      <c r="B457" s="34" t="inlineStr">
        <is>
          <t>餐厅-柜</t>
        </is>
      </c>
      <c r="C457" s="35" t="inlineStr">
        <is>
          <t>洞石餐边柜 |樱桃木洞石餐边大柜 |樱桃木洞石模块餐边柜</t>
        </is>
      </c>
      <c r="D457" s="35" t="inlineStr">
        <is>
          <t>洞石餐边柜-普通岩板1.3</t>
        </is>
      </c>
      <c r="E457" s="34" t="inlineStr">
        <is>
          <t>北美进口FAS级樱桃木</t>
        </is>
      </c>
      <c r="F457" s="34" t="inlineStr">
        <is>
          <t xml:space="preserve">抽屉围板：新西兰进口松木
台面：洞石岩板
背板：洞石背板/实木多层板
电力轨道：xpower 挂架式电力轨道
顶柜玻璃：灰玻
</t>
        </is>
      </c>
      <c r="G45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7" s="26" t="n">
        <v>6744.52</v>
      </c>
      <c r="I457" s="26" t="n">
        <v>5000</v>
      </c>
      <c r="J457" s="27" t="n">
        <v>0.48</v>
      </c>
      <c r="K457" s="28">
        <f>IFERROR(H457,0)</f>
        <v/>
      </c>
      <c r="L457" s="29" t="n">
        <v>0.4668</v>
      </c>
      <c r="M457" s="29" t="n">
        <v>0.2502</v>
      </c>
      <c r="N457" s="29" t="n">
        <v>0.2637</v>
      </c>
      <c r="O457" s="29" t="n">
        <v>0.2244</v>
      </c>
      <c r="P457" s="30">
        <f>IFERROR(IF(K457=0,"待填成本",ROUND(K457/(1-L457),0)),"" )</f>
        <v/>
      </c>
      <c r="Q457" s="30">
        <f>IFERROR(IF(K457=0,"待填成本",ROUND(K457/(1-M457),0)),"" )</f>
        <v/>
      </c>
      <c r="R457" s="30">
        <f>IFERROR(IF(K457=0,"待填成本",ROUND(K457/(1-N457),0)),"" )</f>
        <v/>
      </c>
      <c r="S457" s="30">
        <f>IFERROR(IF(K457=0,"待填成本",ROUND(K457/(1-O457),0)),"" )</f>
        <v/>
      </c>
      <c r="T457" s="31">
        <f>IFERROR(IF(K457=0,"",(P457-K457)/P457),"" )</f>
        <v/>
      </c>
      <c r="U457" s="31">
        <f>IFERROR(IF(K457=0,"",(Q457-K457)/Q457),"" )</f>
        <v/>
      </c>
      <c r="V457" s="31">
        <f>IFERROR(IF(K457=0,"",(R457-K457)/R457),"" )</f>
        <v/>
      </c>
      <c r="W457" s="31">
        <f>IFERROR(IF(K457=0,"",(S457-K457)/S457),"" )</f>
        <v/>
      </c>
      <c r="X457" s="36" t="n"/>
      <c r="Y457" s="36" t="n"/>
      <c r="Z457" s="36" t="n"/>
      <c r="AA457" s="37" t="n">
        <v>12.88</v>
      </c>
      <c r="AB457" s="37" t="n">
        <v>8.474062499999999</v>
      </c>
      <c r="AC457" s="37" t="n">
        <v>27.51375</v>
      </c>
      <c r="AD457" s="37" t="n">
        <v>300</v>
      </c>
      <c r="AE457" s="37" t="n">
        <v>150</v>
      </c>
      <c r="AF457" s="33" t="n"/>
      <c r="AG457" s="33" t="n"/>
      <c r="AH457" s="35" t="inlineStr"/>
    </row>
    <row r="458" ht="18" customHeight="1">
      <c r="A458" s="25" t="inlineStr">
        <is>
          <t>2425008080199</t>
        </is>
      </c>
      <c r="B458" s="6" t="inlineStr">
        <is>
          <t>餐厅-柜</t>
        </is>
      </c>
      <c r="C458" s="5" t="inlineStr">
        <is>
          <t>洞石餐边柜 |樱桃木洞石餐边大柜 |樱桃木洞石模块餐边柜</t>
        </is>
      </c>
      <c r="D458" s="5" t="inlineStr">
        <is>
          <t>洞石餐边柜-洞石整柜1.2米（多抽组合）（分类抽屉+开门）</t>
        </is>
      </c>
      <c r="E458" s="6" t="inlineStr">
        <is>
          <t>北美进口FAS级樱桃木</t>
        </is>
      </c>
      <c r="F458" s="6" t="inlineStr">
        <is>
          <t xml:space="preserve">抽屉围板：新西兰进口松木
台面：洞石岩板
背板：洞石背板/实木多层板
电力轨道：xpower 挂架式电力轨道
顶柜玻璃：灰玻
</t>
        </is>
      </c>
      <c r="G45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8" s="26" t="n">
        <v>6659.046666666667</v>
      </c>
      <c r="I458" s="26" t="n">
        <v>5000</v>
      </c>
      <c r="J458" s="27" t="n">
        <v>0.48</v>
      </c>
      <c r="K458" s="28">
        <f>IFERROR(H458,0)</f>
        <v/>
      </c>
      <c r="L458" s="29" t="n">
        <v>0.4668</v>
      </c>
      <c r="M458" s="29" t="n">
        <v>0.25</v>
      </c>
      <c r="N458" s="29" t="n">
        <v>0.2601</v>
      </c>
      <c r="O458" s="29" t="n">
        <v>0.2101</v>
      </c>
      <c r="P458" s="30">
        <f>IFERROR(IF(K458=0,"待填成本",ROUND(K458/(1-L458),0)),"" )</f>
        <v/>
      </c>
      <c r="Q458" s="30">
        <f>IFERROR(IF(K458=0,"待填成本",ROUND(K458/(1-M458),0)),"" )</f>
        <v/>
      </c>
      <c r="R458" s="30">
        <f>IFERROR(IF(K458=0,"待填成本",ROUND(K458/(1-N458),0)),"" )</f>
        <v/>
      </c>
      <c r="S458" s="30">
        <f>IFERROR(IF(K458=0,"待填成本",ROUND(K458/(1-O458),0)),"" )</f>
        <v/>
      </c>
      <c r="T458" s="31">
        <f>IFERROR(IF(K458=0,"",(P458-K458)/P458),"" )</f>
        <v/>
      </c>
      <c r="U458" s="31">
        <f>IFERROR(IF(K458=0,"",(Q458-K458)/Q458),"" )</f>
        <v/>
      </c>
      <c r="V458" s="31">
        <f>IFERROR(IF(K458=0,"",(R458-K458)/R458),"" )</f>
        <v/>
      </c>
      <c r="W458" s="31">
        <f>IFERROR(IF(K458=0,"",(S458-K458)/S458),"" )</f>
        <v/>
      </c>
      <c r="X458" s="32" t="n"/>
      <c r="Y458" s="32" t="n"/>
      <c r="Z458" s="32" t="n"/>
      <c r="AA458" s="37" t="n">
        <v>12.56375</v>
      </c>
      <c r="AB458" s="37" t="n">
        <v>8.021249999999998</v>
      </c>
      <c r="AC458" s="37" t="n">
        <v>26.565</v>
      </c>
      <c r="AD458" s="37" t="n">
        <v>300</v>
      </c>
      <c r="AE458" s="37" t="n">
        <v>150</v>
      </c>
      <c r="AF458" s="33" t="n"/>
      <c r="AG458" s="33" t="n"/>
      <c r="AH458" s="5" t="inlineStr"/>
    </row>
    <row r="459" ht="18" customHeight="1">
      <c r="A459" s="25" t="inlineStr">
        <is>
          <t>2425008080199</t>
        </is>
      </c>
      <c r="B459" s="34" t="inlineStr">
        <is>
          <t>餐厅-柜</t>
        </is>
      </c>
      <c r="C459" s="35" t="inlineStr">
        <is>
          <t>洞石餐边柜 |樱桃木洞石餐边大柜 |樱桃木洞石模块餐边柜</t>
        </is>
      </c>
      <c r="D459" s="35" t="inlineStr">
        <is>
          <t>洞石餐边柜-普通岩板1.1</t>
        </is>
      </c>
      <c r="E459" s="34" t="inlineStr">
        <is>
          <t>北美进口FAS级樱桃木</t>
        </is>
      </c>
      <c r="F459" s="34" t="inlineStr">
        <is>
          <t xml:space="preserve">抽屉围板：新西兰进口松木
台面：洞石岩板
背板：洞石背板/实木多层板
电力轨道：xpower 挂架式电力轨道
顶柜玻璃：灰玻
</t>
        </is>
      </c>
      <c r="G45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59" s="26" t="n">
        <v>6573.573333333334</v>
      </c>
      <c r="I459" s="26" t="n">
        <v>5000</v>
      </c>
      <c r="J459" s="27" t="n">
        <v>0.48</v>
      </c>
      <c r="K459" s="28">
        <f>IFERROR(H459,0)</f>
        <v/>
      </c>
      <c r="L459" s="29" t="n">
        <v>0.4669</v>
      </c>
      <c r="M459" s="29" t="n">
        <v>0.2499</v>
      </c>
      <c r="N459" s="29" t="n">
        <v>0.2565</v>
      </c>
      <c r="O459" s="29" t="n">
        <v>0.1948</v>
      </c>
      <c r="P459" s="30">
        <f>IFERROR(IF(K459=0,"待填成本",ROUND(K459/(1-L459),0)),"" )</f>
        <v/>
      </c>
      <c r="Q459" s="30">
        <f>IFERROR(IF(K459=0,"待填成本",ROUND(K459/(1-M459),0)),"" )</f>
        <v/>
      </c>
      <c r="R459" s="30">
        <f>IFERROR(IF(K459=0,"待填成本",ROUND(K459/(1-N459),0)),"" )</f>
        <v/>
      </c>
      <c r="S459" s="30">
        <f>IFERROR(IF(K459=0,"待填成本",ROUND(K459/(1-O459),0)),"" )</f>
        <v/>
      </c>
      <c r="T459" s="31">
        <f>IFERROR(IF(K459=0,"",(P459-K459)/P459),"" )</f>
        <v/>
      </c>
      <c r="U459" s="31">
        <f>IFERROR(IF(K459=0,"",(Q459-K459)/Q459),"" )</f>
        <v/>
      </c>
      <c r="V459" s="31">
        <f>IFERROR(IF(K459=0,"",(R459-K459)/R459),"" )</f>
        <v/>
      </c>
      <c r="W459" s="31">
        <f>IFERROR(IF(K459=0,"",(S459-K459)/S459),"" )</f>
        <v/>
      </c>
      <c r="X459" s="36" t="n"/>
      <c r="Y459" s="36" t="n"/>
      <c r="Z459" s="36" t="n"/>
      <c r="AA459" s="37" t="n">
        <v>12.2475</v>
      </c>
      <c r="AB459" s="37" t="n">
        <v>7.568437499999998</v>
      </c>
      <c r="AC459" s="37" t="n">
        <v>25.61625</v>
      </c>
      <c r="AD459" s="37" t="n">
        <v>300</v>
      </c>
      <c r="AE459" s="37" t="n">
        <v>150</v>
      </c>
      <c r="AF459" s="33" t="n"/>
      <c r="AG459" s="33" t="n"/>
      <c r="AH459" s="35" t="inlineStr"/>
    </row>
    <row r="460" ht="18" customHeight="1">
      <c r="A460" s="25" t="inlineStr">
        <is>
          <t>2425008080199</t>
        </is>
      </c>
      <c r="B460" s="6" t="inlineStr">
        <is>
          <t>餐厅-柜</t>
        </is>
      </c>
      <c r="C460" s="5" t="inlineStr">
        <is>
          <t>洞石餐边柜 |樱桃木洞石餐边大柜 |樱桃木洞石模块餐边柜</t>
        </is>
      </c>
      <c r="D460" s="5" t="inlineStr">
        <is>
          <t>洞石餐边柜-普通岩板1.0</t>
        </is>
      </c>
      <c r="E460" s="6" t="inlineStr">
        <is>
          <t>北美进口FAS级樱桃木</t>
        </is>
      </c>
      <c r="F460" s="6" t="inlineStr">
        <is>
          <t xml:space="preserve">抽屉围板：新西兰进口松木
台面：洞石岩板
背板：洞石背板/实木多层板
电力轨道：xpower 挂架式电力轨道
顶柜玻璃：灰玻
</t>
        </is>
      </c>
      <c r="G46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0" s="26" t="n">
        <v>6488.1</v>
      </c>
      <c r="I460" s="26" t="n">
        <v>5000</v>
      </c>
      <c r="J460" s="27" t="n">
        <v>0.48</v>
      </c>
      <c r="K460" s="28">
        <f>IFERROR(H460,0)</f>
        <v/>
      </c>
      <c r="L460" s="29" t="n">
        <v>0.4669</v>
      </c>
      <c r="M460" s="29" t="n">
        <v>0.2497</v>
      </c>
      <c r="N460" s="29" t="n">
        <v>0.2526</v>
      </c>
      <c r="O460" s="29" t="n">
        <v>0.1786</v>
      </c>
      <c r="P460" s="30">
        <f>IFERROR(IF(K460=0,"待填成本",ROUND(K460/(1-L460),0)),"" )</f>
        <v/>
      </c>
      <c r="Q460" s="30">
        <f>IFERROR(IF(K460=0,"待填成本",ROUND(K460/(1-M460),0)),"" )</f>
        <v/>
      </c>
      <c r="R460" s="30">
        <f>IFERROR(IF(K460=0,"待填成本",ROUND(K460/(1-N460),0)),"" )</f>
        <v/>
      </c>
      <c r="S460" s="30">
        <f>IFERROR(IF(K460=0,"待填成本",ROUND(K460/(1-O460),0)),"" )</f>
        <v/>
      </c>
      <c r="T460" s="31">
        <f>IFERROR(IF(K460=0,"",(P460-K460)/P460),"" )</f>
        <v/>
      </c>
      <c r="U460" s="31">
        <f>IFERROR(IF(K460=0,"",(Q460-K460)/Q460),"" )</f>
        <v/>
      </c>
      <c r="V460" s="31">
        <f>IFERROR(IF(K460=0,"",(R460-K460)/R460),"" )</f>
        <v/>
      </c>
      <c r="W460" s="31">
        <f>IFERROR(IF(K460=0,"",(S460-K460)/S460),"" )</f>
        <v/>
      </c>
      <c r="X460" s="32" t="n"/>
      <c r="Y460" s="32" t="n"/>
      <c r="Z460" s="32" t="n"/>
      <c r="AA460" s="37" t="n">
        <v>11.93125</v>
      </c>
      <c r="AB460" s="37" t="n">
        <v>7.115624999999998</v>
      </c>
      <c r="AC460" s="37" t="n">
        <v>24.6675</v>
      </c>
      <c r="AD460" s="37" t="n">
        <v>300</v>
      </c>
      <c r="AE460" s="37" t="n">
        <v>150</v>
      </c>
      <c r="AF460" s="33" t="n"/>
      <c r="AG460" s="33" t="n"/>
      <c r="AH460" s="5" t="inlineStr"/>
    </row>
    <row r="461" ht="18" customHeight="1">
      <c r="A461" s="25" t="inlineStr">
        <is>
          <t>2425008080199</t>
        </is>
      </c>
      <c r="B461" s="34" t="inlineStr">
        <is>
          <t>餐厅-柜</t>
        </is>
      </c>
      <c r="C461" s="35" t="inlineStr">
        <is>
          <t>洞石餐边柜 |樱桃木洞石餐边大柜 |樱桃木洞石模块餐边柜</t>
        </is>
      </c>
      <c r="D461" s="35" t="inlineStr">
        <is>
          <t>洞石餐边柜-洞石整柜2.1米（全景组合）（全景抽屉+玻璃移门+开门）</t>
        </is>
      </c>
      <c r="E461" s="34" t="inlineStr">
        <is>
          <t>北美进口FAS级樱桃木</t>
        </is>
      </c>
      <c r="F461" s="34" t="inlineStr">
        <is>
          <t xml:space="preserve">抽屉围板：新西兰进口松木
台面：洞石岩板
背板：洞石背板/实木多层板
电力轨道：xpower 挂架式电力轨道
顶柜玻璃：灰玻
</t>
        </is>
      </c>
      <c r="G46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1" s="26" t="n">
        <v>7572.046666666667</v>
      </c>
      <c r="I461" s="26" t="n">
        <v>5200</v>
      </c>
      <c r="J461" s="27" t="n">
        <v>0.48</v>
      </c>
      <c r="K461" s="28">
        <f>IFERROR(H461,0)</f>
        <v/>
      </c>
      <c r="L461" s="29" t="n">
        <v>0.4667</v>
      </c>
      <c r="M461" s="29" t="n">
        <v>0.2504</v>
      </c>
      <c r="N461" s="29" t="n">
        <v>0.2701</v>
      </c>
      <c r="O461" s="29" t="n">
        <v>0.2504</v>
      </c>
      <c r="P461" s="30">
        <f>IFERROR(IF(K461=0,"待填成本",ROUND(K461/(1-L461),0)),"" )</f>
        <v/>
      </c>
      <c r="Q461" s="30">
        <f>IFERROR(IF(K461=0,"待填成本",ROUND(K461/(1-M461),0)),"" )</f>
        <v/>
      </c>
      <c r="R461" s="30">
        <f>IFERROR(IF(K461=0,"待填成本",ROUND(K461/(1-N461),0)),"" )</f>
        <v/>
      </c>
      <c r="S461" s="30">
        <f>IFERROR(IF(K461=0,"待填成本",ROUND(K461/(1-O461),0)),"" )</f>
        <v/>
      </c>
      <c r="T461" s="31">
        <f>IFERROR(IF(K461=0,"",(P461-K461)/P461),"" )</f>
        <v/>
      </c>
      <c r="U461" s="31">
        <f>IFERROR(IF(K461=0,"",(Q461-K461)/Q461),"" )</f>
        <v/>
      </c>
      <c r="V461" s="31">
        <f>IFERROR(IF(K461=0,"",(R461-K461)/R461),"" )</f>
        <v/>
      </c>
      <c r="W461" s="31">
        <f>IFERROR(IF(K461=0,"",(S461-K461)/S461),"" )</f>
        <v/>
      </c>
      <c r="X461" s="36" t="n"/>
      <c r="Y461" s="36" t="n"/>
      <c r="Z461" s="36" t="n"/>
      <c r="AA461" s="37" t="n">
        <v>16.8475</v>
      </c>
      <c r="AB461" s="37" t="n">
        <v>12.0965625</v>
      </c>
      <c r="AC461" s="37" t="n">
        <v>35.10375</v>
      </c>
      <c r="AD461" s="37" t="n">
        <v>300</v>
      </c>
      <c r="AE461" s="37" t="n">
        <v>150</v>
      </c>
      <c r="AF461" s="33" t="n"/>
      <c r="AG461" s="33" t="n"/>
      <c r="AH461" s="35" t="inlineStr"/>
    </row>
    <row r="462" ht="18" customHeight="1">
      <c r="A462" s="25" t="inlineStr">
        <is>
          <t>2425008080199</t>
        </is>
      </c>
      <c r="B462" s="6" t="inlineStr">
        <is>
          <t>餐厅-柜</t>
        </is>
      </c>
      <c r="C462" s="5" t="inlineStr">
        <is>
          <t>洞石餐边柜 |樱桃木洞石餐边大柜 |樱桃木洞石模块餐边柜</t>
        </is>
      </c>
      <c r="D462" s="5" t="inlineStr">
        <is>
          <t>洞石餐边柜-洞石整柜2.0米</t>
        </is>
      </c>
      <c r="E462" s="6" t="inlineStr">
        <is>
          <t>北美进口FAS级樱桃木</t>
        </is>
      </c>
      <c r="F462" s="6" t="inlineStr">
        <is>
          <t xml:space="preserve">抽屉围板：新西兰进口松木
台面：洞石岩板
背板：洞石背板/实木多层板
电力轨道：xpower 挂架式电力轨道
顶柜玻璃：灰玻
</t>
        </is>
      </c>
      <c r="G46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2" s="26" t="n">
        <v>7460.713333333334</v>
      </c>
      <c r="I462" s="26" t="n">
        <v>5166.666666666667</v>
      </c>
      <c r="J462" s="27" t="n">
        <v>0.48</v>
      </c>
      <c r="K462" s="28">
        <f>IFERROR(H462,0)</f>
        <v/>
      </c>
      <c r="L462" s="29" t="n">
        <v>0.4667</v>
      </c>
      <c r="M462" s="29" t="n">
        <v>0.2503</v>
      </c>
      <c r="N462" s="29" t="n">
        <v>0.2701</v>
      </c>
      <c r="O462" s="29" t="n">
        <v>0.2503</v>
      </c>
      <c r="P462" s="30">
        <f>IFERROR(IF(K462=0,"待填成本",ROUND(K462/(1-L462),0)),"" )</f>
        <v/>
      </c>
      <c r="Q462" s="30">
        <f>IFERROR(IF(K462=0,"待填成本",ROUND(K462/(1-M462),0)),"" )</f>
        <v/>
      </c>
      <c r="R462" s="30">
        <f>IFERROR(IF(K462=0,"待填成本",ROUND(K462/(1-N462),0)),"" )</f>
        <v/>
      </c>
      <c r="S462" s="30">
        <f>IFERROR(IF(K462=0,"待填成本",ROUND(K462/(1-O462),0)),"" )</f>
        <v/>
      </c>
      <c r="T462" s="31">
        <f>IFERROR(IF(K462=0,"",(P462-K462)/P462),"" )</f>
        <v/>
      </c>
      <c r="U462" s="31">
        <f>IFERROR(IF(K462=0,"",(Q462-K462)/Q462),"" )</f>
        <v/>
      </c>
      <c r="V462" s="31">
        <f>IFERROR(IF(K462=0,"",(R462-K462)/R462),"" )</f>
        <v/>
      </c>
      <c r="W462" s="31">
        <f>IFERROR(IF(K462=0,"",(S462-K462)/S462),"" )</f>
        <v/>
      </c>
      <c r="X462" s="32" t="n"/>
      <c r="Y462" s="32" t="n"/>
      <c r="Z462" s="32" t="n"/>
      <c r="AA462" s="37" t="n">
        <v>16.29166666666666</v>
      </c>
      <c r="AB462" s="37" t="n">
        <v>11.64375</v>
      </c>
      <c r="AC462" s="37" t="n">
        <v>34.155</v>
      </c>
      <c r="AD462" s="37" t="n">
        <v>300</v>
      </c>
      <c r="AE462" s="37" t="n">
        <v>150</v>
      </c>
      <c r="AF462" s="33" t="n"/>
      <c r="AG462" s="33" t="n"/>
      <c r="AH462" s="5" t="inlineStr"/>
    </row>
    <row r="463" ht="18" customHeight="1">
      <c r="A463" s="25" t="inlineStr">
        <is>
          <t>2425008080199</t>
        </is>
      </c>
      <c r="B463" s="34" t="inlineStr">
        <is>
          <t>餐厅-柜</t>
        </is>
      </c>
      <c r="C463" s="35" t="inlineStr">
        <is>
          <t>洞石餐边柜 |樱桃木洞石餐边大柜 |樱桃木洞石模块餐边柜</t>
        </is>
      </c>
      <c r="D463" s="35" t="inlineStr">
        <is>
          <t>洞石餐边柜-洞石整柜1.9米</t>
        </is>
      </c>
      <c r="E463" s="34" t="inlineStr">
        <is>
          <t>北美进口FAS级樱桃木</t>
        </is>
      </c>
      <c r="F463" s="34" t="inlineStr">
        <is>
          <t xml:space="preserve">抽屉围板：新西兰进口松木
台面：洞石岩板
背板：洞石背板/实木多层板
电力轨道：xpower 挂架式电力轨道
顶柜玻璃：灰玻
</t>
        </is>
      </c>
      <c r="G46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3" s="26" t="n">
        <v>7349.380000000001</v>
      </c>
      <c r="I463" s="26" t="n">
        <v>5133.333333333334</v>
      </c>
      <c r="J463" s="27" t="n">
        <v>0.48</v>
      </c>
      <c r="K463" s="28">
        <f>IFERROR(H463,0)</f>
        <v/>
      </c>
      <c r="L463" s="29" t="n">
        <v>0.4668</v>
      </c>
      <c r="M463" s="29" t="n">
        <v>0.2502</v>
      </c>
      <c r="N463" s="29" t="n">
        <v>0.2702</v>
      </c>
      <c r="O463" s="29" t="n">
        <v>0.2502</v>
      </c>
      <c r="P463" s="30">
        <f>IFERROR(IF(K463=0,"待填成本",ROUND(K463/(1-L463),0)),"" )</f>
        <v/>
      </c>
      <c r="Q463" s="30">
        <f>IFERROR(IF(K463=0,"待填成本",ROUND(K463/(1-M463),0)),"" )</f>
        <v/>
      </c>
      <c r="R463" s="30">
        <f>IFERROR(IF(K463=0,"待填成本",ROUND(K463/(1-N463),0)),"" )</f>
        <v/>
      </c>
      <c r="S463" s="30">
        <f>IFERROR(IF(K463=0,"待填成本",ROUND(K463/(1-O463),0)),"" )</f>
        <v/>
      </c>
      <c r="T463" s="31">
        <f>IFERROR(IF(K463=0,"",(P463-K463)/P463),"" )</f>
        <v/>
      </c>
      <c r="U463" s="31">
        <f>IFERROR(IF(K463=0,"",(Q463-K463)/Q463),"" )</f>
        <v/>
      </c>
      <c r="V463" s="31">
        <f>IFERROR(IF(K463=0,"",(R463-K463)/R463),"" )</f>
        <v/>
      </c>
      <c r="W463" s="31">
        <f>IFERROR(IF(K463=0,"",(S463-K463)/S463),"" )</f>
        <v/>
      </c>
      <c r="X463" s="36" t="n"/>
      <c r="Y463" s="36" t="n"/>
      <c r="Z463" s="36" t="n"/>
      <c r="AA463" s="37" t="n">
        <v>15.73583333333333</v>
      </c>
      <c r="AB463" s="37" t="n">
        <v>11.1909375</v>
      </c>
      <c r="AC463" s="37" t="n">
        <v>33.20625</v>
      </c>
      <c r="AD463" s="37" t="n">
        <v>300</v>
      </c>
      <c r="AE463" s="37" t="n">
        <v>150</v>
      </c>
      <c r="AF463" s="33" t="n"/>
      <c r="AG463" s="33" t="n"/>
      <c r="AH463" s="35" t="inlineStr"/>
    </row>
    <row r="464" ht="18" customHeight="1">
      <c r="A464" s="25" t="inlineStr">
        <is>
          <t>2425008080199</t>
        </is>
      </c>
      <c r="B464" s="6" t="inlineStr">
        <is>
          <t>餐厅-柜</t>
        </is>
      </c>
      <c r="C464" s="5" t="inlineStr">
        <is>
          <t>洞石餐边柜 |樱桃木洞石餐边大柜 |樱桃木洞石模块餐边柜</t>
        </is>
      </c>
      <c r="D464" s="5" t="inlineStr">
        <is>
          <t>洞石餐边柜-洞石整柜1.8米（全景组合）（全景抽屉+玻璃移门+开门）</t>
        </is>
      </c>
      <c r="E464" s="6" t="inlineStr">
        <is>
          <t>北美进口FAS级樱桃木</t>
        </is>
      </c>
      <c r="F464" s="6" t="inlineStr">
        <is>
          <t xml:space="preserve">抽屉围板：新西兰进口松木
台面：洞石岩板
背板：洞石背板/实木多层板
电力轨道：xpower 挂架式电力轨道
顶柜玻璃：灰玻
</t>
        </is>
      </c>
      <c r="G46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4" s="26" t="n">
        <v>7238.046666666667</v>
      </c>
      <c r="I464" s="26" t="n">
        <v>5100</v>
      </c>
      <c r="J464" s="27" t="n">
        <v>0.48</v>
      </c>
      <c r="K464" s="28">
        <f>IFERROR(H464,0)</f>
        <v/>
      </c>
      <c r="L464" s="29" t="n">
        <v>0.4668</v>
      </c>
      <c r="M464" s="29" t="n">
        <v>0.2502</v>
      </c>
      <c r="N464" s="29" t="n">
        <v>0.2702</v>
      </c>
      <c r="O464" s="29" t="n">
        <v>0.2502</v>
      </c>
      <c r="P464" s="30">
        <f>IFERROR(IF(K464=0,"待填成本",ROUND(K464/(1-L464),0)),"" )</f>
        <v/>
      </c>
      <c r="Q464" s="30">
        <f>IFERROR(IF(K464=0,"待填成本",ROUND(K464/(1-M464),0)),"" )</f>
        <v/>
      </c>
      <c r="R464" s="30">
        <f>IFERROR(IF(K464=0,"待填成本",ROUND(K464/(1-N464),0)),"" )</f>
        <v/>
      </c>
      <c r="S464" s="30">
        <f>IFERROR(IF(K464=0,"待填成本",ROUND(K464/(1-O464),0)),"" )</f>
        <v/>
      </c>
      <c r="T464" s="31">
        <f>IFERROR(IF(K464=0,"",(P464-K464)/P464),"" )</f>
        <v/>
      </c>
      <c r="U464" s="31">
        <f>IFERROR(IF(K464=0,"",(Q464-K464)/Q464),"" )</f>
        <v/>
      </c>
      <c r="V464" s="31">
        <f>IFERROR(IF(K464=0,"",(R464-K464)/R464),"" )</f>
        <v/>
      </c>
      <c r="W464" s="31">
        <f>IFERROR(IF(K464=0,"",(S464-K464)/S464),"" )</f>
        <v/>
      </c>
      <c r="X464" s="32" t="n"/>
      <c r="Y464" s="32" t="n"/>
      <c r="Z464" s="32" t="n"/>
      <c r="AA464" s="37" t="n">
        <v>15.18</v>
      </c>
      <c r="AB464" s="37" t="n">
        <v>10.738125</v>
      </c>
      <c r="AC464" s="37" t="n">
        <v>32.2575</v>
      </c>
      <c r="AD464" s="37" t="n">
        <v>300</v>
      </c>
      <c r="AE464" s="37" t="n">
        <v>150</v>
      </c>
      <c r="AF464" s="33" t="n"/>
      <c r="AG464" s="33" t="n"/>
      <c r="AH464" s="5" t="inlineStr"/>
    </row>
    <row r="465" ht="18" customHeight="1">
      <c r="A465" s="25" t="inlineStr">
        <is>
          <t>2425008080199</t>
        </is>
      </c>
      <c r="B465" s="34" t="inlineStr">
        <is>
          <t>餐厅-柜</t>
        </is>
      </c>
      <c r="C465" s="35" t="inlineStr">
        <is>
          <t>洞石餐边柜 |樱桃木洞石餐边大柜 |樱桃木洞石模块餐边柜</t>
        </is>
      </c>
      <c r="D465" s="35" t="inlineStr">
        <is>
          <t>洞石餐边柜-洞石整柜1.7米</t>
        </is>
      </c>
      <c r="E465" s="34" t="inlineStr">
        <is>
          <t>北美进口FAS级樱桃木</t>
        </is>
      </c>
      <c r="F465" s="34" t="inlineStr">
        <is>
          <t xml:space="preserve">抽屉围板：新西兰进口松木
台面：洞石岩板
背板：洞石背板/实木多层板
电力轨道：xpower 挂架式电力轨道
顶柜玻璃：灰玻
</t>
        </is>
      </c>
      <c r="G46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5" s="26" t="n">
        <v>7065.02</v>
      </c>
      <c r="I465" s="26" t="n">
        <v>5000</v>
      </c>
      <c r="J465" s="27" t="n">
        <v>0.48</v>
      </c>
      <c r="K465" s="28">
        <f>IFERROR(H465,0)</f>
        <v/>
      </c>
      <c r="L465" s="29" t="n">
        <v>0.4668</v>
      </c>
      <c r="M465" s="29" t="n">
        <v>0.2503</v>
      </c>
      <c r="N465" s="29" t="n">
        <v>0.2702</v>
      </c>
      <c r="O465" s="29" t="n">
        <v>0.2503</v>
      </c>
      <c r="P465" s="30">
        <f>IFERROR(IF(K465=0,"待填成本",ROUND(K465/(1-L465),0)),"" )</f>
        <v/>
      </c>
      <c r="Q465" s="30">
        <f>IFERROR(IF(K465=0,"待填成本",ROUND(K465/(1-M465),0)),"" )</f>
        <v/>
      </c>
      <c r="R465" s="30">
        <f>IFERROR(IF(K465=0,"待填成本",ROUND(K465/(1-N465),0)),"" )</f>
        <v/>
      </c>
      <c r="S465" s="30">
        <f>IFERROR(IF(K465=0,"待填成本",ROUND(K465/(1-O465),0)),"" )</f>
        <v/>
      </c>
      <c r="T465" s="31">
        <f>IFERROR(IF(K465=0,"",(P465-K465)/P465),"" )</f>
        <v/>
      </c>
      <c r="U465" s="31">
        <f>IFERROR(IF(K465=0,"",(Q465-K465)/Q465),"" )</f>
        <v/>
      </c>
      <c r="V465" s="31">
        <f>IFERROR(IF(K465=0,"",(R465-K465)/R465),"" )</f>
        <v/>
      </c>
      <c r="W465" s="31">
        <f>IFERROR(IF(K465=0,"",(S465-K465)/S465),"" )</f>
        <v/>
      </c>
      <c r="X465" s="36" t="n"/>
      <c r="Y465" s="36" t="n"/>
      <c r="Z465" s="36" t="n"/>
      <c r="AA465" s="37" t="n">
        <v>14.62416666666667</v>
      </c>
      <c r="AB465" s="37" t="n">
        <v>10.2853125</v>
      </c>
      <c r="AC465" s="37" t="n">
        <v>31.30875</v>
      </c>
      <c r="AD465" s="37" t="n">
        <v>300</v>
      </c>
      <c r="AE465" s="37" t="n">
        <v>150</v>
      </c>
      <c r="AF465" s="33" t="n"/>
      <c r="AG465" s="33" t="n"/>
      <c r="AH465" s="35" t="inlineStr"/>
    </row>
    <row r="466" ht="18" customHeight="1">
      <c r="A466" s="25" t="inlineStr">
        <is>
          <t>2425008080199</t>
        </is>
      </c>
      <c r="B466" s="6" t="inlineStr">
        <is>
          <t>餐厅-柜</t>
        </is>
      </c>
      <c r="C466" s="5" t="inlineStr">
        <is>
          <t>洞石餐边柜 |樱桃木洞石餐边大柜 |樱桃木洞石模块餐边柜</t>
        </is>
      </c>
      <c r="D466" s="5" t="inlineStr">
        <is>
          <t>洞石餐边柜-洞石整柜1.6米</t>
        </is>
      </c>
      <c r="E466" s="6" t="inlineStr">
        <is>
          <t>北美进口FAS级樱桃木</t>
        </is>
      </c>
      <c r="F466" s="6" t="inlineStr">
        <is>
          <t xml:space="preserve">抽屉围板：新西兰进口松木
台面：洞石岩板
背板：洞石背板/实木多层板
电力轨道：xpower 挂架式电力轨道
顶柜玻璃：灰玻
</t>
        </is>
      </c>
      <c r="G46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6" s="26" t="n">
        <v>6891.993333333334</v>
      </c>
      <c r="I466" s="26" t="n">
        <v>4900</v>
      </c>
      <c r="J466" s="27" t="n">
        <v>0.48</v>
      </c>
      <c r="K466" s="28">
        <f>IFERROR(H466,0)</f>
        <v/>
      </c>
      <c r="L466" s="29" t="n">
        <v>0.4668</v>
      </c>
      <c r="M466" s="29" t="n">
        <v>0.2504</v>
      </c>
      <c r="N466" s="29" t="n">
        <v>0.2702</v>
      </c>
      <c r="O466" s="29" t="n">
        <v>0.2504</v>
      </c>
      <c r="P466" s="30">
        <f>IFERROR(IF(K466=0,"待填成本",ROUND(K466/(1-L466),0)),"" )</f>
        <v/>
      </c>
      <c r="Q466" s="30">
        <f>IFERROR(IF(K466=0,"待填成本",ROUND(K466/(1-M466),0)),"" )</f>
        <v/>
      </c>
      <c r="R466" s="30">
        <f>IFERROR(IF(K466=0,"待填成本",ROUND(K466/(1-N466),0)),"" )</f>
        <v/>
      </c>
      <c r="S466" s="30">
        <f>IFERROR(IF(K466=0,"待填成本",ROUND(K466/(1-O466),0)),"" )</f>
        <v/>
      </c>
      <c r="T466" s="31">
        <f>IFERROR(IF(K466=0,"",(P466-K466)/P466),"" )</f>
        <v/>
      </c>
      <c r="U466" s="31">
        <f>IFERROR(IF(K466=0,"",(Q466-K466)/Q466),"" )</f>
        <v/>
      </c>
      <c r="V466" s="31">
        <f>IFERROR(IF(K466=0,"",(R466-K466)/R466),"" )</f>
        <v/>
      </c>
      <c r="W466" s="31">
        <f>IFERROR(IF(K466=0,"",(S466-K466)/S466),"" )</f>
        <v/>
      </c>
      <c r="X466" s="32" t="n"/>
      <c r="Y466" s="32" t="n"/>
      <c r="Z466" s="32" t="n"/>
      <c r="AA466" s="37" t="n">
        <v>14.06833333333333</v>
      </c>
      <c r="AB466" s="37" t="n">
        <v>9.8325</v>
      </c>
      <c r="AC466" s="37" t="n">
        <v>30.36</v>
      </c>
      <c r="AD466" s="37" t="n">
        <v>300</v>
      </c>
      <c r="AE466" s="37" t="n">
        <v>150</v>
      </c>
      <c r="AF466" s="33" t="n"/>
      <c r="AG466" s="33" t="n"/>
      <c r="AH466" s="5" t="inlineStr"/>
    </row>
    <row r="467" ht="18" customHeight="1">
      <c r="A467" s="25" t="inlineStr">
        <is>
          <t>2425008080199</t>
        </is>
      </c>
      <c r="B467" s="34" t="inlineStr">
        <is>
          <t>餐厅-柜</t>
        </is>
      </c>
      <c r="C467" s="35" t="inlineStr">
        <is>
          <t>洞石餐边柜 |樱桃木洞石餐边大柜 |樱桃木洞石模块餐边柜</t>
        </is>
      </c>
      <c r="D467" s="35" t="inlineStr">
        <is>
          <t>洞石餐边柜-洞石整柜1.5米（全景组合）（玻璃移门+开门）</t>
        </is>
      </c>
      <c r="E467" s="34" t="inlineStr">
        <is>
          <t>北美进口FAS级樱桃木</t>
        </is>
      </c>
      <c r="F467" s="34" t="inlineStr">
        <is>
          <t xml:space="preserve">抽屉围板：新西兰进口松木
台面：洞石岩板
背板：洞石背板/实木多层板
电力轨道：xpower 挂架式电力轨道
顶柜玻璃：灰玻
</t>
        </is>
      </c>
      <c r="G46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7" s="26" t="n">
        <v>6718.966666666667</v>
      </c>
      <c r="I467" s="26" t="n">
        <v>4800</v>
      </c>
      <c r="J467" s="27" t="n">
        <v>0.48</v>
      </c>
      <c r="K467" s="28">
        <f>IFERROR(H467,0)</f>
        <v/>
      </c>
      <c r="L467" s="29" t="n">
        <v>0.4668</v>
      </c>
      <c r="M467" s="29" t="n">
        <v>0.2505</v>
      </c>
      <c r="N467" s="29" t="n">
        <v>0.2702</v>
      </c>
      <c r="O467" s="29" t="n">
        <v>0.2505</v>
      </c>
      <c r="P467" s="30">
        <f>IFERROR(IF(K467=0,"待填成本",ROUND(K467/(1-L467),0)),"" )</f>
        <v/>
      </c>
      <c r="Q467" s="30">
        <f>IFERROR(IF(K467=0,"待填成本",ROUND(K467/(1-M467),0)),"" )</f>
        <v/>
      </c>
      <c r="R467" s="30">
        <f>IFERROR(IF(K467=0,"待填成本",ROUND(K467/(1-N467),0)),"" )</f>
        <v/>
      </c>
      <c r="S467" s="30">
        <f>IFERROR(IF(K467=0,"待填成本",ROUND(K467/(1-O467),0)),"" )</f>
        <v/>
      </c>
      <c r="T467" s="31">
        <f>IFERROR(IF(K467=0,"",(P467-K467)/P467),"" )</f>
        <v/>
      </c>
      <c r="U467" s="31">
        <f>IFERROR(IF(K467=0,"",(Q467-K467)/Q467),"" )</f>
        <v/>
      </c>
      <c r="V467" s="31">
        <f>IFERROR(IF(K467=0,"",(R467-K467)/R467),"" )</f>
        <v/>
      </c>
      <c r="W467" s="31">
        <f>IFERROR(IF(K467=0,"",(S467-K467)/S467),"" )</f>
        <v/>
      </c>
      <c r="X467" s="36" t="n"/>
      <c r="Y467" s="36" t="n"/>
      <c r="Z467" s="36" t="n"/>
      <c r="AA467" s="37" t="n">
        <v>13.5125</v>
      </c>
      <c r="AB467" s="37" t="n">
        <v>9.379687499999999</v>
      </c>
      <c r="AC467" s="37" t="n">
        <v>29.41125</v>
      </c>
      <c r="AD467" s="37" t="n">
        <v>300</v>
      </c>
      <c r="AE467" s="37" t="n">
        <v>150</v>
      </c>
      <c r="AF467" s="33" t="n"/>
      <c r="AG467" s="33" t="n"/>
      <c r="AH467" s="35" t="inlineStr"/>
    </row>
    <row r="468" ht="18" customHeight="1">
      <c r="A468" s="25" t="inlineStr">
        <is>
          <t>2425008080199</t>
        </is>
      </c>
      <c r="B468" s="6" t="inlineStr">
        <is>
          <t>餐厅-柜</t>
        </is>
      </c>
      <c r="C468" s="5" t="inlineStr">
        <is>
          <t>洞石餐边柜 |樱桃木洞石餐边大柜 |樱桃木洞石模块餐边柜</t>
        </is>
      </c>
      <c r="D468" s="5" t="inlineStr">
        <is>
          <t>洞石餐边柜-洞石整柜1.4米</t>
        </is>
      </c>
      <c r="E468" s="6" t="inlineStr">
        <is>
          <t>北美进口FAS级樱桃木</t>
        </is>
      </c>
      <c r="F468" s="6" t="inlineStr">
        <is>
          <t xml:space="preserve">抽屉围板：新西兰进口松木
台面：洞石岩板
背板：洞石背板/实木多层板
电力轨道：xpower 挂架式电力轨道
顶柜玻璃：灰玻
</t>
        </is>
      </c>
      <c r="G46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8" s="26" t="n">
        <v>6632.326666666667</v>
      </c>
      <c r="I468" s="26" t="n">
        <v>4800</v>
      </c>
      <c r="J468" s="27" t="n">
        <v>0.48</v>
      </c>
      <c r="K468" s="28">
        <f>IFERROR(H468,0)</f>
        <v/>
      </c>
      <c r="L468" s="29" t="n">
        <v>0.4669</v>
      </c>
      <c r="M468" s="29" t="n">
        <v>0.2505</v>
      </c>
      <c r="N468" s="29" t="n">
        <v>0.2671</v>
      </c>
      <c r="O468" s="29" t="n">
        <v>0.2379</v>
      </c>
      <c r="P468" s="30">
        <f>IFERROR(IF(K468=0,"待填成本",ROUND(K468/(1-L468),0)),"" )</f>
        <v/>
      </c>
      <c r="Q468" s="30">
        <f>IFERROR(IF(K468=0,"待填成本",ROUND(K468/(1-M468),0)),"" )</f>
        <v/>
      </c>
      <c r="R468" s="30">
        <f>IFERROR(IF(K468=0,"待填成本",ROUND(K468/(1-N468),0)),"" )</f>
        <v/>
      </c>
      <c r="S468" s="30">
        <f>IFERROR(IF(K468=0,"待填成本",ROUND(K468/(1-O468),0)),"" )</f>
        <v/>
      </c>
      <c r="T468" s="31">
        <f>IFERROR(IF(K468=0,"",(P468-K468)/P468),"" )</f>
        <v/>
      </c>
      <c r="U468" s="31">
        <f>IFERROR(IF(K468=0,"",(Q468-K468)/Q468),"" )</f>
        <v/>
      </c>
      <c r="V468" s="31">
        <f>IFERROR(IF(K468=0,"",(R468-K468)/R468),"" )</f>
        <v/>
      </c>
      <c r="W468" s="31">
        <f>IFERROR(IF(K468=0,"",(S468-K468)/S468),"" )</f>
        <v/>
      </c>
      <c r="X468" s="32" t="n"/>
      <c r="Y468" s="32" t="n"/>
      <c r="Z468" s="32" t="n"/>
      <c r="AA468" s="37" t="n">
        <v>13.19625</v>
      </c>
      <c r="AB468" s="37" t="n">
        <v>8.926874999999999</v>
      </c>
      <c r="AC468" s="37" t="n">
        <v>28.4625</v>
      </c>
      <c r="AD468" s="37" t="n">
        <v>300</v>
      </c>
      <c r="AE468" s="37" t="n">
        <v>150</v>
      </c>
      <c r="AF468" s="33" t="n"/>
      <c r="AG468" s="33" t="n"/>
      <c r="AH468" s="5" t="inlineStr"/>
    </row>
    <row r="469" ht="18" customHeight="1">
      <c r="A469" s="25" t="inlineStr">
        <is>
          <t>2425008080199</t>
        </is>
      </c>
      <c r="B469" s="34" t="inlineStr">
        <is>
          <t>餐厅-柜</t>
        </is>
      </c>
      <c r="C469" s="35" t="inlineStr">
        <is>
          <t>洞石餐边柜 |樱桃木洞石餐边大柜 |樱桃木洞石模块餐边柜</t>
        </is>
      </c>
      <c r="D469" s="35" t="inlineStr">
        <is>
          <t>洞石餐边柜-洞石整柜1.3米</t>
        </is>
      </c>
      <c r="E469" s="34" t="inlineStr">
        <is>
          <t>北美进口FAS级樱桃木</t>
        </is>
      </c>
      <c r="F469" s="34" t="inlineStr">
        <is>
          <t xml:space="preserve">抽屉围板：新西兰进口松木
台面：洞石岩板
背板：洞石背板/实木多层板
电力轨道：xpower 挂架式电力轨道
顶柜玻璃：灰玻
</t>
        </is>
      </c>
      <c r="G46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69" s="26" t="n">
        <v>6545.686666666666</v>
      </c>
      <c r="I469" s="26" t="n">
        <v>4800</v>
      </c>
      <c r="J469" s="27" t="n">
        <v>0.48</v>
      </c>
      <c r="K469" s="28">
        <f>IFERROR(H469,0)</f>
        <v/>
      </c>
      <c r="L469" s="29" t="n">
        <v>0.4669</v>
      </c>
      <c r="M469" s="29" t="n">
        <v>0.2504</v>
      </c>
      <c r="N469" s="29" t="n">
        <v>0.264</v>
      </c>
      <c r="O469" s="29" t="n">
        <v>0.2244</v>
      </c>
      <c r="P469" s="30">
        <f>IFERROR(IF(K469=0,"待填成本",ROUND(K469/(1-L469),0)),"" )</f>
        <v/>
      </c>
      <c r="Q469" s="30">
        <f>IFERROR(IF(K469=0,"待填成本",ROUND(K469/(1-M469),0)),"" )</f>
        <v/>
      </c>
      <c r="R469" s="30">
        <f>IFERROR(IF(K469=0,"待填成本",ROUND(K469/(1-N469),0)),"" )</f>
        <v/>
      </c>
      <c r="S469" s="30">
        <f>IFERROR(IF(K469=0,"待填成本",ROUND(K469/(1-O469),0)),"" )</f>
        <v/>
      </c>
      <c r="T469" s="31">
        <f>IFERROR(IF(K469=0,"",(P469-K469)/P469),"" )</f>
        <v/>
      </c>
      <c r="U469" s="31">
        <f>IFERROR(IF(K469=0,"",(Q469-K469)/Q469),"" )</f>
        <v/>
      </c>
      <c r="V469" s="31">
        <f>IFERROR(IF(K469=0,"",(R469-K469)/R469),"" )</f>
        <v/>
      </c>
      <c r="W469" s="31">
        <f>IFERROR(IF(K469=0,"",(S469-K469)/S469),"" )</f>
        <v/>
      </c>
      <c r="X469" s="36" t="n"/>
      <c r="Y469" s="36" t="n"/>
      <c r="Z469" s="36" t="n"/>
      <c r="AA469" s="37" t="n">
        <v>12.88</v>
      </c>
      <c r="AB469" s="37" t="n">
        <v>8.474062499999999</v>
      </c>
      <c r="AC469" s="37" t="n">
        <v>27.51375</v>
      </c>
      <c r="AD469" s="37" t="n">
        <v>300</v>
      </c>
      <c r="AE469" s="37" t="n">
        <v>150</v>
      </c>
      <c r="AF469" s="33" t="n"/>
      <c r="AG469" s="33" t="n"/>
      <c r="AH469" s="35" t="inlineStr"/>
    </row>
    <row r="470" ht="18" customHeight="1">
      <c r="A470" s="25" t="inlineStr">
        <is>
          <t>2425008080199</t>
        </is>
      </c>
      <c r="B470" s="6" t="inlineStr">
        <is>
          <t>餐厅-柜</t>
        </is>
      </c>
      <c r="C470" s="5" t="inlineStr">
        <is>
          <t>洞石餐边柜 |樱桃木洞石餐边大柜 |樱桃木洞石模块餐边柜</t>
        </is>
      </c>
      <c r="D470" s="5" t="inlineStr">
        <is>
          <t>洞石餐边柜-洞石整柜1.2米（全景组合）（全景抽屉+开门）</t>
        </is>
      </c>
      <c r="E470" s="6" t="inlineStr">
        <is>
          <t>北美进口FAS级樱桃木</t>
        </is>
      </c>
      <c r="F470" s="6" t="inlineStr">
        <is>
          <t xml:space="preserve">抽屉围板：新西兰进口松木
台面：洞石岩板
背板：洞石背板/实木多层板
电力轨道：xpower 挂架式电力轨道
顶柜玻璃：灰玻
</t>
        </is>
      </c>
      <c r="G47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0" s="26" t="n">
        <v>6459.046666666667</v>
      </c>
      <c r="I470" s="26" t="n">
        <v>4800</v>
      </c>
      <c r="J470" s="27" t="n">
        <v>0.48</v>
      </c>
      <c r="K470" s="28">
        <f>IFERROR(H470,0)</f>
        <v/>
      </c>
      <c r="L470" s="29" t="n">
        <v>0.4669</v>
      </c>
      <c r="M470" s="29" t="n">
        <v>0.2503</v>
      </c>
      <c r="N470" s="29" t="n">
        <v>0.2607</v>
      </c>
      <c r="O470" s="29" t="n">
        <v>0.2101</v>
      </c>
      <c r="P470" s="30">
        <f>IFERROR(IF(K470=0,"待填成本",ROUND(K470/(1-L470),0)),"" )</f>
        <v/>
      </c>
      <c r="Q470" s="30">
        <f>IFERROR(IF(K470=0,"待填成本",ROUND(K470/(1-M470),0)),"" )</f>
        <v/>
      </c>
      <c r="R470" s="30">
        <f>IFERROR(IF(K470=0,"待填成本",ROUND(K470/(1-N470),0)),"" )</f>
        <v/>
      </c>
      <c r="S470" s="30">
        <f>IFERROR(IF(K470=0,"待填成本",ROUND(K470/(1-O470),0)),"" )</f>
        <v/>
      </c>
      <c r="T470" s="31">
        <f>IFERROR(IF(K470=0,"",(P470-K470)/P470),"" )</f>
        <v/>
      </c>
      <c r="U470" s="31">
        <f>IFERROR(IF(K470=0,"",(Q470-K470)/Q470),"" )</f>
        <v/>
      </c>
      <c r="V470" s="31">
        <f>IFERROR(IF(K470=0,"",(R470-K470)/R470),"" )</f>
        <v/>
      </c>
      <c r="W470" s="31">
        <f>IFERROR(IF(K470=0,"",(S470-K470)/S470),"" )</f>
        <v/>
      </c>
      <c r="X470" s="32" t="n"/>
      <c r="Y470" s="32" t="n"/>
      <c r="Z470" s="32" t="n"/>
      <c r="AA470" s="37" t="n">
        <v>12.56375</v>
      </c>
      <c r="AB470" s="37" t="n">
        <v>8.021249999999998</v>
      </c>
      <c r="AC470" s="37" t="n">
        <v>26.565</v>
      </c>
      <c r="AD470" s="37" t="n">
        <v>300</v>
      </c>
      <c r="AE470" s="37" t="n">
        <v>150</v>
      </c>
      <c r="AF470" s="33" t="n"/>
      <c r="AG470" s="33" t="n"/>
      <c r="AH470" s="5" t="inlineStr"/>
    </row>
    <row r="471" ht="18" customHeight="1">
      <c r="A471" s="25" t="inlineStr">
        <is>
          <t>2425008080199</t>
        </is>
      </c>
      <c r="B471" s="34" t="inlineStr">
        <is>
          <t>餐厅-柜</t>
        </is>
      </c>
      <c r="C471" s="35" t="inlineStr">
        <is>
          <t>洞石餐边柜 |樱桃木洞石餐边大柜 |樱桃木洞石模块餐边柜</t>
        </is>
      </c>
      <c r="D471" s="35" t="inlineStr">
        <is>
          <t>洞石餐边柜-洞石整柜1.1米</t>
        </is>
      </c>
      <c r="E471" s="34" t="inlineStr">
        <is>
          <t>北美进口FAS级樱桃木</t>
        </is>
      </c>
      <c r="F471" s="34" t="inlineStr">
        <is>
          <t xml:space="preserve">抽屉围板：新西兰进口松木
台面：洞石岩板
背板：洞石背板/实木多层板
电力轨道：xpower 挂架式电力轨道
顶柜玻璃：灰玻
</t>
        </is>
      </c>
      <c r="G47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1" s="26" t="n">
        <v>6372.406666666667</v>
      </c>
      <c r="I471" s="26" t="n">
        <v>4800</v>
      </c>
      <c r="J471" s="27" t="n">
        <v>0.48</v>
      </c>
      <c r="K471" s="28">
        <f>IFERROR(H471,0)</f>
        <v/>
      </c>
      <c r="L471" s="29" t="n">
        <v>0.467</v>
      </c>
      <c r="M471" s="29" t="n">
        <v>0.2503</v>
      </c>
      <c r="N471" s="29" t="n">
        <v>0.2573</v>
      </c>
      <c r="O471" s="29" t="n">
        <v>0.1948</v>
      </c>
      <c r="P471" s="30">
        <f>IFERROR(IF(K471=0,"待填成本",ROUND(K471/(1-L471),0)),"" )</f>
        <v/>
      </c>
      <c r="Q471" s="30">
        <f>IFERROR(IF(K471=0,"待填成本",ROUND(K471/(1-M471),0)),"" )</f>
        <v/>
      </c>
      <c r="R471" s="30">
        <f>IFERROR(IF(K471=0,"待填成本",ROUND(K471/(1-N471),0)),"" )</f>
        <v/>
      </c>
      <c r="S471" s="30">
        <f>IFERROR(IF(K471=0,"待填成本",ROUND(K471/(1-O471),0)),"" )</f>
        <v/>
      </c>
      <c r="T471" s="31">
        <f>IFERROR(IF(K471=0,"",(P471-K471)/P471),"" )</f>
        <v/>
      </c>
      <c r="U471" s="31">
        <f>IFERROR(IF(K471=0,"",(Q471-K471)/Q471),"" )</f>
        <v/>
      </c>
      <c r="V471" s="31">
        <f>IFERROR(IF(K471=0,"",(R471-K471)/R471),"" )</f>
        <v/>
      </c>
      <c r="W471" s="31">
        <f>IFERROR(IF(K471=0,"",(S471-K471)/S471),"" )</f>
        <v/>
      </c>
      <c r="X471" s="36" t="n"/>
      <c r="Y471" s="36" t="n"/>
      <c r="Z471" s="36" t="n"/>
      <c r="AA471" s="37" t="n">
        <v>12.2475</v>
      </c>
      <c r="AB471" s="37" t="n">
        <v>7.568437499999998</v>
      </c>
      <c r="AC471" s="37" t="n">
        <v>25.61625</v>
      </c>
      <c r="AD471" s="37" t="n">
        <v>300</v>
      </c>
      <c r="AE471" s="37" t="n">
        <v>150</v>
      </c>
      <c r="AF471" s="33" t="n"/>
      <c r="AG471" s="33" t="n"/>
      <c r="AH471" s="35" t="inlineStr"/>
    </row>
    <row r="472" ht="18" customHeight="1">
      <c r="A472" s="25" t="inlineStr">
        <is>
          <t>2425008080199</t>
        </is>
      </c>
      <c r="B472" s="6" t="inlineStr">
        <is>
          <t>餐厅-柜</t>
        </is>
      </c>
      <c r="C472" s="5" t="inlineStr">
        <is>
          <t>洞石餐边柜 |樱桃木洞石餐边大柜 |樱桃木洞石模块餐边柜</t>
        </is>
      </c>
      <c r="D472" s="5" t="inlineStr">
        <is>
          <t>洞石餐边柜-洞石整柜1.0米</t>
        </is>
      </c>
      <c r="E472" s="6" t="inlineStr">
        <is>
          <t>北美进口FAS级樱桃木</t>
        </is>
      </c>
      <c r="F472" s="6" t="inlineStr">
        <is>
          <t xml:space="preserve">抽屉围板：新西兰进口松木
台面：洞石岩板
背板：洞石背板/实木多层板
电力轨道：xpower 挂架式电力轨道
顶柜玻璃：灰玻
</t>
        </is>
      </c>
      <c r="G47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2" s="26" t="n">
        <v>6285.766666666666</v>
      </c>
      <c r="I472" s="26" t="n">
        <v>4800</v>
      </c>
      <c r="J472" s="27" t="n">
        <v>0.48</v>
      </c>
      <c r="K472" s="28">
        <f>IFERROR(H472,0)</f>
        <v/>
      </c>
      <c r="L472" s="29" t="n">
        <v>0.467</v>
      </c>
      <c r="M472" s="29" t="n">
        <v>0.2502</v>
      </c>
      <c r="N472" s="29" t="n">
        <v>0.2538</v>
      </c>
      <c r="O472" s="29" t="n">
        <v>0.1785</v>
      </c>
      <c r="P472" s="30">
        <f>IFERROR(IF(K472=0,"待填成本",ROUND(K472/(1-L472),0)),"" )</f>
        <v/>
      </c>
      <c r="Q472" s="30">
        <f>IFERROR(IF(K472=0,"待填成本",ROUND(K472/(1-M472),0)),"" )</f>
        <v/>
      </c>
      <c r="R472" s="30">
        <f>IFERROR(IF(K472=0,"待填成本",ROUND(K472/(1-N472),0)),"" )</f>
        <v/>
      </c>
      <c r="S472" s="30">
        <f>IFERROR(IF(K472=0,"待填成本",ROUND(K472/(1-O472),0)),"" )</f>
        <v/>
      </c>
      <c r="T472" s="31">
        <f>IFERROR(IF(K472=0,"",(P472-K472)/P472),"" )</f>
        <v/>
      </c>
      <c r="U472" s="31">
        <f>IFERROR(IF(K472=0,"",(Q472-K472)/Q472),"" )</f>
        <v/>
      </c>
      <c r="V472" s="31">
        <f>IFERROR(IF(K472=0,"",(R472-K472)/R472),"" )</f>
        <v/>
      </c>
      <c r="W472" s="31">
        <f>IFERROR(IF(K472=0,"",(S472-K472)/S472),"" )</f>
        <v/>
      </c>
      <c r="X472" s="32" t="n"/>
      <c r="Y472" s="32" t="n"/>
      <c r="Z472" s="32" t="n"/>
      <c r="AA472" s="37" t="n">
        <v>11.93125</v>
      </c>
      <c r="AB472" s="37" t="n">
        <v>7.115624999999998</v>
      </c>
      <c r="AC472" s="37" t="n">
        <v>24.6675</v>
      </c>
      <c r="AD472" s="37" t="n">
        <v>300</v>
      </c>
      <c r="AE472" s="37" t="n">
        <v>150</v>
      </c>
      <c r="AF472" s="33" t="n"/>
      <c r="AG472" s="33" t="n"/>
      <c r="AH472" s="5" t="inlineStr"/>
    </row>
    <row r="473" ht="18" customHeight="1">
      <c r="A473" s="25" t="inlineStr">
        <is>
          <t>2425008080199</t>
        </is>
      </c>
      <c r="B473" s="34" t="inlineStr">
        <is>
          <t>餐厅-柜</t>
        </is>
      </c>
      <c r="C473" s="35" t="inlineStr">
        <is>
          <t>洞石餐边柜 |樱桃木洞石餐边大柜 |樱桃木洞石模块餐边柜</t>
        </is>
      </c>
      <c r="D473" s="35" t="inlineStr">
        <is>
          <t>洞石餐边柜-榉木版洞石整柜2.1米（全景组合）（全景抽屉+玻璃移门+开门）</t>
        </is>
      </c>
      <c r="E473" s="34" t="inlineStr">
        <is>
          <t>北美进口FAS级樱桃木</t>
        </is>
      </c>
      <c r="F473" s="34" t="inlineStr">
        <is>
          <t xml:space="preserve">抽屉围板：新西兰进口松木
台面：洞石岩板
背板：洞石背板/实木多层板
电力轨道：xpower 挂架式电力轨道
顶柜玻璃：灰玻
</t>
        </is>
      </c>
      <c r="G47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3" s="26" t="n">
        <v>7372.046666666667</v>
      </c>
      <c r="I473" s="26" t="n">
        <v>5000</v>
      </c>
      <c r="J473" s="27" t="n">
        <v>0.48</v>
      </c>
      <c r="K473" s="28">
        <f>IFERROR(H473,0)</f>
        <v/>
      </c>
      <c r="L473" s="29" t="n">
        <v>0.4668</v>
      </c>
      <c r="M473" s="29" t="n">
        <v>0.2501</v>
      </c>
      <c r="N473" s="29" t="n">
        <v>0.2401</v>
      </c>
      <c r="O473" s="29" t="n">
        <v>0.2103</v>
      </c>
      <c r="P473" s="30">
        <f>IFERROR(IF(K473=0,"待填成本",ROUND(K473/(1-L473),0)),"" )</f>
        <v/>
      </c>
      <c r="Q473" s="30">
        <f>IFERROR(IF(K473=0,"待填成本",ROUND(K473/(1-M473),0)),"" )</f>
        <v/>
      </c>
      <c r="R473" s="30">
        <f>IFERROR(IF(K473=0,"待填成本",ROUND(K473/(1-N473),0)),"" )</f>
        <v/>
      </c>
      <c r="S473" s="30">
        <f>IFERROR(IF(K473=0,"待填成本",ROUND(K473/(1-O473),0)),"" )</f>
        <v/>
      </c>
      <c r="T473" s="31">
        <f>IFERROR(IF(K473=0,"",(P473-K473)/P473),"" )</f>
        <v/>
      </c>
      <c r="U473" s="31">
        <f>IFERROR(IF(K473=0,"",(Q473-K473)/Q473),"" )</f>
        <v/>
      </c>
      <c r="V473" s="31">
        <f>IFERROR(IF(K473=0,"",(R473-K473)/R473),"" )</f>
        <v/>
      </c>
      <c r="W473" s="31">
        <f>IFERROR(IF(K473=0,"",(S473-K473)/S473),"" )</f>
        <v/>
      </c>
      <c r="X473" s="36" t="n"/>
      <c r="Y473" s="36" t="n"/>
      <c r="Z473" s="36" t="n"/>
      <c r="AA473" s="37" t="n">
        <v>15.8125</v>
      </c>
      <c r="AB473" s="37" t="n">
        <v>11.5790625</v>
      </c>
      <c r="AC473" s="37" t="n">
        <v>32.06775</v>
      </c>
      <c r="AD473" s="37" t="n">
        <v>240</v>
      </c>
      <c r="AE473" s="37" t="n">
        <v>150</v>
      </c>
      <c r="AF473" s="33" t="n"/>
      <c r="AG473" s="33" t="n"/>
      <c r="AH473" s="35" t="inlineStr"/>
    </row>
    <row r="474" ht="18" customHeight="1">
      <c r="A474" s="25" t="inlineStr">
        <is>
          <t>2425008080199</t>
        </is>
      </c>
      <c r="B474" s="6" t="inlineStr">
        <is>
          <t>餐厅-柜</t>
        </is>
      </c>
      <c r="C474" s="5" t="inlineStr">
        <is>
          <t>洞石餐边柜 |樱桃木洞石餐边大柜 |樱桃木洞石模块餐边柜</t>
        </is>
      </c>
      <c r="D474" s="5" t="inlineStr">
        <is>
          <t>洞石餐边柜-榉木版洞石整柜2.0米</t>
        </is>
      </c>
      <c r="E474" s="6" t="inlineStr">
        <is>
          <t>北美进口FAS级樱桃木</t>
        </is>
      </c>
      <c r="F474" s="6" t="inlineStr">
        <is>
          <t xml:space="preserve">抽屉围板：新西兰进口松木
台面：洞石岩板
背板：洞石背板/实木多层板
电力轨道：xpower 挂架式电力轨道
顶柜玻璃：灰玻
</t>
        </is>
      </c>
      <c r="G47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4" s="26" t="n">
        <v>7260.713333333334</v>
      </c>
      <c r="I474" s="26" t="n">
        <v>4966.666666666667</v>
      </c>
      <c r="J474" s="27" t="n">
        <v>0.48</v>
      </c>
      <c r="K474" s="28">
        <f>IFERROR(H474,0)</f>
        <v/>
      </c>
      <c r="L474" s="29" t="n">
        <v>0.4668</v>
      </c>
      <c r="M474" s="29" t="n">
        <v>0.2501</v>
      </c>
      <c r="N474" s="29" t="n">
        <v>0.2433</v>
      </c>
      <c r="O474" s="29" t="n">
        <v>0.2104</v>
      </c>
      <c r="P474" s="30">
        <f>IFERROR(IF(K474=0,"待填成本",ROUND(K474/(1-L474),0)),"" )</f>
        <v/>
      </c>
      <c r="Q474" s="30">
        <f>IFERROR(IF(K474=0,"待填成本",ROUND(K474/(1-M474),0)),"" )</f>
        <v/>
      </c>
      <c r="R474" s="30">
        <f>IFERROR(IF(K474=0,"待填成本",ROUND(K474/(1-N474),0)),"" )</f>
        <v/>
      </c>
      <c r="S474" s="30">
        <f>IFERROR(IF(K474=0,"待填成本",ROUND(K474/(1-O474),0)),"" )</f>
        <v/>
      </c>
      <c r="T474" s="31">
        <f>IFERROR(IF(K474=0,"",(P474-K474)/P474),"" )</f>
        <v/>
      </c>
      <c r="U474" s="31">
        <f>IFERROR(IF(K474=0,"",(Q474-K474)/Q474),"" )</f>
        <v/>
      </c>
      <c r="V474" s="31">
        <f>IFERROR(IF(K474=0,"",(R474-K474)/R474),"" )</f>
        <v/>
      </c>
      <c r="W474" s="31">
        <f>IFERROR(IF(K474=0,"",(S474-K474)/S474),"" )</f>
        <v/>
      </c>
      <c r="X474" s="32" t="n"/>
      <c r="Y474" s="32" t="n"/>
      <c r="Z474" s="32" t="n"/>
      <c r="AA474" s="37" t="n">
        <v>15.25666666666667</v>
      </c>
      <c r="AB474" s="37" t="n">
        <v>11.12625</v>
      </c>
      <c r="AC474" s="37" t="n">
        <v>31.119</v>
      </c>
      <c r="AD474" s="37" t="n">
        <v>240</v>
      </c>
      <c r="AE474" s="37" t="n">
        <v>150</v>
      </c>
      <c r="AF474" s="33" t="n"/>
      <c r="AG474" s="33" t="n"/>
      <c r="AH474" s="5" t="inlineStr"/>
    </row>
    <row r="475" ht="18" customHeight="1">
      <c r="A475" s="25" t="inlineStr">
        <is>
          <t>2425008080199</t>
        </is>
      </c>
      <c r="B475" s="34" t="inlineStr">
        <is>
          <t>餐厅-柜</t>
        </is>
      </c>
      <c r="C475" s="35" t="inlineStr">
        <is>
          <t>洞石餐边柜 |樱桃木洞石餐边大柜 |樱桃木洞石模块餐边柜</t>
        </is>
      </c>
      <c r="D475" s="35" t="inlineStr">
        <is>
          <t>洞石餐边柜-榉木版洞石整柜1.9米</t>
        </is>
      </c>
      <c r="E475" s="34" t="inlineStr">
        <is>
          <t>北美进口FAS级樱桃木</t>
        </is>
      </c>
      <c r="F475" s="34" t="inlineStr">
        <is>
          <t xml:space="preserve">抽屉围板：新西兰进口松木
台面：洞石岩板
背板：洞石背板/实木多层板
电力轨道：xpower 挂架式电力轨道
顶柜玻璃：灰玻
</t>
        </is>
      </c>
      <c r="G47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5" s="26" t="n">
        <v>7149.380000000001</v>
      </c>
      <c r="I475" s="26" t="n">
        <v>4933.333333333334</v>
      </c>
      <c r="J475" s="27" t="n">
        <v>0.48</v>
      </c>
      <c r="K475" s="28">
        <f>IFERROR(H475,0)</f>
        <v/>
      </c>
      <c r="L475" s="29" t="n">
        <v>0.4668</v>
      </c>
      <c r="M475" s="29" t="n">
        <v>0.2501</v>
      </c>
      <c r="N475" s="29" t="n">
        <v>0.2467</v>
      </c>
      <c r="O475" s="29" t="n">
        <v>0.2105</v>
      </c>
      <c r="P475" s="30">
        <f>IFERROR(IF(K475=0,"待填成本",ROUND(K475/(1-L475),0)),"" )</f>
        <v/>
      </c>
      <c r="Q475" s="30">
        <f>IFERROR(IF(K475=0,"待填成本",ROUND(K475/(1-M475),0)),"" )</f>
        <v/>
      </c>
      <c r="R475" s="30">
        <f>IFERROR(IF(K475=0,"待填成本",ROUND(K475/(1-N475),0)),"" )</f>
        <v/>
      </c>
      <c r="S475" s="30">
        <f>IFERROR(IF(K475=0,"待填成本",ROUND(K475/(1-O475),0)),"" )</f>
        <v/>
      </c>
      <c r="T475" s="31">
        <f>IFERROR(IF(K475=0,"",(P475-K475)/P475),"" )</f>
        <v/>
      </c>
      <c r="U475" s="31">
        <f>IFERROR(IF(K475=0,"",(Q475-K475)/Q475),"" )</f>
        <v/>
      </c>
      <c r="V475" s="31">
        <f>IFERROR(IF(K475=0,"",(R475-K475)/R475),"" )</f>
        <v/>
      </c>
      <c r="W475" s="31">
        <f>IFERROR(IF(K475=0,"",(S475-K475)/S475),"" )</f>
        <v/>
      </c>
      <c r="X475" s="36" t="n"/>
      <c r="Y475" s="36" t="n"/>
      <c r="Z475" s="36" t="n"/>
      <c r="AA475" s="37" t="n">
        <v>14.70083333333333</v>
      </c>
      <c r="AB475" s="37" t="n">
        <v>10.6734375</v>
      </c>
      <c r="AC475" s="37" t="n">
        <v>30.17025</v>
      </c>
      <c r="AD475" s="37" t="n">
        <v>240</v>
      </c>
      <c r="AE475" s="37" t="n">
        <v>150</v>
      </c>
      <c r="AF475" s="33" t="n"/>
      <c r="AG475" s="33" t="n"/>
      <c r="AH475" s="35" t="inlineStr"/>
    </row>
    <row r="476" ht="18" customHeight="1">
      <c r="A476" s="25" t="inlineStr">
        <is>
          <t>2425008080199</t>
        </is>
      </c>
      <c r="B476" s="6" t="inlineStr">
        <is>
          <t>餐厅-柜</t>
        </is>
      </c>
      <c r="C476" s="5" t="inlineStr">
        <is>
          <t>洞石餐边柜 |樱桃木洞石餐边大柜 |樱桃木洞石模块餐边柜</t>
        </is>
      </c>
      <c r="D476" s="5" t="inlineStr">
        <is>
          <t>洞石餐边柜-榉木版洞石整柜1.8米（全景组合）（全景抽屉+玻璃移门+开门）</t>
        </is>
      </c>
      <c r="E476" s="6" t="inlineStr">
        <is>
          <t>北美进口FAS级樱桃木</t>
        </is>
      </c>
      <c r="F476" s="6" t="inlineStr">
        <is>
          <t xml:space="preserve">抽屉围板：新西兰进口松木
台面：洞石岩板
背板：洞石背板/实木多层板
电力轨道：xpower 挂架式电力轨道
顶柜玻璃：灰玻
</t>
        </is>
      </c>
      <c r="G47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6" s="26" t="n">
        <v>7038.046666666667</v>
      </c>
      <c r="I476" s="26" t="n">
        <v>4900</v>
      </c>
      <c r="J476" s="27" t="n">
        <v>0.48</v>
      </c>
      <c r="K476" s="28">
        <f>IFERROR(H476,0)</f>
        <v/>
      </c>
      <c r="L476" s="29" t="n">
        <v>0.4668</v>
      </c>
      <c r="M476" s="29" t="n">
        <v>0.2501</v>
      </c>
      <c r="N476" s="29" t="n">
        <v>0.2501</v>
      </c>
      <c r="O476" s="29" t="n">
        <v>0.2107</v>
      </c>
      <c r="P476" s="30">
        <f>IFERROR(IF(K476=0,"待填成本",ROUND(K476/(1-L476),0)),"" )</f>
        <v/>
      </c>
      <c r="Q476" s="30">
        <f>IFERROR(IF(K476=0,"待填成本",ROUND(K476/(1-M476),0)),"" )</f>
        <v/>
      </c>
      <c r="R476" s="30">
        <f>IFERROR(IF(K476=0,"待填成本",ROUND(K476/(1-N476),0)),"" )</f>
        <v/>
      </c>
      <c r="S476" s="30">
        <f>IFERROR(IF(K476=0,"待填成本",ROUND(K476/(1-O476),0)),"" )</f>
        <v/>
      </c>
      <c r="T476" s="31">
        <f>IFERROR(IF(K476=0,"",(P476-K476)/P476),"" )</f>
        <v/>
      </c>
      <c r="U476" s="31">
        <f>IFERROR(IF(K476=0,"",(Q476-K476)/Q476),"" )</f>
        <v/>
      </c>
      <c r="V476" s="31">
        <f>IFERROR(IF(K476=0,"",(R476-K476)/R476),"" )</f>
        <v/>
      </c>
      <c r="W476" s="31">
        <f>IFERROR(IF(K476=0,"",(S476-K476)/S476),"" )</f>
        <v/>
      </c>
      <c r="X476" s="32" t="n"/>
      <c r="Y476" s="32" t="n"/>
      <c r="Z476" s="32" t="n"/>
      <c r="AA476" s="37" t="n">
        <v>14.145</v>
      </c>
      <c r="AB476" s="37" t="n">
        <v>10.220625</v>
      </c>
      <c r="AC476" s="37" t="n">
        <v>29.2215</v>
      </c>
      <c r="AD476" s="37" t="n">
        <v>240</v>
      </c>
      <c r="AE476" s="37" t="n">
        <v>150</v>
      </c>
      <c r="AF476" s="33" t="n"/>
      <c r="AG476" s="33" t="n"/>
      <c r="AH476" s="5" t="inlineStr"/>
    </row>
    <row r="477" ht="18" customHeight="1">
      <c r="A477" s="25" t="inlineStr">
        <is>
          <t>2425008080199</t>
        </is>
      </c>
      <c r="B477" s="34" t="inlineStr">
        <is>
          <t>餐厅-柜</t>
        </is>
      </c>
      <c r="C477" s="35" t="inlineStr">
        <is>
          <t>洞石餐边柜 |樱桃木洞石餐边大柜 |樱桃木洞石模块餐边柜</t>
        </is>
      </c>
      <c r="D477" s="35" t="inlineStr">
        <is>
          <t>洞石餐边柜-榉木版洞石整柜1.7米</t>
        </is>
      </c>
      <c r="E477" s="34" t="inlineStr">
        <is>
          <t>北美进口FAS级樱桃木</t>
        </is>
      </c>
      <c r="F477" s="34" t="inlineStr">
        <is>
          <t xml:space="preserve">抽屉围板：新西兰进口松木
台面：洞石岩板
背板：洞石背板/实木多层板
电力轨道：xpower 挂架式电力轨道
顶柜玻璃：灰玻
</t>
        </is>
      </c>
      <c r="G47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7" s="26" t="n">
        <v>6930.52</v>
      </c>
      <c r="I477" s="26" t="n">
        <v>4866.666666666667</v>
      </c>
      <c r="J477" s="27" t="n">
        <v>0.48</v>
      </c>
      <c r="K477" s="28">
        <f>IFERROR(H477,0)</f>
        <v/>
      </c>
      <c r="L477" s="29" t="n">
        <v>0.4668</v>
      </c>
      <c r="M477" s="29" t="n">
        <v>0.2503</v>
      </c>
      <c r="N477" s="29" t="n">
        <v>0.2568</v>
      </c>
      <c r="O477" s="29" t="n">
        <v>0.2106</v>
      </c>
      <c r="P477" s="30">
        <f>IFERROR(IF(K477=0,"待填成本",ROUND(K477/(1-L477),0)),"" )</f>
        <v/>
      </c>
      <c r="Q477" s="30">
        <f>IFERROR(IF(K477=0,"待填成本",ROUND(K477/(1-M477),0)),"" )</f>
        <v/>
      </c>
      <c r="R477" s="30">
        <f>IFERROR(IF(K477=0,"待填成本",ROUND(K477/(1-N477),0)),"" )</f>
        <v/>
      </c>
      <c r="S477" s="30">
        <f>IFERROR(IF(K477=0,"待填成本",ROUND(K477/(1-O477),0)),"" )</f>
        <v/>
      </c>
      <c r="T477" s="31">
        <f>IFERROR(IF(K477=0,"",(P477-K477)/P477),"" )</f>
        <v/>
      </c>
      <c r="U477" s="31">
        <f>IFERROR(IF(K477=0,"",(Q477-K477)/Q477),"" )</f>
        <v/>
      </c>
      <c r="V477" s="31">
        <f>IFERROR(IF(K477=0,"",(R477-K477)/R477),"" )</f>
        <v/>
      </c>
      <c r="W477" s="31">
        <f>IFERROR(IF(K477=0,"",(S477-K477)/S477),"" )</f>
        <v/>
      </c>
      <c r="X477" s="36" t="n"/>
      <c r="Y477" s="36" t="n"/>
      <c r="Z477" s="36" t="n"/>
      <c r="AA477" s="37" t="n">
        <v>13.58916666666667</v>
      </c>
      <c r="AB477" s="37" t="n">
        <v>9.7678125</v>
      </c>
      <c r="AC477" s="37" t="n">
        <v>28.27275</v>
      </c>
      <c r="AD477" s="37" t="n">
        <v>240</v>
      </c>
      <c r="AE477" s="37" t="n">
        <v>150</v>
      </c>
      <c r="AF477" s="33" t="n"/>
      <c r="AG477" s="33" t="n"/>
      <c r="AH477" s="35" t="inlineStr"/>
    </row>
    <row r="478" ht="18" customHeight="1">
      <c r="A478" s="25" t="inlineStr">
        <is>
          <t>2425008080199</t>
        </is>
      </c>
      <c r="B478" s="6" t="inlineStr">
        <is>
          <t>餐厅-柜</t>
        </is>
      </c>
      <c r="C478" s="5" t="inlineStr">
        <is>
          <t>洞石餐边柜 |樱桃木洞石餐边大柜 |樱桃木洞石模块餐边柜</t>
        </is>
      </c>
      <c r="D478" s="5" t="inlineStr">
        <is>
          <t>洞石餐边柜-榉木版洞石整柜1.6米</t>
        </is>
      </c>
      <c r="E478" s="6" t="inlineStr">
        <is>
          <t>北美进口FAS级樱桃木</t>
        </is>
      </c>
      <c r="F478" s="6" t="inlineStr">
        <is>
          <t xml:space="preserve">抽屉围板：新西兰进口松木
台面：洞石岩板
背板：洞石背板/实木多层板
电力轨道：xpower 挂架式电力轨道
顶柜玻璃：灰玻
</t>
        </is>
      </c>
      <c r="G47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8" s="26" t="n">
        <v>6822.993333333334</v>
      </c>
      <c r="I478" s="26" t="n">
        <v>4833.333333333334</v>
      </c>
      <c r="J478" s="27" t="n">
        <v>0.48</v>
      </c>
      <c r="K478" s="28">
        <f>IFERROR(H478,0)</f>
        <v/>
      </c>
      <c r="L478" s="29" t="n">
        <v>0.4669</v>
      </c>
      <c r="M478" s="29" t="n">
        <v>0.2505</v>
      </c>
      <c r="N478" s="29" t="n">
        <v>0.2635</v>
      </c>
      <c r="O478" s="29" t="n">
        <v>0.2106</v>
      </c>
      <c r="P478" s="30">
        <f>IFERROR(IF(K478=0,"待填成本",ROUND(K478/(1-L478),0)),"" )</f>
        <v/>
      </c>
      <c r="Q478" s="30">
        <f>IFERROR(IF(K478=0,"待填成本",ROUND(K478/(1-M478),0)),"" )</f>
        <v/>
      </c>
      <c r="R478" s="30">
        <f>IFERROR(IF(K478=0,"待填成本",ROUND(K478/(1-N478),0)),"" )</f>
        <v/>
      </c>
      <c r="S478" s="30">
        <f>IFERROR(IF(K478=0,"待填成本",ROUND(K478/(1-O478),0)),"" )</f>
        <v/>
      </c>
      <c r="T478" s="31">
        <f>IFERROR(IF(K478=0,"",(P478-K478)/P478),"" )</f>
        <v/>
      </c>
      <c r="U478" s="31">
        <f>IFERROR(IF(K478=0,"",(Q478-K478)/Q478),"" )</f>
        <v/>
      </c>
      <c r="V478" s="31">
        <f>IFERROR(IF(K478=0,"",(R478-K478)/R478),"" )</f>
        <v/>
      </c>
      <c r="W478" s="31">
        <f>IFERROR(IF(K478=0,"",(S478-K478)/S478),"" )</f>
        <v/>
      </c>
      <c r="X478" s="32" t="n"/>
      <c r="Y478" s="32" t="n"/>
      <c r="Z478" s="32" t="n"/>
      <c r="AA478" s="37" t="n">
        <v>13.03333333333333</v>
      </c>
      <c r="AB478" s="37" t="n">
        <v>9.315</v>
      </c>
      <c r="AC478" s="37" t="n">
        <v>27.324</v>
      </c>
      <c r="AD478" s="37" t="n">
        <v>240</v>
      </c>
      <c r="AE478" s="37" t="n">
        <v>150</v>
      </c>
      <c r="AF478" s="33" t="n"/>
      <c r="AG478" s="33" t="n"/>
      <c r="AH478" s="5" t="inlineStr"/>
    </row>
    <row r="479" ht="18" customHeight="1">
      <c r="A479" s="25" t="inlineStr">
        <is>
          <t>2425008080199</t>
        </is>
      </c>
      <c r="B479" s="34" t="inlineStr">
        <is>
          <t>餐厅-柜</t>
        </is>
      </c>
      <c r="C479" s="35" t="inlineStr">
        <is>
          <t>洞石餐边柜 |樱桃木洞石餐边大柜 |樱桃木洞石模块餐边柜</t>
        </is>
      </c>
      <c r="D479" s="35" t="inlineStr">
        <is>
          <t>洞石餐边柜-榉木版洞石整柜1.5米（全景组合）（玻璃移门+开门）</t>
        </is>
      </c>
      <c r="E479" s="34" t="inlineStr">
        <is>
          <t>北美进口FAS级樱桃木</t>
        </is>
      </c>
      <c r="F479" s="34" t="inlineStr">
        <is>
          <t xml:space="preserve">抽屉围板：新西兰进口松木
台面：洞石岩板
背板：洞石背板/实木多层板
电力轨道：xpower 挂架式电力轨道
顶柜玻璃：灰玻
</t>
        </is>
      </c>
      <c r="G47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79" s="26" t="n">
        <v>6715.466666666667</v>
      </c>
      <c r="I479" s="26" t="n">
        <v>4800</v>
      </c>
      <c r="J479" s="27" t="n">
        <v>0.48</v>
      </c>
      <c r="K479" s="28">
        <f>IFERROR(H479,0)</f>
        <v/>
      </c>
      <c r="L479" s="29" t="n">
        <v>0.4669</v>
      </c>
      <c r="M479" s="29" t="n">
        <v>0.2507</v>
      </c>
      <c r="N479" s="29" t="n">
        <v>0.2703</v>
      </c>
      <c r="O479" s="29" t="n">
        <v>0.2105</v>
      </c>
      <c r="P479" s="30">
        <f>IFERROR(IF(K479=0,"待填成本",ROUND(K479/(1-L479),0)),"" )</f>
        <v/>
      </c>
      <c r="Q479" s="30">
        <f>IFERROR(IF(K479=0,"待填成本",ROUND(K479/(1-M479),0)),"" )</f>
        <v/>
      </c>
      <c r="R479" s="30">
        <f>IFERROR(IF(K479=0,"待填成本",ROUND(K479/(1-N479),0)),"" )</f>
        <v/>
      </c>
      <c r="S479" s="30">
        <f>IFERROR(IF(K479=0,"待填成本",ROUND(K479/(1-O479),0)),"" )</f>
        <v/>
      </c>
      <c r="T479" s="31">
        <f>IFERROR(IF(K479=0,"",(P479-K479)/P479),"" )</f>
        <v/>
      </c>
      <c r="U479" s="31">
        <f>IFERROR(IF(K479=0,"",(Q479-K479)/Q479),"" )</f>
        <v/>
      </c>
      <c r="V479" s="31">
        <f>IFERROR(IF(K479=0,"",(R479-K479)/R479),"" )</f>
        <v/>
      </c>
      <c r="W479" s="31">
        <f>IFERROR(IF(K479=0,"",(S479-K479)/S479),"" )</f>
        <v/>
      </c>
      <c r="X479" s="36" t="n"/>
      <c r="Y479" s="36" t="n"/>
      <c r="Z479" s="36" t="n"/>
      <c r="AA479" s="37" t="n">
        <v>12.4775</v>
      </c>
      <c r="AB479" s="37" t="n">
        <v>8.862187499999997</v>
      </c>
      <c r="AC479" s="37" t="n">
        <v>26.37525</v>
      </c>
      <c r="AD479" s="37" t="n">
        <v>240</v>
      </c>
      <c r="AE479" s="37" t="n">
        <v>150</v>
      </c>
      <c r="AF479" s="33" t="n"/>
      <c r="AG479" s="33" t="n"/>
      <c r="AH479" s="35" t="inlineStr"/>
    </row>
    <row r="480" ht="18" customHeight="1">
      <c r="A480" s="25" t="inlineStr">
        <is>
          <t>2425008080199</t>
        </is>
      </c>
      <c r="B480" s="6" t="inlineStr">
        <is>
          <t>餐厅-柜</t>
        </is>
      </c>
      <c r="C480" s="5" t="inlineStr">
        <is>
          <t>洞石餐边柜 |樱桃木洞石餐边大柜 |樱桃木洞石模块餐边柜</t>
        </is>
      </c>
      <c r="D480" s="5" t="inlineStr">
        <is>
          <t>洞石餐边柜-榉木版洞石整柜1.4米</t>
        </is>
      </c>
      <c r="E480" s="6" t="inlineStr">
        <is>
          <t>北美进口FAS级樱桃木</t>
        </is>
      </c>
      <c r="F480" s="6" t="inlineStr">
        <is>
          <t xml:space="preserve">抽屉围板：新西兰进口松木
台面：洞石岩板
背板：洞石背板/实木多层板
电力轨道：xpower 挂架式电力轨道
顶柜玻璃：灰玻
</t>
        </is>
      </c>
      <c r="G48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0" s="26" t="n">
        <v>6607.940000000001</v>
      </c>
      <c r="I480" s="26" t="n">
        <v>4766.666666666667</v>
      </c>
      <c r="J480" s="27" t="n">
        <v>0.48</v>
      </c>
      <c r="K480" s="28">
        <f>IFERROR(H480,0)</f>
        <v/>
      </c>
      <c r="L480" s="29" t="n">
        <v>0.467</v>
      </c>
      <c r="M480" s="29" t="n">
        <v>0.2509</v>
      </c>
      <c r="N480" s="29" t="n">
        <v>0.2771</v>
      </c>
      <c r="O480" s="29" t="n">
        <v>0.2104</v>
      </c>
      <c r="P480" s="30">
        <f>IFERROR(IF(K480=0,"待填成本",ROUND(K480/(1-L480),0)),"" )</f>
        <v/>
      </c>
      <c r="Q480" s="30">
        <f>IFERROR(IF(K480=0,"待填成本",ROUND(K480/(1-M480),0)),"" )</f>
        <v/>
      </c>
      <c r="R480" s="30">
        <f>IFERROR(IF(K480=0,"待填成本",ROUND(K480/(1-N480),0)),"" )</f>
        <v/>
      </c>
      <c r="S480" s="30">
        <f>IFERROR(IF(K480=0,"待填成本",ROUND(K480/(1-O480),0)),"" )</f>
        <v/>
      </c>
      <c r="T480" s="31">
        <f>IFERROR(IF(K480=0,"",(P480-K480)/P480),"" )</f>
        <v/>
      </c>
      <c r="U480" s="31">
        <f>IFERROR(IF(K480=0,"",(Q480-K480)/Q480),"" )</f>
        <v/>
      </c>
      <c r="V480" s="31">
        <f>IFERROR(IF(K480=0,"",(R480-K480)/R480),"" )</f>
        <v/>
      </c>
      <c r="W480" s="31">
        <f>IFERROR(IF(K480=0,"",(S480-K480)/S480),"" )</f>
        <v/>
      </c>
      <c r="X480" s="32" t="n"/>
      <c r="Y480" s="32" t="n"/>
      <c r="Z480" s="32" t="n"/>
      <c r="AA480" s="37" t="n">
        <v>11.92166666666667</v>
      </c>
      <c r="AB480" s="37" t="n">
        <v>8.409374999999997</v>
      </c>
      <c r="AC480" s="37" t="n">
        <v>25.4265</v>
      </c>
      <c r="AD480" s="37" t="n">
        <v>240</v>
      </c>
      <c r="AE480" s="37" t="n">
        <v>150</v>
      </c>
      <c r="AF480" s="33" t="n"/>
      <c r="AG480" s="33" t="n"/>
      <c r="AH480" s="5" t="inlineStr"/>
    </row>
    <row r="481" ht="18" customHeight="1">
      <c r="A481" s="25" t="inlineStr">
        <is>
          <t>2425008080199</t>
        </is>
      </c>
      <c r="B481" s="34" t="inlineStr">
        <is>
          <t>餐厅-柜</t>
        </is>
      </c>
      <c r="C481" s="35" t="inlineStr">
        <is>
          <t>洞石餐边柜 |樱桃木洞石餐边大柜 |樱桃木洞石模块餐边柜</t>
        </is>
      </c>
      <c r="D481" s="35" t="inlineStr">
        <is>
          <t>洞石餐边柜-榉木版洞石整柜1.3米</t>
        </is>
      </c>
      <c r="E481" s="34" t="inlineStr">
        <is>
          <t>北美进口FAS级樱桃木</t>
        </is>
      </c>
      <c r="F481" s="34" t="inlineStr">
        <is>
          <t xml:space="preserve">抽屉围板：新西兰进口松木
台面：洞石岩板
背板：洞石背板/实木多层板
电力轨道：xpower 挂架式电力轨道
顶柜玻璃：灰玻
</t>
        </is>
      </c>
      <c r="G48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1" s="26" t="n">
        <v>6500.413333333334</v>
      </c>
      <c r="I481" s="26" t="n">
        <v>4733.333333333334</v>
      </c>
      <c r="J481" s="27" t="n">
        <v>0.48</v>
      </c>
      <c r="K481" s="28">
        <f>IFERROR(H481,0)</f>
        <v/>
      </c>
      <c r="L481" s="29" t="n">
        <v>0.467</v>
      </c>
      <c r="M481" s="29" t="n">
        <v>0.2511</v>
      </c>
      <c r="N481" s="29" t="n">
        <v>0.284</v>
      </c>
      <c r="O481" s="29" t="n">
        <v>0.2104</v>
      </c>
      <c r="P481" s="30">
        <f>IFERROR(IF(K481=0,"待填成本",ROUND(K481/(1-L481),0)),"" )</f>
        <v/>
      </c>
      <c r="Q481" s="30">
        <f>IFERROR(IF(K481=0,"待填成本",ROUND(K481/(1-M481),0)),"" )</f>
        <v/>
      </c>
      <c r="R481" s="30">
        <f>IFERROR(IF(K481=0,"待填成本",ROUND(K481/(1-N481),0)),"" )</f>
        <v/>
      </c>
      <c r="S481" s="30">
        <f>IFERROR(IF(K481=0,"待填成本",ROUND(K481/(1-O481),0)),"" )</f>
        <v/>
      </c>
      <c r="T481" s="31">
        <f>IFERROR(IF(K481=0,"",(P481-K481)/P481),"" )</f>
        <v/>
      </c>
      <c r="U481" s="31">
        <f>IFERROR(IF(K481=0,"",(Q481-K481)/Q481),"" )</f>
        <v/>
      </c>
      <c r="V481" s="31">
        <f>IFERROR(IF(K481=0,"",(R481-K481)/R481),"" )</f>
        <v/>
      </c>
      <c r="W481" s="31">
        <f>IFERROR(IF(K481=0,"",(S481-K481)/S481),"" )</f>
        <v/>
      </c>
      <c r="X481" s="36" t="n"/>
      <c r="Y481" s="36" t="n"/>
      <c r="Z481" s="36" t="n"/>
      <c r="AA481" s="37" t="n">
        <v>11.36583333333333</v>
      </c>
      <c r="AB481" s="37" t="n">
        <v>7.956562499999996</v>
      </c>
      <c r="AC481" s="37" t="n">
        <v>24.47775</v>
      </c>
      <c r="AD481" s="37" t="n">
        <v>240</v>
      </c>
      <c r="AE481" s="37" t="n">
        <v>150</v>
      </c>
      <c r="AF481" s="33" t="n"/>
      <c r="AG481" s="33" t="n"/>
      <c r="AH481" s="35" t="inlineStr"/>
    </row>
    <row r="482" ht="18" customHeight="1">
      <c r="A482" s="25" t="inlineStr">
        <is>
          <t>2425008080199</t>
        </is>
      </c>
      <c r="B482" s="6" t="inlineStr">
        <is>
          <t>餐厅-柜</t>
        </is>
      </c>
      <c r="C482" s="5" t="inlineStr">
        <is>
          <t>洞石餐边柜 |樱桃木洞石餐边大柜 |樱桃木洞石模块餐边柜</t>
        </is>
      </c>
      <c r="D482" s="5" t="inlineStr">
        <is>
          <t>洞石餐边柜-洞石整柜2.1米（视界组合）（分类抽屉+视界柜+开门）</t>
        </is>
      </c>
      <c r="E482" s="6" t="inlineStr">
        <is>
          <t>北美进口FAS级樱桃木</t>
        </is>
      </c>
      <c r="F482" s="6" t="inlineStr">
        <is>
          <t xml:space="preserve">抽屉围板：新西兰进口松木
台面：洞石岩板
背板：洞石背板/实木多层板
电力轨道：xpower 挂架式电力轨道
顶柜玻璃：灰玻
</t>
        </is>
      </c>
      <c r="G48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2" s="26" t="n">
        <v>7751.046666666667</v>
      </c>
      <c r="I482" s="26" t="n">
        <v>5400</v>
      </c>
      <c r="J482" s="27" t="n">
        <v>0.48</v>
      </c>
      <c r="K482" s="28">
        <f>IFERROR(H482,0)</f>
        <v/>
      </c>
      <c r="L482" s="29" t="n">
        <v>0.4667</v>
      </c>
      <c r="M482" s="29" t="n">
        <v>0.2501</v>
      </c>
      <c r="N482" s="29" t="n">
        <v>0.2706</v>
      </c>
      <c r="O482" s="29" t="n">
        <v>0.2501</v>
      </c>
      <c r="P482" s="30">
        <f>IFERROR(IF(K482=0,"待填成本",ROUND(K482/(1-L482),0)),"" )</f>
        <v/>
      </c>
      <c r="Q482" s="30">
        <f>IFERROR(IF(K482=0,"待填成本",ROUND(K482/(1-M482),0)),"" )</f>
        <v/>
      </c>
      <c r="R482" s="30">
        <f>IFERROR(IF(K482=0,"待填成本",ROUND(K482/(1-N482),0)),"" )</f>
        <v/>
      </c>
      <c r="S482" s="30">
        <f>IFERROR(IF(K482=0,"待填成本",ROUND(K482/(1-O482),0)),"" )</f>
        <v/>
      </c>
      <c r="T482" s="31">
        <f>IFERROR(IF(K482=0,"",(P482-K482)/P482),"" )</f>
        <v/>
      </c>
      <c r="U482" s="31">
        <f>IFERROR(IF(K482=0,"",(Q482-K482)/Q482),"" )</f>
        <v/>
      </c>
      <c r="V482" s="31">
        <f>IFERROR(IF(K482=0,"",(R482-K482)/R482),"" )</f>
        <v/>
      </c>
      <c r="W482" s="31">
        <f>IFERROR(IF(K482=0,"",(S482-K482)/S482),"" )</f>
        <v/>
      </c>
      <c r="X482" s="32" t="n"/>
      <c r="Y482" s="32" t="n"/>
      <c r="Z482" s="32" t="n"/>
      <c r="AA482" s="37" t="n">
        <v>16.8475</v>
      </c>
      <c r="AB482" s="37" t="n">
        <v>9.22875</v>
      </c>
      <c r="AC482" s="37" t="n">
        <v>35.10375</v>
      </c>
      <c r="AD482" s="37" t="n">
        <v>240</v>
      </c>
      <c r="AE482" s="37" t="n">
        <v>150</v>
      </c>
      <c r="AF482" s="33" t="n"/>
      <c r="AG482" s="33" t="n"/>
      <c r="AH482" s="5" t="inlineStr"/>
    </row>
    <row r="483" ht="18" customHeight="1">
      <c r="A483" s="25" t="inlineStr">
        <is>
          <t>2425008080199</t>
        </is>
      </c>
      <c r="B483" s="34" t="inlineStr">
        <is>
          <t>餐厅-柜</t>
        </is>
      </c>
      <c r="C483" s="35" t="inlineStr">
        <is>
          <t>洞石餐边柜 |樱桃木洞石餐边大柜 |樱桃木洞石模块餐边柜</t>
        </is>
      </c>
      <c r="D483" s="35" t="inlineStr">
        <is>
          <t>洞石餐边柜-实木背板整柜2.0米</t>
        </is>
      </c>
      <c r="E483" s="34" t="inlineStr">
        <is>
          <t>北美进口FAS级樱桃木</t>
        </is>
      </c>
      <c r="F483" s="34" t="inlineStr">
        <is>
          <t xml:space="preserve">抽屉围板：新西兰进口松木
台面：洞石岩板
背板：洞石背板/实木多层板
电力轨道：xpower 挂架式电力轨道
顶柜玻璃：灰玻
</t>
        </is>
      </c>
      <c r="G48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3" s="26" t="n">
        <v>7638.38</v>
      </c>
      <c r="I483" s="26" t="n">
        <v>5366.666666666667</v>
      </c>
      <c r="J483" s="27" t="n">
        <v>0.48</v>
      </c>
      <c r="K483" s="28">
        <f>IFERROR(H483,0)</f>
        <v/>
      </c>
      <c r="L483" s="29" t="n">
        <v>0.4668</v>
      </c>
      <c r="M483" s="29" t="n">
        <v>0.2501</v>
      </c>
      <c r="N483" s="29" t="n">
        <v>0.2705</v>
      </c>
      <c r="O483" s="29" t="n">
        <v>0.2501</v>
      </c>
      <c r="P483" s="30">
        <f>IFERROR(IF(K483=0,"待填成本",ROUND(K483/(1-L483),0)),"" )</f>
        <v/>
      </c>
      <c r="Q483" s="30">
        <f>IFERROR(IF(K483=0,"待填成本",ROUND(K483/(1-M483),0)),"" )</f>
        <v/>
      </c>
      <c r="R483" s="30">
        <f>IFERROR(IF(K483=0,"待填成本",ROUND(K483/(1-N483),0)),"" )</f>
        <v/>
      </c>
      <c r="S483" s="30">
        <f>IFERROR(IF(K483=0,"待填成本",ROUND(K483/(1-O483),0)),"" )</f>
        <v/>
      </c>
      <c r="T483" s="31">
        <f>IFERROR(IF(K483=0,"",(P483-K483)/P483),"" )</f>
        <v/>
      </c>
      <c r="U483" s="31">
        <f>IFERROR(IF(K483=0,"",(Q483-K483)/Q483),"" )</f>
        <v/>
      </c>
      <c r="V483" s="31">
        <f>IFERROR(IF(K483=0,"",(R483-K483)/R483),"" )</f>
        <v/>
      </c>
      <c r="W483" s="31">
        <f>IFERROR(IF(K483=0,"",(S483-K483)/S483),"" )</f>
        <v/>
      </c>
      <c r="X483" s="36" t="n"/>
      <c r="Y483" s="36" t="n"/>
      <c r="Z483" s="36" t="n"/>
      <c r="AA483" s="37" t="n">
        <v>16.29166666666666</v>
      </c>
      <c r="AB483" s="37" t="n">
        <v>8.9125</v>
      </c>
      <c r="AC483" s="37" t="n">
        <v>34.155</v>
      </c>
      <c r="AD483" s="37" t="n">
        <v>240</v>
      </c>
      <c r="AE483" s="37" t="n">
        <v>150</v>
      </c>
      <c r="AF483" s="33" t="n"/>
      <c r="AG483" s="33" t="n"/>
      <c r="AH483" s="35" t="inlineStr"/>
    </row>
    <row r="484" ht="18" customHeight="1">
      <c r="A484" s="25" t="inlineStr">
        <is>
          <t>2425008080199</t>
        </is>
      </c>
      <c r="B484" s="6" t="inlineStr">
        <is>
          <t>餐厅-柜</t>
        </is>
      </c>
      <c r="C484" s="5" t="inlineStr">
        <is>
          <t>洞石餐边柜 |樱桃木洞石餐边大柜 |樱桃木洞石模块餐边柜</t>
        </is>
      </c>
      <c r="D484" s="5" t="inlineStr">
        <is>
          <t>洞石餐边柜-实木背板整柜1.9米</t>
        </is>
      </c>
      <c r="E484" s="6" t="inlineStr">
        <is>
          <t>北美进口FAS级樱桃木</t>
        </is>
      </c>
      <c r="F484" s="6" t="inlineStr">
        <is>
          <t xml:space="preserve">抽屉围板：新西兰进口松木
台面：洞石岩板
背板：洞石背板/实木多层板
电力轨道：xpower 挂架式电力轨道
顶柜玻璃：灰玻
</t>
        </is>
      </c>
      <c r="G484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4" s="26" t="n">
        <v>7525.713333333333</v>
      </c>
      <c r="I484" s="26" t="n">
        <v>5333.333333333334</v>
      </c>
      <c r="J484" s="27" t="n">
        <v>0.48</v>
      </c>
      <c r="K484" s="28">
        <f>IFERROR(H484,0)</f>
        <v/>
      </c>
      <c r="L484" s="29" t="n">
        <v>0.4668</v>
      </c>
      <c r="M484" s="29" t="n">
        <v>0.2502</v>
      </c>
      <c r="N484" s="29" t="n">
        <v>0.2705</v>
      </c>
      <c r="O484" s="29" t="n">
        <v>0.2502</v>
      </c>
      <c r="P484" s="30">
        <f>IFERROR(IF(K484=0,"待填成本",ROUND(K484/(1-L484),0)),"" )</f>
        <v/>
      </c>
      <c r="Q484" s="30">
        <f>IFERROR(IF(K484=0,"待填成本",ROUND(K484/(1-M484),0)),"" )</f>
        <v/>
      </c>
      <c r="R484" s="30">
        <f>IFERROR(IF(K484=0,"待填成本",ROUND(K484/(1-N484),0)),"" )</f>
        <v/>
      </c>
      <c r="S484" s="30">
        <f>IFERROR(IF(K484=0,"待填成本",ROUND(K484/(1-O484),0)),"" )</f>
        <v/>
      </c>
      <c r="T484" s="31">
        <f>IFERROR(IF(K484=0,"",(P484-K484)/P484),"" )</f>
        <v/>
      </c>
      <c r="U484" s="31">
        <f>IFERROR(IF(K484=0,"",(Q484-K484)/Q484),"" )</f>
        <v/>
      </c>
      <c r="V484" s="31">
        <f>IFERROR(IF(K484=0,"",(R484-K484)/R484),"" )</f>
        <v/>
      </c>
      <c r="W484" s="31">
        <f>IFERROR(IF(K484=0,"",(S484-K484)/S484),"" )</f>
        <v/>
      </c>
      <c r="X484" s="32" t="n"/>
      <c r="Y484" s="32" t="n"/>
      <c r="Z484" s="32" t="n"/>
      <c r="AA484" s="37" t="n">
        <v>15.73583333333333</v>
      </c>
      <c r="AB484" s="37" t="n">
        <v>8.59625</v>
      </c>
      <c r="AC484" s="37" t="n">
        <v>33.20625</v>
      </c>
      <c r="AD484" s="37" t="n">
        <v>240</v>
      </c>
      <c r="AE484" s="37" t="n">
        <v>150</v>
      </c>
      <c r="AF484" s="33" t="n"/>
      <c r="AG484" s="33" t="n"/>
      <c r="AH484" s="5" t="inlineStr"/>
    </row>
    <row r="485" ht="18" customHeight="1">
      <c r="A485" s="25" t="inlineStr">
        <is>
          <t>2425008080199</t>
        </is>
      </c>
      <c r="B485" s="34" t="inlineStr">
        <is>
          <t>餐厅-柜</t>
        </is>
      </c>
      <c r="C485" s="35" t="inlineStr">
        <is>
          <t>洞石餐边柜 |樱桃木洞石餐边大柜 |樱桃木洞石模块餐边柜</t>
        </is>
      </c>
      <c r="D485" s="35" t="inlineStr">
        <is>
          <t>洞石餐边柜-洞石整柜1.8米（视界组合）（分类抽屉+视界柜+开门）</t>
        </is>
      </c>
      <c r="E485" s="34" t="inlineStr">
        <is>
          <t>北美进口FAS级樱桃木</t>
        </is>
      </c>
      <c r="F485" s="34" t="inlineStr">
        <is>
          <t xml:space="preserve">抽屉围板：新西兰进口松木
台面：洞石岩板
背板：洞石背板/实木多层板
电力轨道：xpower 挂架式电力轨道
顶柜玻璃：灰玻
</t>
        </is>
      </c>
      <c r="G485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5" s="26" t="n">
        <v>7413.046666666667</v>
      </c>
      <c r="I485" s="26" t="n">
        <v>5300</v>
      </c>
      <c r="J485" s="27" t="n">
        <v>0.48</v>
      </c>
      <c r="K485" s="28">
        <f>IFERROR(H485,0)</f>
        <v/>
      </c>
      <c r="L485" s="29" t="n">
        <v>0.4668</v>
      </c>
      <c r="M485" s="29" t="n">
        <v>0.2502</v>
      </c>
      <c r="N485" s="29" t="n">
        <v>0.2705</v>
      </c>
      <c r="O485" s="29" t="n">
        <v>0.2502</v>
      </c>
      <c r="P485" s="30">
        <f>IFERROR(IF(K485=0,"待填成本",ROUND(K485/(1-L485),0)),"" )</f>
        <v/>
      </c>
      <c r="Q485" s="30">
        <f>IFERROR(IF(K485=0,"待填成本",ROUND(K485/(1-M485),0)),"" )</f>
        <v/>
      </c>
      <c r="R485" s="30">
        <f>IFERROR(IF(K485=0,"待填成本",ROUND(K485/(1-N485),0)),"" )</f>
        <v/>
      </c>
      <c r="S485" s="30">
        <f>IFERROR(IF(K485=0,"待填成本",ROUND(K485/(1-O485),0)),"" )</f>
        <v/>
      </c>
      <c r="T485" s="31">
        <f>IFERROR(IF(K485=0,"",(P485-K485)/P485),"" )</f>
        <v/>
      </c>
      <c r="U485" s="31">
        <f>IFERROR(IF(K485=0,"",(Q485-K485)/Q485),"" )</f>
        <v/>
      </c>
      <c r="V485" s="31">
        <f>IFERROR(IF(K485=0,"",(R485-K485)/R485),"" )</f>
        <v/>
      </c>
      <c r="W485" s="31">
        <f>IFERROR(IF(K485=0,"",(S485-K485)/S485),"" )</f>
        <v/>
      </c>
      <c r="X485" s="36" t="n"/>
      <c r="Y485" s="36" t="n"/>
      <c r="Z485" s="36" t="n"/>
      <c r="AA485" s="37" t="n">
        <v>15.18</v>
      </c>
      <c r="AB485" s="37" t="n">
        <v>8.280000000000001</v>
      </c>
      <c r="AC485" s="37" t="n">
        <v>32.2575</v>
      </c>
      <c r="AD485" s="37" t="n">
        <v>240</v>
      </c>
      <c r="AE485" s="37" t="n">
        <v>150</v>
      </c>
      <c r="AF485" s="33" t="n"/>
      <c r="AG485" s="33" t="n"/>
      <c r="AH485" s="35" t="inlineStr"/>
    </row>
    <row r="486" ht="18" customHeight="1">
      <c r="A486" s="25" t="inlineStr">
        <is>
          <t>2425008080199</t>
        </is>
      </c>
      <c r="B486" s="6" t="inlineStr">
        <is>
          <t>餐厅-柜</t>
        </is>
      </c>
      <c r="C486" s="5" t="inlineStr">
        <is>
          <t>洞石餐边柜 |樱桃木洞石餐边大柜 |樱桃木洞石模块餐边柜</t>
        </is>
      </c>
      <c r="D486" s="5" t="inlineStr">
        <is>
          <t>洞石餐边柜-实木背板整柜1.7米</t>
        </is>
      </c>
      <c r="E486" s="6" t="inlineStr">
        <is>
          <t>北美进口FAS级樱桃木</t>
        </is>
      </c>
      <c r="F486" s="6" t="inlineStr">
        <is>
          <t xml:space="preserve">抽屉围板：新西兰进口松木
台面：洞石岩板
背板：洞石背板/实木多层板
电力轨道：xpower 挂架式电力轨道
顶柜玻璃：灰玻
</t>
        </is>
      </c>
      <c r="G486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6" s="26" t="n">
        <v>7312.686666666667</v>
      </c>
      <c r="I486" s="26" t="n">
        <v>5266.666666666667</v>
      </c>
      <c r="J486" s="27" t="n">
        <v>0.48</v>
      </c>
      <c r="K486" s="28">
        <f>IFERROR(H486,0)</f>
        <v/>
      </c>
      <c r="L486" s="29" t="n">
        <v>0.4668</v>
      </c>
      <c r="M486" s="29" t="n">
        <v>0.2504</v>
      </c>
      <c r="N486" s="29" t="n">
        <v>0.2705</v>
      </c>
      <c r="O486" s="29" t="n">
        <v>0.2504</v>
      </c>
      <c r="P486" s="30">
        <f>IFERROR(IF(K486=0,"待填成本",ROUND(K486/(1-L486),0)),"" )</f>
        <v/>
      </c>
      <c r="Q486" s="30">
        <f>IFERROR(IF(K486=0,"待填成本",ROUND(K486/(1-M486),0)),"" )</f>
        <v/>
      </c>
      <c r="R486" s="30">
        <f>IFERROR(IF(K486=0,"待填成本",ROUND(K486/(1-N486),0)),"" )</f>
        <v/>
      </c>
      <c r="S486" s="30">
        <f>IFERROR(IF(K486=0,"待填成本",ROUND(K486/(1-O486),0)),"" )</f>
        <v/>
      </c>
      <c r="T486" s="31">
        <f>IFERROR(IF(K486=0,"",(P486-K486)/P486),"" )</f>
        <v/>
      </c>
      <c r="U486" s="31">
        <f>IFERROR(IF(K486=0,"",(Q486-K486)/Q486),"" )</f>
        <v/>
      </c>
      <c r="V486" s="31">
        <f>IFERROR(IF(K486=0,"",(R486-K486)/R486),"" )</f>
        <v/>
      </c>
      <c r="W486" s="31">
        <f>IFERROR(IF(K486=0,"",(S486-K486)/S486),"" )</f>
        <v/>
      </c>
      <c r="X486" s="32" t="n"/>
      <c r="Y486" s="32" t="n"/>
      <c r="Z486" s="32" t="n"/>
      <c r="AA486" s="37" t="n">
        <v>14.62416666666667</v>
      </c>
      <c r="AB486" s="37" t="n">
        <v>7.963750000000001</v>
      </c>
      <c r="AC486" s="37" t="n">
        <v>31.30875</v>
      </c>
      <c r="AD486" s="37" t="n">
        <v>240</v>
      </c>
      <c r="AE486" s="37" t="n">
        <v>150</v>
      </c>
      <c r="AF486" s="33" t="n"/>
      <c r="AG486" s="33" t="n"/>
      <c r="AH486" s="5" t="inlineStr"/>
    </row>
    <row r="487" ht="18" customHeight="1">
      <c r="A487" s="25" t="inlineStr">
        <is>
          <t>2425008080199</t>
        </is>
      </c>
      <c r="B487" s="34" t="inlineStr">
        <is>
          <t>餐厅-柜</t>
        </is>
      </c>
      <c r="C487" s="35" t="inlineStr">
        <is>
          <t>洞石餐边柜 |樱桃木洞石餐边大柜 |樱桃木洞石模块餐边柜</t>
        </is>
      </c>
      <c r="D487" s="35" t="inlineStr">
        <is>
          <t>洞石餐边柜-实木背板整柜1.6米</t>
        </is>
      </c>
      <c r="E487" s="34" t="inlineStr">
        <is>
          <t>北美进口FAS级樱桃木</t>
        </is>
      </c>
      <c r="F487" s="34" t="inlineStr">
        <is>
          <t xml:space="preserve">抽屉围板：新西兰进口松木
台面：洞石岩板
背板：洞石背板/实木多层板
电力轨道：xpower 挂架式电力轨道
顶柜玻璃：灰玻
</t>
        </is>
      </c>
      <c r="G487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7" s="26" t="n">
        <v>7212.326666666668</v>
      </c>
      <c r="I487" s="26" t="n">
        <v>5233.333333333334</v>
      </c>
      <c r="J487" s="27" t="n">
        <v>0.48</v>
      </c>
      <c r="K487" s="28">
        <f>IFERROR(H487,0)</f>
        <v/>
      </c>
      <c r="L487" s="29" t="n">
        <v>0.4668</v>
      </c>
      <c r="M487" s="29" t="n">
        <v>0.2505</v>
      </c>
      <c r="N487" s="29" t="n">
        <v>0.2706</v>
      </c>
      <c r="O487" s="29" t="n">
        <v>0.2505</v>
      </c>
      <c r="P487" s="30">
        <f>IFERROR(IF(K487=0,"待填成本",ROUND(K487/(1-L487),0)),"" )</f>
        <v/>
      </c>
      <c r="Q487" s="30">
        <f>IFERROR(IF(K487=0,"待填成本",ROUND(K487/(1-M487),0)),"" )</f>
        <v/>
      </c>
      <c r="R487" s="30">
        <f>IFERROR(IF(K487=0,"待填成本",ROUND(K487/(1-N487),0)),"" )</f>
        <v/>
      </c>
      <c r="S487" s="30">
        <f>IFERROR(IF(K487=0,"待填成本",ROUND(K487/(1-O487),0)),"" )</f>
        <v/>
      </c>
      <c r="T487" s="31">
        <f>IFERROR(IF(K487=0,"",(P487-K487)/P487),"" )</f>
        <v/>
      </c>
      <c r="U487" s="31">
        <f>IFERROR(IF(K487=0,"",(Q487-K487)/Q487),"" )</f>
        <v/>
      </c>
      <c r="V487" s="31">
        <f>IFERROR(IF(K487=0,"",(R487-K487)/R487),"" )</f>
        <v/>
      </c>
      <c r="W487" s="31">
        <f>IFERROR(IF(K487=0,"",(S487-K487)/S487),"" )</f>
        <v/>
      </c>
      <c r="X487" s="36" t="n"/>
      <c r="Y487" s="36" t="n"/>
      <c r="Z487" s="36" t="n"/>
      <c r="AA487" s="37" t="n">
        <v>14.06833333333333</v>
      </c>
      <c r="AB487" s="37" t="n">
        <v>7.647500000000001</v>
      </c>
      <c r="AC487" s="37" t="n">
        <v>30.36</v>
      </c>
      <c r="AD487" s="37" t="n">
        <v>240</v>
      </c>
      <c r="AE487" s="37" t="n">
        <v>150</v>
      </c>
      <c r="AF487" s="33" t="n"/>
      <c r="AG487" s="33" t="n"/>
      <c r="AH487" s="35" t="inlineStr"/>
    </row>
    <row r="488" ht="18" customHeight="1">
      <c r="A488" s="25" t="inlineStr">
        <is>
          <t>2425008080199</t>
        </is>
      </c>
      <c r="B488" s="6" t="inlineStr">
        <is>
          <t>餐厅-柜</t>
        </is>
      </c>
      <c r="C488" s="5" t="inlineStr">
        <is>
          <t>洞石餐边柜 |樱桃木洞石餐边大柜 |樱桃木洞石模块餐边柜</t>
        </is>
      </c>
      <c r="D488" s="5" t="inlineStr">
        <is>
          <t>洞石餐边柜-洞石整柜1.5米（视界组合）（视界柜+开门）</t>
        </is>
      </c>
      <c r="E488" s="6" t="inlineStr">
        <is>
          <t>北美进口FAS级樱桃木</t>
        </is>
      </c>
      <c r="F488" s="6" t="inlineStr">
        <is>
          <t xml:space="preserve">抽屉围板：新西兰进口松木
台面：洞石岩板
背板：洞石背板/实木多层板
电力轨道：xpower 挂架式电力轨道
顶柜玻璃：灰玻
</t>
        </is>
      </c>
      <c r="G488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8" s="26" t="n">
        <v>7111.966666666667</v>
      </c>
      <c r="I488" s="26" t="n">
        <v>5200</v>
      </c>
      <c r="J488" s="27" t="n">
        <v>0.48</v>
      </c>
      <c r="K488" s="28">
        <f>IFERROR(H488,0)</f>
        <v/>
      </c>
      <c r="L488" s="29" t="n">
        <v>0.4668</v>
      </c>
      <c r="M488" s="29" t="n">
        <v>0.2507</v>
      </c>
      <c r="N488" s="29" t="n">
        <v>0.2706</v>
      </c>
      <c r="O488" s="29" t="n">
        <v>0.2507</v>
      </c>
      <c r="P488" s="30">
        <f>IFERROR(IF(K488=0,"待填成本",ROUND(K488/(1-L488),0)),"" )</f>
        <v/>
      </c>
      <c r="Q488" s="30">
        <f>IFERROR(IF(K488=0,"待填成本",ROUND(K488/(1-M488),0)),"" )</f>
        <v/>
      </c>
      <c r="R488" s="30">
        <f>IFERROR(IF(K488=0,"待填成本",ROUND(K488/(1-N488),0)),"" )</f>
        <v/>
      </c>
      <c r="S488" s="30">
        <f>IFERROR(IF(K488=0,"待填成本",ROUND(K488/(1-O488),0)),"" )</f>
        <v/>
      </c>
      <c r="T488" s="31">
        <f>IFERROR(IF(K488=0,"",(P488-K488)/P488),"" )</f>
        <v/>
      </c>
      <c r="U488" s="31">
        <f>IFERROR(IF(K488=0,"",(Q488-K488)/Q488),"" )</f>
        <v/>
      </c>
      <c r="V488" s="31">
        <f>IFERROR(IF(K488=0,"",(R488-K488)/R488),"" )</f>
        <v/>
      </c>
      <c r="W488" s="31">
        <f>IFERROR(IF(K488=0,"",(S488-K488)/S488),"" )</f>
        <v/>
      </c>
      <c r="X488" s="32" t="n"/>
      <c r="Y488" s="32" t="n"/>
      <c r="Z488" s="32" t="n"/>
      <c r="AA488" s="37" t="n">
        <v>13.5125</v>
      </c>
      <c r="AB488" s="37" t="n">
        <v>7.33125</v>
      </c>
      <c r="AC488" s="37" t="n">
        <v>29.41125</v>
      </c>
      <c r="AD488" s="37" t="n">
        <v>240</v>
      </c>
      <c r="AE488" s="37" t="n">
        <v>150</v>
      </c>
      <c r="AF488" s="33" t="n"/>
      <c r="AG488" s="33" t="n"/>
      <c r="AH488" s="5" t="inlineStr"/>
    </row>
    <row r="489" ht="18" customHeight="1">
      <c r="A489" s="25" t="inlineStr">
        <is>
          <t>2425008080199</t>
        </is>
      </c>
      <c r="B489" s="34" t="inlineStr">
        <is>
          <t>餐厅-柜</t>
        </is>
      </c>
      <c r="C489" s="35" t="inlineStr">
        <is>
          <t>洞石餐边柜 |樱桃木洞石餐边大柜 |樱桃木洞石模块餐边柜</t>
        </is>
      </c>
      <c r="D489" s="35" t="inlineStr">
        <is>
          <t>洞石餐边柜-实木背板整柜1.4米</t>
        </is>
      </c>
      <c r="E489" s="34" t="inlineStr">
        <is>
          <t>北美进口FAS级樱桃木</t>
        </is>
      </c>
      <c r="F489" s="34" t="inlineStr">
        <is>
          <t xml:space="preserve">抽屉围板：新西兰进口松木
台面：洞石岩板
背板：洞石背板/实木多层板
电力轨道：xpower 挂架式电力轨道
顶柜玻璃：灰玻
</t>
        </is>
      </c>
      <c r="G489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89" s="26" t="n">
        <v>6992.660000000001</v>
      </c>
      <c r="I489" s="26" t="n">
        <v>5166.666666666667</v>
      </c>
      <c r="J489" s="27" t="n">
        <v>0.48</v>
      </c>
      <c r="K489" s="28">
        <f>IFERROR(H489,0)</f>
        <v/>
      </c>
      <c r="L489" s="29" t="n">
        <v>0.4668</v>
      </c>
      <c r="M489" s="29" t="n">
        <v>0.2505</v>
      </c>
      <c r="N489" s="29" t="n">
        <v>0.2675</v>
      </c>
      <c r="O489" s="29" t="n">
        <v>0.2382</v>
      </c>
      <c r="P489" s="30">
        <f>IFERROR(IF(K489=0,"待填成本",ROUND(K489/(1-L489),0)),"" )</f>
        <v/>
      </c>
      <c r="Q489" s="30">
        <f>IFERROR(IF(K489=0,"待填成本",ROUND(K489/(1-M489),0)),"" )</f>
        <v/>
      </c>
      <c r="R489" s="30">
        <f>IFERROR(IF(K489=0,"待填成本",ROUND(K489/(1-N489),0)),"" )</f>
        <v/>
      </c>
      <c r="S489" s="30">
        <f>IFERROR(IF(K489=0,"待填成本",ROUND(K489/(1-O489),0)),"" )</f>
        <v/>
      </c>
      <c r="T489" s="31">
        <f>IFERROR(IF(K489=0,"",(P489-K489)/P489),"" )</f>
        <v/>
      </c>
      <c r="U489" s="31">
        <f>IFERROR(IF(K489=0,"",(Q489-K489)/Q489),"" )</f>
        <v/>
      </c>
      <c r="V489" s="31">
        <f>IFERROR(IF(K489=0,"",(R489-K489)/R489),"" )</f>
        <v/>
      </c>
      <c r="W489" s="31">
        <f>IFERROR(IF(K489=0,"",(S489-K489)/S489),"" )</f>
        <v/>
      </c>
      <c r="X489" s="36" t="n"/>
      <c r="Y489" s="36" t="n"/>
      <c r="Z489" s="36" t="n"/>
      <c r="AA489" s="37" t="n">
        <v>13.19625</v>
      </c>
      <c r="AB489" s="37" t="n">
        <v>7.015</v>
      </c>
      <c r="AC489" s="37" t="n">
        <v>28.4625</v>
      </c>
      <c r="AD489" s="37" t="n">
        <v>240</v>
      </c>
      <c r="AE489" s="37" t="n">
        <v>150</v>
      </c>
      <c r="AF489" s="33" t="n"/>
      <c r="AG489" s="33" t="n"/>
      <c r="AH489" s="35" t="inlineStr"/>
    </row>
    <row r="490" ht="18" customHeight="1">
      <c r="A490" s="25" t="inlineStr">
        <is>
          <t>2425008080199</t>
        </is>
      </c>
      <c r="B490" s="6" t="inlineStr">
        <is>
          <t>餐厅-柜</t>
        </is>
      </c>
      <c r="C490" s="5" t="inlineStr">
        <is>
          <t>洞石餐边柜 |樱桃木洞石餐边大柜 |樱桃木洞石模块餐边柜</t>
        </is>
      </c>
      <c r="D490" s="5" t="inlineStr">
        <is>
          <t>洞石餐边柜-实木背板整柜1.3米</t>
        </is>
      </c>
      <c r="E490" s="6" t="inlineStr">
        <is>
          <t>北美进口FAS级樱桃木</t>
        </is>
      </c>
      <c r="F490" s="6" t="inlineStr">
        <is>
          <t xml:space="preserve">抽屉围板：新西兰进口松木
台面：洞石岩板
背板：洞石背板/实木多层板
电力轨道：xpower 挂架式电力轨道
顶柜玻璃：灰玻
</t>
        </is>
      </c>
      <c r="G490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90" s="26" t="n">
        <v>6873.353333333334</v>
      </c>
      <c r="I490" s="26" t="n">
        <v>5133.333333333334</v>
      </c>
      <c r="J490" s="27" t="n">
        <v>0.48</v>
      </c>
      <c r="K490" s="28">
        <f>IFERROR(H490,0)</f>
        <v/>
      </c>
      <c r="L490" s="29" t="n">
        <v>0.4668</v>
      </c>
      <c r="M490" s="29" t="n">
        <v>0.2503</v>
      </c>
      <c r="N490" s="29" t="n">
        <v>0.2642</v>
      </c>
      <c r="O490" s="29" t="n">
        <v>0.2249</v>
      </c>
      <c r="P490" s="30">
        <f>IFERROR(IF(K490=0,"待填成本",ROUND(K490/(1-L490),0)),"" )</f>
        <v/>
      </c>
      <c r="Q490" s="30">
        <f>IFERROR(IF(K490=0,"待填成本",ROUND(K490/(1-M490),0)),"" )</f>
        <v/>
      </c>
      <c r="R490" s="30">
        <f>IFERROR(IF(K490=0,"待填成本",ROUND(K490/(1-N490),0)),"" )</f>
        <v/>
      </c>
      <c r="S490" s="30">
        <f>IFERROR(IF(K490=0,"待填成本",ROUND(K490/(1-O490),0)),"" )</f>
        <v/>
      </c>
      <c r="T490" s="31">
        <f>IFERROR(IF(K490=0,"",(P490-K490)/P490),"" )</f>
        <v/>
      </c>
      <c r="U490" s="31">
        <f>IFERROR(IF(K490=0,"",(Q490-K490)/Q490),"" )</f>
        <v/>
      </c>
      <c r="V490" s="31">
        <f>IFERROR(IF(K490=0,"",(R490-K490)/R490),"" )</f>
        <v/>
      </c>
      <c r="W490" s="31">
        <f>IFERROR(IF(K490=0,"",(S490-K490)/S490),"" )</f>
        <v/>
      </c>
      <c r="X490" s="32" t="n"/>
      <c r="Y490" s="32" t="n"/>
      <c r="Z490" s="32" t="n"/>
      <c r="AA490" s="37" t="n">
        <v>12.88</v>
      </c>
      <c r="AB490" s="37" t="n">
        <v>6.69875</v>
      </c>
      <c r="AC490" s="37" t="n">
        <v>27.51375</v>
      </c>
      <c r="AD490" s="37" t="n">
        <v>240</v>
      </c>
      <c r="AE490" s="37" t="n">
        <v>150</v>
      </c>
      <c r="AF490" s="33" t="n"/>
      <c r="AG490" s="33" t="n"/>
      <c r="AH490" s="5" t="inlineStr"/>
    </row>
    <row r="491" ht="18" customHeight="1">
      <c r="A491" s="25" t="inlineStr">
        <is>
          <t>2425008080199</t>
        </is>
      </c>
      <c r="B491" s="34" t="inlineStr">
        <is>
          <t>餐厅-柜</t>
        </is>
      </c>
      <c r="C491" s="35" t="inlineStr">
        <is>
          <t>洞石餐边柜 |樱桃木洞石餐边大柜 |樱桃木洞石模块餐边柜</t>
        </is>
      </c>
      <c r="D491" s="35" t="inlineStr">
        <is>
          <t>洞石餐边柜-洞石整柜1.2米（视界组合）（分类抽屉+开门）</t>
        </is>
      </c>
      <c r="E491" s="34" t="inlineStr">
        <is>
          <t>北美进口FAS级樱桃木</t>
        </is>
      </c>
      <c r="F491" s="34" t="inlineStr">
        <is>
          <t xml:space="preserve">抽屉围板：新西兰进口松木
台面：洞石岩板
背板：洞石背板/实木多层板
电力轨道：xpower 挂架式电力轨道
顶柜玻璃：灰玻
</t>
        </is>
      </c>
      <c r="G491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91" s="26" t="n">
        <v>6754.046666666667</v>
      </c>
      <c r="I491" s="26" t="n">
        <v>5100</v>
      </c>
      <c r="J491" s="27" t="n">
        <v>0.48</v>
      </c>
      <c r="K491" s="28">
        <f>IFERROR(H491,0)</f>
        <v/>
      </c>
      <c r="L491" s="29" t="n">
        <v>0.4667</v>
      </c>
      <c r="M491" s="29" t="n">
        <v>0.25</v>
      </c>
      <c r="N491" s="29" t="n">
        <v>0.2607</v>
      </c>
      <c r="O491" s="29" t="n">
        <v>0.2106</v>
      </c>
      <c r="P491" s="30">
        <f>IFERROR(IF(K491=0,"待填成本",ROUND(K491/(1-L491),0)),"" )</f>
        <v/>
      </c>
      <c r="Q491" s="30">
        <f>IFERROR(IF(K491=0,"待填成本",ROUND(K491/(1-M491),0)),"" )</f>
        <v/>
      </c>
      <c r="R491" s="30">
        <f>IFERROR(IF(K491=0,"待填成本",ROUND(K491/(1-N491),0)),"" )</f>
        <v/>
      </c>
      <c r="S491" s="30">
        <f>IFERROR(IF(K491=0,"待填成本",ROUND(K491/(1-O491),0)),"" )</f>
        <v/>
      </c>
      <c r="T491" s="31">
        <f>IFERROR(IF(K491=0,"",(P491-K491)/P491),"" )</f>
        <v/>
      </c>
      <c r="U491" s="31">
        <f>IFERROR(IF(K491=0,"",(Q491-K491)/Q491),"" )</f>
        <v/>
      </c>
      <c r="V491" s="31">
        <f>IFERROR(IF(K491=0,"",(R491-K491)/R491),"" )</f>
        <v/>
      </c>
      <c r="W491" s="31">
        <f>IFERROR(IF(K491=0,"",(S491-K491)/S491),"" )</f>
        <v/>
      </c>
      <c r="X491" s="36" t="n"/>
      <c r="Y491" s="36" t="n"/>
      <c r="Z491" s="36" t="n"/>
      <c r="AA491" s="37" t="n">
        <v>12.56375</v>
      </c>
      <c r="AB491" s="37" t="n">
        <v>6.3825</v>
      </c>
      <c r="AC491" s="37" t="n">
        <v>26.565</v>
      </c>
      <c r="AD491" s="37" t="n">
        <v>240</v>
      </c>
      <c r="AE491" s="37" t="n">
        <v>150</v>
      </c>
      <c r="AF491" s="33" t="n"/>
      <c r="AG491" s="33" t="n"/>
      <c r="AH491" s="35" t="inlineStr"/>
    </row>
    <row r="492" ht="18" customHeight="1">
      <c r="A492" s="25" t="inlineStr">
        <is>
          <t>2425008080199</t>
        </is>
      </c>
      <c r="B492" s="6" t="inlineStr">
        <is>
          <t>餐厅-柜</t>
        </is>
      </c>
      <c r="C492" s="5" t="inlineStr">
        <is>
          <t>洞石餐边柜 |樱桃木洞石餐边大柜 |樱桃木洞石模块餐边柜</t>
        </is>
      </c>
      <c r="D492" s="5" t="inlineStr">
        <is>
          <t>洞石餐边柜-实木背板整柜1.1米</t>
        </is>
      </c>
      <c r="E492" s="6" t="inlineStr">
        <is>
          <t>北美进口FAS级樱桃木</t>
        </is>
      </c>
      <c r="F492" s="6" t="inlineStr">
        <is>
          <t xml:space="preserve">抽屉围板：新西兰进口松木
台面：洞石岩板
背板：洞石背板/实木多层板
电力轨道：xpower 挂架式电力轨道
顶柜玻璃：灰玻
</t>
        </is>
      </c>
      <c r="G492" s="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92" s="26" t="n">
        <v>6634.740000000001</v>
      </c>
      <c r="I492" s="26" t="n">
        <v>5066.666666666667</v>
      </c>
      <c r="J492" s="27" t="n">
        <v>0.48</v>
      </c>
      <c r="K492" s="28">
        <f>IFERROR(H492,0)</f>
        <v/>
      </c>
      <c r="L492" s="29" t="n">
        <v>0.4667</v>
      </c>
      <c r="M492" s="29" t="n">
        <v>0.2498</v>
      </c>
      <c r="N492" s="29" t="n">
        <v>0.2571</v>
      </c>
      <c r="O492" s="29" t="n">
        <v>0.1953</v>
      </c>
      <c r="P492" s="30">
        <f>IFERROR(IF(K492=0,"待填成本",ROUND(K492/(1-L492),0)),"" )</f>
        <v/>
      </c>
      <c r="Q492" s="30">
        <f>IFERROR(IF(K492=0,"待填成本",ROUND(K492/(1-M492),0)),"" )</f>
        <v/>
      </c>
      <c r="R492" s="30">
        <f>IFERROR(IF(K492=0,"待填成本",ROUND(K492/(1-N492),0)),"" )</f>
        <v/>
      </c>
      <c r="S492" s="30">
        <f>IFERROR(IF(K492=0,"待填成本",ROUND(K492/(1-O492),0)),"" )</f>
        <v/>
      </c>
      <c r="T492" s="31">
        <f>IFERROR(IF(K492=0,"",(P492-K492)/P492),"" )</f>
        <v/>
      </c>
      <c r="U492" s="31">
        <f>IFERROR(IF(K492=0,"",(Q492-K492)/Q492),"" )</f>
        <v/>
      </c>
      <c r="V492" s="31">
        <f>IFERROR(IF(K492=0,"",(R492-K492)/R492),"" )</f>
        <v/>
      </c>
      <c r="W492" s="31">
        <f>IFERROR(IF(K492=0,"",(S492-K492)/S492),"" )</f>
        <v/>
      </c>
      <c r="X492" s="32" t="n"/>
      <c r="Y492" s="32" t="n"/>
      <c r="Z492" s="32" t="n"/>
      <c r="AA492" s="37" t="n">
        <v>12.2475</v>
      </c>
      <c r="AB492" s="37" t="n">
        <v>6.06625</v>
      </c>
      <c r="AC492" s="37" t="n">
        <v>25.61625</v>
      </c>
      <c r="AD492" s="37" t="n">
        <v>240</v>
      </c>
      <c r="AE492" s="37" t="n">
        <v>150</v>
      </c>
      <c r="AF492" s="33" t="n"/>
      <c r="AG492" s="33" t="n"/>
      <c r="AH492" s="5" t="inlineStr"/>
    </row>
    <row r="493" ht="18" customHeight="1">
      <c r="A493" s="25" t="inlineStr">
        <is>
          <t>2425008080199</t>
        </is>
      </c>
      <c r="B493" s="34" t="inlineStr">
        <is>
          <t>餐厅-柜</t>
        </is>
      </c>
      <c r="C493" s="35" t="inlineStr">
        <is>
          <t>洞石餐边柜 |樱桃木洞石餐边大柜 |樱桃木洞石模块餐边柜</t>
        </is>
      </c>
      <c r="D493" s="35" t="inlineStr">
        <is>
          <t>洞石餐边柜-实木背板整柜1.0米</t>
        </is>
      </c>
      <c r="E493" s="34" t="inlineStr">
        <is>
          <t>北美进口FAS级樱桃木</t>
        </is>
      </c>
      <c r="F493" s="34" t="inlineStr">
        <is>
          <t xml:space="preserve">抽屉围板：新西兰进口松木
台面：洞石岩板
背板：洞石背板/实木多层板
电力轨道：xpower 挂架式电力轨道
顶柜玻璃：灰玻
</t>
        </is>
      </c>
      <c r="G493" s="35" t="inlineStr">
        <is>
          <t xml:space="preserve">整体长度：2100mm/1800mm/1500mm
整体深度：500mm
整体高度：1980mm
顶柜长度：2100mm/1800mm/1500mm
顶柜深度：420mm
顶柜高度：400mm
立体收纳长度：2100mm/1800mm/1500mm
立体收纳深度：420mm
立体收纳高度：770mm
下柜长度：2100mm/1800mm/1500mm
下柜深度：500mm
下柜高度：880mm
</t>
        </is>
      </c>
      <c r="H493" s="26" t="n">
        <v>6515.433333333334</v>
      </c>
      <c r="I493" s="26" t="n">
        <v>5033.333333333334</v>
      </c>
      <c r="J493" s="27" t="n">
        <v>0.48</v>
      </c>
      <c r="K493" s="28">
        <f>IFERROR(H493,0)</f>
        <v/>
      </c>
      <c r="L493" s="29" t="n">
        <v>0.4667</v>
      </c>
      <c r="M493" s="29" t="n">
        <v>0.2496</v>
      </c>
      <c r="N493" s="29" t="n">
        <v>0.2533</v>
      </c>
      <c r="O493" s="29" t="n">
        <v>0.1788</v>
      </c>
      <c r="P493" s="30">
        <f>IFERROR(IF(K493=0,"待填成本",ROUND(K493/(1-L493),0)),"" )</f>
        <v/>
      </c>
      <c r="Q493" s="30">
        <f>IFERROR(IF(K493=0,"待填成本",ROUND(K493/(1-M493),0)),"" )</f>
        <v/>
      </c>
      <c r="R493" s="30">
        <f>IFERROR(IF(K493=0,"待填成本",ROUND(K493/(1-N493),0)),"" )</f>
        <v/>
      </c>
      <c r="S493" s="30">
        <f>IFERROR(IF(K493=0,"待填成本",ROUND(K493/(1-O493),0)),"" )</f>
        <v/>
      </c>
      <c r="T493" s="31">
        <f>IFERROR(IF(K493=0,"",(P493-K493)/P493),"" )</f>
        <v/>
      </c>
      <c r="U493" s="31">
        <f>IFERROR(IF(K493=0,"",(Q493-K493)/Q493),"" )</f>
        <v/>
      </c>
      <c r="V493" s="31">
        <f>IFERROR(IF(K493=0,"",(R493-K493)/R493),"" )</f>
        <v/>
      </c>
      <c r="W493" s="31">
        <f>IFERROR(IF(K493=0,"",(S493-K493)/S493),"" )</f>
        <v/>
      </c>
      <c r="X493" s="36" t="n"/>
      <c r="Y493" s="36" t="n"/>
      <c r="Z493" s="36" t="n"/>
      <c r="AA493" s="37" t="n">
        <v>11.93125</v>
      </c>
      <c r="AB493" s="37" t="n">
        <v>5.75</v>
      </c>
      <c r="AC493" s="37" t="n">
        <v>24.6675</v>
      </c>
      <c r="AD493" s="37" t="n">
        <v>240</v>
      </c>
      <c r="AE493" s="37" t="n">
        <v>150</v>
      </c>
      <c r="AF493" s="33" t="n"/>
      <c r="AG493" s="33" t="n"/>
      <c r="AH493" s="35" t="inlineStr"/>
    </row>
    <row r="494" ht="18" customHeight="1">
      <c r="A494" s="25" t="inlineStr">
        <is>
          <t>2421007090199</t>
        </is>
      </c>
      <c r="B494" s="6" t="inlineStr">
        <is>
          <t>餐厅-桌</t>
        </is>
      </c>
      <c r="C494" s="5" t="inlineStr">
        <is>
          <t>榉木岩板餐桌 |榉木三角腿岩板餐桌</t>
        </is>
      </c>
      <c r="D494" s="5" t="inlineStr">
        <is>
          <t>榉木餐桌-1.0米</t>
        </is>
      </c>
      <c r="E494" s="6" t="inlineStr">
        <is>
          <t>德国进口AA级榉木</t>
        </is>
      </c>
      <c r="F494" s="6" t="inlineStr">
        <is>
          <t>台面：白色岩板</t>
        </is>
      </c>
      <c r="G494" s="5" t="inlineStr">
        <is>
          <t xml:space="preserve">长度：1200mm/1400mm/1600mm/1800mm/2000mm
宽度：850mm
高度：750mm
</t>
        </is>
      </c>
      <c r="H494" s="26" t="n">
        <v>1550.9</v>
      </c>
      <c r="I494" s="26" t="n">
        <v>1170</v>
      </c>
      <c r="J494" s="27" t="n">
        <v>0.5</v>
      </c>
      <c r="K494" s="28">
        <f>IFERROR(H494,0)</f>
        <v/>
      </c>
      <c r="L494" s="29" t="n">
        <v>0.4672</v>
      </c>
      <c r="M494" s="29" t="n">
        <v>0.2396</v>
      </c>
      <c r="N494" s="29" t="n">
        <v>0.2306</v>
      </c>
      <c r="O494" s="29" t="n">
        <v>0.2089</v>
      </c>
      <c r="P494" s="30">
        <f>IFERROR(IF(K494=0,"待填成本",ROUND(K494/(1-L494),0)),"" )</f>
        <v/>
      </c>
      <c r="Q494" s="30">
        <f>IFERROR(IF(K494=0,"待填成本",ROUND(K494/(1-M494),0)),"" )</f>
        <v/>
      </c>
      <c r="R494" s="30">
        <f>IFERROR(IF(K494=0,"待填成本",ROUND(K494/(1-N494),0)),"" )</f>
        <v/>
      </c>
      <c r="S494" s="30">
        <f>IFERROR(IF(K494=0,"待填成本",ROUND(K494/(1-O494),0)),"" )</f>
        <v/>
      </c>
      <c r="T494" s="31">
        <f>IFERROR(IF(K494=0,"",(P494-K494)/P494),"" )</f>
        <v/>
      </c>
      <c r="U494" s="31">
        <f>IFERROR(IF(K494=0,"",(Q494-K494)/Q494),"" )</f>
        <v/>
      </c>
      <c r="V494" s="31">
        <f>IFERROR(IF(K494=0,"",(R494-K494)/R494),"" )</f>
        <v/>
      </c>
      <c r="W494" s="31">
        <f>IFERROR(IF(K494=0,"",(S494-K494)/S494),"" )</f>
        <v/>
      </c>
      <c r="X494" s="32" t="n"/>
      <c r="Y494" s="37" t="n">
        <v>3.565</v>
      </c>
      <c r="Z494" s="32" t="n"/>
      <c r="AA494" s="32" t="n"/>
      <c r="AB494" s="32" t="n"/>
      <c r="AC494" s="32" t="n"/>
      <c r="AD494" s="32" t="n"/>
      <c r="AE494" s="32" t="n"/>
      <c r="AF494" s="33" t="n"/>
      <c r="AG494" s="33" t="n"/>
      <c r="AH494" s="5" t="inlineStr"/>
    </row>
    <row r="495" ht="18" customHeight="1">
      <c r="A495" s="25" t="inlineStr">
        <is>
          <t>2421007090199</t>
        </is>
      </c>
      <c r="B495" s="34" t="inlineStr">
        <is>
          <t>餐厅-桌</t>
        </is>
      </c>
      <c r="C495" s="35" t="inlineStr">
        <is>
          <t>榉木岩板餐桌 |榉木三角腿岩板餐桌</t>
        </is>
      </c>
      <c r="D495" s="35" t="inlineStr">
        <is>
          <t>榉木餐桌-1.1米</t>
        </is>
      </c>
      <c r="E495" s="34" t="inlineStr">
        <is>
          <t>德国进口AA级榉木</t>
        </is>
      </c>
      <c r="F495" s="34" t="inlineStr">
        <is>
          <t>台面：白色岩板</t>
        </is>
      </c>
      <c r="G495" s="35" t="inlineStr">
        <is>
          <t xml:space="preserve">长度：1200mm/1400mm/1600mm/1800mm/2000mm
宽度：850mm
高度：750mm
</t>
        </is>
      </c>
      <c r="H495" s="26" t="n">
        <v>1575.9</v>
      </c>
      <c r="I495" s="26" t="n">
        <v>1190</v>
      </c>
      <c r="J495" s="27" t="n">
        <v>0.5</v>
      </c>
      <c r="K495" s="28">
        <f>IFERROR(H495,0)</f>
        <v/>
      </c>
      <c r="L495" s="29" t="n">
        <v>0.4673</v>
      </c>
      <c r="M495" s="29" t="n">
        <v>0.2399</v>
      </c>
      <c r="N495" s="29" t="n">
        <v>0.2311</v>
      </c>
      <c r="O495" s="29" t="n">
        <v>0.2097</v>
      </c>
      <c r="P495" s="30">
        <f>IFERROR(IF(K495=0,"待填成本",ROUND(K495/(1-L495),0)),"" )</f>
        <v/>
      </c>
      <c r="Q495" s="30">
        <f>IFERROR(IF(K495=0,"待填成本",ROUND(K495/(1-M495),0)),"" )</f>
        <v/>
      </c>
      <c r="R495" s="30">
        <f>IFERROR(IF(K495=0,"待填成本",ROUND(K495/(1-N495),0)),"" )</f>
        <v/>
      </c>
      <c r="S495" s="30">
        <f>IFERROR(IF(K495=0,"待填成本",ROUND(K495/(1-O495),0)),"" )</f>
        <v/>
      </c>
      <c r="T495" s="31">
        <f>IFERROR(IF(K495=0,"",(P495-K495)/P495),"" )</f>
        <v/>
      </c>
      <c r="U495" s="31">
        <f>IFERROR(IF(K495=0,"",(Q495-K495)/Q495),"" )</f>
        <v/>
      </c>
      <c r="V495" s="31">
        <f>IFERROR(IF(K495=0,"",(R495-K495)/R495),"" )</f>
        <v/>
      </c>
      <c r="W495" s="31">
        <f>IFERROR(IF(K495=0,"",(S495-K495)/S495),"" )</f>
        <v/>
      </c>
      <c r="X495" s="36" t="n"/>
      <c r="Y495" s="37" t="n">
        <v>3.8525</v>
      </c>
      <c r="Z495" s="36" t="n"/>
      <c r="AA495" s="36" t="n"/>
      <c r="AB495" s="36" t="n"/>
      <c r="AC495" s="36" t="n"/>
      <c r="AD495" s="36" t="n"/>
      <c r="AE495" s="36" t="n"/>
      <c r="AF495" s="33" t="n"/>
      <c r="AG495" s="33" t="n"/>
      <c r="AH495" s="35" t="inlineStr"/>
    </row>
  </sheetData>
  <autoFilter ref="A3:AH3"/>
  <mergeCells count="8">
    <mergeCell ref="H2:K2"/>
    <mergeCell ref="X2:AE2"/>
    <mergeCell ref="L2:O2"/>
    <mergeCell ref="A2:G2"/>
    <mergeCell ref="A1:AH1"/>
    <mergeCell ref="T2:W2"/>
    <mergeCell ref="AF2:AG2"/>
    <mergeCell ref="P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6" customWidth="1" min="4" max="4"/>
    <col width="10" customWidth="1" min="5" max="5"/>
    <col width="10" customWidth="1" min="6" max="6"/>
    <col width="8" customWidth="1" min="7" max="7"/>
    <col width="14" customWidth="1" min="8" max="8"/>
    <col width="30" customWidth="1" min="9" max="9"/>
  </cols>
  <sheetData>
    <row r="1" ht="28" customHeight="1">
      <c r="A1" s="38" t="inlineStr">
        <is>
          <t>畔色 高定报价单 — 全新定制，逐部位填写材料和尺寸，自动出报价</t>
        </is>
      </c>
    </row>
    <row r="2" ht="20" customHeight="1">
      <c r="A2" s="39" t="inlineStr">
        <is>
          <t>↓ 填写订单基本信息后，在下方按部位逐行录入材料和尺寸，底部自动汇总出报价</t>
        </is>
      </c>
    </row>
    <row r="3" ht="20" customHeight="1">
      <c r="A3" s="40" t="inlineStr">
        <is>
          <t>客户名称</t>
        </is>
      </c>
      <c r="B3" s="41" t="inlineStr"/>
      <c r="C3" s="40" t="inlineStr">
        <is>
          <t>订单日期</t>
        </is>
      </c>
      <c r="D3" s="41" t="inlineStr"/>
    </row>
    <row r="4" ht="20" customHeight="1">
      <c r="A4" s="40" t="inlineStr">
        <is>
          <t>产品类目</t>
        </is>
      </c>
      <c r="B4" s="41" t="inlineStr"/>
      <c r="C4" s="40" t="inlineStr">
        <is>
          <t>家具大小等级</t>
        </is>
      </c>
      <c r="D4" s="41" t="inlineStr">
        <is>
          <t>小型 / 中型 / 大型</t>
        </is>
      </c>
    </row>
    <row r="5" ht="20" customHeight="1">
      <c r="A5" s="40" t="inlineStr">
        <is>
          <t>主材</t>
        </is>
      </c>
      <c r="B5" s="41" t="inlineStr"/>
      <c r="C5" s="40" t="inlineStr">
        <is>
          <t>制作件数</t>
        </is>
      </c>
      <c r="D5" s="41" t="n">
        <v>1</v>
      </c>
    </row>
    <row r="6" ht="20" customHeight="1">
      <c r="A6" s="40" t="inlineStr">
        <is>
          <t>产品名称</t>
        </is>
      </c>
      <c r="B6" s="41" t="inlineStr"/>
      <c r="C6" s="40" t="inlineStr"/>
      <c r="D6" s="41" t="inlineStr"/>
    </row>
    <row r="7" ht="24" customHeight="1">
      <c r="A7" s="42" t="inlineStr">
        <is>
          <t>提示：「对应材料」填写名称后，「材料单价」会从⚙️参数设置自动查找。如未找到可手动填单价。尺寸单位：米(m)，数量为件/块/付等。</t>
        </is>
      </c>
    </row>
    <row r="8" ht="26" customHeight="1">
      <c r="A8" s="14" t="inlineStr">
        <is>
          <t>材料分类</t>
        </is>
      </c>
      <c r="B8" s="14" t="inlineStr">
        <is>
          <t>部位描述</t>
        </is>
      </c>
      <c r="C8" s="43" t="inlineStr">
        <is>
          <t>对应材料（名称与参数设置表一致）</t>
        </is>
      </c>
      <c r="D8" s="44" t="inlineStr">
        <is>
          <t>材料单价（自动查，可手改）</t>
        </is>
      </c>
      <c r="E8" s="43" t="inlineStr">
        <is>
          <t>长(m)</t>
        </is>
      </c>
      <c r="F8" s="43" t="inlineStr">
        <is>
          <t>宽/高(m)</t>
        </is>
      </c>
      <c r="G8" s="43" t="inlineStr">
        <is>
          <t>数量</t>
        </is>
      </c>
      <c r="H8" s="44" t="inlineStr">
        <is>
          <t>成本价（自动）</t>
        </is>
      </c>
      <c r="I8" s="14" t="inlineStr">
        <is>
          <t>备注</t>
        </is>
      </c>
    </row>
    <row r="9" ht="20" customHeight="1">
      <c r="A9" s="6" t="inlineStr"/>
      <c r="B9" s="45" t="inlineStr"/>
      <c r="C9" s="41" t="n"/>
      <c r="D9" s="46">
        <f>IFERROR(VLOOKUP(C9,'⚙️ 参数设置'!$B:$D,3,0),"")</f>
        <v/>
      </c>
      <c r="E9" s="47" t="n"/>
      <c r="F9" s="47" t="n"/>
      <c r="G9" s="25" t="n"/>
      <c r="H9" s="48">
        <f>IFERROR(IF(OR(C9="",G9=""),0,D9*IF(E9="",1,E9)*IF(F9="",1,F9)*IF(G9="",1,G9)),0)</f>
        <v/>
      </c>
      <c r="I9" s="5" t="inlineStr"/>
    </row>
    <row r="10" ht="20" customHeight="1">
      <c r="A10" s="34" t="inlineStr"/>
      <c r="B10" s="45" t="inlineStr"/>
      <c r="C10" s="41" t="n"/>
      <c r="D10" s="46">
        <f>IFERROR(VLOOKUP(C10,'⚙️ 参数设置'!$B:$D,3,0),"")</f>
        <v/>
      </c>
      <c r="E10" s="47" t="n"/>
      <c r="F10" s="47" t="n"/>
      <c r="G10" s="25" t="n"/>
      <c r="H10" s="48">
        <f>IFERROR(IF(OR(C10="",G10=""),0,D10*IF(E10="",1,E10)*IF(F10="",1,F10)*IF(G10="",1,G10)),0)</f>
        <v/>
      </c>
      <c r="I10" s="35" t="inlineStr"/>
    </row>
    <row r="11" ht="20" customHeight="1">
      <c r="A11" s="6" t="inlineStr"/>
      <c r="B11" s="45" t="inlineStr"/>
      <c r="C11" s="41" t="n"/>
      <c r="D11" s="46">
        <f>IFERROR(VLOOKUP(C11,'⚙️ 参数设置'!$B:$D,3,0),"")</f>
        <v/>
      </c>
      <c r="E11" s="47" t="n"/>
      <c r="F11" s="47" t="n"/>
      <c r="G11" s="25" t="n"/>
      <c r="H11" s="48">
        <f>IFERROR(IF(OR(C11="",G11=""),0,D11*IF(E11="",1,E11)*IF(F11="",1,F11)*IF(G11="",1,G11)),0)</f>
        <v/>
      </c>
      <c r="I11" s="5" t="inlineStr"/>
    </row>
    <row r="12" ht="20" customHeight="1">
      <c r="A12" s="34" t="inlineStr"/>
      <c r="B12" s="45" t="inlineStr"/>
      <c r="C12" s="41" t="n"/>
      <c r="D12" s="46">
        <f>IFERROR(VLOOKUP(C12,'⚙️ 参数设置'!$B:$D,3,0),"")</f>
        <v/>
      </c>
      <c r="E12" s="47" t="n"/>
      <c r="F12" s="47" t="n"/>
      <c r="G12" s="25" t="n"/>
      <c r="H12" s="48">
        <f>IFERROR(IF(OR(C12="",G12=""),0,D12*IF(E12="",1,E12)*IF(F12="",1,F12)*IF(G12="",1,G12)),0)</f>
        <v/>
      </c>
      <c r="I12" s="35" t="inlineStr"/>
    </row>
    <row r="13" ht="20" customHeight="1">
      <c r="A13" s="6" t="inlineStr"/>
      <c r="B13" s="45" t="inlineStr"/>
      <c r="C13" s="41" t="n"/>
      <c r="D13" s="46">
        <f>IFERROR(VLOOKUP(C13,'⚙️ 参数设置'!$B:$D,3,0),"")</f>
        <v/>
      </c>
      <c r="E13" s="47" t="n"/>
      <c r="F13" s="47" t="n"/>
      <c r="G13" s="25" t="n"/>
      <c r="H13" s="48">
        <f>IFERROR(IF(OR(C13="",G13=""),0,D13*IF(E13="",1,E13)*IF(F13="",1,F13)*IF(G13="",1,G13)),0)</f>
        <v/>
      </c>
      <c r="I13" s="5" t="inlineStr"/>
    </row>
    <row r="14" ht="20" customHeight="1">
      <c r="A14" s="34" t="inlineStr"/>
      <c r="B14" s="45" t="inlineStr"/>
      <c r="C14" s="41" t="n"/>
      <c r="D14" s="46">
        <f>IFERROR(VLOOKUP(C14,'⚙️ 参数设置'!$B:$D,3,0),"")</f>
        <v/>
      </c>
      <c r="E14" s="47" t="n"/>
      <c r="F14" s="47" t="n"/>
      <c r="G14" s="25" t="n"/>
      <c r="H14" s="48">
        <f>IFERROR(IF(OR(C14="",G14=""),0,D14*IF(E14="",1,E14)*IF(F14="",1,F14)*IF(G14="",1,G14)),0)</f>
        <v/>
      </c>
      <c r="I14" s="35" t="inlineStr"/>
    </row>
    <row r="15" ht="20" customHeight="1">
      <c r="A15" s="6" t="inlineStr"/>
      <c r="B15" s="45" t="inlineStr"/>
      <c r="C15" s="41" t="n"/>
      <c r="D15" s="46">
        <f>IFERROR(VLOOKUP(C15,'⚙️ 参数设置'!$B:$D,3,0),"")</f>
        <v/>
      </c>
      <c r="E15" s="47" t="n"/>
      <c r="F15" s="47" t="n"/>
      <c r="G15" s="25" t="n"/>
      <c r="H15" s="48">
        <f>IFERROR(IF(OR(C15="",G15=""),0,D15*IF(E15="",1,E15)*IF(F15="",1,F15)*IF(G15="",1,G15)),0)</f>
        <v/>
      </c>
      <c r="I15" s="5" t="inlineStr"/>
    </row>
    <row r="16" ht="20" customHeight="1">
      <c r="A16" s="34" t="inlineStr"/>
      <c r="B16" s="45" t="inlineStr"/>
      <c r="C16" s="41" t="n"/>
      <c r="D16" s="46">
        <f>IFERROR(VLOOKUP(C16,'⚙️ 参数设置'!$B:$D,3,0),"")</f>
        <v/>
      </c>
      <c r="E16" s="47" t="n"/>
      <c r="F16" s="47" t="n"/>
      <c r="G16" s="25" t="n"/>
      <c r="H16" s="48">
        <f>IFERROR(IF(OR(C16="",G16=""),0,D16*IF(E16="",1,E16)*IF(F16="",1,F16)*IF(G16="",1,G16)),0)</f>
        <v/>
      </c>
      <c r="I16" s="35" t="inlineStr"/>
    </row>
    <row r="17" ht="20" customHeight="1">
      <c r="A17" s="6" t="inlineStr"/>
      <c r="B17" s="45" t="inlineStr"/>
      <c r="C17" s="41" t="n"/>
      <c r="D17" s="46">
        <f>IFERROR(VLOOKUP(C17,'⚙️ 参数设置'!$B:$D,3,0),"")</f>
        <v/>
      </c>
      <c r="E17" s="47" t="n"/>
      <c r="F17" s="47" t="n"/>
      <c r="G17" s="25" t="n"/>
      <c r="H17" s="48">
        <f>IFERROR(IF(OR(C17="",G17=""),0,D17*IF(E17="",1,E17)*IF(F17="",1,F17)*IF(G17="",1,G17)),0)</f>
        <v/>
      </c>
      <c r="I17" s="5" t="inlineStr"/>
    </row>
    <row r="18" ht="20" customHeight="1">
      <c r="A18" s="34" t="inlineStr"/>
      <c r="B18" s="45" t="inlineStr"/>
      <c r="C18" s="41" t="n"/>
      <c r="D18" s="46">
        <f>IFERROR(VLOOKUP(C18,'⚙️ 参数设置'!$B:$D,3,0),"")</f>
        <v/>
      </c>
      <c r="E18" s="47" t="n"/>
      <c r="F18" s="47" t="n"/>
      <c r="G18" s="25" t="n"/>
      <c r="H18" s="48">
        <f>IFERROR(IF(OR(C18="",G18=""),0,D18*IF(E18="",1,E18)*IF(F18="",1,F18)*IF(G18="",1,G18)),0)</f>
        <v/>
      </c>
      <c r="I18" s="35" t="inlineStr"/>
    </row>
    <row r="19" ht="20" customHeight="1">
      <c r="A19" s="6" t="inlineStr"/>
      <c r="B19" s="45" t="inlineStr"/>
      <c r="C19" s="41" t="n"/>
      <c r="D19" s="46">
        <f>IFERROR(VLOOKUP(C19,'⚙️ 参数设置'!$B:$D,3,0),"")</f>
        <v/>
      </c>
      <c r="E19" s="47" t="n"/>
      <c r="F19" s="47" t="n"/>
      <c r="G19" s="25" t="n"/>
      <c r="H19" s="48">
        <f>IFERROR(IF(OR(C19="",G19=""),0,D19*IF(E19="",1,E19)*IF(F19="",1,F19)*IF(G19="",1,G19)),0)</f>
        <v/>
      </c>
      <c r="I19" s="5" t="inlineStr"/>
    </row>
    <row r="20" ht="20" customHeight="1">
      <c r="A20" s="34" t="inlineStr"/>
      <c r="B20" s="45" t="inlineStr"/>
      <c r="C20" s="41" t="n"/>
      <c r="D20" s="46">
        <f>IFERROR(VLOOKUP(C20,'⚙️ 参数设置'!$B:$D,3,0),"")</f>
        <v/>
      </c>
      <c r="E20" s="47" t="n"/>
      <c r="F20" s="47" t="n"/>
      <c r="G20" s="25" t="n"/>
      <c r="H20" s="48">
        <f>IFERROR(IF(OR(C20="",G20=""),0,D20*IF(E20="",1,E20)*IF(F20="",1,F20)*IF(G20="",1,G20)),0)</f>
        <v/>
      </c>
      <c r="I20" s="35" t="inlineStr"/>
    </row>
    <row r="21" ht="20" customHeight="1">
      <c r="A21" s="6" t="inlineStr"/>
      <c r="B21" s="45" t="inlineStr"/>
      <c r="C21" s="41" t="n"/>
      <c r="D21" s="46">
        <f>IFERROR(VLOOKUP(C21,'⚙️ 参数设置'!$B:$D,3,0),"")</f>
        <v/>
      </c>
      <c r="E21" s="47" t="n"/>
      <c r="F21" s="47" t="n"/>
      <c r="G21" s="25" t="n"/>
      <c r="H21" s="48">
        <f>IFERROR(IF(OR(C21="",G21=""),0,D21*IF(E21="",1,E21)*IF(F21="",1,F21)*IF(G21="",1,G21)),0)</f>
        <v/>
      </c>
      <c r="I21" s="5" t="inlineStr"/>
    </row>
    <row r="22" ht="20" customHeight="1">
      <c r="A22" s="34" t="inlineStr"/>
      <c r="B22" s="45" t="inlineStr"/>
      <c r="C22" s="41" t="n"/>
      <c r="D22" s="46">
        <f>IFERROR(VLOOKUP(C22,'⚙️ 参数设置'!$B:$D,3,0),"")</f>
        <v/>
      </c>
      <c r="E22" s="47" t="n"/>
      <c r="F22" s="47" t="n"/>
      <c r="G22" s="25" t="n"/>
      <c r="H22" s="48">
        <f>IFERROR(IF(OR(C22="",G22=""),0,D22*IF(E22="",1,E22)*IF(F22="",1,F22)*IF(G22="",1,G22)),0)</f>
        <v/>
      </c>
      <c r="I22" s="35" t="inlineStr"/>
    </row>
    <row r="23" ht="20" customHeight="1">
      <c r="A23" s="6" t="inlineStr"/>
      <c r="B23" s="45" t="inlineStr"/>
      <c r="C23" s="41" t="n"/>
      <c r="D23" s="46">
        <f>IFERROR(VLOOKUP(C23,'⚙️ 参数设置'!$B:$D,3,0),"")</f>
        <v/>
      </c>
      <c r="E23" s="47" t="n"/>
      <c r="F23" s="47" t="n"/>
      <c r="G23" s="25" t="n"/>
      <c r="H23" s="48">
        <f>IFERROR(IF(OR(C23="",G23=""),0,D23*IF(E23="",1,E23)*IF(F23="",1,F23)*IF(G23="",1,G23)),0)</f>
        <v/>
      </c>
      <c r="I23" s="5" t="inlineStr"/>
    </row>
    <row r="24" ht="20" customHeight="1">
      <c r="A24" s="34" t="inlineStr"/>
      <c r="B24" s="45" t="inlineStr"/>
      <c r="C24" s="41" t="n"/>
      <c r="D24" s="46">
        <f>IFERROR(VLOOKUP(C24,'⚙️ 参数设置'!$B:$D,3,0),"")</f>
        <v/>
      </c>
      <c r="E24" s="47" t="n"/>
      <c r="F24" s="47" t="n"/>
      <c r="G24" s="25" t="n"/>
      <c r="H24" s="48">
        <f>IFERROR(IF(OR(C24="",G24=""),0,D24*IF(E24="",1,E24)*IF(F24="",1,F24)*IF(G24="",1,G24)),0)</f>
        <v/>
      </c>
      <c r="I24" s="35" t="inlineStr"/>
    </row>
    <row r="25" ht="20" customHeight="1">
      <c r="A25" s="6" t="inlineStr"/>
      <c r="B25" s="45" t="inlineStr"/>
      <c r="C25" s="41" t="n"/>
      <c r="D25" s="46">
        <f>IFERROR(VLOOKUP(C25,'⚙️ 参数设置'!$B:$D,3,0),"")</f>
        <v/>
      </c>
      <c r="E25" s="47" t="n"/>
      <c r="F25" s="47" t="n"/>
      <c r="G25" s="25" t="n"/>
      <c r="H25" s="48">
        <f>IFERROR(IF(OR(C25="",G25=""),0,D25*IF(E25="",1,E25)*IF(F25="",1,F25)*IF(G25="",1,G25)),0)</f>
        <v/>
      </c>
      <c r="I25" s="5" t="inlineStr"/>
    </row>
    <row r="26" ht="20" customHeight="1">
      <c r="A26" s="34" t="inlineStr"/>
      <c r="B26" s="45" t="inlineStr"/>
      <c r="C26" s="41" t="n"/>
      <c r="D26" s="46">
        <f>IFERROR(VLOOKUP(C26,'⚙️ 参数设置'!$B:$D,3,0),"")</f>
        <v/>
      </c>
      <c r="E26" s="47" t="n"/>
      <c r="F26" s="47" t="n"/>
      <c r="G26" s="25" t="n"/>
      <c r="H26" s="48">
        <f>IFERROR(IF(OR(C26="",G26=""),0,D26*IF(E26="",1,E26)*IF(F26="",1,F26)*IF(G26="",1,G26)),0)</f>
        <v/>
      </c>
      <c r="I26" s="35" t="inlineStr"/>
    </row>
    <row r="27" ht="20" customHeight="1">
      <c r="A27" s="6" t="inlineStr"/>
      <c r="B27" s="45" t="inlineStr"/>
      <c r="C27" s="41" t="n"/>
      <c r="D27" s="46">
        <f>IFERROR(VLOOKUP(C27,'⚙️ 参数设置'!$B:$D,3,0),"")</f>
        <v/>
      </c>
      <c r="E27" s="47" t="n"/>
      <c r="F27" s="47" t="n"/>
      <c r="G27" s="25" t="n"/>
      <c r="H27" s="48">
        <f>IFERROR(IF(OR(C27="",G27=""),0,D27*IF(E27="",1,E27)*IF(F27="",1,F27)*IF(G27="",1,G27)),0)</f>
        <v/>
      </c>
      <c r="I27" s="5" t="inlineStr"/>
    </row>
    <row r="28" ht="20" customHeight="1">
      <c r="A28" s="34" t="inlineStr"/>
      <c r="B28" s="45" t="inlineStr"/>
      <c r="C28" s="41" t="n"/>
      <c r="D28" s="46">
        <f>IFERROR(VLOOKUP(C28,'⚙️ 参数设置'!$B:$D,3,0),"")</f>
        <v/>
      </c>
      <c r="E28" s="47" t="n"/>
      <c r="F28" s="47" t="n"/>
      <c r="G28" s="25" t="n"/>
      <c r="H28" s="48">
        <f>IFERROR(IF(OR(C28="",G28=""),0,D28*IF(E28="",1,E28)*IF(F28="",1,F28)*IF(G28="",1,G28)),0)</f>
        <v/>
      </c>
      <c r="I28" s="35" t="inlineStr"/>
    </row>
    <row r="29" ht="20" customHeight="1">
      <c r="A29" s="6" t="inlineStr"/>
      <c r="B29" s="45" t="inlineStr"/>
      <c r="C29" s="41" t="n"/>
      <c r="D29" s="46">
        <f>IFERROR(VLOOKUP(C29,'⚙️ 参数设置'!$B:$D,3,0),"")</f>
        <v/>
      </c>
      <c r="E29" s="47" t="n"/>
      <c r="F29" s="47" t="n"/>
      <c r="G29" s="25" t="n"/>
      <c r="H29" s="48">
        <f>IFERROR(IF(OR(C29="",G29=""),0,D29*IF(E29="",1,E29)*IF(F29="",1,F29)*IF(G29="",1,G29)),0)</f>
        <v/>
      </c>
      <c r="I29" s="5" t="inlineStr"/>
    </row>
    <row r="30" ht="20" customHeight="1">
      <c r="A30" s="34" t="inlineStr"/>
      <c r="B30" s="45" t="inlineStr"/>
      <c r="C30" s="41" t="n"/>
      <c r="D30" s="46">
        <f>IFERROR(VLOOKUP(C30,'⚙️ 参数设置'!$B:$D,3,0),"")</f>
        <v/>
      </c>
      <c r="E30" s="47" t="n"/>
      <c r="F30" s="47" t="n"/>
      <c r="G30" s="25" t="n"/>
      <c r="H30" s="48">
        <f>IFERROR(IF(OR(C30="",G30=""),0,D30*IF(E30="",1,E30)*IF(F30="",1,F30)*IF(G30="",1,G30)),0)</f>
        <v/>
      </c>
      <c r="I30" s="35" t="inlineStr"/>
    </row>
    <row r="31" ht="20" customHeight="1">
      <c r="A31" s="6" t="inlineStr"/>
      <c r="B31" s="45" t="inlineStr"/>
      <c r="C31" s="41" t="n"/>
      <c r="D31" s="46">
        <f>IFERROR(VLOOKUP(C31,'⚙️ 参数设置'!$B:$D,3,0),"")</f>
        <v/>
      </c>
      <c r="E31" s="47" t="n"/>
      <c r="F31" s="47" t="n"/>
      <c r="G31" s="25" t="n"/>
      <c r="H31" s="48">
        <f>IFERROR(IF(OR(C31="",G31=""),0,D31*IF(E31="",1,E31)*IF(F31="",1,F31)*IF(G31="",1,G31)),0)</f>
        <v/>
      </c>
      <c r="I31" s="5" t="inlineStr"/>
    </row>
    <row r="32" ht="20" customHeight="1">
      <c r="A32" s="34" t="inlineStr"/>
      <c r="B32" s="45" t="inlineStr"/>
      <c r="C32" s="41" t="n"/>
      <c r="D32" s="46">
        <f>IFERROR(VLOOKUP(C32,'⚙️ 参数设置'!$B:$D,3,0),"")</f>
        <v/>
      </c>
      <c r="E32" s="47" t="n"/>
      <c r="F32" s="47" t="n"/>
      <c r="G32" s="25" t="n"/>
      <c r="H32" s="48">
        <f>IFERROR(IF(OR(C32="",G32=""),0,D32*IF(E32="",1,E32)*IF(F32="",1,F32)*IF(G32="",1,G32)),0)</f>
        <v/>
      </c>
      <c r="I32" s="35" t="inlineStr"/>
    </row>
    <row r="33" ht="20" customHeight="1">
      <c r="A33" s="6" t="inlineStr"/>
      <c r="B33" s="45" t="inlineStr"/>
      <c r="C33" s="41" t="n"/>
      <c r="D33" s="46">
        <f>IFERROR(VLOOKUP(C33,'⚙️ 参数设置'!$B:$D,3,0),"")</f>
        <v/>
      </c>
      <c r="E33" s="47" t="n"/>
      <c r="F33" s="47" t="n"/>
      <c r="G33" s="25" t="n"/>
      <c r="H33" s="48">
        <f>IFERROR(IF(OR(C33="",G33=""),0,D33*IF(E33="",1,E33)*IF(F33="",1,F33)*IF(G33="",1,G33)),0)</f>
        <v/>
      </c>
      <c r="I33" s="5" t="inlineStr"/>
    </row>
    <row r="34" ht="20" customHeight="1">
      <c r="A34" s="34" t="inlineStr"/>
      <c r="B34" s="45" t="inlineStr"/>
      <c r="C34" s="41" t="n"/>
      <c r="D34" s="46">
        <f>IFERROR(VLOOKUP(C34,'⚙️ 参数设置'!$B:$D,3,0),"")</f>
        <v/>
      </c>
      <c r="E34" s="47" t="n"/>
      <c r="F34" s="47" t="n"/>
      <c r="G34" s="25" t="n"/>
      <c r="H34" s="48">
        <f>IFERROR(IF(OR(C34="",G34=""),0,D34*IF(E34="",1,E34)*IF(F34="",1,F34)*IF(G34="",1,G34)),0)</f>
        <v/>
      </c>
      <c r="I34" s="35" t="inlineStr"/>
    </row>
    <row r="35" ht="20" customHeight="1">
      <c r="A35" s="6" t="inlineStr"/>
      <c r="B35" s="45" t="inlineStr"/>
      <c r="C35" s="41" t="n"/>
      <c r="D35" s="46">
        <f>IFERROR(VLOOKUP(C35,'⚙️ 参数设置'!$B:$D,3,0),"")</f>
        <v/>
      </c>
      <c r="E35" s="47" t="n"/>
      <c r="F35" s="47" t="n"/>
      <c r="G35" s="25" t="n"/>
      <c r="H35" s="48">
        <f>IFERROR(IF(OR(C35="",G35=""),0,D35*IF(E35="",1,E35)*IF(F35="",1,F35)*IF(G35="",1,G35)),0)</f>
        <v/>
      </c>
      <c r="I35" s="5" t="inlineStr"/>
    </row>
    <row r="36" ht="20" customHeight="1">
      <c r="A36" s="34" t="inlineStr"/>
      <c r="B36" s="45" t="inlineStr"/>
      <c r="C36" s="41" t="n"/>
      <c r="D36" s="46">
        <f>IFERROR(VLOOKUP(C36,'⚙️ 参数设置'!$B:$D,3,0),"")</f>
        <v/>
      </c>
      <c r="E36" s="47" t="n"/>
      <c r="F36" s="47" t="n"/>
      <c r="G36" s="25" t="n"/>
      <c r="H36" s="48">
        <f>IFERROR(IF(OR(C36="",G36=""),0,D36*IF(E36="",1,E36)*IF(F36="",1,F36)*IF(G36="",1,G36)),0)</f>
        <v/>
      </c>
      <c r="I36" s="35" t="inlineStr"/>
    </row>
    <row r="37" ht="20" customHeight="1">
      <c r="A37" s="6" t="inlineStr"/>
      <c r="B37" s="45" t="inlineStr"/>
      <c r="C37" s="41" t="n"/>
      <c r="D37" s="46">
        <f>IFERROR(VLOOKUP(C37,'⚙️ 参数设置'!$B:$D,3,0),"")</f>
        <v/>
      </c>
      <c r="E37" s="47" t="n"/>
      <c r="F37" s="47" t="n"/>
      <c r="G37" s="25" t="n"/>
      <c r="H37" s="48">
        <f>IFERROR(IF(OR(C37="",G37=""),0,D37*IF(E37="",1,E37)*IF(F37="",1,F37)*IF(G37="",1,G37)),0)</f>
        <v/>
      </c>
      <c r="I37" s="5" t="inlineStr"/>
    </row>
    <row r="38" ht="20" customHeight="1">
      <c r="A38" s="34" t="inlineStr"/>
      <c r="B38" s="45" t="inlineStr"/>
      <c r="C38" s="41" t="n"/>
      <c r="D38" s="46">
        <f>IFERROR(VLOOKUP(C38,'⚙️ 参数设置'!$B:$D,3,0),"")</f>
        <v/>
      </c>
      <c r="E38" s="47" t="n"/>
      <c r="F38" s="47" t="n"/>
      <c r="G38" s="25" t="n"/>
      <c r="H38" s="48">
        <f>IFERROR(IF(OR(C38="",G38=""),0,D38*IF(E38="",1,E38)*IF(F38="",1,F38)*IF(G38="",1,G38)),0)</f>
        <v/>
      </c>
      <c r="I38" s="35" t="inlineStr"/>
    </row>
    <row r="39" ht="20" customHeight="1">
      <c r="A39" s="6" t="inlineStr"/>
      <c r="B39" s="45" t="inlineStr"/>
      <c r="C39" s="41" t="n"/>
      <c r="D39" s="46">
        <f>IFERROR(VLOOKUP(C39,'⚙️ 参数设置'!$B:$D,3,0),"")</f>
        <v/>
      </c>
      <c r="E39" s="47" t="n"/>
      <c r="F39" s="47" t="n"/>
      <c r="G39" s="25" t="n"/>
      <c r="H39" s="48">
        <f>IFERROR(IF(OR(C39="",G39=""),0,D39*IF(E39="",1,E39)*IF(F39="",1,F39)*IF(G39="",1,G39)),0)</f>
        <v/>
      </c>
      <c r="I39" s="5" t="inlineStr"/>
    </row>
    <row r="40" ht="20" customHeight="1">
      <c r="A40" s="34" t="inlineStr"/>
      <c r="B40" s="45" t="inlineStr"/>
      <c r="C40" s="41" t="n"/>
      <c r="D40" s="46">
        <f>IFERROR(VLOOKUP(C40,'⚙️ 参数设置'!$B:$D,3,0),"")</f>
        <v/>
      </c>
      <c r="E40" s="47" t="n"/>
      <c r="F40" s="47" t="n"/>
      <c r="G40" s="25" t="n"/>
      <c r="H40" s="48">
        <f>IFERROR(IF(OR(C40="",G40=""),0,D40*IF(E40="",1,E40)*IF(F40="",1,F40)*IF(G40="",1,G40)),0)</f>
        <v/>
      </c>
      <c r="I40" s="35" t="inlineStr"/>
    </row>
    <row r="41" ht="20" customHeight="1">
      <c r="A41" s="6" t="inlineStr"/>
      <c r="B41" s="45" t="inlineStr"/>
      <c r="C41" s="41" t="n"/>
      <c r="D41" s="46">
        <f>IFERROR(VLOOKUP(C41,'⚙️ 参数设置'!$B:$D,3,0),"")</f>
        <v/>
      </c>
      <c r="E41" s="47" t="n"/>
      <c r="F41" s="47" t="n"/>
      <c r="G41" s="25" t="n"/>
      <c r="H41" s="48">
        <f>IFERROR(IF(OR(C41="",G41=""),0,D41*IF(E41="",1,E41)*IF(F41="",1,F41)*IF(G41="",1,G41)),0)</f>
        <v/>
      </c>
      <c r="I41" s="5" t="inlineStr"/>
    </row>
    <row r="42" ht="20" customHeight="1">
      <c r="A42" s="34" t="inlineStr"/>
      <c r="B42" s="45" t="inlineStr"/>
      <c r="C42" s="41" t="n"/>
      <c r="D42" s="46">
        <f>IFERROR(VLOOKUP(C42,'⚙️ 参数设置'!$B:$D,3,0),"")</f>
        <v/>
      </c>
      <c r="E42" s="47" t="n"/>
      <c r="F42" s="47" t="n"/>
      <c r="G42" s="25" t="n"/>
      <c r="H42" s="48">
        <f>IFERROR(IF(OR(C42="",G42=""),0,D42*IF(E42="",1,E42)*IF(F42="",1,F42)*IF(G42="",1,G42)),0)</f>
        <v/>
      </c>
      <c r="I42" s="35" t="inlineStr"/>
    </row>
    <row r="43" ht="20" customHeight="1">
      <c r="A43" s="6" t="inlineStr"/>
      <c r="B43" s="45" t="inlineStr"/>
      <c r="C43" s="41" t="n"/>
      <c r="D43" s="46">
        <f>IFERROR(VLOOKUP(C43,'⚙️ 参数设置'!$B:$D,3,0),"")</f>
        <v/>
      </c>
      <c r="E43" s="47" t="n"/>
      <c r="F43" s="47" t="n"/>
      <c r="G43" s="25" t="n"/>
      <c r="H43" s="48">
        <f>IFERROR(IF(OR(C43="",G43=""),0,D43*IF(E43="",1,E43)*IF(F43="",1,F43)*IF(G43="",1,G43)),0)</f>
        <v/>
      </c>
      <c r="I43" s="5" t="inlineStr"/>
    </row>
    <row r="45" ht="22" customHeight="1">
      <c r="E45" s="49" t="inlineStr">
        <is>
          <t>厂内木材+人工成本</t>
        </is>
      </c>
      <c r="H45" s="50">
        <f>SUMIF(A9:A43,"木材成本",H9:H43)+SUMIF(A9:A43,"工厂人工费用",H9:H43)</f>
        <v/>
      </c>
    </row>
    <row r="46" ht="22" customHeight="1">
      <c r="E46" s="49" t="inlineStr">
        <is>
          <t>工厂利润 (系数×木材人工成本)</t>
        </is>
      </c>
      <c r="H46" s="50">
        <f>I45*'⚙️ 参数设置'!$H$3</f>
        <v/>
      </c>
    </row>
    <row r="47" ht="22" customHeight="1">
      <c r="E47" s="51" t="inlineStr">
        <is>
          <t>工厂木作总成本</t>
        </is>
      </c>
      <c r="H47" s="52">
        <f>I45+I46</f>
        <v/>
      </c>
    </row>
    <row r="48" ht="22" customHeight="1">
      <c r="E48" s="49" t="inlineStr">
        <is>
          <t>配件材料成本（畔色采购）</t>
        </is>
      </c>
      <c r="H48" s="50">
        <f>SUMIF(A9:A43,"配件材料成本",H9:H43)</f>
        <v/>
      </c>
    </row>
    <row r="49" ht="22" customHeight="1">
      <c r="E49" s="49" t="inlineStr">
        <is>
          <t>打包费</t>
        </is>
      </c>
      <c r="H49" s="50">
        <f>IFERROR(VLOOKUP("打包费用-"&amp;D4,'⚙️ 参数设置'!$B:$D,3,0)*D6,0)</f>
        <v/>
      </c>
    </row>
    <row r="50" ht="22" customHeight="1">
      <c r="E50" s="49" t="inlineStr">
        <is>
          <t>运费</t>
        </is>
      </c>
      <c r="H50" s="50">
        <f>IFERROR(VLOOKUP("运费-"&amp;D4,'⚙️ 参数设置'!$B:$D,3,0)*D6,0)</f>
        <v/>
      </c>
    </row>
    <row r="51" ht="22" customHeight="1">
      <c r="E51" s="49" t="inlineStr">
        <is>
          <t>安装费</t>
        </is>
      </c>
      <c r="H51" s="50">
        <f>IFERROR(VLOOKUP("上门安装费-"&amp;D4,'⚙️ 参数设置'!$B:$D,3,0)*D6,0)</f>
        <v/>
      </c>
    </row>
    <row r="52" ht="22" customHeight="1">
      <c r="E52" s="51" t="inlineStr">
        <is>
          <t>畔色总成本</t>
        </is>
      </c>
      <c r="H52" s="52">
        <f>I47+I48+I49+I50+I51</f>
        <v/>
      </c>
    </row>
    <row r="53" ht="22" customHeight="1"/>
    <row r="54" ht="22" customHeight="1">
      <c r="E54" s="51" t="inlineStr">
        <is>
          <t>高定最终报价（含15%利润）</t>
        </is>
      </c>
      <c r="H54" s="52">
        <f>ROUND(I52/(1-'⚙️ 参数设置'!$H$4),0)</f>
        <v/>
      </c>
    </row>
  </sheetData>
  <mergeCells count="12">
    <mergeCell ref="A7:I7"/>
    <mergeCell ref="E46:G46"/>
    <mergeCell ref="A2:I2"/>
    <mergeCell ref="E49:G49"/>
    <mergeCell ref="E52:G52"/>
    <mergeCell ref="E45:G45"/>
    <mergeCell ref="E47:G47"/>
    <mergeCell ref="A1:I1"/>
    <mergeCell ref="E48:G48"/>
    <mergeCell ref="E50:G50"/>
    <mergeCell ref="E51:G51"/>
    <mergeCell ref="E54:G54"/>
  </mergeCells>
  <dataValidations count="1">
    <dataValidation sqref="A9:A43" showDropDown="0" showInputMessage="0" showErrorMessage="0" allowBlank="1" type="list">
      <formula1>"木材成本,配件材料成本,工厂人工费用"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2026-04-14T19:25:26Z</dcterms:created>
  <dcterms:modified xmlns:dcterms="http://purl.org/dc/terms/" xmlns:xsi="http://www.w3.org/2001/XMLSchema-instance" xsi:type="dcterms:W3CDTF">2026-04-14T19:25:27Z</dcterms:modified>
</cp:coreProperties>
</file>